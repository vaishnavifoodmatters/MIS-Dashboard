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26-27" sheetId="1" r:id="rId5"/>
    <sheet state="visible" name="Q1 FY26-27" sheetId="2" r:id="rId6"/>
    <sheet state="hidden" name="AOV" sheetId="3" r:id="rId7"/>
    <sheet state="hidden" name="Summary Sheet - July 2026" sheetId="4" r:id="rId8"/>
    <sheet state="visible" name="Summary Sheet - June 2026" sheetId="5" r:id="rId9"/>
    <sheet state="visible" name="Summary Sheet - May 2026" sheetId="6" r:id="rId10"/>
    <sheet state="visible" name="Summary Sheet - April 2026" sheetId="7" r:id="rId11"/>
    <sheet state="visible" name="HO" sheetId="8" r:id="rId12"/>
    <sheet state="visible" name="The Table" sheetId="9" r:id="rId13"/>
    <sheet state="visible" name="Iktara" sheetId="10" r:id="rId14"/>
    <sheet state="visible" name="Mg St Colaba" sheetId="11" r:id="rId15"/>
    <sheet state="visible" name="Mg St LP" sheetId="12" r:id="rId16"/>
    <sheet state="visible" name="Mg St Bandra" sheetId="13" r:id="rId17"/>
    <sheet state="visible" name="MSK Events" sheetId="14" r:id="rId18"/>
    <sheet state="visible" name="MSBC" sheetId="15" r:id="rId19"/>
    <sheet state="visible" name="Kaspers" sheetId="16" r:id="rId20"/>
    <sheet state="visible" name="MSBC Dahisar" sheetId="17" r:id="rId21"/>
    <sheet state="visible" name="MSBC Andheri" sheetId="18" r:id="rId22"/>
    <sheet state="visible" name="MSBC Juhu  Goregoan" sheetId="19" r:id="rId23"/>
    <sheet state="visible" name="LOUD MOUTH" sheetId="20" r:id="rId24"/>
    <sheet state="visible" name="MSBC Summary" sheetId="21" r:id="rId25"/>
    <sheet state="hidden" name="Targets" sheetId="22" r:id="rId26"/>
    <sheet state="visible" name="Calculation Sheet for GST on Pu" sheetId="23" r:id="rId27"/>
    <sheet state="visible" name="MSBC CK Allocation" sheetId="24" r:id="rId28"/>
    <sheet state="hidden" name="Mg St Bandra - Comparison" sheetId="25" r:id="rId29"/>
    <sheet state="hidden" name="Mg St LP - Comparison" sheetId="26" r:id="rId30"/>
    <sheet state="hidden" name="Mg St Colaba Comparison" sheetId="27" r:id="rId31"/>
    <sheet state="hidden" name="Table Summary - Comparison" sheetId="28" r:id="rId32"/>
    <sheet state="hidden" name="Kasper Summary - Comparison" sheetId="29" r:id="rId3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ID#AAAB3yX9KCM
tc={0b5ec4a3-a9a4-4a2c-b89f-9aee434fb379}    (2026-04-21 11:24:36)
[Threaded comment]
Your version of Excel allows you to read this threaded comment; however, any edits to it will get removed if the file is opened in a newer version of Excel. Learn more: https://go.microsoft.com/fwlink/?linkid=870924
Comment:
    Need to understand 
EDM - Executive Director Meal
NC - (Compleimentary / Service Recovery)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91">
      <text>
        <t xml:space="preserve">======
ID#AAAB3yX8QVE
tc={79c99fa1-da2d-4394-9f04-9ca99b3e2c7d}    (2026-04-21 11:24:36)
[Threaded comment]
Your version of Excel allows you to read this threaded comment; however, any edits to it will get removed if the file is opened in a newer version of Excel. Learn more: https://go.microsoft.com/fwlink/?linkid=870924
Comment:
    Jan - 28
Feb - 0 - To Check
Mar - ___</t>
      </text>
    </comment>
    <comment authorId="0" ref="J118">
      <text>
        <t xml:space="preserve">======
ID#AAAB3yX9KB0
tc={e67457df-3f32-4fea-9d53-a3c9b1af7e2b}    (2026-04-21 11:24:36)
[Threaded comment]
Your version of Excel allows you to read this threaded comment; however, any edits to it will get removed if the file is opened in a newer version of Excel. Learn more: https://go.microsoft.com/fwlink/?linkid=870924
Comment:
    Legal Fees - 177,000 - 
Other Expenses
Reply:
    Fees for BPT 70800
Reply:
    Farming exps 8081 + 14715</t>
      </text>
    </comment>
    <comment authorId="0" ref="R91">
      <text>
        <t xml:space="preserve">======
ID#AAAB3yX8QVE
tc={79c99fa1-da2d-4394-9f04-9ca99b3e2c7d}    (2026-04-21 11:24:36)
[Threaded comment]
Your version of Excel allows you to read this threaded comment; however, any edits to it will get removed if the file is opened in a newer version of Excel. Learn more: https://go.microsoft.com/fwlink/?linkid=870924
Comment:
    Jan - 28
Feb - 0 - To Check
Mar - ___</t>
      </text>
    </comment>
    <comment authorId="0" ref="P118">
      <text>
        <t xml:space="preserve">======
ID#AAAB3yX9KB0
tc={e67457df-3f32-4fea-9d53-a3c9b1af7e2b}    (2026-04-21 11:24:36)
[Threaded comment]
Your version of Excel allows you to read this threaded comment; however, any edits to it will get removed if the file is opened in a newer version of Excel. Learn more: https://go.microsoft.com/fwlink/?linkid=870924
Comment:
    Legal Fees - 177,000 - 
Other Expenses
Reply:
    Fees for BPT 70800
Reply:
    Farming exps 8081 + 14715</t>
      </text>
    </comment>
    <comment authorId="0" ref="F91">
      <text>
        <t xml:space="preserve">======
ID#AAAB3yX8QVE
tc={79c99fa1-da2d-4394-9f04-9ca99b3e2c7d}    (2026-04-21 11:24:36)
[Threaded comment]
Your version of Excel allows you to read this threaded comment; however, any edits to it will get removed if the file is opened in a newer version of Excel. Learn more: https://go.microsoft.com/fwlink/?linkid=870924
Comment:
    Jan - 28
Feb - 0 - To Check
Mar - ___</t>
      </text>
    </comment>
    <comment authorId="0" ref="D118">
      <text>
        <t xml:space="preserve">======
ID#AAAB3yX9KB0
tc={e67457df-3f32-4fea-9d53-a3c9b1af7e2b}    (2026-04-21 11:24:36)
[Threaded comment]
Your version of Excel allows you to read this threaded comment; however, any edits to it will get removed if the file is opened in a newer version of Excel. Learn more: https://go.microsoft.com/fwlink/?linkid=870924
Comment:
    Legal Fees - 177,000 - 
Other Expenses
Reply:
    Fees for BPT 70800
Reply:
    Farming exps 8081 + 14715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0">
      <text>
        <t xml:space="preserve">======
ID#AAAB3yX9UWM
tc={d92317b9-2086-4153-8dc5-8e224e78b77a}    (2026-04-21 11:24:36)
[Threaded comment]
Your version of Excel allows you to read this threaded comment; however, any edits to it will get removed if the file is opened in a newer version of Excel. Learn more: https://go.microsoft.com/fwlink/?linkid=870924
Comment:
    Consider Merging Packaging Revenue in one line item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1">
      <text>
        <t xml:space="preserve">======
ID#AAAB3yX9KBw
tc={f2661a00-53f9-494c-adea-6f1dbc525027}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Laundry for Iktara</t>
      </text>
    </comment>
    <comment authorId="0" ref="P101">
      <text>
        <t xml:space="preserve">======
ID#AAAB3yX9KBw
tc={f2661a00-53f9-494c-adea-6f1dbc525027}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Laundry for Iktara</t>
      </text>
    </comment>
    <comment authorId="0" ref="D101">
      <text>
        <t xml:space="preserve">======
ID#AAAB3yX9KBw
tc={f2661a00-53f9-494c-adea-6f1dbc525027}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Laundry for Iktara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17">
      <text>
        <t xml:space="preserve">======
ID#AAAB3yX9KC4
tc={4792504c-9848-4ab2-8481-ff70c606fa83}    (2026-04-21 11:24:36)
[Threaded comment]
Your version of Excel allows you to read this threaded comment; however, any edits to it will get removed if the file is opened in a newer version of Excel. Learn more: https://go.microsoft.com/fwlink/?linkid=870924
Comment:
    Take out Motor Car in all brands</t>
      </text>
    </comment>
    <comment authorId="0" ref="L117">
      <text>
        <t xml:space="preserve">======
ID#AAAB3yX9KC4
tc={4792504c-9848-4ab2-8481-ff70c606fa83}    (2026-04-21 11:24:36)
[Threaded comment]
Your version of Excel allows you to read this threaded comment; however, any edits to it will get removed if the file is opened in a newer version of Excel. Learn more: https://go.microsoft.com/fwlink/?linkid=870924
Comment:
    Take out Motor Car in all brands</t>
      </text>
    </comment>
    <comment authorId="0" ref="R117">
      <text>
        <t xml:space="preserve">======
ID#AAAB3yX9KC4
tc={4792504c-9848-4ab2-8481-ff70c606fa83}    (2026-04-21 11:24:36)
[Threaded comment]
Your version of Excel allows you to read this threaded comment; however, any edits to it will get removed if the file is opened in a newer version of Excel. Learn more: https://go.microsoft.com/fwlink/?linkid=870924
Comment:
    Take out Motor Car in all brands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87">
      <text>
        <t xml:space="preserve">======
ID#AAAB3yX8QVs
tc={a63e70cd-a3f3-4b3b-bb53-bc7a57da9487}    (2026-04-21 11:24:36)
[Threaded comment]
Your version of Excel allows you to read this threaded comment; however, any edits to it will get removed if the file is opened in a newer version of Excel. Learn more: https://go.microsoft.com/fwlink/?linkid=870924
Comment:
    Last Year Average</t>
      </text>
    </comment>
    <comment authorId="0" ref="R87">
      <text>
        <t xml:space="preserve">======
ID#AAAB3yX8QVs
tc={a63e70cd-a3f3-4b3b-bb53-bc7a57da9487}    (2026-04-21 11:24:36)
[Threaded comment]
Your version of Excel allows you to read this threaded comment; however, any edits to it will get removed if the file is opened in a newer version of Excel. Learn more: https://go.microsoft.com/fwlink/?linkid=870924
Comment:
    Last Year Average</t>
      </text>
    </comment>
    <comment authorId="0" ref="F87">
      <text>
        <t xml:space="preserve">======
ID#AAAB3yX8QVs
tc={a63e70cd-a3f3-4b3b-bb53-bc7a57da9487}    (2026-04-21 11:24:36)
[Threaded comment]
Your version of Excel allows you to read this threaded comment; however, any edits to it will get removed if the file is opened in a newer version of Excel. Learn more: https://go.microsoft.com/fwlink/?linkid=870924
Comment:
    Last Year Average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94">
      <text>
        <t xml:space="preserve">======
ID#AAAB3yX76cQ
tc={94b2377d-7549-4e44-aa1d-bb0446312e94}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Bills</t>
      </text>
    </comment>
    <comment authorId="0" ref="D114">
      <text>
        <t xml:space="preserve">======
ID#AAAB3yX9KCY
tc={7a7bc5be-b60a-4885-86f8-61dfe083936a}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Alenka</t>
      </text>
    </comment>
    <comment authorId="0" ref="D129">
      <text>
        <t xml:space="preserve">======
ID#AAAB3yX76cg
tc={ad848c0e-5b83-47ec-9965-1179e42657ff}    (2026-04-21 11:24:36)
[Threaded comment]
Your version of Excel allows you to read this threaded comment; however, any edits to it will get removed if the file is opened in a newer version of Excel. Learn more: https://go.microsoft.com/fwlink/?linkid=870924
Comment:
    DUE TO 5 WEDNESDAY</t>
      </text>
    </comment>
    <comment authorId="0" ref="D94">
      <text>
        <t xml:space="preserve">======
ID#AAAB3yX76cQ
tc={94b2377d-7549-4e44-aa1d-bb0446312e94}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Bills</t>
      </text>
    </comment>
    <comment authorId="0" ref="J114">
      <text>
        <t xml:space="preserve">======
ID#AAAB3yX9KCY
tc={7a7bc5be-b60a-4885-86f8-61dfe083936a}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Alenka</t>
      </text>
    </comment>
    <comment authorId="0" ref="J129">
      <text>
        <t xml:space="preserve">======
ID#AAAB3yX76cg
tc={ad848c0e-5b83-47ec-9965-1179e42657ff}    (2026-04-21 11:24:36)
[Threaded comment]
Your version of Excel allows you to read this threaded comment; however, any edits to it will get removed if the file is opened in a newer version of Excel. Learn more: https://go.microsoft.com/fwlink/?linkid=870924
Comment:
    DUE TO 5 WEDNESDAY</t>
      </text>
    </comment>
    <comment authorId="0" ref="J94">
      <text>
        <t xml:space="preserve">======
ID#AAAB3yX76cQ
tc={94b2377d-7549-4e44-aa1d-bb0446312e94}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Bills</t>
      </text>
    </comment>
    <comment authorId="0" ref="P114">
      <text>
        <t xml:space="preserve">======
ID#AAAB3yX9KCY
tc={7a7bc5be-b60a-4885-86f8-61dfe083936a}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Alenka</t>
      </text>
    </comment>
    <comment authorId="0" ref="P129">
      <text>
        <t xml:space="preserve">======
ID#AAAB3yX76cg
tc={ad848c0e-5b83-47ec-9965-1179e42657ff}    (2026-04-21 11:24:36)
[Threaded comment]
Your version of Excel allows you to read this threaded comment; however, any edits to it will get removed if the file is opened in a newer version of Excel. Learn more: https://go.microsoft.com/fwlink/?linkid=870924
Comment:
    DUE TO 5 WEDNESDAY</t>
      </text>
    </comment>
  </commentList>
</comments>
</file>

<file path=xl/sharedStrings.xml><?xml version="1.0" encoding="utf-8"?>
<sst xmlns="http://schemas.openxmlformats.org/spreadsheetml/2006/main" count="2939" uniqueCount="465">
  <si>
    <t>FY26-27 Budgeted vs Actual MIS</t>
  </si>
  <si>
    <t>Food Matters Group | FY26-27</t>
  </si>
  <si>
    <t>Total with HO  (Amount)</t>
  </si>
  <si>
    <t>HO</t>
  </si>
  <si>
    <t>Outlets Total</t>
  </si>
  <si>
    <t>Table Total</t>
  </si>
  <si>
    <t>Iktara</t>
  </si>
  <si>
    <t>Mg St Colaba</t>
  </si>
  <si>
    <t>Mg St LP</t>
  </si>
  <si>
    <t>Mg St Bandra</t>
  </si>
  <si>
    <t>MSK Events</t>
  </si>
  <si>
    <t>MSBC</t>
  </si>
  <si>
    <t>Kaspers</t>
  </si>
  <si>
    <t>MSBC Andheri</t>
  </si>
  <si>
    <t>MSBC Dahisar</t>
  </si>
  <si>
    <t>MSBC Juhu/Goregaon</t>
  </si>
  <si>
    <t>MSBC Loudmouth</t>
  </si>
  <si>
    <t>Amount</t>
  </si>
  <si>
    <t>%age</t>
  </si>
  <si>
    <t>Budgeted</t>
  </si>
  <si>
    <t>Actual</t>
  </si>
  <si>
    <t>Beverage</t>
  </si>
  <si>
    <t>Liquor</t>
  </si>
  <si>
    <t>Food</t>
  </si>
  <si>
    <t>Service Charge</t>
  </si>
  <si>
    <t>Scrap Sales</t>
  </si>
  <si>
    <t>Total Sales Revenue</t>
  </si>
  <si>
    <t>Average /Month</t>
  </si>
  <si>
    <t>COGS</t>
  </si>
  <si>
    <t>Packaging Cost</t>
  </si>
  <si>
    <t>Total COGS &amp; Packaging</t>
  </si>
  <si>
    <t>DEQ</t>
  </si>
  <si>
    <t>Gross Margin</t>
  </si>
  <si>
    <t>Other Direct Expenses</t>
  </si>
  <si>
    <t>Marketing Expenses</t>
  </si>
  <si>
    <t>Sales Commission</t>
  </si>
  <si>
    <t>Rental &amp; Utility Expenses</t>
  </si>
  <si>
    <t>Salary &amp; Staff Expenses</t>
  </si>
  <si>
    <t>Bank and Finance Charges</t>
  </si>
  <si>
    <t>Software and Subscription</t>
  </si>
  <si>
    <t>Other Outlet Costs</t>
  </si>
  <si>
    <t>Other Professional Fees</t>
  </si>
  <si>
    <t>Other Expenses</t>
  </si>
  <si>
    <t>Total Other Expenses</t>
  </si>
  <si>
    <t>EBIDTA</t>
  </si>
  <si>
    <t>Food Matters Group | Quarter 1 | FY26-27</t>
  </si>
  <si>
    <t>Total with HO</t>
  </si>
  <si>
    <t>Loud Mouth</t>
  </si>
  <si>
    <t>EBIDTA Margin</t>
  </si>
  <si>
    <t>Restaurant Summary Data</t>
  </si>
  <si>
    <t>Brand Name</t>
  </si>
  <si>
    <t>Overall</t>
  </si>
  <si>
    <t>Mag St. Bandra</t>
  </si>
  <si>
    <t>Mag St. Colaba</t>
  </si>
  <si>
    <t>Mag St. Lower Parel</t>
  </si>
  <si>
    <t>Mag St. Bread Co. Bandra</t>
  </si>
  <si>
    <t>Mag St. Bread Co. Byculla</t>
  </si>
  <si>
    <t>Mag St. Bread Co. Colaba</t>
  </si>
  <si>
    <t>Mag St. Bread Co. Lower Parel</t>
  </si>
  <si>
    <t>Mag St. Bread Co. Andheri</t>
  </si>
  <si>
    <t>The Table Colaba</t>
  </si>
  <si>
    <t>Mg St Cafe - Colaba</t>
  </si>
  <si>
    <t>Sept 2024</t>
  </si>
  <si>
    <t>Category</t>
  </si>
  <si>
    <t>Total Sales</t>
  </si>
  <si>
    <t>Dining Sales</t>
  </si>
  <si>
    <t>Delivery Sales</t>
  </si>
  <si>
    <t>Others</t>
  </si>
  <si>
    <t>Covers</t>
  </si>
  <si>
    <t>APC</t>
  </si>
  <si>
    <t>Orders</t>
  </si>
  <si>
    <t>AOV</t>
  </si>
  <si>
    <t>Dine in Working</t>
  </si>
  <si>
    <t>Total Covers (Dine-in)</t>
  </si>
  <si>
    <t>12780050.75</t>
  </si>
  <si>
    <t>11218384.75</t>
  </si>
  <si>
    <t>1314270.00</t>
  </si>
  <si>
    <t>247396.00</t>
  </si>
  <si>
    <t>7526.00</t>
  </si>
  <si>
    <t>1491.62</t>
  </si>
  <si>
    <t>Total Delivery Orders (Swiggy, Zomato +)</t>
  </si>
  <si>
    <t>12280674.50</t>
  </si>
  <si>
    <t>10610962.00</t>
  </si>
  <si>
    <t>1431076.00</t>
  </si>
  <si>
    <t>238636.50</t>
  </si>
  <si>
    <t>7144.00</t>
  </si>
  <si>
    <t>1486.30</t>
  </si>
  <si>
    <t>Total Revenue - (Dine-in +Takeaway)</t>
  </si>
  <si>
    <t>13966088.25</t>
  </si>
  <si>
    <t>11894934.75</t>
  </si>
  <si>
    <t>1645414.00</t>
  </si>
  <si>
    <t>425739.50</t>
  </si>
  <si>
    <t>7634.00</t>
  </si>
  <si>
    <t>1559.15</t>
  </si>
  <si>
    <t>Total Revenue - (Delivery)</t>
  </si>
  <si>
    <t>13429240.00</t>
  </si>
  <si>
    <t>11164169.00</t>
  </si>
  <si>
    <t>1977000.00</t>
  </si>
  <si>
    <t>288071.00</t>
  </si>
  <si>
    <t>6608.00</t>
  </si>
  <si>
    <t>1690.49</t>
  </si>
  <si>
    <t>Total Check</t>
  </si>
  <si>
    <t>13496728.62</t>
  </si>
  <si>
    <t>11228215.50</t>
  </si>
  <si>
    <t>1984707.12</t>
  </si>
  <si>
    <t>283806.00</t>
  </si>
  <si>
    <t>6633.00</t>
  </si>
  <si>
    <t>1693.78</t>
  </si>
  <si>
    <t>AOV (Dine-in)</t>
  </si>
  <si>
    <t>13061755.45</t>
  </si>
  <si>
    <t>10720005.50</t>
  </si>
  <si>
    <t>2039306.95</t>
  </si>
  <si>
    <t>302443.00</t>
  </si>
  <si>
    <t>6458.00</t>
  </si>
  <si>
    <t>1660.96</t>
  </si>
  <si>
    <t>AOV (Delivery)</t>
  </si>
  <si>
    <t>15024612.69</t>
  </si>
  <si>
    <t>12552164.50</t>
  </si>
  <si>
    <t>2151840.69</t>
  </si>
  <si>
    <t>320607.50</t>
  </si>
  <si>
    <t>7370.00</t>
  </si>
  <si>
    <t>1704.14</t>
  </si>
  <si>
    <t>13499912.08</t>
  </si>
  <si>
    <t>11173286.50</t>
  </si>
  <si>
    <t>2056592.58</t>
  </si>
  <si>
    <t>270033.00</t>
  </si>
  <si>
    <t>6551.00</t>
  </si>
  <si>
    <t>1706.58</t>
  </si>
  <si>
    <t>Mg St Cafe - LP</t>
  </si>
  <si>
    <t>12042585.21</t>
  </si>
  <si>
    <t>9547877.50</t>
  </si>
  <si>
    <t>2163821.21</t>
  </si>
  <si>
    <t>330886.50</t>
  </si>
  <si>
    <t>5823.00</t>
  </si>
  <si>
    <t>1640.68</t>
  </si>
  <si>
    <t>13828343.92</t>
  </si>
  <si>
    <t>10913157.50</t>
  </si>
  <si>
    <t>2652789.92</t>
  </si>
  <si>
    <t>262396.50</t>
  </si>
  <si>
    <t>6514.00</t>
  </si>
  <si>
    <t>1676.34</t>
  </si>
  <si>
    <t>15361003.06</t>
  </si>
  <si>
    <t>12580908.00</t>
  </si>
  <si>
    <t>2496683.06</t>
  </si>
  <si>
    <t>283412.00</t>
  </si>
  <si>
    <t>7363.00</t>
  </si>
  <si>
    <t>1709.67</t>
  </si>
  <si>
    <t>16059929.84</t>
  </si>
  <si>
    <t>12748872.00</t>
  </si>
  <si>
    <t>2990357.84</t>
  </si>
  <si>
    <t>320700.00</t>
  </si>
  <si>
    <t>7332.00</t>
  </si>
  <si>
    <t>1739.80</t>
  </si>
  <si>
    <t>Mg St Cafe - Bandra</t>
  </si>
  <si>
    <t>The Table</t>
  </si>
  <si>
    <t>APC (Dine-in)</t>
  </si>
  <si>
    <t>c</t>
  </si>
  <si>
    <t>Food Matters Group</t>
  </si>
  <si>
    <t>MSBC Juhu / Goregaon</t>
  </si>
  <si>
    <t>Other revenue</t>
  </si>
  <si>
    <t>NC &amp; DQ</t>
  </si>
  <si>
    <t>Food Matters Group | Colaba Head Office</t>
  </si>
  <si>
    <t>Head</t>
  </si>
  <si>
    <t>Particulars</t>
  </si>
  <si>
    <t>April 2026</t>
  </si>
  <si>
    <t>May 2026</t>
  </si>
  <si>
    <t>June 2026</t>
  </si>
  <si>
    <t>Actual Amt</t>
  </si>
  <si>
    <t>Budgeted Amt</t>
  </si>
  <si>
    <t>Variance</t>
  </si>
  <si>
    <t>SALES</t>
  </si>
  <si>
    <t>Revenue - Total</t>
  </si>
  <si>
    <t>Dine In</t>
  </si>
  <si>
    <t>Delivery</t>
  </si>
  <si>
    <t>Events</t>
  </si>
  <si>
    <t>Packaging 5%</t>
  </si>
  <si>
    <t>Packaging 5% ( Online Sale )</t>
  </si>
  <si>
    <t>Food Sales</t>
  </si>
  <si>
    <t>Service Charge (Dinein + Bev + Liquor)</t>
  </si>
  <si>
    <t>Net Revenue</t>
  </si>
  <si>
    <t>FOC Sales</t>
  </si>
  <si>
    <t>NC Sales (%age)</t>
  </si>
  <si>
    <t>Total FOC Sales</t>
  </si>
  <si>
    <t>Expenses</t>
  </si>
  <si>
    <t>F&amp;B</t>
  </si>
  <si>
    <t>Bakery Cost</t>
  </si>
  <si>
    <t>Food Cost</t>
  </si>
  <si>
    <t>GST and MVAT on Purchases</t>
  </si>
  <si>
    <t>Total F &amp; B COGS</t>
  </si>
  <si>
    <t>Packaging</t>
  </si>
  <si>
    <t>Total COGS</t>
  </si>
  <si>
    <t>Other Direct Expenses (Not COGS)</t>
  </si>
  <si>
    <t>HOUSE KEEPING | Cleaning Material</t>
  </si>
  <si>
    <t>GAS &amp; COOKING SUPPLIES</t>
  </si>
  <si>
    <t>STATIONERY</t>
  </si>
  <si>
    <t>RESTAURANT SUPPLIES</t>
  </si>
  <si>
    <t>MISCELLANEOUS</t>
  </si>
  <si>
    <t>Total Others</t>
  </si>
  <si>
    <t>DEQ (Damaged / Expiry / Quality)</t>
  </si>
  <si>
    <t>NC Cost (%age)</t>
  </si>
  <si>
    <t xml:space="preserve">             </t>
  </si>
  <si>
    <t>Operating Expenses</t>
  </si>
  <si>
    <t>Marketing Expense and Sales Promotion</t>
  </si>
  <si>
    <t>Advertising &amp; Promotions (BOWLS) | Move Out</t>
  </si>
  <si>
    <t>Agency Fee | Restaverse</t>
  </si>
  <si>
    <t>Agency Fee | Plane Crazy (405 Associates)</t>
  </si>
  <si>
    <t>Agency Fee | SD Consultancy</t>
  </si>
  <si>
    <t>Agency Fee | Rakifi</t>
  </si>
  <si>
    <t>Marketing Spends | Gupshup</t>
  </si>
  <si>
    <t>Printing</t>
  </si>
  <si>
    <t>Photoshoots</t>
  </si>
  <si>
    <t>Ad Spends - Google &amp; Meta</t>
  </si>
  <si>
    <t>Commission - Eazy Diner</t>
  </si>
  <si>
    <t>Commission - Payment Gateway</t>
  </si>
  <si>
    <t>Commission Swiggy 15%</t>
  </si>
  <si>
    <t>Commission Zomato 14%</t>
  </si>
  <si>
    <t>Rental &amp; Utilitiy Expenses</t>
  </si>
  <si>
    <t>Rent</t>
  </si>
  <si>
    <t>Electricity Bill</t>
  </si>
  <si>
    <t>Water Charges</t>
  </si>
  <si>
    <t>Telephone &amp; Internet</t>
  </si>
  <si>
    <t>Casual Staff</t>
  </si>
  <si>
    <t>All Salaries</t>
  </si>
  <si>
    <t>Staff Expenses</t>
  </si>
  <si>
    <t>Recruitment Charges</t>
  </si>
  <si>
    <t>Staff Food</t>
  </si>
  <si>
    <t>Staff Rental</t>
  </si>
  <si>
    <t>Conveyance Expenses</t>
  </si>
  <si>
    <t>Hotel Accomodation</t>
  </si>
  <si>
    <t>Bonus/ HDFC Cr</t>
  </si>
  <si>
    <t>OD Renewal</t>
  </si>
  <si>
    <t>Bank OD Interest Cost</t>
  </si>
  <si>
    <t>Bank Term Loan Interest Cost</t>
  </si>
  <si>
    <t>Cash Deposit  and other Charges</t>
  </si>
  <si>
    <t>EDC Rental</t>
  </si>
  <si>
    <t>Software &amp; Subscription Charges</t>
  </si>
  <si>
    <t>Computer Software Maintenance/Supplies</t>
  </si>
  <si>
    <t xml:space="preserve">Computer Software Maintenance/Supplies (AMC) </t>
  </si>
  <si>
    <t>Crockery Rental</t>
  </si>
  <si>
    <t>Delivery Expenses</t>
  </si>
  <si>
    <t>License Fees</t>
  </si>
  <si>
    <t>Liason Fees</t>
  </si>
  <si>
    <t>Vehicle Expenses</t>
  </si>
  <si>
    <t>Repairs &amp; Maintenance (AMC)</t>
  </si>
  <si>
    <t>Repairs &amp; Maintenance</t>
  </si>
  <si>
    <t>Farming Expenses</t>
  </si>
  <si>
    <t>Uniforms Costs</t>
  </si>
  <si>
    <t>Laundry Costs</t>
  </si>
  <si>
    <t>Kitchen Utensil &amp; CCG</t>
  </si>
  <si>
    <t>Parking Charges</t>
  </si>
  <si>
    <t>Legal Fees</t>
  </si>
  <si>
    <t>Professional Fees</t>
  </si>
  <si>
    <t xml:space="preserve">Director Expenses </t>
  </si>
  <si>
    <t>GST - Non Food - Outlet Wise</t>
  </si>
  <si>
    <t>Total Operating Expenses</t>
  </si>
  <si>
    <t>EBIDTA BEFORE ALLOCATIONS</t>
  </si>
  <si>
    <t>w</t>
  </si>
  <si>
    <t>Food Matters Group | The Table</t>
  </si>
  <si>
    <t>Apr 2026</t>
  </si>
  <si>
    <t>Jun 2026</t>
  </si>
  <si>
    <t>Variance %age</t>
  </si>
  <si>
    <t>Restaverse Delivery Revenue</t>
  </si>
  <si>
    <t>Events (Including Honawar Reimbursement)</t>
  </si>
  <si>
    <t>Scrap sales (Oil)</t>
  </si>
  <si>
    <t>Food Cost (COGS)</t>
  </si>
  <si>
    <t>GST and MVAT on Consumption of COGS</t>
  </si>
  <si>
    <t>KITCHEN SUPPLIES</t>
  </si>
  <si>
    <t>STATIONERY &amp; PRINTING CHARGES</t>
  </si>
  <si>
    <t>Advertising &amp; Promotions</t>
  </si>
  <si>
    <t>Gupshup Whatsapp Marketing</t>
  </si>
  <si>
    <t>Reserve Go - VJYN SOLUTIONS</t>
  </si>
  <si>
    <t>Ad Spends Zomato / Swiggy</t>
  </si>
  <si>
    <t xml:space="preserve">Commission Swiggy </t>
  </si>
  <si>
    <t>Commission Zomato</t>
  </si>
  <si>
    <t>Chef Salary (50%)</t>
  </si>
  <si>
    <t>Medicine (Other Charges)</t>
  </si>
  <si>
    <t>Bonus</t>
  </si>
  <si>
    <t>Bank Charges</t>
  </si>
  <si>
    <t>Computer Software Maintenance/Supplies (AMC) POSIST</t>
  </si>
  <si>
    <t>Liason Fees (EXCISE 14K, HEALTH, WATER DEP)</t>
  </si>
  <si>
    <t>Other Repairs &amp; Maintainance</t>
  </si>
  <si>
    <t>Florist &amp; Decor</t>
  </si>
  <si>
    <t>Event Cost Management / ALL THINGS NICE</t>
  </si>
  <si>
    <t>Legal Fees (Including Stamp Duty)</t>
  </si>
  <si>
    <t>Membership Fees</t>
  </si>
  <si>
    <t>Director Expenses</t>
  </si>
  <si>
    <t>Food Matters Group | Iktara</t>
  </si>
  <si>
    <t>Ad Spends</t>
  </si>
  <si>
    <t>Restaverse - Ad Spends</t>
  </si>
  <si>
    <t>Commission Swiggy (10% +2% )+ GST 1st july Onwards..</t>
  </si>
  <si>
    <t>Commission Zomato (10% +2% )+ GST 1st july Onwards..</t>
  </si>
  <si>
    <t>Subscription Charges</t>
  </si>
  <si>
    <t>Motor Car Expenses</t>
  </si>
  <si>
    <t>Event Cost</t>
  </si>
  <si>
    <t>Accounting and Audit Fees</t>
  </si>
  <si>
    <t>Food Matters Group | Mag St Colaba</t>
  </si>
  <si>
    <t>Total Food</t>
  </si>
  <si>
    <t>GST and MVAT on Cost</t>
  </si>
  <si>
    <t>Gupshup Marketing Costs</t>
  </si>
  <si>
    <t>Ad Spends - Restaverse</t>
  </si>
  <si>
    <t>Agency Fees | Restaverse</t>
  </si>
  <si>
    <t>Ad Spends - Restaverse - MSBC</t>
  </si>
  <si>
    <t>Ad Spends - Google and Meta</t>
  </si>
  <si>
    <t>-Wedding Gift</t>
  </si>
  <si>
    <t xml:space="preserve">Subscription Charges </t>
  </si>
  <si>
    <t>Liason Fees (EXCISE AND HEALTH DEP, WATER DEP)</t>
  </si>
  <si>
    <t>Chef Fee - for Events</t>
  </si>
  <si>
    <t>Food Matters Group | Mag St LP</t>
  </si>
  <si>
    <t>Ad Spends- Restaverse (Mg St Cafe)</t>
  </si>
  <si>
    <t>Ad Spends- Restaverse (MSBC)</t>
  </si>
  <si>
    <t>Agency Fees- Restaverse</t>
  </si>
  <si>
    <t xml:space="preserve">Commission Zomato </t>
  </si>
  <si>
    <t>Rent (restaurant + store)</t>
  </si>
  <si>
    <t>Cam Charges</t>
  </si>
  <si>
    <t>Binge Consulting</t>
  </si>
  <si>
    <t>Parking Charges (VALET SERVICES)</t>
  </si>
  <si>
    <t>Food Matters Group | Mag St Bandra</t>
  </si>
  <si>
    <t>Expenditure</t>
  </si>
  <si>
    <t>Gupshup Marketing Fees</t>
  </si>
  <si>
    <t>Commission Swiggy</t>
  </si>
  <si>
    <t>Store Rent</t>
  </si>
  <si>
    <t xml:space="preserve">CAM Charges </t>
  </si>
  <si>
    <t>Wedding Gift</t>
  </si>
  <si>
    <t>Medicine</t>
  </si>
  <si>
    <t>Recutiment Expenses / Binge Consulting</t>
  </si>
  <si>
    <t>Computer Software Maintenance/Supplies AMC</t>
  </si>
  <si>
    <t>Liason Fees (EXCISE DEP)</t>
  </si>
  <si>
    <t>Other Professional fees</t>
  </si>
  <si>
    <t>Food Matters Group | MSK Events</t>
  </si>
  <si>
    <t>Total</t>
  </si>
  <si>
    <t>Podcast Production</t>
  </si>
  <si>
    <t>Contribution to PF Fund</t>
  </si>
  <si>
    <t>Liason Fees (BMC DEP, ONE DAY LICENSE)</t>
  </si>
  <si>
    <t>Chef Fee - for Events and event cost</t>
  </si>
  <si>
    <t>Consultancy Fees</t>
  </si>
  <si>
    <t>Food Matters Group | MSBC</t>
  </si>
  <si>
    <t>July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</si>
  <si>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</si>
  <si>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</si>
  <si>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</si>
  <si>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</si>
  <si>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</si>
  <si>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</si>
  <si>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</si>
  <si>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</si>
  <si>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Byculla</t>
  </si>
  <si>
    <t>Event</t>
  </si>
  <si>
    <t>Shannen Salary</t>
  </si>
  <si>
    <t>Event Management Cost</t>
  </si>
  <si>
    <t>Transfer of All Other Costs to Other Outlet</t>
  </si>
  <si>
    <t>Food Matters Group | Kasper's</t>
  </si>
  <si>
    <t>- Dhaval Kapadia Raised For 3 Camera,mic &amp; Light Setup on 8th May 2026(on Contractual Basis)-1 Guest For Kaspers Bandra</t>
  </si>
  <si>
    <t xml:space="preserve">Rent + Society Maintenance </t>
  </si>
  <si>
    <t>William - 50% debited Salary</t>
  </si>
  <si>
    <t>Staff Expenses (RECRUITMENT)</t>
  </si>
  <si>
    <t>Reve Kitchen</t>
  </si>
  <si>
    <t>Zodiac HR Consultants (I) Pvt.Ltd.</t>
  </si>
  <si>
    <t xml:space="preserve">Bank Charges </t>
  </si>
  <si>
    <t>Commission &amp; Brokerage</t>
  </si>
  <si>
    <t xml:space="preserve">Legal Fees </t>
  </si>
  <si>
    <t>Food Matters Group | MSBC Dahisar - Kytchens</t>
  </si>
  <si>
    <t>Kytchens - Dahisar - Swiggy</t>
  </si>
  <si>
    <t>Kytchens - Dahisar - Zomato</t>
  </si>
  <si>
    <t>Restaverse Ads</t>
  </si>
  <si>
    <t>Aggregator Refund and Penalty Swiggy</t>
  </si>
  <si>
    <t>Aggregator Refund and Penalty Zomato</t>
  </si>
  <si>
    <t>HyprKytchens Commissions</t>
  </si>
  <si>
    <t>Food Matters Group | MSBC Andheri - Kytchens</t>
  </si>
  <si>
    <t>Kytchens - Andheri - Swiggy</t>
  </si>
  <si>
    <t>Kytchens - Andheri - Zomato</t>
  </si>
  <si>
    <t>Delivery Expenses/ Freight</t>
  </si>
  <si>
    <t>FY 26-27 Budgeted vs Actual MIS</t>
  </si>
  <si>
    <t>Food Matters Group | MSBC Juhu / Goregoan- Kytchens</t>
  </si>
  <si>
    <t>Kytchens - Juhu - Swiggy</t>
  </si>
  <si>
    <t>Kytchens - Juhu - Zomato</t>
  </si>
  <si>
    <t>MSBC CK Allocation</t>
  </si>
  <si>
    <t>Total NC &amp; DEQ</t>
  </si>
  <si>
    <t>Food Matters Group | Bowls</t>
  </si>
  <si>
    <t>Delivery ( Online Sale )</t>
  </si>
  <si>
    <t>Kytchens Commissions</t>
  </si>
  <si>
    <t>Rent (EQUIPMENT)</t>
  </si>
  <si>
    <t>Professional fess  Chef Spencer</t>
  </si>
  <si>
    <t>MSBC Co Summary</t>
  </si>
  <si>
    <t>Apr 26</t>
  </si>
  <si>
    <t>May 26</t>
  </si>
  <si>
    <t>June 26</t>
  </si>
  <si>
    <t>Jul 26</t>
  </si>
  <si>
    <t>Aug 26</t>
  </si>
  <si>
    <t>Sep 26</t>
  </si>
  <si>
    <t>Oct 26</t>
  </si>
  <si>
    <t>Nov 26</t>
  </si>
  <si>
    <t>Dec 26</t>
  </si>
  <si>
    <t>Jan 26</t>
  </si>
  <si>
    <t>Feb 26</t>
  </si>
  <si>
    <t>Mar 26</t>
  </si>
  <si>
    <t>DEQ &amp; NC</t>
  </si>
  <si>
    <t>Gross Margin %age</t>
  </si>
  <si>
    <t>EBITDA %age</t>
  </si>
  <si>
    <t>Targets Setting</t>
  </si>
  <si>
    <t>Table (incld SC)</t>
  </si>
  <si>
    <t>SC</t>
  </si>
  <si>
    <t>Old Table Target</t>
  </si>
  <si>
    <t>Q3 FY24-25</t>
  </si>
  <si>
    <t>Revised Target</t>
  </si>
  <si>
    <t>Days</t>
  </si>
  <si>
    <t>Avg p day</t>
  </si>
  <si>
    <t>Q3</t>
  </si>
  <si>
    <t>Q3 (FY24-25)</t>
  </si>
  <si>
    <t>Table</t>
  </si>
  <si>
    <t>Mg St Bandra (Old)</t>
  </si>
  <si>
    <t>Mg St Lodha</t>
  </si>
  <si>
    <t>Avg per day</t>
  </si>
  <si>
    <t>Mg St Colaba (Old)</t>
  </si>
  <si>
    <t>LP</t>
  </si>
  <si>
    <t>Mg St Lodha (Old)</t>
  </si>
  <si>
    <t>Last Years Base for each month - Oct - Dec 2025 and increase by 5%</t>
  </si>
  <si>
    <t>Calculation Sheet for GST on Purchases</t>
  </si>
  <si>
    <t>April'26</t>
  </si>
  <si>
    <t>May'26</t>
  </si>
  <si>
    <t>Jun'26</t>
  </si>
  <si>
    <t>July'26</t>
  </si>
  <si>
    <t>Aug'26</t>
  </si>
  <si>
    <t>Sept'26</t>
  </si>
  <si>
    <t>Oct'26</t>
  </si>
  <si>
    <t>Nov'26</t>
  </si>
  <si>
    <t>Dec'26</t>
  </si>
  <si>
    <t>Jan'27</t>
  </si>
  <si>
    <t>Feb'26</t>
  </si>
  <si>
    <t>Mar'27</t>
  </si>
  <si>
    <t>Total GST on Purchases</t>
  </si>
  <si>
    <t>Total Purchases Outlet Level</t>
  </si>
  <si>
    <t>Total Overall Purchases</t>
  </si>
  <si>
    <t>GST Alloc to Outlet</t>
  </si>
  <si>
    <t>MSBC Dahisar  / Borivali</t>
  </si>
  <si>
    <t>MSBC Juhu</t>
  </si>
  <si>
    <t>Sales Summary (Incl Serv Charge)</t>
  </si>
  <si>
    <t>COGS for MSBC Per Outlet</t>
  </si>
  <si>
    <t>June'26</t>
  </si>
  <si>
    <t>Feb'27</t>
  </si>
  <si>
    <t>MSBC Operating Cost</t>
  </si>
  <si>
    <t>Monthly Allocation of Op Cost</t>
  </si>
  <si>
    <t>Total COGS Allocation</t>
  </si>
  <si>
    <t>Total Transfer Out of MSBC</t>
  </si>
  <si>
    <t>Mg St Bandra - Comparison</t>
  </si>
  <si>
    <t>Jun 26</t>
  </si>
  <si>
    <t>Dec26</t>
  </si>
  <si>
    <t>Avg Sale</t>
  </si>
  <si>
    <t>Avg EBIDTA</t>
  </si>
  <si>
    <t>Avg EBIDTA %</t>
  </si>
  <si>
    <t>NC &amp; DEQ</t>
  </si>
  <si>
    <t>Mg St LP MIS - FY25-26 Snapshot</t>
  </si>
  <si>
    <t>Mg St Colaba Comparison</t>
  </si>
  <si>
    <t>MIS FY26-27 - Comparative (Upto Feb,2027)</t>
  </si>
  <si>
    <t>Jan 27</t>
  </si>
  <si>
    <t>Feb 27</t>
  </si>
  <si>
    <t xml:space="preserve">YTD </t>
  </si>
  <si>
    <t>% achieved</t>
  </si>
  <si>
    <t>Sales</t>
  </si>
  <si>
    <t>% to sales</t>
  </si>
  <si>
    <t>Total  Revenue</t>
  </si>
  <si>
    <t>MIS FY25-26 - Comparative (Upto Feb,2026)</t>
  </si>
  <si>
    <t xml:space="preserve">Note : </t>
  </si>
  <si>
    <t>- Kaspers opened on 12th November,2025</t>
  </si>
  <si>
    <t>- No Budget for this period</t>
  </si>
  <si>
    <t>July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</si>
</sst>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 * #,##0.00_ ;_ * \-#,##0.00_ ;_ * &quot;-&quot;??_ ;_ @_ "/>
    <numFmt numFmtId="165" formatCode="_ * #,##0_ ;_ * \-#,##0_ ;_ * &quot;-&quot;??_ ;_ @_ "/>
    <numFmt numFmtId="166" formatCode="mmmm\ yyyy"/>
    <numFmt numFmtId="167" formatCode="mmmm\-yyyy"/>
    <numFmt numFmtId="168" formatCode="mmm\ yyyy"/>
    <numFmt numFmtId="169" formatCode="#,##0;\(#,##0\)"/>
    <numFmt numFmtId="170" formatCode="mmm\ d"/>
  </numFmts>
  <fonts count="59">
    <font>
      <sz val="10.0"/>
      <color rgb="FF000000"/>
      <name val="Arial"/>
      <scheme val="minor"/>
    </font>
    <font>
      <b/>
      <u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FF0000"/>
      <name val="Calibri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2.0"/>
      <color theme="1"/>
      <name val="Calibri"/>
    </font>
    <font>
      <sz val="12.0"/>
      <color rgb="FFFFFFFF"/>
      <name val="Calibri"/>
    </font>
    <font>
      <b/>
      <u/>
      <sz val="10.0"/>
      <color theme="1"/>
      <name val="Arial"/>
    </font>
    <font>
      <b/>
      <color theme="1"/>
      <name val="Arial"/>
      <scheme val="minor"/>
    </font>
    <font>
      <sz val="12.0"/>
      <color rgb="FF000000"/>
      <name val="Calibri"/>
    </font>
    <font>
      <b/>
      <u/>
      <sz val="12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0.0"/>
      <color theme="1"/>
      <name val="Aptos Narrow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1.0"/>
      <color theme="1"/>
      <name val="Aptos Narrow"/>
    </font>
    <font>
      <sz val="11.0"/>
      <color theme="1"/>
      <name val="Arial"/>
    </font>
    <font>
      <b/>
      <u/>
      <sz val="12.0"/>
      <color theme="1"/>
      <name val="Calibri"/>
    </font>
    <font>
      <sz val="11.0"/>
      <color rgb="FF000000"/>
      <name val="&quot;Aptos Narrow&quot;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0.0"/>
      <color theme="1"/>
      <name val="Calibri"/>
    </font>
    <font>
      <b/>
      <u/>
      <sz val="12.0"/>
      <color theme="1"/>
      <name val="Calibri"/>
    </font>
    <font>
      <b/>
      <sz val="10.0"/>
      <color rgb="FF000000"/>
      <name val="Arial"/>
    </font>
    <font>
      <u/>
      <sz val="12.0"/>
      <color theme="1"/>
      <name val="Calibri"/>
    </font>
    <font>
      <u/>
      <sz val="12.0"/>
      <color theme="1"/>
      <name val="Calibri"/>
    </font>
    <font>
      <b/>
      <sz val="12.0"/>
      <color rgb="FFFFFFFF"/>
      <name val="Calibri"/>
    </font>
    <font>
      <b/>
      <u/>
      <sz val="12.0"/>
      <color theme="1"/>
      <name val="Calibri"/>
    </font>
    <font>
      <b/>
      <u/>
      <sz val="11.0"/>
      <color theme="1"/>
      <name val="Calibri"/>
    </font>
    <font>
      <b/>
      <sz val="11.0"/>
      <color rgb="FFFFFFFF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sz val="12.0"/>
      <color theme="0"/>
      <name val="Calibri"/>
    </font>
    <font>
      <b/>
      <u/>
      <sz val="12.0"/>
      <color theme="1"/>
      <name val="Calibri"/>
    </font>
    <font>
      <sz val="10.0"/>
      <color rgb="FF16191F"/>
      <name val="Arial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2.0"/>
      <color theme="0"/>
      <name val="Calibri"/>
    </font>
    <font>
      <b/>
      <u/>
      <sz val="12.0"/>
      <color theme="1"/>
      <name val="Calibri"/>
    </font>
    <font>
      <color theme="1"/>
      <name val="Arial"/>
    </font>
    <font>
      <b/>
      <color theme="1"/>
      <name val="Arial"/>
    </font>
    <font>
      <b/>
      <u/>
      <sz val="12.0"/>
      <color theme="1"/>
      <name val="Calibri"/>
    </font>
    <font>
      <b/>
      <u/>
      <sz val="12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2F5496"/>
        <bgColor rgb="FF2F5496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A5A5A5"/>
        <bgColor rgb="FFA5A5A5"/>
      </patternFill>
    </fill>
  </fills>
  <borders count="131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/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/>
      <bottom/>
    </border>
    <border>
      <left style="thin">
        <color rgb="FF000000"/>
      </left>
      <bottom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/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</border>
    <border>
      <left/>
      <right style="thin">
        <color rgb="FFC7C7C7"/>
      </right>
      <top style="thin">
        <color rgb="FFC7C7C7"/>
      </top>
      <bottom style="thin">
        <color rgb="FFC7C7C7"/>
      </bottom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right style="thin">
        <color rgb="FF000000"/>
      </right>
      <top/>
    </border>
    <border>
      <left style="medium">
        <color rgb="FF000000"/>
      </left>
      <bottom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right style="thin">
        <color rgb="FF000000"/>
      </right>
      <bottom/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top/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hair">
        <color rgb="FFFF0000"/>
      </left>
      <top style="hair">
        <color rgb="FFFF0000"/>
      </top>
      <bottom style="hair">
        <color rgb="FFFF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2" fillId="2" fontId="4" numFmtId="0" xfId="0" applyAlignment="1" applyBorder="1" applyFont="1">
      <alignment horizontal="center" readingOrder="0"/>
    </xf>
    <xf borderId="5" fillId="2" fontId="4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7" fillId="2" fontId="4" numFmtId="0" xfId="0" applyAlignment="1" applyBorder="1" applyFont="1">
      <alignment horizontal="center"/>
    </xf>
    <xf borderId="8" fillId="0" fontId="5" numFmtId="0" xfId="0" applyBorder="1" applyFont="1"/>
    <xf borderId="7" fillId="2" fontId="4" numFmtId="0" xfId="0" applyAlignment="1" applyBorder="1" applyFont="1">
      <alignment horizontal="center" readingOrder="0"/>
    </xf>
    <xf borderId="9" fillId="2" fontId="4" numFmtId="0" xfId="0" applyBorder="1" applyFont="1"/>
    <xf borderId="10" fillId="2" fontId="4" numFmtId="0" xfId="0" applyAlignment="1" applyBorder="1" applyFont="1">
      <alignment horizontal="center"/>
    </xf>
    <xf borderId="11" fillId="2" fontId="4" numFmtId="0" xfId="0" applyAlignment="1" applyBorder="1" applyFont="1">
      <alignment horizontal="center"/>
    </xf>
    <xf borderId="12" fillId="2" fontId="4" numFmtId="0" xfId="0" applyAlignment="1" applyBorder="1" applyFont="1">
      <alignment horizontal="center"/>
    </xf>
    <xf borderId="13" fillId="2" fontId="4" numFmtId="0" xfId="0" applyAlignment="1" applyBorder="1" applyFont="1">
      <alignment horizontal="center"/>
    </xf>
    <xf borderId="14" fillId="2" fontId="4" numFmtId="0" xfId="0" applyAlignment="1" applyBorder="1" applyFont="1">
      <alignment horizontal="center"/>
    </xf>
    <xf borderId="15" fillId="2" fontId="4" numFmtId="0" xfId="0" applyAlignment="1" applyBorder="1" applyFont="1">
      <alignment horizontal="center"/>
    </xf>
    <xf borderId="16" fillId="2" fontId="4" numFmtId="0" xfId="0" applyAlignment="1" applyBorder="1" applyFont="1">
      <alignment horizontal="center"/>
    </xf>
    <xf borderId="17" fillId="2" fontId="4" numFmtId="0" xfId="0" applyBorder="1" applyFont="1"/>
    <xf borderId="18" fillId="2" fontId="3" numFmtId="3" xfId="0" applyBorder="1" applyFont="1" applyNumberFormat="1"/>
    <xf borderId="19" fillId="2" fontId="3" numFmtId="10" xfId="0" applyBorder="1" applyFont="1" applyNumberFormat="1"/>
    <xf borderId="19" fillId="2" fontId="3" numFmtId="3" xfId="0" applyBorder="1" applyFont="1" applyNumberFormat="1"/>
    <xf borderId="20" fillId="2" fontId="3" numFmtId="10" xfId="0" applyBorder="1" applyFont="1" applyNumberFormat="1"/>
    <xf borderId="21" fillId="0" fontId="3" numFmtId="164" xfId="0" applyBorder="1" applyFont="1" applyNumberFormat="1"/>
    <xf borderId="22" fillId="0" fontId="3" numFmtId="0" xfId="0" applyBorder="1" applyFont="1"/>
    <xf borderId="23" fillId="0" fontId="3" numFmtId="164" xfId="0" applyBorder="1" applyFont="1" applyNumberFormat="1"/>
    <xf borderId="24" fillId="0" fontId="3" numFmtId="0" xfId="0" applyBorder="1" applyFont="1"/>
    <xf borderId="25" fillId="2" fontId="3" numFmtId="3" xfId="0" applyBorder="1" applyFont="1" applyNumberFormat="1"/>
    <xf borderId="26" fillId="2" fontId="3" numFmtId="10" xfId="0" applyBorder="1" applyFont="1" applyNumberFormat="1"/>
    <xf borderId="27" fillId="2" fontId="3" numFmtId="10" xfId="0" applyBorder="1" applyFont="1" applyNumberFormat="1"/>
    <xf borderId="21" fillId="0" fontId="3" numFmtId="3" xfId="0" applyBorder="1" applyFont="1" applyNumberFormat="1"/>
    <xf borderId="22" fillId="0" fontId="3" numFmtId="10" xfId="0" applyBorder="1" applyFont="1" applyNumberFormat="1"/>
    <xf borderId="23" fillId="0" fontId="3" numFmtId="3" xfId="0" applyBorder="1" applyFont="1" applyNumberFormat="1"/>
    <xf borderId="24" fillId="0" fontId="3" numFmtId="10" xfId="0" applyBorder="1" applyFont="1" applyNumberFormat="1"/>
    <xf borderId="21" fillId="0" fontId="3" numFmtId="165" xfId="0" applyBorder="1" applyFont="1" applyNumberFormat="1"/>
    <xf borderId="18" fillId="0" fontId="3" numFmtId="165" xfId="0" applyBorder="1" applyFont="1" applyNumberFormat="1"/>
    <xf borderId="23" fillId="0" fontId="3" numFmtId="0" xfId="0" applyBorder="1" applyFont="1"/>
    <xf borderId="28" fillId="0" fontId="3" numFmtId="165" xfId="0" applyBorder="1" applyFont="1" applyNumberFormat="1"/>
    <xf borderId="29" fillId="2" fontId="4" numFmtId="0" xfId="0" applyBorder="1" applyFont="1"/>
    <xf borderId="28" fillId="2" fontId="3" numFmtId="3" xfId="0" applyBorder="1" applyFont="1" applyNumberFormat="1"/>
    <xf borderId="30" fillId="2" fontId="3" numFmtId="10" xfId="0" applyBorder="1" applyFont="1" applyNumberFormat="1"/>
    <xf borderId="31" fillId="0" fontId="3" numFmtId="0" xfId="0" applyBorder="1" applyFont="1"/>
    <xf borderId="30" fillId="0" fontId="3" numFmtId="0" xfId="0" applyBorder="1" applyFont="1"/>
    <xf borderId="32" fillId="2" fontId="3" numFmtId="10" xfId="0" applyBorder="1" applyFont="1" applyNumberFormat="1"/>
    <xf borderId="31" fillId="0" fontId="3" numFmtId="10" xfId="0" applyBorder="1" applyFont="1" applyNumberFormat="1"/>
    <xf borderId="30" fillId="0" fontId="3" numFmtId="10" xfId="0" applyBorder="1" applyFont="1" applyNumberFormat="1"/>
    <xf borderId="18" fillId="0" fontId="3" numFmtId="3" xfId="0" applyBorder="1" applyFont="1" applyNumberFormat="1"/>
    <xf borderId="28" fillId="0" fontId="3" numFmtId="0" xfId="0" applyBorder="1" applyFont="1"/>
    <xf borderId="28" fillId="0" fontId="3" numFmtId="3" xfId="0" applyBorder="1" applyFont="1" applyNumberFormat="1"/>
    <xf borderId="33" fillId="2" fontId="4" numFmtId="0" xfId="0" applyBorder="1" applyFont="1"/>
    <xf borderId="34" fillId="2" fontId="3" numFmtId="3" xfId="0" applyBorder="1" applyFont="1" applyNumberFormat="1"/>
    <xf borderId="35" fillId="2" fontId="3" numFmtId="3" xfId="0" applyBorder="1" applyFont="1" applyNumberFormat="1"/>
    <xf borderId="36" fillId="2" fontId="3" numFmtId="10" xfId="0" applyBorder="1" applyFont="1" applyNumberFormat="1"/>
    <xf borderId="37" fillId="0" fontId="3" numFmtId="0" xfId="0" applyBorder="1" applyFont="1"/>
    <xf borderId="38" fillId="0" fontId="3" numFmtId="0" xfId="0" applyBorder="1" applyFont="1"/>
    <xf borderId="39" fillId="2" fontId="3" numFmtId="10" xfId="0" applyBorder="1" applyFont="1" applyNumberFormat="1"/>
    <xf borderId="37" fillId="0" fontId="3" numFmtId="10" xfId="0" applyBorder="1" applyFont="1" applyNumberFormat="1"/>
    <xf borderId="38" fillId="0" fontId="3" numFmtId="10" xfId="0" applyBorder="1" applyFont="1" applyNumberFormat="1"/>
    <xf borderId="40" fillId="0" fontId="3" numFmtId="165" xfId="0" applyBorder="1" applyFont="1" applyNumberFormat="1"/>
    <xf borderId="41" fillId="0" fontId="3" numFmtId="0" xfId="0" applyBorder="1" applyFont="1"/>
    <xf borderId="42" fillId="0" fontId="3" numFmtId="3" xfId="0" applyBorder="1" applyFont="1" applyNumberFormat="1"/>
    <xf borderId="13" fillId="2" fontId="4" numFmtId="3" xfId="0" applyBorder="1" applyFont="1" applyNumberFormat="1"/>
    <xf borderId="11" fillId="2" fontId="4" numFmtId="10" xfId="0" applyBorder="1" applyFont="1" applyNumberFormat="1"/>
    <xf borderId="11" fillId="2" fontId="4" numFmtId="3" xfId="0" applyBorder="1" applyFont="1" applyNumberFormat="1"/>
    <xf borderId="14" fillId="2" fontId="4" numFmtId="0" xfId="0" applyBorder="1" applyFont="1"/>
    <xf borderId="12" fillId="2" fontId="4" numFmtId="0" xfId="0" applyBorder="1" applyFont="1"/>
    <xf borderId="15" fillId="2" fontId="4" numFmtId="3" xfId="0" applyBorder="1" applyFont="1" applyNumberFormat="1"/>
    <xf borderId="14" fillId="2" fontId="4" numFmtId="10" xfId="0" applyBorder="1" applyFont="1" applyNumberFormat="1"/>
    <xf borderId="16" fillId="2" fontId="4" numFmtId="10" xfId="0" applyBorder="1" applyFont="1" applyNumberFormat="1"/>
    <xf borderId="10" fillId="2" fontId="4" numFmtId="0" xfId="0" applyBorder="1" applyFont="1"/>
    <xf borderId="11" fillId="2" fontId="4" numFmtId="0" xfId="0" applyBorder="1" applyFont="1"/>
    <xf borderId="13" fillId="2" fontId="4" numFmtId="165" xfId="0" applyBorder="1" applyFont="1" applyNumberFormat="1"/>
    <xf borderId="11" fillId="2" fontId="4" numFmtId="165" xfId="0" applyBorder="1" applyFont="1" applyNumberFormat="1"/>
    <xf borderId="13" fillId="3" fontId="6" numFmtId="165" xfId="0" applyBorder="1" applyFill="1" applyFont="1" applyNumberFormat="1"/>
    <xf borderId="11" fillId="3" fontId="6" numFmtId="165" xfId="0" applyBorder="1" applyFont="1" applyNumberFormat="1"/>
    <xf borderId="12" fillId="3" fontId="3" numFmtId="165" xfId="0" applyBorder="1" applyFont="1" applyNumberFormat="1"/>
    <xf borderId="13" fillId="3" fontId="3" numFmtId="165" xfId="0" applyBorder="1" applyFont="1" applyNumberFormat="1"/>
    <xf borderId="14" fillId="3" fontId="3" numFmtId="165" xfId="0" applyBorder="1" applyFont="1" applyNumberFormat="1"/>
    <xf borderId="11" fillId="3" fontId="3" numFmtId="165" xfId="0" applyBorder="1" applyFont="1" applyNumberFormat="1"/>
    <xf borderId="15" fillId="3" fontId="3" numFmtId="165" xfId="0" applyBorder="1" applyFont="1" applyNumberFormat="1"/>
    <xf borderId="16" fillId="3" fontId="3" numFmtId="165" xfId="0" applyBorder="1" applyFont="1" applyNumberFormat="1"/>
    <xf borderId="43" fillId="3" fontId="3" numFmtId="165" xfId="0" applyBorder="1" applyFont="1" applyNumberFormat="1"/>
    <xf borderId="44" fillId="2" fontId="3" numFmtId="3" xfId="0" applyBorder="1" applyFont="1" applyNumberFormat="1"/>
    <xf borderId="23" fillId="2" fontId="3" numFmtId="10" xfId="0" applyBorder="1" applyFont="1" applyNumberFormat="1"/>
    <xf borderId="23" fillId="0" fontId="3" numFmtId="165" xfId="0" applyBorder="1" applyFont="1" applyNumberFormat="1"/>
    <xf borderId="28" fillId="2" fontId="3" numFmtId="10" xfId="0" applyBorder="1" applyFont="1" applyNumberFormat="1"/>
    <xf borderId="45" fillId="0" fontId="3" numFmtId="164" xfId="0" applyBorder="1" applyFont="1" applyNumberFormat="1"/>
    <xf borderId="46" fillId="2" fontId="3" numFmtId="3" xfId="0" applyBorder="1" applyFont="1" applyNumberFormat="1"/>
    <xf borderId="41" fillId="2" fontId="3" numFmtId="10" xfId="0" applyBorder="1" applyFont="1" applyNumberFormat="1"/>
    <xf borderId="41" fillId="0" fontId="3" numFmtId="3" xfId="0" applyBorder="1" applyFont="1" applyNumberFormat="1"/>
    <xf borderId="40" fillId="0" fontId="3" numFmtId="3" xfId="0" applyBorder="1" applyFont="1" applyNumberFormat="1"/>
    <xf borderId="41" fillId="0" fontId="3" numFmtId="165" xfId="0" applyBorder="1" applyFont="1" applyNumberFormat="1"/>
    <xf borderId="12" fillId="2" fontId="4" numFmtId="10" xfId="0" applyBorder="1" applyFont="1" applyNumberFormat="1"/>
    <xf borderId="11" fillId="4" fontId="3" numFmtId="164" xfId="0" applyBorder="1" applyFill="1" applyFont="1" applyNumberFormat="1"/>
    <xf borderId="8" fillId="2" fontId="4" numFmtId="10" xfId="0" applyBorder="1" applyFont="1" applyNumberFormat="1"/>
    <xf borderId="5" fillId="4" fontId="4" numFmtId="3" xfId="0" applyBorder="1" applyFont="1" applyNumberFormat="1"/>
    <xf borderId="7" fillId="4" fontId="4" numFmtId="3" xfId="0" applyBorder="1" applyFont="1" applyNumberFormat="1"/>
    <xf borderId="47" fillId="2" fontId="4" numFmtId="10" xfId="0" applyBorder="1" applyFont="1" applyNumberFormat="1"/>
    <xf borderId="48" fillId="2" fontId="4" numFmtId="0" xfId="0" applyBorder="1" applyFont="1"/>
    <xf borderId="49" fillId="2" fontId="3" numFmtId="0" xfId="0" applyBorder="1" applyFont="1"/>
    <xf borderId="50" fillId="2" fontId="3" numFmtId="0" xfId="0" applyBorder="1" applyFont="1"/>
    <xf borderId="50" fillId="2" fontId="3" numFmtId="3" xfId="0" applyBorder="1" applyFont="1" applyNumberFormat="1"/>
    <xf borderId="51" fillId="2" fontId="3" numFmtId="0" xfId="0" applyBorder="1" applyFont="1"/>
    <xf borderId="42" fillId="0" fontId="3" numFmtId="165" xfId="0" applyBorder="1" applyFont="1" applyNumberFormat="1"/>
    <xf borderId="52" fillId="0" fontId="3" numFmtId="165" xfId="0" applyBorder="1" applyFont="1" applyNumberFormat="1"/>
    <xf borderId="53" fillId="0" fontId="3" numFmtId="165" xfId="0" applyBorder="1" applyFont="1" applyNumberFormat="1"/>
    <xf borderId="54" fillId="2" fontId="3" numFmtId="0" xfId="0" applyBorder="1" applyFont="1"/>
    <xf borderId="55" fillId="2" fontId="3" numFmtId="0" xfId="0" applyBorder="1" applyFont="1"/>
    <xf borderId="56" fillId="2" fontId="3" numFmtId="0" xfId="0" applyBorder="1" applyFont="1"/>
    <xf borderId="45" fillId="0" fontId="3" numFmtId="0" xfId="0" applyBorder="1" applyFont="1"/>
    <xf borderId="57" fillId="0" fontId="3" numFmtId="3" xfId="0" applyBorder="1" applyFont="1" applyNumberFormat="1"/>
    <xf borderId="53" fillId="0" fontId="3" numFmtId="0" xfId="0" applyBorder="1" applyFont="1"/>
    <xf borderId="52" fillId="0" fontId="3" numFmtId="0" xfId="0" applyBorder="1" applyFont="1"/>
    <xf borderId="42" fillId="0" fontId="3" numFmtId="0" xfId="0" applyBorder="1" applyFont="1"/>
    <xf borderId="45" fillId="0" fontId="3" numFmtId="165" xfId="0" applyBorder="1" applyFont="1" applyNumberFormat="1"/>
    <xf borderId="57" fillId="0" fontId="3" numFmtId="165" xfId="0" applyBorder="1" applyFont="1" applyNumberFormat="1"/>
    <xf borderId="0" fillId="0" fontId="7" numFmtId="0" xfId="0" applyFont="1"/>
    <xf borderId="9" fillId="3" fontId="4" numFmtId="0" xfId="0" applyBorder="1" applyFont="1"/>
    <xf borderId="13" fillId="3" fontId="4" numFmtId="3" xfId="0" applyBorder="1" applyFont="1" applyNumberFormat="1"/>
    <xf borderId="11" fillId="3" fontId="4" numFmtId="10" xfId="0" applyBorder="1" applyFont="1" applyNumberFormat="1"/>
    <xf borderId="11" fillId="3" fontId="4" numFmtId="3" xfId="0" applyBorder="1" applyFont="1" applyNumberFormat="1"/>
    <xf borderId="12" fillId="3" fontId="4" numFmtId="10" xfId="0" applyBorder="1" applyFont="1" applyNumberFormat="1"/>
    <xf borderId="14" fillId="3" fontId="4" numFmtId="10" xfId="0" applyBorder="1" applyFont="1" applyNumberFormat="1"/>
    <xf borderId="58" fillId="3" fontId="4" numFmtId="3" xfId="0" applyBorder="1" applyFont="1" applyNumberFormat="1"/>
    <xf borderId="16" fillId="3" fontId="4" numFmtId="10" xfId="0" applyBorder="1" applyFont="1" applyNumberFormat="1"/>
    <xf borderId="59" fillId="3" fontId="4" numFmtId="3" xfId="0" applyBorder="1" applyFont="1" applyNumberFormat="1"/>
    <xf borderId="12" fillId="3" fontId="4" numFmtId="0" xfId="0" applyBorder="1" applyFont="1"/>
    <xf borderId="11" fillId="3" fontId="4" numFmtId="0" xfId="0" applyBorder="1" applyFont="1"/>
    <xf borderId="11" fillId="3" fontId="4" numFmtId="165" xfId="0" applyBorder="1" applyFont="1" applyNumberFormat="1"/>
    <xf borderId="10" fillId="3" fontId="3" numFmtId="165" xfId="0" applyBorder="1" applyFont="1" applyNumberFormat="1"/>
    <xf borderId="10" fillId="2" fontId="4" numFmtId="3" xfId="0" applyBorder="1" applyFont="1" applyNumberFormat="1"/>
    <xf borderId="45" fillId="0" fontId="3" numFmtId="3" xfId="0" applyBorder="1" applyFont="1" applyNumberFormat="1"/>
    <xf borderId="60" fillId="2" fontId="3" numFmtId="0" xfId="0" applyBorder="1" applyFont="1"/>
    <xf borderId="13" fillId="0" fontId="4" numFmtId="3" xfId="0" applyBorder="1" applyFont="1" applyNumberFormat="1"/>
    <xf borderId="14" fillId="0" fontId="4" numFmtId="10" xfId="0" applyBorder="1" applyFont="1" applyNumberFormat="1"/>
    <xf borderId="11" fillId="0" fontId="4" numFmtId="3" xfId="0" applyBorder="1" applyFont="1" applyNumberFormat="1"/>
    <xf borderId="12" fillId="0" fontId="4" numFmtId="10" xfId="0" applyBorder="1" applyFont="1" applyNumberFormat="1"/>
    <xf borderId="13" fillId="0" fontId="4" numFmtId="165" xfId="0" applyBorder="1" applyFont="1" applyNumberFormat="1"/>
    <xf borderId="11" fillId="0" fontId="4" numFmtId="165" xfId="0" applyBorder="1" applyFont="1" applyNumberFormat="1"/>
    <xf borderId="12" fillId="0" fontId="4" numFmtId="0" xfId="0" applyBorder="1" applyFont="1"/>
    <xf borderId="11" fillId="0" fontId="4" numFmtId="0" xfId="0" applyBorder="1" applyFont="1"/>
    <xf borderId="0" fillId="0" fontId="8" numFmtId="3" xfId="0" applyFont="1" applyNumberFormat="1"/>
    <xf borderId="0" fillId="0" fontId="8" numFmtId="10" xfId="0" applyFont="1" applyNumberFormat="1"/>
    <xf borderId="0" fillId="0" fontId="8" numFmtId="165" xfId="0" applyFont="1" applyNumberFormat="1"/>
    <xf borderId="0" fillId="0" fontId="9" numFmtId="9" xfId="0" applyFont="1" applyNumberFormat="1"/>
    <xf borderId="0" fillId="0" fontId="9" numFmtId="3" xfId="0" applyFont="1" applyNumberFormat="1"/>
    <xf borderId="0" fillId="0" fontId="9" numFmtId="0" xfId="0" applyFont="1"/>
    <xf borderId="0" fillId="0" fontId="9" numFmtId="165" xfId="0" applyFont="1" applyNumberFormat="1"/>
    <xf borderId="0" fillId="0" fontId="8" numFmtId="0" xfId="0" applyFont="1"/>
    <xf borderId="2" fillId="2" fontId="7" numFmtId="0" xfId="0" applyAlignment="1" applyBorder="1" applyFont="1">
      <alignment horizontal="center"/>
    </xf>
    <xf borderId="61" fillId="2" fontId="7" numFmtId="0" xfId="0" applyAlignment="1" applyBorder="1" applyFont="1">
      <alignment horizontal="center"/>
    </xf>
    <xf borderId="62" fillId="0" fontId="5" numFmtId="0" xfId="0" applyBorder="1" applyFont="1"/>
    <xf borderId="3" fillId="2" fontId="7" numFmtId="0" xfId="0" applyAlignment="1" applyBorder="1" applyFont="1">
      <alignment horizontal="center"/>
    </xf>
    <xf borderId="7" fillId="2" fontId="7" numFmtId="0" xfId="0" applyAlignment="1" applyBorder="1" applyFont="1">
      <alignment horizontal="center"/>
    </xf>
    <xf borderId="13" fillId="2" fontId="7" numFmtId="0" xfId="0" applyAlignment="1" applyBorder="1" applyFont="1">
      <alignment horizontal="center"/>
    </xf>
    <xf borderId="11" fillId="2" fontId="7" numFmtId="0" xfId="0" applyAlignment="1" applyBorder="1" applyFont="1">
      <alignment horizontal="center"/>
    </xf>
    <xf borderId="12" fillId="2" fontId="7" numFmtId="0" xfId="0" applyAlignment="1" applyBorder="1" applyFont="1">
      <alignment horizontal="center"/>
    </xf>
    <xf borderId="10" fillId="2" fontId="7" numFmtId="0" xfId="0" applyAlignment="1" applyBorder="1" applyFont="1">
      <alignment horizontal="center"/>
    </xf>
    <xf borderId="14" fillId="2" fontId="7" numFmtId="0" xfId="0" applyAlignment="1" applyBorder="1" applyFont="1">
      <alignment horizontal="center"/>
    </xf>
    <xf borderId="5" fillId="2" fontId="7" numFmtId="0" xfId="0" applyAlignment="1" applyBorder="1" applyFont="1">
      <alignment horizontal="center"/>
    </xf>
    <xf borderId="8" fillId="2" fontId="7" numFmtId="0" xfId="0" applyAlignment="1" applyBorder="1" applyFont="1">
      <alignment horizontal="center"/>
    </xf>
    <xf borderId="63" fillId="2" fontId="7" numFmtId="0" xfId="0" applyBorder="1" applyFont="1"/>
    <xf borderId="64" fillId="0" fontId="3" numFmtId="165" xfId="0" applyBorder="1" applyFont="1" applyNumberFormat="1"/>
    <xf borderId="22" fillId="0" fontId="3" numFmtId="165" xfId="0" applyBorder="1" applyFont="1" applyNumberFormat="1"/>
    <xf borderId="19" fillId="2" fontId="3" numFmtId="0" xfId="0" applyBorder="1" applyFont="1"/>
    <xf borderId="20" fillId="2" fontId="3" numFmtId="0" xfId="0" applyBorder="1" applyFont="1"/>
    <xf borderId="65" fillId="0" fontId="3" numFmtId="3" xfId="0" applyBorder="1" applyFont="1" applyNumberFormat="1"/>
    <xf borderId="66" fillId="0" fontId="3" numFmtId="0" xfId="0" applyBorder="1" applyFont="1"/>
    <xf borderId="67" fillId="0" fontId="3" numFmtId="3" xfId="0" applyBorder="1" applyFont="1" applyNumberFormat="1"/>
    <xf borderId="68" fillId="0" fontId="3" numFmtId="3" xfId="0" applyBorder="1" applyFont="1" applyNumberFormat="1"/>
    <xf borderId="29" fillId="2" fontId="7" numFmtId="0" xfId="0" applyBorder="1" applyFont="1"/>
    <xf borderId="31" fillId="0" fontId="3" numFmtId="165" xfId="0" applyBorder="1" applyFont="1" applyNumberFormat="1"/>
    <xf borderId="28" fillId="2" fontId="3" numFmtId="0" xfId="0" applyBorder="1" applyFont="1"/>
    <xf borderId="30" fillId="2" fontId="3" numFmtId="0" xfId="0" applyBorder="1" applyFont="1"/>
    <xf borderId="69" fillId="0" fontId="3" numFmtId="0" xfId="0" applyBorder="1" applyFont="1"/>
    <xf borderId="37" fillId="0" fontId="3" numFmtId="165" xfId="0" applyBorder="1" applyFont="1" applyNumberFormat="1"/>
    <xf borderId="33" fillId="2" fontId="7" numFmtId="0" xfId="0" applyBorder="1" applyFont="1"/>
    <xf borderId="35" fillId="2" fontId="3" numFmtId="0" xfId="0" applyBorder="1" applyFont="1"/>
    <xf borderId="36" fillId="2" fontId="3" numFmtId="0" xfId="0" applyBorder="1" applyFont="1"/>
    <xf borderId="70" fillId="0" fontId="3" numFmtId="0" xfId="0" applyBorder="1" applyFont="1"/>
    <xf borderId="71" fillId="0" fontId="3" numFmtId="165" xfId="0" applyBorder="1" applyFont="1" applyNumberFormat="1"/>
    <xf borderId="9" fillId="2" fontId="7" numFmtId="0" xfId="0" applyBorder="1" applyFont="1"/>
    <xf borderId="11" fillId="2" fontId="7" numFmtId="3" xfId="0" applyBorder="1" applyFont="1" applyNumberFormat="1"/>
    <xf borderId="14" fillId="2" fontId="4" numFmtId="165" xfId="0" applyBorder="1" applyFont="1" applyNumberFormat="1"/>
    <xf borderId="12" fillId="2" fontId="4" numFmtId="165" xfId="0" applyBorder="1" applyFont="1" applyNumberFormat="1"/>
    <xf borderId="13" fillId="2" fontId="7" numFmtId="3" xfId="0" applyBorder="1" applyFont="1" applyNumberFormat="1"/>
    <xf borderId="5" fillId="2" fontId="7" numFmtId="3" xfId="0" applyBorder="1" applyFont="1" applyNumberFormat="1"/>
    <xf borderId="8" fillId="2" fontId="7" numFmtId="3" xfId="0" applyBorder="1" applyFont="1" applyNumberFormat="1"/>
    <xf borderId="7" fillId="2" fontId="7" numFmtId="3" xfId="0" applyBorder="1" applyFont="1" applyNumberFormat="1"/>
    <xf borderId="8" fillId="2" fontId="4" numFmtId="0" xfId="0" applyBorder="1" applyFont="1"/>
    <xf borderId="7" fillId="2" fontId="4" numFmtId="3" xfId="0" applyBorder="1" applyFont="1" applyNumberFormat="1"/>
    <xf borderId="17" fillId="2" fontId="7" numFmtId="0" xfId="0" applyBorder="1" applyFont="1"/>
    <xf borderId="44" fillId="2" fontId="3" numFmtId="0" xfId="0" applyBorder="1" applyFont="1"/>
    <xf borderId="65" fillId="0" fontId="3" numFmtId="0" xfId="0" applyBorder="1" applyFont="1"/>
    <xf borderId="67" fillId="0" fontId="3" numFmtId="0" xfId="0" applyBorder="1" applyFont="1"/>
    <xf borderId="72" fillId="0" fontId="3" numFmtId="165" xfId="0" applyBorder="1" applyFont="1" applyNumberFormat="1"/>
    <xf borderId="73" fillId="0" fontId="3" numFmtId="3" xfId="0" applyBorder="1" applyFont="1" applyNumberFormat="1"/>
    <xf borderId="74" fillId="0" fontId="3" numFmtId="3" xfId="0" applyBorder="1" applyFont="1" applyNumberFormat="1"/>
    <xf borderId="68" fillId="0" fontId="3" numFmtId="165" xfId="0" applyBorder="1" applyFont="1" applyNumberFormat="1"/>
    <xf borderId="69" fillId="0" fontId="3" numFmtId="3" xfId="0" applyBorder="1" applyFont="1" applyNumberFormat="1"/>
    <xf borderId="15" fillId="2" fontId="4" numFmtId="165" xfId="0" applyBorder="1" applyFont="1" applyNumberFormat="1"/>
    <xf borderId="5" fillId="2" fontId="4" numFmtId="165" xfId="0" applyBorder="1" applyFont="1" applyNumberFormat="1"/>
    <xf borderId="5" fillId="2" fontId="4" numFmtId="3" xfId="0" applyBorder="1" applyFont="1" applyNumberFormat="1"/>
    <xf borderId="48" fillId="2" fontId="7" numFmtId="0" xfId="0" applyBorder="1" applyFont="1"/>
    <xf borderId="49" fillId="2" fontId="3" numFmtId="3" xfId="0" applyBorder="1" applyFont="1" applyNumberFormat="1"/>
    <xf borderId="0" fillId="0" fontId="3" numFmtId="3" xfId="0" applyFont="1" applyNumberFormat="1"/>
    <xf borderId="75" fillId="0" fontId="3" numFmtId="0" xfId="0" applyBorder="1" applyFont="1"/>
    <xf borderId="76" fillId="0" fontId="3" numFmtId="3" xfId="0" applyBorder="1" applyFont="1" applyNumberFormat="1"/>
    <xf borderId="76" fillId="0" fontId="3" numFmtId="0" xfId="0" applyBorder="1" applyFont="1"/>
    <xf borderId="9" fillId="4" fontId="7" numFmtId="0" xfId="0" applyBorder="1" applyFont="1"/>
    <xf borderId="13" fillId="4" fontId="4" numFmtId="3" xfId="0" applyBorder="1" applyFont="1" applyNumberFormat="1"/>
    <xf borderId="11" fillId="4" fontId="4" numFmtId="10" xfId="0" applyBorder="1" applyFont="1" applyNumberFormat="1"/>
    <xf borderId="11" fillId="4" fontId="4" numFmtId="3" xfId="0" applyBorder="1" applyFont="1" applyNumberFormat="1"/>
    <xf borderId="12" fillId="4" fontId="4" numFmtId="0" xfId="0" applyBorder="1" applyFont="1"/>
    <xf borderId="10" fillId="4" fontId="4" numFmtId="165" xfId="0" applyBorder="1" applyFont="1" applyNumberFormat="1"/>
    <xf borderId="11" fillId="4" fontId="4" numFmtId="165" xfId="0" applyBorder="1" applyFont="1" applyNumberFormat="1"/>
    <xf borderId="14" fillId="4" fontId="4" numFmtId="165" xfId="0" applyBorder="1" applyFont="1" applyNumberFormat="1"/>
    <xf borderId="11" fillId="4" fontId="4" numFmtId="0" xfId="0" applyBorder="1" applyFont="1"/>
    <xf borderId="8" fillId="4" fontId="4" numFmtId="0" xfId="0" applyBorder="1" applyFont="1"/>
    <xf borderId="77" fillId="0" fontId="3" numFmtId="3" xfId="0" applyBorder="1" applyFont="1" applyNumberFormat="1"/>
    <xf borderId="35" fillId="2" fontId="3" numFmtId="10" xfId="0" applyBorder="1" applyFont="1" applyNumberFormat="1"/>
    <xf borderId="0" fillId="0" fontId="10" numFmtId="0" xfId="0" applyFont="1"/>
    <xf borderId="7" fillId="4" fontId="4" numFmtId="165" xfId="0" applyBorder="1" applyFont="1" applyNumberFormat="1"/>
    <xf borderId="5" fillId="4" fontId="4" numFmtId="165" xfId="0" applyBorder="1" applyFont="1" applyNumberFormat="1"/>
    <xf borderId="13" fillId="4" fontId="11" numFmtId="165" xfId="0" applyBorder="1" applyFont="1" applyNumberFormat="1"/>
    <xf borderId="11" fillId="4" fontId="11" numFmtId="165" xfId="0" applyBorder="1" applyFont="1" applyNumberFormat="1"/>
    <xf borderId="9" fillId="4" fontId="4" numFmtId="165" xfId="0" applyBorder="1" applyFont="1" applyNumberFormat="1"/>
    <xf borderId="8" fillId="4" fontId="4" numFmtId="165" xfId="0" applyBorder="1" applyFont="1" applyNumberFormat="1"/>
    <xf borderId="15" fillId="4" fontId="4" numFmtId="165" xfId="0" applyBorder="1" applyFont="1" applyNumberFormat="1"/>
    <xf borderId="5" fillId="0" fontId="4" numFmtId="3" xfId="0" applyBorder="1" applyFont="1" applyNumberFormat="1"/>
    <xf borderId="8" fillId="0" fontId="4" numFmtId="0" xfId="0" applyBorder="1" applyFont="1"/>
    <xf borderId="7" fillId="0" fontId="4" numFmtId="3" xfId="0" applyBorder="1" applyFont="1" applyNumberFormat="1"/>
    <xf borderId="9" fillId="2" fontId="7" numFmtId="10" xfId="0" applyBorder="1" applyFont="1" applyNumberFormat="1"/>
    <xf borderId="13" fillId="4" fontId="4" numFmtId="10" xfId="0" applyBorder="1" applyFont="1" applyNumberFormat="1"/>
    <xf borderId="11" fillId="4" fontId="11" numFmtId="10" xfId="0" applyBorder="1" applyFont="1" applyNumberFormat="1"/>
    <xf borderId="12" fillId="4" fontId="11" numFmtId="10" xfId="0" applyBorder="1" applyFont="1" applyNumberFormat="1"/>
    <xf borderId="14" fillId="4" fontId="11" numFmtId="165" xfId="0" applyBorder="1" applyFont="1" applyNumberFormat="1"/>
    <xf borderId="5" fillId="4" fontId="4" numFmtId="10" xfId="0" applyBorder="1" applyFont="1" applyNumberFormat="1"/>
    <xf borderId="8" fillId="4" fontId="11" numFmtId="10" xfId="0" applyBorder="1" applyFont="1" applyNumberFormat="1"/>
    <xf borderId="7" fillId="4" fontId="4" numFmtId="10" xfId="0" applyBorder="1" applyFont="1" applyNumberFormat="1"/>
    <xf borderId="7" fillId="4" fontId="11" numFmtId="10" xfId="0" applyBorder="1" applyFont="1" applyNumberFormat="1"/>
    <xf borderId="0" fillId="0" fontId="2" numFmtId="3" xfId="0" applyFont="1" applyNumberFormat="1"/>
    <xf borderId="0" fillId="0" fontId="12" numFmtId="0" xfId="0" applyAlignment="1" applyFont="1">
      <alignment horizontal="center"/>
    </xf>
    <xf borderId="78" fillId="5" fontId="13" numFmtId="0" xfId="0" applyAlignment="1" applyBorder="1" applyFill="1" applyFont="1">
      <alignment horizontal="left"/>
    </xf>
    <xf borderId="0" fillId="0" fontId="12" numFmtId="0" xfId="0" applyAlignment="1" applyFont="1">
      <alignment horizontal="left"/>
    </xf>
    <xf borderId="28" fillId="2" fontId="7" numFmtId="0" xfId="0" applyBorder="1" applyFont="1"/>
    <xf borderId="28" fillId="2" fontId="7" numFmtId="166" xfId="0" applyBorder="1" applyFont="1" applyNumberFormat="1"/>
    <xf borderId="79" fillId="5" fontId="13" numFmtId="0" xfId="0" applyAlignment="1" applyBorder="1" applyFont="1">
      <alignment horizontal="center"/>
    </xf>
    <xf borderId="80" fillId="6" fontId="4" numFmtId="0" xfId="0" applyAlignment="1" applyBorder="1" applyFill="1" applyFont="1">
      <alignment horizontal="center"/>
    </xf>
    <xf borderId="80" fillId="7" fontId="4" numFmtId="0" xfId="0" applyAlignment="1" applyBorder="1" applyFill="1" applyFont="1">
      <alignment horizontal="center"/>
    </xf>
    <xf borderId="80" fillId="3" fontId="4" numFmtId="0" xfId="0" applyAlignment="1" applyBorder="1" applyFont="1">
      <alignment horizontal="center"/>
    </xf>
    <xf borderId="28" fillId="0" fontId="12" numFmtId="0" xfId="0" applyBorder="1" applyFont="1"/>
    <xf borderId="28" fillId="0" fontId="9" numFmtId="0" xfId="0" applyBorder="1" applyFont="1"/>
    <xf borderId="28" fillId="0" fontId="9" numFmtId="3" xfId="0" applyBorder="1" applyFont="1" applyNumberFormat="1"/>
    <xf borderId="0" fillId="0" fontId="12" numFmtId="167" xfId="0" applyAlignment="1" applyFont="1" applyNumberFormat="1">
      <alignment horizontal="center"/>
    </xf>
    <xf borderId="78" fillId="5" fontId="13" numFmtId="167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0" fillId="0" fontId="3" numFmtId="3" xfId="0" applyAlignment="1" applyFont="1" applyNumberFormat="1">
      <alignment horizontal="left"/>
    </xf>
    <xf borderId="0" fillId="0" fontId="3" numFmtId="49" xfId="0" applyAlignment="1" applyFont="1" applyNumberFormat="1">
      <alignment horizontal="left"/>
    </xf>
    <xf borderId="78" fillId="3" fontId="3" numFmtId="49" xfId="0" applyAlignment="1" applyBorder="1" applyFont="1" applyNumberFormat="1">
      <alignment horizontal="left"/>
    </xf>
    <xf borderId="0" fillId="0" fontId="3" numFmtId="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left"/>
    </xf>
    <xf borderId="0" fillId="0" fontId="2" numFmtId="10" xfId="0" applyFont="1" applyNumberFormat="1"/>
    <xf borderId="0" fillId="0" fontId="3" numFmtId="0" xfId="0" applyAlignment="1" applyFont="1">
      <alignment horizontal="right"/>
    </xf>
    <xf borderId="28" fillId="0" fontId="9" numFmtId="3" xfId="0" applyAlignment="1" applyBorder="1" applyFont="1" applyNumberFormat="1">
      <alignment horizontal="right"/>
    </xf>
    <xf borderId="0" fillId="0" fontId="9" numFmtId="4" xfId="0" applyFont="1" applyNumberFormat="1"/>
    <xf borderId="0" fillId="0" fontId="14" numFmtId="0" xfId="0" applyFont="1"/>
    <xf borderId="0" fillId="0" fontId="10" numFmtId="0" xfId="0" applyAlignment="1" applyFont="1">
      <alignment horizontal="center"/>
    </xf>
    <xf borderId="9" fillId="2" fontId="7" numFmtId="0" xfId="0" applyAlignment="1" applyBorder="1" applyFont="1">
      <alignment horizontal="center"/>
    </xf>
    <xf borderId="67" fillId="2" fontId="7" numFmtId="0" xfId="0" applyBorder="1" applyFont="1"/>
    <xf borderId="21" fillId="2" fontId="9" numFmtId="3" xfId="0" applyBorder="1" applyFont="1" applyNumberFormat="1"/>
    <xf borderId="23" fillId="2" fontId="9" numFmtId="10" xfId="0" applyBorder="1" applyFont="1" applyNumberFormat="1"/>
    <xf borderId="23" fillId="2" fontId="9" numFmtId="3" xfId="0" applyBorder="1" applyFont="1" applyNumberFormat="1"/>
    <xf borderId="24" fillId="2" fontId="9" numFmtId="10" xfId="0" applyBorder="1" applyFont="1" applyNumberFormat="1"/>
    <xf borderId="64" fillId="0" fontId="9" numFmtId="165" xfId="0" applyBorder="1" applyFont="1" applyNumberFormat="1"/>
    <xf borderId="23" fillId="0" fontId="9" numFmtId="0" xfId="0" applyBorder="1" applyFont="1"/>
    <xf borderId="23" fillId="0" fontId="9" numFmtId="165" xfId="0" applyBorder="1" applyFont="1" applyNumberFormat="1"/>
    <xf borderId="24" fillId="0" fontId="9" numFmtId="0" xfId="0" applyBorder="1" applyFont="1"/>
    <xf borderId="64" fillId="2" fontId="9" numFmtId="3" xfId="0" applyBorder="1" applyFont="1" applyNumberFormat="1"/>
    <xf borderId="64" fillId="0" fontId="9" numFmtId="3" xfId="0" applyBorder="1" applyFont="1" applyNumberFormat="1"/>
    <xf borderId="23" fillId="0" fontId="9" numFmtId="10" xfId="0" applyBorder="1" applyFont="1" applyNumberFormat="1"/>
    <xf borderId="23" fillId="0" fontId="9" numFmtId="3" xfId="0" applyBorder="1" applyFont="1" applyNumberFormat="1"/>
    <xf borderId="24" fillId="0" fontId="9" numFmtId="10" xfId="0" applyBorder="1" applyFont="1" applyNumberFormat="1"/>
    <xf borderId="22" fillId="0" fontId="9" numFmtId="10" xfId="0" applyBorder="1" applyFont="1" applyNumberFormat="1"/>
    <xf borderId="21" fillId="0" fontId="9" numFmtId="3" xfId="0" applyBorder="1" applyFont="1" applyNumberFormat="1"/>
    <xf borderId="68" fillId="2" fontId="7" numFmtId="0" xfId="0" applyBorder="1" applyFont="1"/>
    <xf borderId="18" fillId="2" fontId="9" numFmtId="3" xfId="0" applyBorder="1" applyFont="1" applyNumberFormat="1"/>
    <xf borderId="28" fillId="2" fontId="9" numFmtId="10" xfId="0" applyBorder="1" applyFont="1" applyNumberFormat="1"/>
    <xf borderId="28" fillId="2" fontId="9" numFmtId="3" xfId="0" applyBorder="1" applyFont="1" applyNumberFormat="1"/>
    <xf borderId="30" fillId="2" fontId="9" numFmtId="10" xfId="0" applyBorder="1" applyFont="1" applyNumberFormat="1"/>
    <xf borderId="72" fillId="0" fontId="9" numFmtId="165" xfId="0" applyBorder="1" applyFont="1" applyNumberFormat="1"/>
    <xf borderId="28" fillId="0" fontId="9" numFmtId="165" xfId="0" applyBorder="1" applyFont="1" applyNumberFormat="1"/>
    <xf borderId="30" fillId="0" fontId="9" numFmtId="0" xfId="0" applyBorder="1" applyFont="1"/>
    <xf borderId="72" fillId="2" fontId="9" numFmtId="3" xfId="0" applyBorder="1" applyFont="1" applyNumberFormat="1"/>
    <xf borderId="72" fillId="0" fontId="9" numFmtId="3" xfId="0" applyBorder="1" applyFont="1" applyNumberFormat="1"/>
    <xf borderId="28" fillId="0" fontId="9" numFmtId="10" xfId="0" applyBorder="1" applyFont="1" applyNumberFormat="1"/>
    <xf borderId="30" fillId="0" fontId="9" numFmtId="10" xfId="0" applyBorder="1" applyFont="1" applyNumberFormat="1"/>
    <xf borderId="31" fillId="0" fontId="9" numFmtId="10" xfId="0" applyBorder="1" applyFont="1" applyNumberFormat="1"/>
    <xf borderId="18" fillId="0" fontId="9" numFmtId="3" xfId="0" applyBorder="1" applyFont="1" applyNumberFormat="1"/>
    <xf borderId="18" fillId="0" fontId="9" numFmtId="165" xfId="0" applyBorder="1" applyFont="1" applyNumberFormat="1"/>
    <xf borderId="81" fillId="2" fontId="7" numFmtId="0" xfId="0" applyBorder="1" applyFont="1"/>
    <xf borderId="34" fillId="2" fontId="9" numFmtId="3" xfId="0" applyBorder="1" applyFont="1" applyNumberFormat="1"/>
    <xf borderId="35" fillId="2" fontId="9" numFmtId="10" xfId="0" applyBorder="1" applyFont="1" applyNumberFormat="1"/>
    <xf borderId="35" fillId="2" fontId="9" numFmtId="3" xfId="0" applyBorder="1" applyFont="1" applyNumberFormat="1"/>
    <xf borderId="36" fillId="2" fontId="9" numFmtId="10" xfId="0" applyBorder="1" applyFont="1" applyNumberFormat="1"/>
    <xf borderId="72" fillId="0" fontId="9" numFmtId="0" xfId="0" applyBorder="1" applyFont="1"/>
    <xf borderId="41" fillId="0" fontId="9" numFmtId="3" xfId="0" applyBorder="1" applyFont="1" applyNumberFormat="1"/>
    <xf borderId="38" fillId="0" fontId="9" numFmtId="3" xfId="0" applyBorder="1" applyFont="1" applyNumberFormat="1"/>
    <xf borderId="82" fillId="0" fontId="9" numFmtId="3" xfId="0" applyBorder="1" applyFont="1" applyNumberFormat="1"/>
    <xf borderId="37" fillId="0" fontId="9" numFmtId="3" xfId="0" applyBorder="1" applyFont="1" applyNumberFormat="1"/>
    <xf borderId="7" fillId="2" fontId="7" numFmtId="0" xfId="0" applyBorder="1" applyFont="1"/>
    <xf borderId="11" fillId="2" fontId="9" numFmtId="10" xfId="0" applyBorder="1" applyFont="1" applyNumberFormat="1"/>
    <xf borderId="12" fillId="2" fontId="9" numFmtId="10" xfId="0" applyBorder="1" applyFont="1" applyNumberFormat="1"/>
    <xf borderId="15" fillId="2" fontId="7" numFmtId="3" xfId="0" applyBorder="1" applyFont="1" applyNumberFormat="1"/>
    <xf borderId="11" fillId="2" fontId="7" numFmtId="0" xfId="0" applyBorder="1" applyFont="1"/>
    <xf borderId="12" fillId="2" fontId="7" numFmtId="0" xfId="0" applyBorder="1" applyFont="1"/>
    <xf borderId="14" fillId="2" fontId="7" numFmtId="0" xfId="0" applyBorder="1" applyFont="1"/>
    <xf borderId="83" fillId="2" fontId="7" numFmtId="0" xfId="0" applyBorder="1" applyFont="1"/>
    <xf borderId="84" fillId="2" fontId="9" numFmtId="0" xfId="0" applyBorder="1" applyFont="1"/>
    <xf borderId="85" fillId="2" fontId="9" numFmtId="0" xfId="0" applyBorder="1" applyFont="1"/>
    <xf borderId="86" fillId="2" fontId="9" numFmtId="0" xfId="0" applyBorder="1" applyFont="1"/>
    <xf borderId="57" fillId="0" fontId="9" numFmtId="0" xfId="0" applyBorder="1" applyFont="1"/>
    <xf borderId="45" fillId="0" fontId="9" numFmtId="0" xfId="0" applyBorder="1" applyFont="1"/>
    <xf borderId="45" fillId="0" fontId="9" numFmtId="3" xfId="0" applyBorder="1" applyFont="1" applyNumberFormat="1"/>
    <xf borderId="53" fillId="0" fontId="9" numFmtId="0" xfId="0" applyBorder="1" applyFont="1"/>
    <xf borderId="87" fillId="2" fontId="9" numFmtId="0" xfId="0" applyBorder="1" applyFont="1"/>
    <xf borderId="85" fillId="2" fontId="9" numFmtId="3" xfId="0" applyBorder="1" applyFont="1" applyNumberFormat="1"/>
    <xf borderId="52" fillId="0" fontId="9" numFmtId="0" xfId="0" applyBorder="1" applyFont="1"/>
    <xf borderId="42" fillId="0" fontId="9" numFmtId="0" xfId="0" applyBorder="1" applyFont="1"/>
    <xf borderId="13" fillId="2" fontId="9" numFmtId="3" xfId="0" applyBorder="1" applyFont="1" applyNumberFormat="1"/>
    <xf borderId="11" fillId="2" fontId="9" numFmtId="3" xfId="0" applyBorder="1" applyFont="1" applyNumberFormat="1"/>
    <xf borderId="15" fillId="0" fontId="9" numFmtId="165" xfId="0" applyBorder="1" applyFont="1" applyNumberFormat="1"/>
    <xf borderId="11" fillId="0" fontId="9" numFmtId="0" xfId="0" applyBorder="1" applyFont="1"/>
    <xf borderId="11" fillId="0" fontId="9" numFmtId="165" xfId="0" applyBorder="1" applyFont="1" applyNumberFormat="1"/>
    <xf borderId="12" fillId="0" fontId="9" numFmtId="0" xfId="0" applyBorder="1" applyFont="1"/>
    <xf borderId="15" fillId="2" fontId="9" numFmtId="3" xfId="0" applyBorder="1" applyFont="1" applyNumberFormat="1"/>
    <xf borderId="15" fillId="0" fontId="9" numFmtId="3" xfId="0" applyBorder="1" applyFont="1" applyNumberFormat="1"/>
    <xf borderId="11" fillId="0" fontId="9" numFmtId="10" xfId="0" applyBorder="1" applyFont="1" applyNumberFormat="1"/>
    <xf borderId="11" fillId="0" fontId="9" numFmtId="3" xfId="0" applyBorder="1" applyFont="1" applyNumberFormat="1"/>
    <xf borderId="12" fillId="0" fontId="9" numFmtId="10" xfId="0" applyBorder="1" applyFont="1" applyNumberFormat="1"/>
    <xf borderId="14" fillId="0" fontId="9" numFmtId="10" xfId="0" applyBorder="1" applyFont="1" applyNumberFormat="1"/>
    <xf borderId="13" fillId="0" fontId="9" numFmtId="165" xfId="0" applyBorder="1" applyFont="1" applyNumberFormat="1"/>
    <xf borderId="11" fillId="0" fontId="9" numFmtId="164" xfId="0" applyBorder="1" applyFont="1" applyNumberFormat="1"/>
    <xf borderId="13" fillId="2" fontId="9" numFmtId="3" xfId="0" applyAlignment="1" applyBorder="1" applyFont="1" applyNumberFormat="1">
      <alignment horizontal="right"/>
    </xf>
    <xf borderId="11" fillId="2" fontId="9" numFmtId="10" xfId="0" applyAlignment="1" applyBorder="1" applyFont="1" applyNumberFormat="1">
      <alignment horizontal="right"/>
    </xf>
    <xf borderId="11" fillId="2" fontId="9" numFmtId="3" xfId="0" applyAlignment="1" applyBorder="1" applyFont="1" applyNumberFormat="1">
      <alignment horizontal="right"/>
    </xf>
    <xf borderId="12" fillId="2" fontId="9" numFmtId="10" xfId="0" applyAlignment="1" applyBorder="1" applyFont="1" applyNumberFormat="1">
      <alignment horizontal="right"/>
    </xf>
    <xf borderId="5" fillId="0" fontId="9" numFmtId="165" xfId="0" applyBorder="1" applyFont="1" applyNumberFormat="1"/>
    <xf borderId="13" fillId="0" fontId="9" numFmtId="0" xfId="0" applyBorder="1" applyFont="1"/>
    <xf borderId="5" fillId="0" fontId="10" numFmtId="0" xfId="0" applyBorder="1" applyFont="1"/>
    <xf borderId="15" fillId="0" fontId="10" numFmtId="0" xfId="0" applyBorder="1" applyFont="1"/>
    <xf borderId="11" fillId="0" fontId="10" numFmtId="0" xfId="0" applyBorder="1" applyFont="1"/>
    <xf borderId="12" fillId="0" fontId="10" numFmtId="0" xfId="0" applyBorder="1" applyFont="1"/>
    <xf borderId="11" fillId="2" fontId="7" numFmtId="10" xfId="0" applyBorder="1" applyFont="1" applyNumberFormat="1"/>
    <xf borderId="12" fillId="2" fontId="7" numFmtId="10" xfId="0" applyBorder="1" applyFont="1" applyNumberFormat="1"/>
    <xf borderId="15" fillId="2" fontId="7" numFmtId="165" xfId="0" applyBorder="1" applyFont="1" applyNumberFormat="1"/>
    <xf borderId="11" fillId="2" fontId="7" numFmtId="165" xfId="0" applyBorder="1" applyFont="1" applyNumberFormat="1"/>
    <xf borderId="14" fillId="2" fontId="7" numFmtId="10" xfId="0" applyBorder="1" applyFont="1" applyNumberFormat="1"/>
    <xf borderId="13" fillId="2" fontId="7" numFmtId="165" xfId="0" applyBorder="1" applyFont="1" applyNumberFormat="1"/>
    <xf borderId="12" fillId="2" fontId="7" numFmtId="3" xfId="0" applyBorder="1" applyFont="1" applyNumberFormat="1"/>
    <xf borderId="88" fillId="2" fontId="7" numFmtId="0" xfId="0" applyBorder="1" applyFont="1"/>
    <xf borderId="89" fillId="2" fontId="9" numFmtId="0" xfId="0" applyBorder="1" applyFont="1"/>
    <xf borderId="90" fillId="2" fontId="9" numFmtId="0" xfId="0" applyBorder="1" applyFont="1"/>
    <xf borderId="91" fillId="2" fontId="9" numFmtId="0" xfId="0" applyBorder="1" applyFont="1"/>
    <xf borderId="92" fillId="2" fontId="9" numFmtId="0" xfId="0" applyBorder="1" applyFont="1"/>
    <xf borderId="90" fillId="2" fontId="9" numFmtId="3" xfId="0" applyBorder="1" applyFont="1" applyNumberFormat="1"/>
    <xf borderId="0" fillId="0" fontId="15" numFmtId="0" xfId="0" applyFont="1"/>
    <xf borderId="93" fillId="2" fontId="7" numFmtId="0" xfId="0" applyBorder="1" applyFont="1"/>
    <xf borderId="44" fillId="2" fontId="9" numFmtId="0" xfId="0" applyBorder="1" applyFont="1"/>
    <xf borderId="19" fillId="2" fontId="9" numFmtId="0" xfId="0" applyBorder="1" applyFont="1"/>
    <xf borderId="20" fillId="2" fontId="9" numFmtId="0" xfId="0" applyBorder="1" applyFont="1"/>
    <xf borderId="64" fillId="0" fontId="9" numFmtId="0" xfId="0" applyBorder="1" applyFont="1"/>
    <xf borderId="25" fillId="2" fontId="9" numFmtId="0" xfId="0" applyBorder="1" applyFont="1"/>
    <xf borderId="19" fillId="2" fontId="9" numFmtId="3" xfId="0" applyBorder="1" applyFont="1" applyNumberFormat="1"/>
    <xf borderId="22" fillId="0" fontId="9" numFmtId="0" xfId="0" applyBorder="1" applyFont="1"/>
    <xf borderId="21" fillId="0" fontId="9" numFmtId="0" xfId="0" applyBorder="1" applyFont="1"/>
    <xf borderId="41" fillId="0" fontId="9" numFmtId="0" xfId="0" applyBorder="1" applyFont="1"/>
    <xf borderId="38" fillId="0" fontId="9" numFmtId="0" xfId="0" applyBorder="1" applyFont="1"/>
    <xf borderId="41" fillId="0" fontId="9" numFmtId="10" xfId="0" applyBorder="1" applyFont="1" applyNumberFormat="1"/>
    <xf borderId="38" fillId="0" fontId="9" numFmtId="10" xfId="0" applyBorder="1" applyFont="1" applyNumberFormat="1"/>
    <xf borderId="37" fillId="0" fontId="9" numFmtId="10" xfId="0" applyBorder="1" applyFont="1" applyNumberFormat="1"/>
    <xf borderId="40" fillId="0" fontId="9" numFmtId="3" xfId="0" applyBorder="1" applyFont="1" applyNumberFormat="1"/>
    <xf borderId="94" fillId="2" fontId="7" numFmtId="0" xfId="0" applyBorder="1" applyFont="1"/>
    <xf borderId="49" fillId="2" fontId="9" numFmtId="0" xfId="0" applyBorder="1" applyFont="1"/>
    <xf borderId="50" fillId="2" fontId="9" numFmtId="0" xfId="0" applyBorder="1" applyFont="1"/>
    <xf borderId="51" fillId="2" fontId="9" numFmtId="0" xfId="0" applyBorder="1" applyFont="1"/>
    <xf borderId="54" fillId="2" fontId="9" numFmtId="0" xfId="0" applyBorder="1" applyFont="1"/>
    <xf borderId="50" fillId="2" fontId="9" numFmtId="3" xfId="0" applyBorder="1" applyFont="1" applyNumberFormat="1"/>
    <xf borderId="57" fillId="0" fontId="7" numFmtId="3" xfId="0" applyBorder="1" applyFont="1" applyNumberFormat="1"/>
    <xf borderId="45" fillId="0" fontId="7" numFmtId="0" xfId="0" applyBorder="1" applyFont="1"/>
    <xf borderId="45" fillId="0" fontId="7" numFmtId="3" xfId="0" applyBorder="1" applyFont="1" applyNumberFormat="1"/>
    <xf borderId="53" fillId="0" fontId="7" numFmtId="0" xfId="0" applyBorder="1" applyFont="1"/>
    <xf borderId="0" fillId="0" fontId="8" numFmtId="164" xfId="0" applyFont="1" applyNumberFormat="1"/>
    <xf borderId="0" fillId="0" fontId="9" numFmtId="10" xfId="0" applyFont="1" applyNumberFormat="1"/>
    <xf borderId="7" fillId="2" fontId="7" numFmtId="0" xfId="0" applyAlignment="1" applyBorder="1" applyFont="1">
      <alignment horizontal="center" readingOrder="0"/>
    </xf>
    <xf borderId="21" fillId="2" fontId="7" numFmtId="0" xfId="0" applyBorder="1" applyFont="1"/>
    <xf borderId="22" fillId="2" fontId="9" numFmtId="10" xfId="0" applyBorder="1" applyFont="1" applyNumberFormat="1"/>
    <xf borderId="21" fillId="0" fontId="9" numFmtId="165" xfId="0" applyBorder="1" applyFont="1" applyNumberFormat="1"/>
    <xf borderId="18" fillId="2" fontId="7" numFmtId="0" xfId="0" applyBorder="1" applyFont="1"/>
    <xf borderId="31" fillId="2" fontId="9" numFmtId="10" xfId="0" applyBorder="1" applyFont="1" applyNumberFormat="1"/>
    <xf borderId="31" fillId="0" fontId="9" numFmtId="0" xfId="0" applyBorder="1" applyFont="1"/>
    <xf borderId="34" fillId="2" fontId="7" numFmtId="0" xfId="0" applyBorder="1" applyFont="1"/>
    <xf borderId="95" fillId="2" fontId="9" numFmtId="10" xfId="0" applyBorder="1" applyFont="1" applyNumberFormat="1"/>
    <xf borderId="18" fillId="0" fontId="9" numFmtId="0" xfId="0" applyBorder="1" applyFont="1"/>
    <xf borderId="13" fillId="2" fontId="7" numFmtId="0" xfId="0" applyBorder="1" applyFont="1"/>
    <xf borderId="14" fillId="2" fontId="9" numFmtId="10" xfId="0" applyBorder="1" applyFont="1" applyNumberFormat="1"/>
    <xf borderId="84" fillId="2" fontId="7" numFmtId="0" xfId="0" applyBorder="1" applyFont="1"/>
    <xf borderId="96" fillId="2" fontId="9" numFmtId="0" xfId="0" applyBorder="1" applyFont="1"/>
    <xf borderId="14" fillId="0" fontId="9" numFmtId="0" xfId="0" applyBorder="1" applyFont="1"/>
    <xf borderId="13" fillId="0" fontId="9" numFmtId="3" xfId="0" applyBorder="1" applyFont="1" applyNumberFormat="1"/>
    <xf borderId="14" fillId="2" fontId="9" numFmtId="10" xfId="0" applyAlignment="1" applyBorder="1" applyFont="1" applyNumberFormat="1">
      <alignment horizontal="right"/>
    </xf>
    <xf borderId="15" fillId="0" fontId="9" numFmtId="0" xfId="0" applyBorder="1" applyFont="1"/>
    <xf borderId="14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89" fillId="2" fontId="7" numFmtId="0" xfId="0" applyBorder="1" applyFont="1"/>
    <xf borderId="55" fillId="2" fontId="9" numFmtId="0" xfId="0" applyBorder="1" applyFont="1"/>
    <xf borderId="44" fillId="2" fontId="7" numFmtId="0" xfId="0" applyBorder="1" applyFont="1"/>
    <xf borderId="26" fillId="2" fontId="9" numFmtId="0" xfId="0" applyBorder="1" applyFont="1"/>
    <xf borderId="37" fillId="0" fontId="9" numFmtId="0" xfId="0" applyBorder="1" applyFont="1"/>
    <xf borderId="49" fillId="2" fontId="7" numFmtId="0" xfId="0" applyBorder="1" applyFont="1"/>
    <xf borderId="60" fillId="2" fontId="9" numFmtId="0" xfId="0" applyBorder="1" applyFont="1"/>
    <xf borderId="15" fillId="4" fontId="9" numFmtId="165" xfId="0" applyBorder="1" applyFont="1" applyNumberFormat="1"/>
    <xf borderId="11" fillId="4" fontId="9" numFmtId="0" xfId="0" applyBorder="1" applyFont="1"/>
    <xf borderId="11" fillId="4" fontId="9" numFmtId="164" xfId="0" applyBorder="1" applyFont="1" applyNumberFormat="1"/>
    <xf borderId="14" fillId="4" fontId="9" numFmtId="0" xfId="0" applyBorder="1" applyFont="1"/>
    <xf borderId="15" fillId="2" fontId="7" numFmtId="0" xfId="0" applyBorder="1" applyFont="1"/>
    <xf borderId="7" fillId="0" fontId="9" numFmtId="0" xfId="0" applyBorder="1" applyFont="1"/>
    <xf borderId="5" fillId="0" fontId="9" numFmtId="0" xfId="0" applyBorder="1" applyFont="1"/>
    <xf borderId="8" fillId="0" fontId="9" numFmtId="0" xfId="0" applyBorder="1" applyFont="1"/>
    <xf borderId="14" fillId="2" fontId="7" numFmtId="3" xfId="0" applyBorder="1" applyFont="1" applyNumberFormat="1"/>
    <xf borderId="52" fillId="0" fontId="7" numFmtId="0" xfId="0" applyBorder="1" applyFont="1"/>
    <xf borderId="42" fillId="0" fontId="7" numFmtId="3" xfId="0" applyBorder="1" applyFont="1" applyNumberFormat="1"/>
    <xf borderId="0" fillId="0" fontId="16" numFmtId="0" xfId="0" applyFont="1"/>
    <xf borderId="0" fillId="0" fontId="17" numFmtId="0" xfId="0" applyFont="1"/>
    <xf borderId="0" fillId="0" fontId="18" numFmtId="0" xfId="0" applyFont="1"/>
    <xf borderId="0" fillId="0" fontId="19" numFmtId="0" xfId="0" applyFont="1"/>
    <xf borderId="97" fillId="8" fontId="18" numFmtId="0" xfId="0" applyAlignment="1" applyBorder="1" applyFill="1" applyFont="1">
      <alignment horizontal="center" vertical="center"/>
    </xf>
    <xf quotePrefix="1" borderId="2" fillId="8" fontId="18" numFmtId="0" xfId="0" applyAlignment="1" applyBorder="1" applyFont="1">
      <alignment horizontal="center"/>
    </xf>
    <xf borderId="98" fillId="0" fontId="5" numFmtId="0" xfId="0" applyBorder="1" applyFont="1"/>
    <xf quotePrefix="1" borderId="7" fillId="8" fontId="18" numFmtId="0" xfId="0" applyAlignment="1" applyBorder="1" applyFont="1">
      <alignment horizontal="center" readingOrder="0"/>
    </xf>
    <xf borderId="0" fillId="0" fontId="16" numFmtId="0" xfId="0" applyAlignment="1" applyFont="1">
      <alignment shrinkToFit="0" vertical="top" wrapText="1"/>
    </xf>
    <xf borderId="99" fillId="0" fontId="5" numFmtId="0" xfId="0" applyBorder="1" applyFont="1"/>
    <xf borderId="13" fillId="8" fontId="18" numFmtId="0" xfId="0" applyAlignment="1" applyBorder="1" applyFont="1">
      <alignment horizontal="center" shrinkToFit="0" vertical="top" wrapText="1"/>
    </xf>
    <xf borderId="12" fillId="8" fontId="18" numFmtId="0" xfId="0" applyAlignment="1" applyBorder="1" applyFont="1">
      <alignment horizontal="center" shrinkToFit="0" vertical="top" wrapText="1"/>
    </xf>
    <xf borderId="9" fillId="8" fontId="18" numFmtId="0" xfId="0" applyAlignment="1" applyBorder="1" applyFont="1">
      <alignment horizontal="center" shrinkToFit="0" vertical="top" wrapText="1"/>
    </xf>
    <xf borderId="100" fillId="0" fontId="18" numFmtId="0" xfId="0" applyAlignment="1" applyBorder="1" applyFont="1">
      <alignment horizontal="center"/>
    </xf>
    <xf borderId="76" fillId="0" fontId="12" numFmtId="0" xfId="0" applyBorder="1" applyFont="1"/>
    <xf borderId="42" fillId="0" fontId="12" numFmtId="3" xfId="0" applyAlignment="1" applyBorder="1" applyFont="1" applyNumberFormat="1">
      <alignment horizontal="center"/>
    </xf>
    <xf borderId="53" fillId="0" fontId="12" numFmtId="0" xfId="0" applyAlignment="1" applyBorder="1" applyFont="1">
      <alignment horizontal="center"/>
    </xf>
    <xf borderId="42" fillId="0" fontId="12" numFmtId="0" xfId="0" applyAlignment="1" applyBorder="1" applyFont="1">
      <alignment horizontal="center"/>
    </xf>
    <xf borderId="9" fillId="0" fontId="18" numFmtId="0" xfId="0" applyAlignment="1" applyBorder="1" applyFont="1">
      <alignment horizontal="center"/>
    </xf>
    <xf borderId="7" fillId="0" fontId="18" numFmtId="0" xfId="0" applyBorder="1" applyFont="1"/>
    <xf borderId="13" fillId="0" fontId="18" numFmtId="165" xfId="0" applyAlignment="1" applyBorder="1" applyFont="1" applyNumberFormat="1">
      <alignment horizontal="center"/>
    </xf>
    <xf borderId="12" fillId="0" fontId="18" numFmtId="165" xfId="0" applyAlignment="1" applyBorder="1" applyFont="1" applyNumberFormat="1">
      <alignment horizontal="center"/>
    </xf>
    <xf borderId="63" fillId="0" fontId="12" numFmtId="0" xfId="0" applyAlignment="1" applyBorder="1" applyFont="1">
      <alignment horizontal="center"/>
    </xf>
    <xf borderId="67" fillId="0" fontId="12" numFmtId="0" xfId="0" applyBorder="1" applyFont="1"/>
    <xf borderId="21" fillId="0" fontId="12" numFmtId="165" xfId="0" applyAlignment="1" applyBorder="1" applyFont="1" applyNumberFormat="1">
      <alignment horizontal="center"/>
    </xf>
    <xf borderId="24" fillId="0" fontId="12" numFmtId="165" xfId="0" applyAlignment="1" applyBorder="1" applyFont="1" applyNumberFormat="1">
      <alignment horizontal="center"/>
    </xf>
    <xf borderId="29" fillId="0" fontId="12" numFmtId="0" xfId="0" applyBorder="1" applyFont="1"/>
    <xf borderId="68" fillId="0" fontId="12" numFmtId="0" xfId="0" applyBorder="1" applyFont="1"/>
    <xf borderId="18" fillId="0" fontId="12" numFmtId="165" xfId="0" applyAlignment="1" applyBorder="1" applyFont="1" applyNumberFormat="1">
      <alignment horizontal="center"/>
    </xf>
    <xf borderId="30" fillId="0" fontId="12" numFmtId="165" xfId="0" applyAlignment="1" applyBorder="1" applyFont="1" applyNumberFormat="1">
      <alignment horizontal="center"/>
    </xf>
    <xf borderId="29" fillId="0" fontId="12" numFmtId="0" xfId="0" applyAlignment="1" applyBorder="1" applyFont="1">
      <alignment horizontal="center"/>
    </xf>
    <xf borderId="18" fillId="0" fontId="18" numFmtId="165" xfId="0" applyAlignment="1" applyBorder="1" applyFont="1" applyNumberFormat="1">
      <alignment horizontal="center"/>
    </xf>
    <xf borderId="30" fillId="0" fontId="18" numFmtId="165" xfId="0" applyAlignment="1" applyBorder="1" applyFont="1" applyNumberFormat="1">
      <alignment horizontal="center"/>
    </xf>
    <xf borderId="29" fillId="0" fontId="18" numFmtId="165" xfId="0" applyAlignment="1" applyBorder="1" applyFont="1" applyNumberFormat="1">
      <alignment horizontal="center"/>
    </xf>
    <xf borderId="69" fillId="0" fontId="12" numFmtId="165" xfId="0" applyAlignment="1" applyBorder="1" applyFont="1" applyNumberFormat="1">
      <alignment horizontal="center"/>
    </xf>
    <xf borderId="29" fillId="0" fontId="12" numFmtId="165" xfId="0" applyAlignment="1" applyBorder="1" applyFont="1" applyNumberFormat="1">
      <alignment horizontal="center"/>
    </xf>
    <xf borderId="18" fillId="0" fontId="16" numFmtId="165" xfId="0" applyAlignment="1" applyBorder="1" applyFont="1" applyNumberFormat="1">
      <alignment horizontal="center" vertical="center"/>
    </xf>
    <xf borderId="29" fillId="0" fontId="16" numFmtId="165" xfId="0" applyAlignment="1" applyBorder="1" applyFont="1" applyNumberFormat="1">
      <alignment horizontal="center" vertical="center"/>
    </xf>
    <xf borderId="68" fillId="0" fontId="12" numFmtId="0" xfId="0" applyAlignment="1" applyBorder="1" applyFont="1">
      <alignment horizontal="center"/>
    </xf>
    <xf borderId="18" fillId="0" fontId="12" numFmtId="0" xfId="0" applyAlignment="1" applyBorder="1" applyFont="1">
      <alignment horizontal="center"/>
    </xf>
    <xf borderId="30" fillId="0" fontId="12" numFmtId="0" xfId="0" applyAlignment="1" applyBorder="1" applyFont="1">
      <alignment horizontal="center"/>
    </xf>
    <xf borderId="69" fillId="0" fontId="12" numFmtId="0" xfId="0" applyAlignment="1" applyBorder="1" applyFont="1">
      <alignment horizontal="center"/>
    </xf>
    <xf borderId="29" fillId="0" fontId="18" numFmtId="0" xfId="0" applyBorder="1" applyFont="1"/>
    <xf borderId="68" fillId="0" fontId="20" numFmtId="0" xfId="0" applyBorder="1" applyFont="1"/>
    <xf borderId="101" fillId="0" fontId="12" numFmtId="0" xfId="0" applyBorder="1" applyFont="1"/>
    <xf borderId="74" fillId="0" fontId="12" numFmtId="0" xfId="0" applyBorder="1" applyFont="1"/>
    <xf borderId="40" fillId="0" fontId="12" numFmtId="165" xfId="0" applyAlignment="1" applyBorder="1" applyFont="1" applyNumberFormat="1">
      <alignment horizontal="center"/>
    </xf>
    <xf borderId="38" fillId="0" fontId="12" numFmtId="165" xfId="0" applyAlignment="1" applyBorder="1" applyFont="1" applyNumberFormat="1">
      <alignment horizontal="center"/>
    </xf>
    <xf borderId="40" fillId="0" fontId="12" numFmtId="165" xfId="0" applyAlignment="1" applyBorder="1" applyFont="1" applyNumberFormat="1">
      <alignment horizontal="center" readingOrder="0"/>
    </xf>
    <xf borderId="101" fillId="0" fontId="12" numFmtId="165" xfId="0" applyAlignment="1" applyBorder="1" applyFont="1" applyNumberFormat="1">
      <alignment horizontal="center" readingOrder="0"/>
    </xf>
    <xf borderId="70" fillId="0" fontId="12" numFmtId="165" xfId="0" applyAlignment="1" applyBorder="1" applyFont="1" applyNumberFormat="1">
      <alignment horizontal="center"/>
    </xf>
    <xf borderId="9" fillId="0" fontId="18" numFmtId="0" xfId="0" applyBorder="1" applyFont="1"/>
    <xf borderId="9" fillId="0" fontId="18" numFmtId="165" xfId="0" applyAlignment="1" applyBorder="1" applyFont="1" applyNumberFormat="1">
      <alignment horizontal="center"/>
    </xf>
    <xf borderId="8" fillId="0" fontId="18" numFmtId="165" xfId="0" applyAlignment="1" applyBorder="1" applyFont="1" applyNumberFormat="1">
      <alignment horizontal="center"/>
    </xf>
    <xf borderId="9" fillId="0" fontId="12" numFmtId="0" xfId="0" applyBorder="1" applyFont="1"/>
    <xf borderId="12" fillId="0" fontId="12" numFmtId="165" xfId="0" applyAlignment="1" applyBorder="1" applyFont="1" applyNumberFormat="1">
      <alignment horizontal="center"/>
    </xf>
    <xf borderId="13" fillId="0" fontId="12" numFmtId="165" xfId="0" applyAlignment="1" applyBorder="1" applyFont="1" applyNumberFormat="1">
      <alignment horizontal="center"/>
    </xf>
    <xf borderId="8" fillId="0" fontId="12" numFmtId="165" xfId="0" applyAlignment="1" applyBorder="1" applyFont="1" applyNumberFormat="1">
      <alignment horizontal="center"/>
    </xf>
    <xf borderId="63" fillId="0" fontId="12" numFmtId="0" xfId="0" applyBorder="1" applyFont="1"/>
    <xf borderId="63" fillId="0" fontId="12" numFmtId="165" xfId="0" applyAlignment="1" applyBorder="1" applyFont="1" applyNumberFormat="1">
      <alignment horizontal="center"/>
    </xf>
    <xf borderId="66" fillId="0" fontId="12" numFmtId="165" xfId="0" applyAlignment="1" applyBorder="1" applyFont="1" applyNumberFormat="1">
      <alignment horizontal="center"/>
    </xf>
    <xf borderId="68" fillId="0" fontId="21" numFmtId="0" xfId="0" applyAlignment="1" applyBorder="1" applyFont="1">
      <alignment horizontal="left"/>
    </xf>
    <xf borderId="101" fillId="0" fontId="12" numFmtId="165" xfId="0" applyAlignment="1" applyBorder="1" applyFont="1" applyNumberFormat="1">
      <alignment horizontal="center"/>
    </xf>
    <xf borderId="31" fillId="0" fontId="12" numFmtId="165" xfId="0" applyAlignment="1" applyBorder="1" applyFont="1" applyNumberFormat="1">
      <alignment horizontal="center"/>
    </xf>
    <xf borderId="18" fillId="0" fontId="22" numFmtId="165" xfId="0" applyBorder="1" applyFont="1" applyNumberFormat="1"/>
    <xf borderId="29" fillId="0" fontId="9" numFmtId="165" xfId="0" applyAlignment="1" applyBorder="1" applyFont="1" applyNumberFormat="1">
      <alignment readingOrder="0"/>
    </xf>
    <xf borderId="63" fillId="0" fontId="12" numFmtId="165" xfId="0" applyAlignment="1" applyBorder="1" applyFont="1" applyNumberFormat="1">
      <alignment horizontal="center" readingOrder="0"/>
    </xf>
    <xf borderId="29" fillId="0" fontId="12" numFmtId="165" xfId="0" applyAlignment="1" applyBorder="1" applyFont="1" applyNumberFormat="1">
      <alignment horizontal="center" readingOrder="0"/>
    </xf>
    <xf borderId="97" fillId="0" fontId="12" numFmtId="0" xfId="0" applyBorder="1" applyFont="1"/>
    <xf borderId="74" fillId="0" fontId="18" numFmtId="0" xfId="0" applyAlignment="1" applyBorder="1" applyFont="1">
      <alignment horizontal="left" vertical="top"/>
    </xf>
    <xf borderId="7" fillId="0" fontId="23" numFmtId="0" xfId="0" applyBorder="1" applyFont="1"/>
    <xf borderId="74" fillId="0" fontId="24" numFmtId="0" xfId="0" applyBorder="1" applyFont="1"/>
    <xf borderId="9" fillId="0" fontId="25" numFmtId="0" xfId="0" applyBorder="1" applyFont="1"/>
    <xf borderId="9" fillId="0" fontId="12" numFmtId="165" xfId="0" applyAlignment="1" applyBorder="1" applyFont="1" applyNumberFormat="1">
      <alignment horizontal="center"/>
    </xf>
    <xf borderId="21" fillId="0" fontId="12" numFmtId="165" xfId="0" applyAlignment="1" applyBorder="1" applyFont="1" applyNumberFormat="1">
      <alignment horizontal="center" readingOrder="0"/>
    </xf>
    <xf borderId="18" fillId="0" fontId="12" numFmtId="165" xfId="0" applyAlignment="1" applyBorder="1" applyFont="1" applyNumberFormat="1">
      <alignment horizontal="center" readingOrder="0"/>
    </xf>
    <xf borderId="42" fillId="0" fontId="12" numFmtId="165" xfId="0" applyAlignment="1" applyBorder="1" applyFont="1" applyNumberFormat="1">
      <alignment horizontal="center"/>
    </xf>
    <xf borderId="100" fillId="0" fontId="12" numFmtId="165" xfId="0" applyAlignment="1" applyBorder="1" applyFont="1" applyNumberFormat="1">
      <alignment horizontal="center" readingOrder="0"/>
    </xf>
    <xf borderId="77" fillId="0" fontId="12" numFmtId="165" xfId="0" applyAlignment="1" applyBorder="1" applyFont="1" applyNumberFormat="1">
      <alignment horizontal="center"/>
    </xf>
    <xf borderId="28" fillId="0" fontId="26" numFmtId="165" xfId="0" applyBorder="1" applyFont="1" applyNumberFormat="1"/>
    <xf borderId="29" fillId="0" fontId="27" numFmtId="165" xfId="0" applyAlignment="1" applyBorder="1" applyFont="1" applyNumberFormat="1">
      <alignment readingOrder="0"/>
    </xf>
    <xf borderId="72" fillId="0" fontId="12" numFmtId="165" xfId="0" applyAlignment="1" applyBorder="1" applyFont="1" applyNumberFormat="1">
      <alignment horizontal="center"/>
    </xf>
    <xf borderId="28" fillId="0" fontId="12" numFmtId="165" xfId="0" applyAlignment="1" applyBorder="1" applyFont="1" applyNumberFormat="1">
      <alignment horizontal="center"/>
    </xf>
    <xf borderId="100" fillId="0" fontId="12" numFmtId="165" xfId="0" applyAlignment="1" applyBorder="1" applyFont="1" applyNumberFormat="1">
      <alignment horizontal="center"/>
    </xf>
    <xf borderId="68" fillId="0" fontId="12" numFmtId="0" xfId="0" applyAlignment="1" applyBorder="1" applyFont="1">
      <alignment readingOrder="0"/>
    </xf>
    <xf borderId="76" fillId="0" fontId="16" numFmtId="0" xfId="0" applyBorder="1" applyFont="1"/>
    <xf borderId="102" fillId="0" fontId="12" numFmtId="0" xfId="0" applyBorder="1" applyFont="1"/>
    <xf borderId="100" fillId="0" fontId="12" numFmtId="0" xfId="0" applyBorder="1" applyFont="1"/>
    <xf borderId="53" fillId="0" fontId="12" numFmtId="165" xfId="0" applyAlignment="1" applyBorder="1" applyFont="1" applyNumberFormat="1">
      <alignment horizontal="center"/>
    </xf>
    <xf borderId="75" fillId="0" fontId="12" numFmtId="165" xfId="0" applyAlignment="1" applyBorder="1" applyFont="1" applyNumberFormat="1">
      <alignment horizontal="center"/>
    </xf>
    <xf borderId="0" fillId="0" fontId="28" numFmtId="0" xfId="0" applyAlignment="1" applyFont="1">
      <alignment readingOrder="0"/>
    </xf>
    <xf borderId="0" fillId="0" fontId="16" numFmtId="165" xfId="0" applyFont="1" applyNumberFormat="1"/>
    <xf quotePrefix="1" borderId="7" fillId="8" fontId="18" numFmtId="0" xfId="0" applyAlignment="1" applyBorder="1" applyFont="1">
      <alignment horizontal="center"/>
    </xf>
    <xf borderId="0" fillId="0" fontId="16" numFmtId="0" xfId="0" applyAlignment="1" applyFont="1">
      <alignment horizontal="center" shrinkToFit="0" vertical="top" wrapText="1"/>
    </xf>
    <xf borderId="63" fillId="0" fontId="5" numFmtId="0" xfId="0" applyBorder="1" applyFont="1"/>
    <xf borderId="44" fillId="8" fontId="18" numFmtId="165" xfId="0" applyAlignment="1" applyBorder="1" applyFont="1" applyNumberFormat="1">
      <alignment horizontal="center" shrinkToFit="0" vertical="top" wrapText="1"/>
    </xf>
    <xf borderId="19" fillId="8" fontId="18" numFmtId="0" xfId="0" applyAlignment="1" applyBorder="1" applyFont="1">
      <alignment horizontal="center" shrinkToFit="0" vertical="top" wrapText="1"/>
    </xf>
    <xf borderId="19" fillId="8" fontId="18" numFmtId="165" xfId="0" applyAlignment="1" applyBorder="1" applyFont="1" applyNumberFormat="1">
      <alignment horizontal="center" shrinkToFit="0" vertical="top" wrapText="1"/>
    </xf>
    <xf borderId="20" fillId="8" fontId="18" numFmtId="0" xfId="0" applyAlignment="1" applyBorder="1" applyFont="1">
      <alignment horizontal="center" shrinkToFit="0" vertical="top" wrapText="1"/>
    </xf>
    <xf borderId="9" fillId="8" fontId="18" numFmtId="165" xfId="0" applyAlignment="1" applyBorder="1" applyFont="1" applyNumberFormat="1">
      <alignment horizontal="center" shrinkToFit="0" vertical="top" wrapText="1"/>
    </xf>
    <xf borderId="28" fillId="0" fontId="12" numFmtId="0" xfId="0" applyAlignment="1" applyBorder="1" applyFont="1">
      <alignment horizontal="center"/>
    </xf>
    <xf borderId="23" fillId="0" fontId="12" numFmtId="0" xfId="0" applyAlignment="1" applyBorder="1" applyFont="1">
      <alignment horizontal="center"/>
    </xf>
    <xf borderId="23" fillId="0" fontId="12" numFmtId="165" xfId="0" applyAlignment="1" applyBorder="1" applyFont="1" applyNumberFormat="1">
      <alignment horizontal="center"/>
    </xf>
    <xf borderId="24" fillId="0" fontId="12" numFmtId="0" xfId="0" applyAlignment="1" applyBorder="1" applyFont="1">
      <alignment horizontal="center"/>
    </xf>
    <xf borderId="101" fillId="0" fontId="12" numFmtId="0" xfId="0" applyAlignment="1" applyBorder="1" applyFont="1">
      <alignment horizontal="center"/>
    </xf>
    <xf borderId="41" fillId="0" fontId="12" numFmtId="0" xfId="0" applyAlignment="1" applyBorder="1" applyFont="1">
      <alignment horizontal="center"/>
    </xf>
    <xf borderId="41" fillId="0" fontId="12" numFmtId="165" xfId="0" applyAlignment="1" applyBorder="1" applyFont="1" applyNumberFormat="1">
      <alignment horizontal="center"/>
    </xf>
    <xf borderId="38" fillId="0" fontId="12" numFmtId="0" xfId="0" applyAlignment="1" applyBorder="1" applyFont="1">
      <alignment horizontal="center"/>
    </xf>
    <xf borderId="11" fillId="0" fontId="18" numFmtId="10" xfId="0" applyAlignment="1" applyBorder="1" applyFont="1" applyNumberFormat="1">
      <alignment horizontal="center"/>
    </xf>
    <xf borderId="11" fillId="0" fontId="18" numFmtId="165" xfId="0" applyAlignment="1" applyBorder="1" applyFont="1" applyNumberFormat="1">
      <alignment horizontal="center"/>
    </xf>
    <xf borderId="12" fillId="0" fontId="18" numFmtId="10" xfId="0" applyAlignment="1" applyBorder="1" applyFont="1" applyNumberFormat="1">
      <alignment horizontal="center"/>
    </xf>
    <xf borderId="97" fillId="0" fontId="18" numFmtId="165" xfId="0" applyAlignment="1" applyBorder="1" applyFont="1" applyNumberFormat="1">
      <alignment horizontal="center"/>
    </xf>
    <xf borderId="15" fillId="0" fontId="18" numFmtId="10" xfId="0" applyAlignment="1" applyBorder="1" applyFont="1" applyNumberFormat="1">
      <alignment horizontal="center"/>
    </xf>
    <xf borderId="23" fillId="0" fontId="12" numFmtId="10" xfId="0" applyAlignment="1" applyBorder="1" applyFont="1" applyNumberFormat="1">
      <alignment horizontal="center"/>
    </xf>
    <xf borderId="22" fillId="0" fontId="12" numFmtId="10" xfId="0" applyAlignment="1" applyBorder="1" applyFont="1" applyNumberFormat="1">
      <alignment horizontal="center"/>
    </xf>
    <xf borderId="64" fillId="0" fontId="12" numFmtId="10" xfId="0" applyAlignment="1" applyBorder="1" applyFont="1" applyNumberFormat="1">
      <alignment horizontal="center"/>
    </xf>
    <xf borderId="103" fillId="0" fontId="29" numFmtId="3" xfId="0" applyAlignment="1" applyBorder="1" applyFont="1" applyNumberFormat="1">
      <alignment readingOrder="0" shrinkToFit="0" vertical="bottom" wrapText="0"/>
    </xf>
    <xf borderId="24" fillId="0" fontId="12" numFmtId="10" xfId="0" applyAlignment="1" applyBorder="1" applyFont="1" applyNumberFormat="1">
      <alignment horizontal="center"/>
    </xf>
    <xf borderId="28" fillId="0" fontId="12" numFmtId="10" xfId="0" applyAlignment="1" applyBorder="1" applyFont="1" applyNumberFormat="1">
      <alignment horizontal="center"/>
    </xf>
    <xf borderId="31" fillId="0" fontId="12" numFmtId="10" xfId="0" applyAlignment="1" applyBorder="1" applyFont="1" applyNumberFormat="1">
      <alignment horizontal="center"/>
    </xf>
    <xf borderId="63" fillId="0" fontId="29" numFmtId="3" xfId="0" applyAlignment="1" applyBorder="1" applyFont="1" applyNumberFormat="1">
      <alignment readingOrder="0" shrinkToFit="0" vertical="bottom" wrapText="0"/>
    </xf>
    <xf borderId="72" fillId="0" fontId="12" numFmtId="10" xfId="0" applyAlignment="1" applyBorder="1" applyFont="1" applyNumberFormat="1">
      <alignment horizontal="center"/>
    </xf>
    <xf borderId="29" fillId="0" fontId="29" numFmtId="165" xfId="0" applyAlignment="1" applyBorder="1" applyFont="1" applyNumberFormat="1">
      <alignment readingOrder="0" shrinkToFit="0" vertical="bottom" wrapText="0"/>
    </xf>
    <xf borderId="30" fillId="0" fontId="12" numFmtId="10" xfId="0" applyAlignment="1" applyBorder="1" applyFont="1" applyNumberFormat="1">
      <alignment horizontal="center"/>
    </xf>
    <xf borderId="29" fillId="0" fontId="3" numFmtId="3" xfId="0" applyAlignment="1" applyBorder="1" applyFont="1" applyNumberFormat="1">
      <alignment readingOrder="0"/>
    </xf>
    <xf borderId="41" fillId="0" fontId="12" numFmtId="10" xfId="0" applyAlignment="1" applyBorder="1" applyFont="1" applyNumberFormat="1">
      <alignment horizontal="center"/>
    </xf>
    <xf borderId="38" fillId="0" fontId="12" numFmtId="10" xfId="0" applyAlignment="1" applyBorder="1" applyFont="1" applyNumberFormat="1">
      <alignment horizontal="center"/>
    </xf>
    <xf borderId="42" fillId="0" fontId="12" numFmtId="165" xfId="0" applyAlignment="1" applyBorder="1" applyFont="1" applyNumberFormat="1">
      <alignment horizontal="center" readingOrder="0"/>
    </xf>
    <xf borderId="72" fillId="0" fontId="8" numFmtId="165" xfId="0" applyAlignment="1" applyBorder="1" applyFont="1" applyNumberFormat="1">
      <alignment horizontal="center"/>
    </xf>
    <xf borderId="28" fillId="0" fontId="8" numFmtId="165" xfId="0" applyBorder="1" applyFont="1" applyNumberFormat="1"/>
    <xf borderId="18" fillId="0" fontId="8" numFmtId="165" xfId="0" applyAlignment="1" applyBorder="1" applyFont="1" applyNumberFormat="1">
      <alignment readingOrder="0"/>
    </xf>
    <xf borderId="29" fillId="0" fontId="8" numFmtId="165" xfId="0" applyAlignment="1" applyBorder="1" applyFont="1" applyNumberFormat="1">
      <alignment readingOrder="0"/>
    </xf>
    <xf borderId="24" fillId="0" fontId="12" numFmtId="10" xfId="0" applyBorder="1" applyFont="1" applyNumberFormat="1"/>
    <xf borderId="18" fillId="0" fontId="8" numFmtId="165" xfId="0" applyBorder="1" applyFont="1" applyNumberFormat="1"/>
    <xf borderId="30" fillId="0" fontId="12" numFmtId="10" xfId="0" applyBorder="1" applyFont="1" applyNumberFormat="1"/>
    <xf borderId="31" fillId="0" fontId="12" numFmtId="0" xfId="0" applyAlignment="1" applyBorder="1" applyFont="1">
      <alignment horizontal="center"/>
    </xf>
    <xf borderId="72" fillId="0" fontId="12" numFmtId="0" xfId="0" applyAlignment="1" applyBorder="1" applyFont="1">
      <alignment horizontal="center"/>
    </xf>
    <xf borderId="18" fillId="0" fontId="19" numFmtId="165" xfId="0" applyAlignment="1" applyBorder="1" applyFont="1" applyNumberFormat="1">
      <alignment horizontal="center" vertical="center"/>
    </xf>
    <xf borderId="28" fillId="0" fontId="18" numFmtId="10" xfId="0" applyAlignment="1" applyBorder="1" applyFont="1" applyNumberFormat="1">
      <alignment horizontal="center"/>
    </xf>
    <xf borderId="28" fillId="0" fontId="18" numFmtId="165" xfId="0" applyAlignment="1" applyBorder="1" applyFont="1" applyNumberFormat="1">
      <alignment horizontal="center"/>
    </xf>
    <xf borderId="28" fillId="0" fontId="19" numFmtId="165" xfId="0" applyAlignment="1" applyBorder="1" applyFont="1" applyNumberFormat="1">
      <alignment horizontal="center" vertical="center"/>
    </xf>
    <xf borderId="30" fillId="0" fontId="18" numFmtId="10" xfId="0" applyAlignment="1" applyBorder="1" applyFont="1" applyNumberFormat="1">
      <alignment horizontal="center"/>
    </xf>
    <xf borderId="29" fillId="0" fontId="19" numFmtId="165" xfId="0" applyAlignment="1" applyBorder="1" applyFont="1" applyNumberFormat="1">
      <alignment horizontal="center" vertical="center"/>
    </xf>
    <xf borderId="28" fillId="0" fontId="16" numFmtId="165" xfId="0" applyAlignment="1" applyBorder="1" applyFont="1" applyNumberFormat="1">
      <alignment horizontal="center" vertical="center"/>
    </xf>
    <xf borderId="82" fillId="0" fontId="12" numFmtId="10" xfId="0" applyAlignment="1" applyBorder="1" applyFont="1" applyNumberFormat="1">
      <alignment horizontal="center"/>
    </xf>
    <xf borderId="11" fillId="0" fontId="18" numFmtId="0" xfId="0" applyAlignment="1" applyBorder="1" applyFont="1">
      <alignment horizontal="center"/>
    </xf>
    <xf borderId="12" fillId="0" fontId="18" numFmtId="0" xfId="0" applyAlignment="1" applyBorder="1" applyFont="1">
      <alignment horizontal="center"/>
    </xf>
    <xf borderId="15" fillId="0" fontId="18" numFmtId="0" xfId="0" applyAlignment="1" applyBorder="1" applyFont="1">
      <alignment horizontal="center"/>
    </xf>
    <xf borderId="29" fillId="0" fontId="30" numFmtId="0" xfId="0" applyBorder="1" applyFont="1"/>
    <xf borderId="28" fillId="0" fontId="12" numFmtId="9" xfId="0" applyAlignment="1" applyBorder="1" applyFont="1" applyNumberFormat="1">
      <alignment horizontal="center"/>
    </xf>
    <xf borderId="45" fillId="0" fontId="12" numFmtId="10" xfId="0" applyAlignment="1" applyBorder="1" applyFont="1" applyNumberFormat="1">
      <alignment horizontal="center"/>
    </xf>
    <xf borderId="45" fillId="0" fontId="12" numFmtId="165" xfId="0" applyAlignment="1" applyBorder="1" applyFont="1" applyNumberFormat="1">
      <alignment horizontal="center"/>
    </xf>
    <xf borderId="53" fillId="0" fontId="12" numFmtId="10" xfId="0" applyAlignment="1" applyBorder="1" applyFont="1" applyNumberFormat="1">
      <alignment horizontal="center"/>
    </xf>
    <xf borderId="100" fillId="0" fontId="8" numFmtId="165" xfId="0" applyBorder="1" applyFont="1" applyNumberFormat="1"/>
    <xf borderId="57" fillId="0" fontId="12" numFmtId="10" xfId="0" applyAlignment="1" applyBorder="1" applyFont="1" applyNumberFormat="1">
      <alignment horizontal="center"/>
    </xf>
    <xf borderId="100" fillId="0" fontId="8" numFmtId="165" xfId="0" applyAlignment="1" applyBorder="1" applyFont="1" applyNumberFormat="1">
      <alignment readingOrder="0"/>
    </xf>
    <xf borderId="97" fillId="0" fontId="18" numFmtId="0" xfId="0" applyBorder="1" applyFont="1"/>
    <xf borderId="104" fillId="0" fontId="18" numFmtId="165" xfId="0" applyAlignment="1" applyBorder="1" applyFont="1" applyNumberFormat="1">
      <alignment horizontal="center"/>
    </xf>
    <xf borderId="105" fillId="0" fontId="18" numFmtId="10" xfId="0" applyAlignment="1" applyBorder="1" applyFont="1" applyNumberFormat="1">
      <alignment horizontal="center"/>
    </xf>
    <xf borderId="105" fillId="0" fontId="18" numFmtId="165" xfId="0" applyAlignment="1" applyBorder="1" applyFont="1" applyNumberFormat="1">
      <alignment horizontal="center"/>
    </xf>
    <xf borderId="106" fillId="0" fontId="18" numFmtId="10" xfId="0" applyAlignment="1" applyBorder="1" applyFont="1" applyNumberFormat="1">
      <alignment horizontal="center"/>
    </xf>
    <xf borderId="107" fillId="0" fontId="18" numFmtId="10" xfId="0" applyAlignment="1" applyBorder="1" applyFont="1" applyNumberFormat="1">
      <alignment horizontal="center"/>
    </xf>
    <xf borderId="63" fillId="0" fontId="31" numFmtId="0" xfId="0" applyAlignment="1" applyBorder="1" applyFont="1">
      <alignment horizontal="left"/>
    </xf>
    <xf borderId="100" fillId="0" fontId="29" numFmtId="165" xfId="0" applyAlignment="1" applyBorder="1" applyFont="1" applyNumberFormat="1">
      <alignment readingOrder="0" shrinkToFit="0" vertical="bottom" wrapText="0"/>
    </xf>
    <xf borderId="100" fillId="0" fontId="29" numFmtId="3" xfId="0" applyAlignment="1" applyBorder="1" applyFont="1" applyNumberFormat="1">
      <alignment readingOrder="0" shrinkToFit="0" vertical="bottom" wrapText="0"/>
    </xf>
    <xf borderId="29" fillId="0" fontId="12" numFmtId="9" xfId="0" applyAlignment="1" applyBorder="1" applyFont="1" applyNumberFormat="1">
      <alignment horizontal="center"/>
    </xf>
    <xf borderId="29" fillId="0" fontId="12" numFmtId="10" xfId="0" applyAlignment="1" applyBorder="1" applyFont="1" applyNumberFormat="1">
      <alignment horizontal="center"/>
    </xf>
    <xf borderId="64" fillId="0" fontId="12" numFmtId="0" xfId="0" applyAlignment="1" applyBorder="1" applyFont="1">
      <alignment horizontal="center"/>
    </xf>
    <xf borderId="108" fillId="0" fontId="13" numFmtId="0" xfId="0" applyAlignment="1" applyBorder="1" applyFont="1">
      <alignment horizontal="center"/>
    </xf>
    <xf borderId="109" fillId="0" fontId="5" numFmtId="0" xfId="0" applyBorder="1" applyFont="1"/>
    <xf borderId="82" fillId="0" fontId="12" numFmtId="0" xfId="0" applyAlignment="1" applyBorder="1" applyFont="1">
      <alignment horizontal="center"/>
    </xf>
    <xf borderId="101" fillId="0" fontId="32" numFmtId="0" xfId="0" applyBorder="1" applyFont="1"/>
    <xf borderId="63" fillId="0" fontId="16" numFmtId="0" xfId="0" applyBorder="1" applyFont="1"/>
    <xf borderId="67" fillId="0" fontId="12" numFmtId="165" xfId="0" applyAlignment="1" applyBorder="1" applyFont="1" applyNumberFormat="1">
      <alignment horizontal="center"/>
    </xf>
    <xf borderId="9" fillId="0" fontId="18" numFmtId="10" xfId="0" applyAlignment="1" applyBorder="1" applyFont="1" applyNumberFormat="1">
      <alignment horizontal="center"/>
    </xf>
    <xf borderId="21" fillId="0" fontId="8" numFmtId="165" xfId="0" applyBorder="1" applyFont="1" applyNumberFormat="1"/>
    <xf borderId="76" fillId="0" fontId="29" numFmtId="165" xfId="0" applyAlignment="1" applyBorder="1" applyFont="1" applyNumberFormat="1">
      <alignment readingOrder="0" shrinkToFit="0" vertical="bottom" wrapText="0"/>
    </xf>
    <xf borderId="29" fillId="0" fontId="33" numFmtId="0" xfId="0" applyBorder="1" applyFont="1"/>
    <xf borderId="68" fillId="0" fontId="12" numFmtId="165" xfId="0" applyAlignment="1" applyBorder="1" applyFont="1" applyNumberFormat="1">
      <alignment horizontal="center"/>
    </xf>
    <xf borderId="101" fillId="0" fontId="16" numFmtId="0" xfId="0" applyBorder="1" applyFont="1"/>
    <xf borderId="100" fillId="0" fontId="16" numFmtId="0" xfId="0" applyBorder="1" applyFont="1"/>
    <xf borderId="45" fillId="0" fontId="12" numFmtId="0" xfId="0" applyAlignment="1" applyBorder="1" applyFont="1">
      <alignment horizontal="center"/>
    </xf>
    <xf borderId="57" fillId="0" fontId="12" numFmtId="165" xfId="0" applyAlignment="1" applyBorder="1" applyFont="1" applyNumberFormat="1">
      <alignment horizontal="center"/>
    </xf>
    <xf borderId="57" fillId="0" fontId="12" numFmtId="0" xfId="0" applyAlignment="1" applyBorder="1" applyFont="1">
      <alignment horizontal="center"/>
    </xf>
    <xf borderId="101" fillId="0" fontId="12" numFmtId="0" xfId="0" applyAlignment="1" applyBorder="1" applyFont="1">
      <alignment readingOrder="0"/>
    </xf>
    <xf borderId="0" fillId="0" fontId="12" numFmtId="165" xfId="0" applyFont="1" applyNumberFormat="1"/>
    <xf borderId="110" fillId="8" fontId="18" numFmtId="165" xfId="0" applyAlignment="1" applyBorder="1" applyFont="1" applyNumberFormat="1">
      <alignment horizontal="center" shrinkToFit="0" vertical="top" wrapText="1"/>
    </xf>
    <xf borderId="43" fillId="8" fontId="18" numFmtId="0" xfId="0" applyAlignment="1" applyBorder="1" applyFont="1">
      <alignment horizontal="center" shrinkToFit="0" vertical="top" wrapText="1"/>
    </xf>
    <xf borderId="43" fillId="8" fontId="18" numFmtId="165" xfId="0" applyAlignment="1" applyBorder="1" applyFont="1" applyNumberFormat="1">
      <alignment horizontal="center" shrinkToFit="0" vertical="top" wrapText="1"/>
    </xf>
    <xf borderId="111" fillId="8" fontId="18" numFmtId="0" xfId="0" applyAlignment="1" applyBorder="1" applyFont="1">
      <alignment horizontal="center" shrinkToFit="0" vertical="top" wrapText="1"/>
    </xf>
    <xf borderId="112" fillId="8" fontId="18" numFmtId="0" xfId="0" applyAlignment="1" applyBorder="1" applyFont="1">
      <alignment horizontal="center" shrinkToFit="0" vertical="top" wrapText="1"/>
    </xf>
    <xf borderId="21" fillId="0" fontId="34" numFmtId="165" xfId="0" applyAlignment="1" applyBorder="1" applyFont="1" applyNumberFormat="1">
      <alignment horizontal="center"/>
    </xf>
    <xf borderId="23" fillId="0" fontId="34" numFmtId="0" xfId="0" applyAlignment="1" applyBorder="1" applyFont="1">
      <alignment horizontal="center"/>
    </xf>
    <xf borderId="23" fillId="0" fontId="34" numFmtId="165" xfId="0" applyAlignment="1" applyBorder="1" applyFont="1" applyNumberFormat="1">
      <alignment horizontal="center"/>
    </xf>
    <xf borderId="23" fillId="0" fontId="34" numFmtId="3" xfId="0" applyAlignment="1" applyBorder="1" applyFont="1" applyNumberFormat="1">
      <alignment horizontal="center"/>
    </xf>
    <xf borderId="24" fillId="0" fontId="34" numFmtId="0" xfId="0" applyAlignment="1" applyBorder="1" applyFont="1">
      <alignment horizontal="center"/>
    </xf>
    <xf borderId="18" fillId="0" fontId="34" numFmtId="165" xfId="0" applyAlignment="1" applyBorder="1" applyFont="1" applyNumberFormat="1">
      <alignment horizontal="center"/>
    </xf>
    <xf borderId="28" fillId="0" fontId="34" numFmtId="0" xfId="0" applyAlignment="1" applyBorder="1" applyFont="1">
      <alignment horizontal="center"/>
    </xf>
    <xf borderId="28" fillId="0" fontId="34" numFmtId="165" xfId="0" applyAlignment="1" applyBorder="1" applyFont="1" applyNumberFormat="1">
      <alignment horizontal="center"/>
    </xf>
    <xf borderId="28" fillId="0" fontId="34" numFmtId="3" xfId="0" applyAlignment="1" applyBorder="1" applyFont="1" applyNumberFormat="1">
      <alignment horizontal="center"/>
    </xf>
    <xf borderId="30" fillId="0" fontId="34" numFmtId="0" xfId="0" applyAlignment="1" applyBorder="1" applyFont="1">
      <alignment horizontal="center"/>
    </xf>
    <xf borderId="40" fillId="0" fontId="34" numFmtId="165" xfId="0" applyAlignment="1" applyBorder="1" applyFont="1" applyNumberFormat="1">
      <alignment horizontal="center"/>
    </xf>
    <xf borderId="41" fillId="0" fontId="34" numFmtId="0" xfId="0" applyAlignment="1" applyBorder="1" applyFont="1">
      <alignment horizontal="center"/>
    </xf>
    <xf borderId="41" fillId="0" fontId="34" numFmtId="165" xfId="0" applyAlignment="1" applyBorder="1" applyFont="1" applyNumberFormat="1">
      <alignment horizontal="center"/>
    </xf>
    <xf borderId="41" fillId="0" fontId="34" numFmtId="3" xfId="0" applyAlignment="1" applyBorder="1" applyFont="1" applyNumberFormat="1">
      <alignment horizontal="center"/>
    </xf>
    <xf borderId="38" fillId="0" fontId="34" numFmtId="0" xfId="0" applyAlignment="1" applyBorder="1" applyFont="1">
      <alignment horizontal="center"/>
    </xf>
    <xf borderId="11" fillId="0" fontId="18" numFmtId="3" xfId="0" applyAlignment="1" applyBorder="1" applyFont="1" applyNumberFormat="1">
      <alignment horizontal="center"/>
    </xf>
    <xf borderId="23" fillId="0" fontId="12" numFmtId="3" xfId="0" applyAlignment="1" applyBorder="1" applyFont="1" applyNumberFormat="1">
      <alignment horizontal="center"/>
    </xf>
    <xf borderId="22" fillId="0" fontId="12" numFmtId="0" xfId="0" applyAlignment="1" applyBorder="1" applyFont="1">
      <alignment horizontal="center"/>
    </xf>
    <xf borderId="63" fillId="0" fontId="3" numFmtId="3" xfId="0" applyAlignment="1" applyBorder="1" applyFont="1" applyNumberFormat="1">
      <alignment readingOrder="0"/>
    </xf>
    <xf borderId="28" fillId="0" fontId="12" numFmtId="3" xfId="0" applyAlignment="1" applyBorder="1" applyFont="1" applyNumberFormat="1">
      <alignment horizontal="center"/>
    </xf>
    <xf borderId="18" fillId="0" fontId="26" numFmtId="165" xfId="0" applyBorder="1" applyFont="1" applyNumberFormat="1"/>
    <xf borderId="100" fillId="0" fontId="3" numFmtId="3" xfId="0" applyAlignment="1" applyBorder="1" applyFont="1" applyNumberFormat="1">
      <alignment readingOrder="0"/>
    </xf>
    <xf borderId="29" fillId="7" fontId="12" numFmtId="0" xfId="0" applyBorder="1" applyFont="1"/>
    <xf borderId="28" fillId="0" fontId="18" numFmtId="0" xfId="0" applyAlignment="1" applyBorder="1" applyFont="1">
      <alignment horizontal="center"/>
    </xf>
    <xf borderId="28" fillId="0" fontId="19" numFmtId="3" xfId="0" applyAlignment="1" applyBorder="1" applyFont="1" applyNumberFormat="1">
      <alignment horizontal="center" vertical="center"/>
    </xf>
    <xf borderId="31" fillId="0" fontId="18" numFmtId="0" xfId="0" applyAlignment="1" applyBorder="1" applyFont="1">
      <alignment horizontal="center"/>
    </xf>
    <xf borderId="72" fillId="0" fontId="18" numFmtId="0" xfId="0" applyAlignment="1" applyBorder="1" applyFont="1">
      <alignment horizontal="center"/>
    </xf>
    <xf borderId="30" fillId="0" fontId="18" numFmtId="0" xfId="0" applyAlignment="1" applyBorder="1" applyFont="1">
      <alignment horizontal="center"/>
    </xf>
    <xf borderId="28" fillId="0" fontId="16" numFmtId="3" xfId="0" applyAlignment="1" applyBorder="1" applyFont="1" applyNumberFormat="1">
      <alignment horizontal="center" vertical="center"/>
    </xf>
    <xf borderId="33" fillId="7" fontId="12" numFmtId="0" xfId="0" applyBorder="1" applyFont="1"/>
    <xf borderId="29" fillId="0" fontId="27" numFmtId="3" xfId="0" applyAlignment="1" applyBorder="1" applyFont="1" applyNumberFormat="1">
      <alignment readingOrder="0"/>
    </xf>
    <xf borderId="9" fillId="0" fontId="13" numFmtId="0" xfId="0" applyBorder="1" applyFont="1"/>
    <xf borderId="13" fillId="0" fontId="18" numFmtId="0" xfId="0" applyBorder="1" applyFont="1"/>
    <xf borderId="29" fillId="0" fontId="35" numFmtId="0" xfId="0" applyAlignment="1" applyBorder="1" applyFont="1">
      <alignment horizontal="left"/>
    </xf>
    <xf borderId="9" fillId="7" fontId="18" numFmtId="0" xfId="0" applyBorder="1" applyFont="1"/>
    <xf borderId="9" fillId="7" fontId="18" numFmtId="165" xfId="0" applyAlignment="1" applyBorder="1" applyFont="1" applyNumberFormat="1">
      <alignment horizontal="center"/>
    </xf>
    <xf borderId="9" fillId="7" fontId="18" numFmtId="10" xfId="0" applyAlignment="1" applyBorder="1" applyFont="1" applyNumberFormat="1">
      <alignment horizontal="center"/>
    </xf>
    <xf borderId="9" fillId="7" fontId="18" numFmtId="0" xfId="0" applyAlignment="1" applyBorder="1" applyFont="1">
      <alignment horizontal="center"/>
    </xf>
    <xf borderId="9" fillId="0" fontId="18" numFmtId="3" xfId="0" applyAlignment="1" applyBorder="1" applyFont="1" applyNumberFormat="1">
      <alignment horizontal="center"/>
    </xf>
    <xf borderId="9" fillId="0" fontId="12" numFmtId="10" xfId="0" applyAlignment="1" applyBorder="1" applyFont="1" applyNumberFormat="1">
      <alignment horizontal="center"/>
    </xf>
    <xf borderId="9" fillId="0" fontId="12" numFmtId="0" xfId="0" applyAlignment="1" applyBorder="1" applyFont="1">
      <alignment horizontal="center"/>
    </xf>
    <xf borderId="23" fillId="0" fontId="12" numFmtId="0" xfId="0" applyBorder="1" applyFont="1"/>
    <xf borderId="24" fillId="0" fontId="12" numFmtId="0" xfId="0" applyBorder="1" applyFont="1"/>
    <xf borderId="31" fillId="0" fontId="12" numFmtId="0" xfId="0" applyBorder="1" applyFont="1"/>
    <xf borderId="30" fillId="0" fontId="12" numFmtId="0" xfId="0" applyBorder="1" applyFont="1"/>
    <xf borderId="28" fillId="0" fontId="12" numFmtId="165" xfId="0" applyBorder="1" applyFont="1" applyNumberFormat="1"/>
    <xf borderId="72" fillId="0" fontId="12" numFmtId="0" xfId="0" applyBorder="1" applyFont="1"/>
    <xf borderId="41" fillId="0" fontId="12" numFmtId="0" xfId="0" applyBorder="1" applyFont="1"/>
    <xf borderId="41" fillId="0" fontId="12" numFmtId="165" xfId="0" applyBorder="1" applyFont="1" applyNumberFormat="1"/>
    <xf borderId="38" fillId="0" fontId="12" numFmtId="0" xfId="0" applyBorder="1" applyFont="1"/>
    <xf borderId="82" fillId="0" fontId="12" numFmtId="0" xfId="0" applyBorder="1" applyFont="1"/>
    <xf borderId="0" fillId="0" fontId="36" numFmtId="0" xfId="0" applyFont="1"/>
    <xf borderId="18" fillId="0" fontId="27" numFmtId="165" xfId="0" applyAlignment="1" applyBorder="1" applyFont="1" applyNumberFormat="1">
      <alignment readingOrder="0"/>
    </xf>
    <xf borderId="9" fillId="0" fontId="12" numFmtId="165" xfId="0" applyBorder="1" applyFont="1" applyNumberFormat="1"/>
    <xf borderId="23" fillId="0" fontId="12" numFmtId="165" xfId="0" applyBorder="1" applyFont="1" applyNumberFormat="1"/>
    <xf borderId="64" fillId="0" fontId="12" numFmtId="0" xfId="0" applyBorder="1" applyFont="1"/>
    <xf borderId="9" fillId="0" fontId="18" numFmtId="165" xfId="0" applyBorder="1" applyFont="1" applyNumberFormat="1"/>
    <xf borderId="45" fillId="0" fontId="12" numFmtId="0" xfId="0" applyBorder="1" applyFont="1"/>
    <xf borderId="53" fillId="0" fontId="12" numFmtId="0" xfId="0" applyBorder="1" applyFont="1"/>
    <xf borderId="57" fillId="0" fontId="12" numFmtId="0" xfId="0" applyBorder="1" applyFont="1"/>
    <xf borderId="11" fillId="0" fontId="18" numFmtId="0" xfId="0" applyBorder="1" applyFont="1"/>
    <xf borderId="12" fillId="0" fontId="18" numFmtId="0" xfId="0" applyBorder="1" applyFont="1"/>
    <xf borderId="0" fillId="0" fontId="12" numFmtId="0" xfId="0" applyFont="1"/>
    <xf quotePrefix="1" borderId="2" fillId="8" fontId="18" numFmtId="0" xfId="0" applyAlignment="1" applyBorder="1" applyFont="1">
      <alignment horizontal="center" vertical="center"/>
    </xf>
    <xf quotePrefix="1" borderId="7" fillId="8" fontId="18" numFmtId="0" xfId="0" applyAlignment="1" applyBorder="1" applyFont="1">
      <alignment horizontal="center" vertical="center"/>
    </xf>
    <xf quotePrefix="1" borderId="7" fillId="8" fontId="18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/>
    </xf>
    <xf borderId="0" fillId="0" fontId="16" numFmtId="0" xfId="0" applyAlignment="1" applyFont="1">
      <alignment shrinkToFit="1" vertical="top" wrapText="0"/>
    </xf>
    <xf borderId="13" fillId="8" fontId="18" numFmtId="0" xfId="0" applyAlignment="1" applyBorder="1" applyFont="1">
      <alignment horizontal="center" shrinkToFit="1" vertical="center" wrapText="0"/>
    </xf>
    <xf borderId="11" fillId="8" fontId="18" numFmtId="0" xfId="0" applyAlignment="1" applyBorder="1" applyFont="1">
      <alignment horizontal="center" shrinkToFit="1" vertical="center" wrapText="0"/>
    </xf>
    <xf borderId="12" fillId="8" fontId="18" numFmtId="0" xfId="0" applyAlignment="1" applyBorder="1" applyFont="1">
      <alignment horizontal="center" shrinkToFit="1" vertical="center" wrapText="0"/>
    </xf>
    <xf borderId="9" fillId="8" fontId="18" numFmtId="0" xfId="0" applyAlignment="1" applyBorder="1" applyFont="1">
      <alignment horizontal="center" shrinkToFit="1" vertical="center" wrapText="0"/>
    </xf>
    <xf borderId="0" fillId="0" fontId="18" numFmtId="0" xfId="0" applyAlignment="1" applyFont="1">
      <alignment shrinkToFit="1" vertical="top" wrapText="0"/>
    </xf>
    <xf borderId="21" fillId="0" fontId="12" numFmtId="3" xfId="0" applyAlignment="1" applyBorder="1" applyFont="1" applyNumberFormat="1">
      <alignment horizontal="center"/>
    </xf>
    <xf borderId="18" fillId="0" fontId="12" numFmtId="3" xfId="0" applyAlignment="1" applyBorder="1" applyFont="1" applyNumberFormat="1">
      <alignment horizontal="center"/>
    </xf>
    <xf borderId="40" fillId="0" fontId="12" numFmtId="3" xfId="0" applyAlignment="1" applyBorder="1" applyFont="1" applyNumberFormat="1">
      <alignment horizontal="center"/>
    </xf>
    <xf borderId="41" fillId="0" fontId="12" numFmtId="3" xfId="0" applyAlignment="1" applyBorder="1" applyFont="1" applyNumberFormat="1">
      <alignment horizontal="center"/>
    </xf>
    <xf borderId="113" fillId="7" fontId="18" numFmtId="0" xfId="0" applyBorder="1" applyFont="1"/>
    <xf borderId="13" fillId="7" fontId="18" numFmtId="3" xfId="0" applyAlignment="1" applyBorder="1" applyFont="1" applyNumberFormat="1">
      <alignment horizontal="center"/>
    </xf>
    <xf borderId="11" fillId="7" fontId="18" numFmtId="0" xfId="0" applyAlignment="1" applyBorder="1" applyFont="1">
      <alignment horizontal="center"/>
    </xf>
    <xf borderId="11" fillId="7" fontId="18" numFmtId="3" xfId="0" applyAlignment="1" applyBorder="1" applyFont="1" applyNumberFormat="1">
      <alignment horizontal="center"/>
    </xf>
    <xf borderId="11" fillId="7" fontId="12" numFmtId="3" xfId="0" applyAlignment="1" applyBorder="1" applyFont="1" applyNumberFormat="1">
      <alignment horizontal="center"/>
    </xf>
    <xf borderId="14" fillId="7" fontId="12" numFmtId="0" xfId="0" applyAlignment="1" applyBorder="1" applyFont="1">
      <alignment horizontal="center"/>
    </xf>
    <xf borderId="9" fillId="7" fontId="18" numFmtId="3" xfId="0" applyAlignment="1" applyBorder="1" applyFont="1" applyNumberFormat="1">
      <alignment horizontal="center"/>
    </xf>
    <xf borderId="72" fillId="7" fontId="18" numFmtId="0" xfId="0" applyAlignment="1" applyBorder="1" applyFont="1">
      <alignment horizontal="center"/>
    </xf>
    <xf borderId="28" fillId="7" fontId="18" numFmtId="3" xfId="0" applyAlignment="1" applyBorder="1" applyFont="1" applyNumberFormat="1">
      <alignment horizontal="center"/>
    </xf>
    <xf borderId="30" fillId="7" fontId="18" numFmtId="0" xfId="0" applyAlignment="1" applyBorder="1" applyFont="1">
      <alignment horizontal="center"/>
    </xf>
    <xf borderId="11" fillId="7" fontId="12" numFmtId="0" xfId="0" applyAlignment="1" applyBorder="1" applyFont="1">
      <alignment horizontal="center"/>
    </xf>
    <xf borderId="21" fillId="0" fontId="12" numFmtId="3" xfId="0" applyAlignment="1" applyBorder="1" applyFont="1" applyNumberFormat="1">
      <alignment horizontal="right"/>
    </xf>
    <xf borderId="21" fillId="0" fontId="3" numFmtId="3" xfId="0" applyAlignment="1" applyBorder="1" applyFont="1" applyNumberFormat="1">
      <alignment horizontal="right"/>
    </xf>
    <xf borderId="40" fillId="0" fontId="12" numFmtId="3" xfId="0" applyAlignment="1" applyBorder="1" applyFont="1" applyNumberFormat="1">
      <alignment horizontal="right" readingOrder="0"/>
    </xf>
    <xf borderId="40" fillId="0" fontId="27" numFmtId="165" xfId="0" applyAlignment="1" applyBorder="1" applyFont="1" applyNumberFormat="1">
      <alignment horizontal="right" readingOrder="0"/>
    </xf>
    <xf borderId="37" fillId="0" fontId="12" numFmtId="0" xfId="0" applyAlignment="1" applyBorder="1" applyFont="1">
      <alignment horizontal="center"/>
    </xf>
    <xf borderId="72" fillId="0" fontId="12" numFmtId="165" xfId="0" applyAlignment="1" applyBorder="1" applyFont="1" applyNumberFormat="1">
      <alignment horizontal="right"/>
    </xf>
    <xf borderId="18" fillId="0" fontId="12" numFmtId="165" xfId="0" applyAlignment="1" applyBorder="1" applyFont="1" applyNumberFormat="1">
      <alignment horizontal="right"/>
    </xf>
    <xf borderId="72" fillId="0" fontId="12" numFmtId="3" xfId="0" applyAlignment="1" applyBorder="1" applyFont="1" applyNumberFormat="1">
      <alignment horizontal="right"/>
    </xf>
    <xf borderId="18" fillId="0" fontId="12" numFmtId="3" xfId="0" applyAlignment="1" applyBorder="1" applyFont="1" applyNumberFormat="1">
      <alignment horizontal="right"/>
    </xf>
    <xf borderId="29" fillId="0" fontId="12" numFmtId="3" xfId="0" applyAlignment="1" applyBorder="1" applyFont="1" applyNumberFormat="1">
      <alignment horizontal="right" readingOrder="0"/>
    </xf>
    <xf borderId="29" fillId="0" fontId="12" numFmtId="165" xfId="0" applyAlignment="1" applyBorder="1" applyFont="1" applyNumberFormat="1">
      <alignment horizontal="right"/>
    </xf>
    <xf borderId="29" fillId="0" fontId="12" numFmtId="3" xfId="0" applyAlignment="1" applyBorder="1" applyFont="1" applyNumberFormat="1">
      <alignment horizontal="right"/>
    </xf>
    <xf borderId="40" fillId="0" fontId="12" numFmtId="3" xfId="0" applyAlignment="1" applyBorder="1" applyFont="1" applyNumberFormat="1">
      <alignment horizontal="right"/>
    </xf>
    <xf borderId="101" fillId="0" fontId="12" numFmtId="3" xfId="0" applyAlignment="1" applyBorder="1" applyFont="1" applyNumberFormat="1">
      <alignment horizontal="center"/>
    </xf>
    <xf borderId="18" fillId="0" fontId="26" numFmtId="165" xfId="0" applyAlignment="1" applyBorder="1" applyFont="1" applyNumberFormat="1">
      <alignment horizontal="right"/>
    </xf>
    <xf borderId="18" fillId="0" fontId="19" numFmtId="165" xfId="0" applyAlignment="1" applyBorder="1" applyFont="1" applyNumberFormat="1">
      <alignment horizontal="right" vertical="center"/>
    </xf>
    <xf borderId="28" fillId="0" fontId="18" numFmtId="3" xfId="0" applyAlignment="1" applyBorder="1" applyFont="1" applyNumberFormat="1">
      <alignment horizontal="center"/>
    </xf>
    <xf borderId="21" fillId="0" fontId="19" numFmtId="165" xfId="0" applyAlignment="1" applyBorder="1" applyFont="1" applyNumberFormat="1">
      <alignment horizontal="right" vertical="center"/>
    </xf>
    <xf borderId="63" fillId="0" fontId="19" numFmtId="165" xfId="0" applyAlignment="1" applyBorder="1" applyFont="1" applyNumberFormat="1">
      <alignment horizontal="right" vertical="center"/>
    </xf>
    <xf borderId="29" fillId="0" fontId="12" numFmtId="3" xfId="0" applyAlignment="1" applyBorder="1" applyFont="1" applyNumberFormat="1">
      <alignment horizontal="center"/>
    </xf>
    <xf borderId="76" fillId="0" fontId="10" numFmtId="3" xfId="0" applyAlignment="1" applyBorder="1" applyFont="1" applyNumberFormat="1">
      <alignment readingOrder="0"/>
    </xf>
    <xf borderId="101" fillId="0" fontId="12" numFmtId="3" xfId="0" applyAlignment="1" applyBorder="1" applyFont="1" applyNumberFormat="1">
      <alignment horizontal="center" readingOrder="0"/>
    </xf>
    <xf borderId="13" fillId="0" fontId="18" numFmtId="3" xfId="0" applyAlignment="1" applyBorder="1" applyFont="1" applyNumberFormat="1">
      <alignment horizontal="center"/>
    </xf>
    <xf borderId="63" fillId="0" fontId="12" numFmtId="3" xfId="0" applyAlignment="1" applyBorder="1" applyFont="1" applyNumberFormat="1">
      <alignment horizontal="center"/>
    </xf>
    <xf borderId="30" fillId="0" fontId="12" numFmtId="3" xfId="0" applyAlignment="1" applyBorder="1" applyFont="1" applyNumberFormat="1">
      <alignment horizontal="center"/>
    </xf>
    <xf borderId="29" fillId="0" fontId="37" numFmtId="0" xfId="0" applyBorder="1" applyFont="1"/>
    <xf borderId="45" fillId="0" fontId="12" numFmtId="3" xfId="0" applyAlignment="1" applyBorder="1" applyFont="1" applyNumberFormat="1">
      <alignment horizontal="center"/>
    </xf>
    <xf borderId="100" fillId="0" fontId="12" numFmtId="3" xfId="0" applyAlignment="1" applyBorder="1" applyFont="1" applyNumberFormat="1">
      <alignment horizontal="center" readingOrder="0"/>
    </xf>
    <xf borderId="72" fillId="0" fontId="18" numFmtId="3" xfId="0" applyAlignment="1" applyBorder="1" applyFont="1" applyNumberFormat="1">
      <alignment horizontal="center"/>
    </xf>
    <xf borderId="29" fillId="0" fontId="12" numFmtId="3" xfId="0" applyAlignment="1" applyBorder="1" applyFont="1" applyNumberFormat="1">
      <alignment horizontal="center" readingOrder="0"/>
    </xf>
    <xf borderId="18" fillId="0" fontId="12" numFmtId="164" xfId="0" applyAlignment="1" applyBorder="1" applyFont="1" applyNumberFormat="1">
      <alignment horizontal="center"/>
    </xf>
    <xf borderId="29" fillId="0" fontId="12" numFmtId="164" xfId="0" applyAlignment="1" applyBorder="1" applyFont="1" applyNumberFormat="1">
      <alignment horizontal="center" readingOrder="0"/>
    </xf>
    <xf borderId="21" fillId="0" fontId="12" numFmtId="164" xfId="0" applyAlignment="1" applyBorder="1" applyFont="1" applyNumberFormat="1">
      <alignment horizontal="center"/>
    </xf>
    <xf borderId="63" fillId="0" fontId="12" numFmtId="164" xfId="0" applyAlignment="1" applyBorder="1" applyFont="1" applyNumberFormat="1">
      <alignment horizontal="center"/>
    </xf>
    <xf borderId="29" fillId="0" fontId="12" numFmtId="164" xfId="0" applyAlignment="1" applyBorder="1" applyFont="1" applyNumberFormat="1">
      <alignment horizontal="center"/>
    </xf>
    <xf borderId="72" fillId="0" fontId="12" numFmtId="3" xfId="0" applyAlignment="1" applyBorder="1" applyFont="1" applyNumberFormat="1">
      <alignment horizontal="center"/>
    </xf>
    <xf borderId="101" fillId="0" fontId="38" numFmtId="0" xfId="0" applyBorder="1" applyFont="1"/>
    <xf borderId="9" fillId="0" fontId="12" numFmtId="3" xfId="0" applyAlignment="1" applyBorder="1" applyFont="1" applyNumberFormat="1">
      <alignment horizontal="center"/>
    </xf>
    <xf borderId="63" fillId="0" fontId="12" numFmtId="3" xfId="0" applyAlignment="1" applyBorder="1" applyFont="1" applyNumberFormat="1">
      <alignment horizontal="center" readingOrder="0"/>
    </xf>
    <xf borderId="72" fillId="0" fontId="18" numFmtId="10" xfId="0" applyAlignment="1" applyBorder="1" applyFont="1" applyNumberFormat="1">
      <alignment horizontal="center"/>
    </xf>
    <xf borderId="21" fillId="0" fontId="12" numFmtId="3" xfId="0" applyAlignment="1" applyBorder="1" applyFont="1" applyNumberFormat="1">
      <alignment horizontal="center" readingOrder="0"/>
    </xf>
    <xf borderId="18" fillId="0" fontId="12" numFmtId="3" xfId="0" applyAlignment="1" applyBorder="1" applyFont="1" applyNumberFormat="1">
      <alignment horizontal="center" readingOrder="0"/>
    </xf>
    <xf borderId="42" fillId="0" fontId="12" numFmtId="164" xfId="0" applyAlignment="1" applyBorder="1" applyFont="1" applyNumberFormat="1">
      <alignment horizontal="center"/>
    </xf>
    <xf borderId="100" fillId="0" fontId="12" numFmtId="164" xfId="0" applyAlignment="1" applyBorder="1" applyFont="1" applyNumberFormat="1">
      <alignment horizontal="center" readingOrder="0"/>
    </xf>
    <xf borderId="29" fillId="0" fontId="12" numFmtId="0" xfId="0" applyAlignment="1" applyBorder="1" applyFont="1">
      <alignment readingOrder="0"/>
    </xf>
    <xf borderId="18" fillId="0" fontId="12" numFmtId="165" xfId="0" applyAlignment="1" applyBorder="1" applyFont="1" applyNumberFormat="1">
      <alignment horizontal="center" readingOrder="0" shrinkToFit="0" wrapText="1"/>
    </xf>
    <xf borderId="29" fillId="0" fontId="12" numFmtId="0" xfId="0" applyBorder="1" applyFont="1"/>
    <xf borderId="28" fillId="0" fontId="12" numFmtId="1" xfId="0" applyAlignment="1" applyBorder="1" applyFont="1" applyNumberFormat="1">
      <alignment horizontal="center"/>
    </xf>
    <xf borderId="18" fillId="0" fontId="18" numFmtId="3" xfId="0" applyAlignment="1" applyBorder="1" applyFont="1" applyNumberFormat="1">
      <alignment horizontal="center"/>
    </xf>
    <xf borderId="0" fillId="0" fontId="12" numFmtId="3" xfId="0" applyFont="1" applyNumberFormat="1"/>
    <xf borderId="11" fillId="8" fontId="18" numFmtId="0" xfId="0" applyAlignment="1" applyBorder="1" applyFont="1">
      <alignment horizontal="center" shrinkToFit="0" vertical="top" wrapText="1"/>
    </xf>
    <xf borderId="11" fillId="8" fontId="18" numFmtId="165" xfId="0" applyAlignment="1" applyBorder="1" applyFont="1" applyNumberFormat="1">
      <alignment horizontal="center" shrinkToFit="0" vertical="top" wrapText="1"/>
    </xf>
    <xf borderId="102" fillId="0" fontId="12" numFmtId="0" xfId="0" applyAlignment="1" applyBorder="1" applyFont="1">
      <alignment horizontal="center"/>
    </xf>
    <xf borderId="114" fillId="0" fontId="12" numFmtId="3" xfId="0" applyAlignment="1" applyBorder="1" applyFont="1" applyNumberFormat="1">
      <alignment horizontal="center"/>
    </xf>
    <xf borderId="71" fillId="0" fontId="12" numFmtId="0" xfId="0" applyAlignment="1" applyBorder="1" applyFont="1">
      <alignment horizontal="center"/>
    </xf>
    <xf borderId="71" fillId="0" fontId="12" numFmtId="165" xfId="0" applyAlignment="1" applyBorder="1" applyFont="1" applyNumberFormat="1">
      <alignment horizontal="center"/>
    </xf>
    <xf borderId="71" fillId="0" fontId="12" numFmtId="3" xfId="0" applyAlignment="1" applyBorder="1" applyFont="1" applyNumberFormat="1">
      <alignment horizontal="center"/>
    </xf>
    <xf borderId="115" fillId="0" fontId="12" numFmtId="0" xfId="0" applyAlignment="1" applyBorder="1" applyFont="1">
      <alignment horizontal="center"/>
    </xf>
    <xf borderId="102" fillId="0" fontId="12" numFmtId="165" xfId="0" applyAlignment="1" applyBorder="1" applyFont="1" applyNumberFormat="1">
      <alignment horizontal="center"/>
    </xf>
    <xf borderId="102" fillId="0" fontId="12" numFmtId="3" xfId="0" applyAlignment="1" applyBorder="1" applyFont="1" applyNumberFormat="1">
      <alignment horizontal="center"/>
    </xf>
    <xf borderId="63" fillId="0" fontId="12" numFmtId="10" xfId="0" applyAlignment="1" applyBorder="1" applyFont="1" applyNumberFormat="1">
      <alignment horizontal="center"/>
    </xf>
    <xf borderId="9" fillId="7" fontId="12" numFmtId="3" xfId="0" applyAlignment="1" applyBorder="1" applyFont="1" applyNumberFormat="1">
      <alignment horizontal="center"/>
    </xf>
    <xf borderId="9" fillId="7" fontId="12" numFmtId="0" xfId="0" applyAlignment="1" applyBorder="1" applyFont="1">
      <alignment horizontal="center"/>
    </xf>
    <xf borderId="75" fillId="0" fontId="10" numFmtId="0" xfId="0" applyBorder="1" applyFont="1"/>
    <xf borderId="100" fillId="0" fontId="10" numFmtId="0" xfId="0" applyBorder="1" applyFont="1"/>
    <xf borderId="29" fillId="0" fontId="12" numFmtId="10" xfId="0" applyBorder="1" applyFont="1" applyNumberFormat="1"/>
    <xf borderId="28" fillId="0" fontId="12" numFmtId="164" xfId="0" applyAlignment="1" applyBorder="1" applyFont="1" applyNumberFormat="1">
      <alignment horizontal="center"/>
    </xf>
    <xf borderId="30" fillId="0" fontId="12" numFmtId="164" xfId="0" applyAlignment="1" applyBorder="1" applyFont="1" applyNumberFormat="1">
      <alignment horizontal="center"/>
    </xf>
    <xf borderId="101" fillId="0" fontId="12" numFmtId="10" xfId="0" applyAlignment="1" applyBorder="1" applyFont="1" applyNumberFormat="1">
      <alignment horizontal="center"/>
    </xf>
    <xf borderId="29" fillId="0" fontId="12" numFmtId="9" xfId="0" applyBorder="1" applyFont="1" applyNumberFormat="1"/>
    <xf borderId="29" fillId="0" fontId="18" numFmtId="0" xfId="0" applyAlignment="1" applyBorder="1" applyFont="1">
      <alignment horizontal="center"/>
    </xf>
    <xf borderId="0" fillId="0" fontId="12" numFmtId="10" xfId="0" applyFont="1" applyNumberFormat="1"/>
    <xf borderId="29" fillId="0" fontId="18" numFmtId="10" xfId="0" applyAlignment="1" applyBorder="1" applyFont="1" applyNumberFormat="1">
      <alignment horizontal="center"/>
    </xf>
    <xf borderId="9" fillId="0" fontId="39" numFmtId="0" xfId="0" applyBorder="1" applyFont="1"/>
    <xf borderId="113" fillId="7" fontId="4" numFmtId="0" xfId="0" applyBorder="1" applyFont="1"/>
    <xf borderId="100" fillId="0" fontId="12" numFmtId="3" xfId="0" applyAlignment="1" applyBorder="1" applyFont="1" applyNumberFormat="1">
      <alignment horizontal="center"/>
    </xf>
    <xf borderId="100" fillId="0" fontId="12" numFmtId="0" xfId="0" applyAlignment="1" applyBorder="1" applyFont="1">
      <alignment horizontal="center"/>
    </xf>
    <xf borderId="9" fillId="0" fontId="40" numFmtId="0" xfId="0" applyAlignment="1" applyBorder="1" applyFont="1">
      <alignment horizontal="left"/>
    </xf>
    <xf borderId="29" fillId="0" fontId="18" numFmtId="3" xfId="0" applyAlignment="1" applyBorder="1" applyFont="1" applyNumberFormat="1">
      <alignment horizontal="center"/>
    </xf>
    <xf borderId="9" fillId="0" fontId="12" numFmtId="164" xfId="0" applyAlignment="1" applyBorder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110" fillId="8" fontId="18" numFmtId="0" xfId="0" applyAlignment="1" applyBorder="1" applyFont="1">
      <alignment horizontal="center" shrinkToFit="0" vertical="center" wrapText="1"/>
    </xf>
    <xf borderId="43" fillId="8" fontId="18" numFmtId="0" xfId="0" applyAlignment="1" applyBorder="1" applyFont="1">
      <alignment horizontal="center" shrinkToFit="0" vertical="center" wrapText="1"/>
    </xf>
    <xf borderId="43" fillId="8" fontId="18" numFmtId="165" xfId="0" applyAlignment="1" applyBorder="1" applyFont="1" applyNumberFormat="1">
      <alignment horizontal="center" shrinkToFit="0" vertical="center" wrapText="1"/>
    </xf>
    <xf borderId="111" fillId="8" fontId="18" numFmtId="0" xfId="0" applyAlignment="1" applyBorder="1" applyFont="1">
      <alignment horizontal="center" shrinkToFit="0" vertical="center" wrapText="1"/>
    </xf>
    <xf borderId="9" fillId="8" fontId="18" numFmtId="0" xfId="0" applyAlignment="1" applyBorder="1" applyFont="1">
      <alignment horizontal="center" shrinkToFit="0" vertical="center" wrapText="1"/>
    </xf>
    <xf borderId="9" fillId="8" fontId="18" numFmtId="165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top" wrapText="1"/>
    </xf>
    <xf borderId="9" fillId="7" fontId="12" numFmtId="165" xfId="0" applyAlignment="1" applyBorder="1" applyFont="1" applyNumberFormat="1">
      <alignment horizontal="center"/>
    </xf>
    <xf borderId="101" fillId="0" fontId="12" numFmtId="165" xfId="0" applyAlignment="1" applyBorder="1" applyFont="1" applyNumberFormat="1">
      <alignment horizontal="right"/>
    </xf>
    <xf borderId="30" fillId="0" fontId="18" numFmtId="10" xfId="0" applyBorder="1" applyFont="1" applyNumberFormat="1"/>
    <xf borderId="68" fillId="0" fontId="18" numFmtId="3" xfId="0" applyAlignment="1" applyBorder="1" applyFont="1" applyNumberFormat="1">
      <alignment horizontal="center"/>
    </xf>
    <xf borderId="38" fillId="0" fontId="12" numFmtId="10" xfId="0" applyBorder="1" applyFont="1" applyNumberFormat="1"/>
    <xf borderId="18" fillId="0" fontId="3" numFmtId="165" xfId="0" applyAlignment="1" applyBorder="1" applyFont="1" applyNumberFormat="1">
      <alignment horizontal="center" vertical="center"/>
    </xf>
    <xf borderId="11" fillId="0" fontId="18" numFmtId="165" xfId="0" applyBorder="1" applyFont="1" applyNumberFormat="1"/>
    <xf borderId="12" fillId="0" fontId="18" numFmtId="165" xfId="0" applyBorder="1" applyFont="1" applyNumberFormat="1"/>
    <xf borderId="15" fillId="0" fontId="18" numFmtId="165" xfId="0" applyBorder="1" applyFont="1" applyNumberFormat="1"/>
    <xf borderId="40" fillId="0" fontId="12" numFmtId="165" xfId="0" applyAlignment="1" applyBorder="1" applyFont="1" applyNumberFormat="1">
      <alignment horizontal="right"/>
    </xf>
    <xf borderId="52" fillId="0" fontId="12" numFmtId="10" xfId="0" applyBorder="1" applyFont="1" applyNumberFormat="1"/>
    <xf borderId="45" fillId="0" fontId="8" numFmtId="165" xfId="0" applyAlignment="1" applyBorder="1" applyFont="1" applyNumberFormat="1">
      <alignment readingOrder="0"/>
    </xf>
    <xf borderId="53" fillId="0" fontId="12" numFmtId="10" xfId="0" applyBorder="1" applyFont="1" applyNumberFormat="1"/>
    <xf borderId="45" fillId="0" fontId="12" numFmtId="165" xfId="0" applyBorder="1" applyFont="1" applyNumberFormat="1"/>
    <xf borderId="74" fillId="0" fontId="13" numFmtId="0" xfId="0" applyAlignment="1" applyBorder="1" applyFont="1">
      <alignment horizontal="center"/>
    </xf>
    <xf borderId="70" fillId="0" fontId="5" numFmtId="0" xfId="0" applyBorder="1" applyFont="1"/>
    <xf borderId="29" fillId="0" fontId="8" numFmtId="165" xfId="0" applyBorder="1" applyFont="1" applyNumberFormat="1"/>
    <xf borderId="31" fillId="0" fontId="12" numFmtId="10" xfId="0" applyBorder="1" applyFont="1" applyNumberFormat="1"/>
    <xf borderId="0" fillId="0" fontId="29" numFmtId="3" xfId="0" applyAlignment="1" applyFont="1" applyNumberFormat="1">
      <alignment readingOrder="0" shrinkToFit="0" vertical="bottom" wrapText="0"/>
    </xf>
    <xf borderId="63" fillId="0" fontId="12" numFmtId="0" xfId="0" applyAlignment="1" applyBorder="1" applyFont="1">
      <alignment readingOrder="0"/>
    </xf>
    <xf borderId="12" fillId="0" fontId="18" numFmtId="10" xfId="0" applyBorder="1" applyFont="1" applyNumberFormat="1"/>
    <xf borderId="0" fillId="0" fontId="2" numFmtId="165" xfId="0" applyFont="1" applyNumberFormat="1"/>
    <xf borderId="0" fillId="0" fontId="4" numFmtId="0" xfId="0" applyFont="1"/>
    <xf borderId="0" fillId="0" fontId="11" numFmtId="0" xfId="0" applyFont="1"/>
    <xf borderId="97" fillId="8" fontId="4" numFmtId="0" xfId="0" applyAlignment="1" applyBorder="1" applyFont="1">
      <alignment horizontal="center" vertical="center"/>
    </xf>
    <xf quotePrefix="1" borderId="7" fillId="8" fontId="4" numFmtId="0" xfId="0" applyAlignment="1" applyBorder="1" applyFont="1">
      <alignment horizontal="center" vertical="center"/>
    </xf>
    <xf quotePrefix="1" borderId="7" fillId="8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shrinkToFit="0" vertical="top" wrapText="1"/>
    </xf>
    <xf borderId="9" fillId="8" fontId="4" numFmtId="165" xfId="0" applyAlignment="1" applyBorder="1" applyFont="1" applyNumberFormat="1">
      <alignment horizontal="center" shrinkToFit="0" vertical="center" wrapText="1"/>
    </xf>
    <xf borderId="9" fillId="8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63" fillId="0" fontId="3" numFmtId="0" xfId="0" applyAlignment="1" applyBorder="1" applyFont="1">
      <alignment horizontal="center"/>
    </xf>
    <xf borderId="63" fillId="0" fontId="3" numFmtId="0" xfId="0" applyBorder="1" applyFont="1"/>
    <xf borderId="66" fillId="0" fontId="3" numFmtId="165" xfId="0" applyAlignment="1" applyBorder="1" applyFont="1" applyNumberFormat="1">
      <alignment horizontal="center"/>
    </xf>
    <xf borderId="63" fillId="0" fontId="3" numFmtId="165" xfId="0" applyAlignment="1" applyBorder="1" applyFont="1" applyNumberFormat="1">
      <alignment horizontal="center"/>
    </xf>
    <xf borderId="63" fillId="0" fontId="3" numFmtId="3" xfId="0" applyAlignment="1" applyBorder="1" applyFont="1" applyNumberFormat="1">
      <alignment horizontal="center"/>
    </xf>
    <xf borderId="21" fillId="0" fontId="3" numFmtId="0" xfId="0" applyAlignment="1" applyBorder="1" applyFont="1">
      <alignment horizontal="center"/>
    </xf>
    <xf borderId="29" fillId="0" fontId="3" numFmtId="0" xfId="0" applyAlignment="1" applyBorder="1" applyFont="1">
      <alignment horizontal="center"/>
    </xf>
    <xf borderId="29" fillId="0" fontId="3" numFmtId="0" xfId="0" applyBorder="1" applyFont="1"/>
    <xf borderId="69" fillId="0" fontId="3" numFmtId="165" xfId="0" applyAlignment="1" applyBorder="1" applyFont="1" applyNumberFormat="1">
      <alignment horizontal="center"/>
    </xf>
    <xf borderId="29" fillId="0" fontId="3" numFmtId="165" xfId="0" applyAlignment="1" applyBorder="1" applyFont="1" applyNumberFormat="1">
      <alignment horizontal="center"/>
    </xf>
    <xf borderId="29" fillId="0" fontId="3" numFmtId="3" xfId="0" applyAlignment="1" applyBorder="1" applyFont="1" applyNumberFormat="1">
      <alignment horizontal="center"/>
    </xf>
    <xf borderId="18" fillId="0" fontId="3" numFmtId="0" xfId="0" applyAlignment="1" applyBorder="1" applyFont="1">
      <alignment horizontal="center"/>
    </xf>
    <xf borderId="18" fillId="0" fontId="3" numFmtId="0" xfId="0" applyBorder="1" applyFont="1"/>
    <xf borderId="101" fillId="0" fontId="3" numFmtId="0" xfId="0" applyAlignment="1" applyBorder="1" applyFont="1">
      <alignment horizontal="center"/>
    </xf>
    <xf borderId="101" fillId="0" fontId="3" numFmtId="0" xfId="0" applyBorder="1" applyFont="1"/>
    <xf borderId="70" fillId="0" fontId="3" numFmtId="165" xfId="0" applyAlignment="1" applyBorder="1" applyFont="1" applyNumberFormat="1">
      <alignment horizontal="center"/>
    </xf>
    <xf borderId="101" fillId="0" fontId="3" numFmtId="165" xfId="0" applyAlignment="1" applyBorder="1" applyFont="1" applyNumberFormat="1">
      <alignment horizontal="center"/>
    </xf>
    <xf borderId="101" fillId="0" fontId="3" numFmtId="3" xfId="0" applyAlignment="1" applyBorder="1" applyFont="1" applyNumberFormat="1">
      <alignment horizontal="center"/>
    </xf>
    <xf borderId="9" fillId="0" fontId="4" numFmtId="0" xfId="0" applyAlignment="1" applyBorder="1" applyFont="1">
      <alignment horizontal="center"/>
    </xf>
    <xf borderId="9" fillId="0" fontId="4" numFmtId="0" xfId="0" applyBorder="1" applyFont="1"/>
    <xf borderId="9" fillId="0" fontId="4" numFmtId="165" xfId="0" applyAlignment="1" applyBorder="1" applyFont="1" applyNumberFormat="1">
      <alignment horizontal="center"/>
    </xf>
    <xf borderId="9" fillId="0" fontId="4" numFmtId="3" xfId="0" applyAlignment="1" applyBorder="1" applyFont="1" applyNumberFormat="1">
      <alignment horizontal="center"/>
    </xf>
    <xf borderId="63" fillId="0" fontId="4" numFmtId="0" xfId="0" applyAlignment="1" applyBorder="1" applyFont="1">
      <alignment horizontal="center"/>
    </xf>
    <xf borderId="63" fillId="0" fontId="4" numFmtId="0" xfId="0" applyBorder="1" applyFont="1"/>
    <xf borderId="66" fillId="0" fontId="4" numFmtId="165" xfId="0" applyAlignment="1" applyBorder="1" applyFont="1" applyNumberFormat="1">
      <alignment horizontal="center"/>
    </xf>
    <xf borderId="63" fillId="0" fontId="4" numFmtId="165" xfId="0" applyAlignment="1" applyBorder="1" applyFont="1" applyNumberFormat="1">
      <alignment horizontal="center"/>
    </xf>
    <xf borderId="63" fillId="0" fontId="4" numFmtId="3" xfId="0" applyAlignment="1" applyBorder="1" applyFont="1" applyNumberFormat="1">
      <alignment horizontal="center"/>
    </xf>
    <xf borderId="29" fillId="0" fontId="4" numFmtId="0" xfId="0" applyBorder="1" applyFont="1"/>
    <xf borderId="29" fillId="0" fontId="4" numFmtId="165" xfId="0" applyAlignment="1" applyBorder="1" applyFont="1" applyNumberFormat="1">
      <alignment horizontal="center"/>
    </xf>
    <xf borderId="29" fillId="0" fontId="4" numFmtId="3" xfId="0" applyAlignment="1" applyBorder="1" applyFont="1" applyNumberFormat="1">
      <alignment horizontal="center"/>
    </xf>
    <xf borderId="18" fillId="0" fontId="4" numFmtId="0" xfId="0" applyBorder="1" applyFont="1"/>
    <xf borderId="69" fillId="0" fontId="3" numFmtId="165" xfId="0" applyAlignment="1" applyBorder="1" applyFont="1" applyNumberFormat="1">
      <alignment horizontal="center" readingOrder="0"/>
    </xf>
    <xf borderId="29" fillId="0" fontId="3" numFmtId="165" xfId="0" applyAlignment="1" applyBorder="1" applyFont="1" applyNumberFormat="1">
      <alignment horizontal="center" readingOrder="0"/>
    </xf>
    <xf borderId="29" fillId="7" fontId="3" numFmtId="0" xfId="0" applyBorder="1" applyFont="1"/>
    <xf borderId="29" fillId="0" fontId="2" numFmtId="165" xfId="0" applyAlignment="1" applyBorder="1" applyFont="1" applyNumberFormat="1">
      <alignment horizontal="center" vertical="center"/>
    </xf>
    <xf borderId="29" fillId="0" fontId="2" numFmtId="3" xfId="0" applyAlignment="1" applyBorder="1" applyFont="1" applyNumberFormat="1">
      <alignment horizontal="center" vertical="center"/>
    </xf>
    <xf borderId="9" fillId="0" fontId="3" numFmtId="165" xfId="0" applyAlignment="1" applyBorder="1" applyFont="1" applyNumberFormat="1">
      <alignment horizontal="center"/>
    </xf>
    <xf borderId="9" fillId="0" fontId="3" numFmtId="0" xfId="0" applyBorder="1" applyFont="1"/>
    <xf borderId="9" fillId="0" fontId="3" numFmtId="3" xfId="0" applyAlignment="1" applyBorder="1" applyFont="1" applyNumberFormat="1">
      <alignment horizontal="center"/>
    </xf>
    <xf borderId="29" fillId="0" fontId="3" numFmtId="10" xfId="0" applyAlignment="1" applyBorder="1" applyFont="1" applyNumberFormat="1">
      <alignment horizontal="center"/>
    </xf>
    <xf borderId="18" fillId="0" fontId="3" numFmtId="3" xfId="0" applyAlignment="1" applyBorder="1" applyFont="1" applyNumberFormat="1">
      <alignment horizontal="center"/>
    </xf>
    <xf borderId="29" fillId="9" fontId="3" numFmtId="0" xfId="0" applyBorder="1" applyFill="1" applyFont="1"/>
    <xf borderId="116" fillId="9" fontId="3" numFmtId="165" xfId="0" applyAlignment="1" applyBorder="1" applyFont="1" applyNumberFormat="1">
      <alignment horizontal="center"/>
    </xf>
    <xf borderId="29" fillId="9" fontId="3" numFmtId="10" xfId="0" applyAlignment="1" applyBorder="1" applyFont="1" applyNumberFormat="1">
      <alignment horizontal="center"/>
    </xf>
    <xf borderId="29" fillId="9" fontId="3" numFmtId="165" xfId="0" applyAlignment="1" applyBorder="1" applyFont="1" applyNumberFormat="1">
      <alignment horizontal="center"/>
    </xf>
    <xf borderId="29" fillId="9" fontId="3" numFmtId="3" xfId="0" applyAlignment="1" applyBorder="1" applyFont="1" applyNumberFormat="1">
      <alignment horizontal="center"/>
    </xf>
    <xf borderId="18" fillId="9" fontId="3" numFmtId="3" xfId="0" applyAlignment="1" applyBorder="1" applyFont="1" applyNumberFormat="1">
      <alignment horizontal="center"/>
    </xf>
    <xf borderId="78" fillId="9" fontId="3" numFmtId="0" xfId="0" applyBorder="1" applyFont="1"/>
    <xf borderId="69" fillId="0" fontId="3" numFmtId="165" xfId="0" applyBorder="1" applyFont="1" applyNumberFormat="1"/>
    <xf borderId="29" fillId="0" fontId="3" numFmtId="165" xfId="0" applyBorder="1" applyFont="1" applyNumberFormat="1"/>
    <xf borderId="29" fillId="0" fontId="41" numFmtId="0" xfId="0" applyBorder="1" applyFont="1"/>
    <xf borderId="69" fillId="0" fontId="3" numFmtId="165" xfId="0" applyAlignment="1" applyBorder="1" applyFont="1" applyNumberFormat="1">
      <alignment readingOrder="0"/>
    </xf>
    <xf borderId="29" fillId="0" fontId="3" numFmtId="165" xfId="0" applyAlignment="1" applyBorder="1" applyFont="1" applyNumberFormat="1">
      <alignment readingOrder="0"/>
    </xf>
    <xf borderId="70" fillId="0" fontId="3" numFmtId="165" xfId="0" applyAlignment="1" applyBorder="1" applyFont="1" applyNumberFormat="1">
      <alignment readingOrder="0"/>
    </xf>
    <xf borderId="101" fillId="0" fontId="3" numFmtId="165" xfId="0" applyBorder="1" applyFont="1" applyNumberFormat="1"/>
    <xf borderId="101" fillId="0" fontId="3" numFmtId="165" xfId="0" applyAlignment="1" applyBorder="1" applyFont="1" applyNumberFormat="1">
      <alignment readingOrder="0"/>
    </xf>
    <xf borderId="97" fillId="0" fontId="3" numFmtId="0" xfId="0" applyBorder="1" applyFont="1"/>
    <xf borderId="117" fillId="0" fontId="4" numFmtId="165" xfId="0" applyBorder="1" applyFont="1" applyNumberFormat="1"/>
    <xf borderId="97" fillId="0" fontId="4" numFmtId="0" xfId="0" applyBorder="1" applyFont="1"/>
    <xf borderId="97" fillId="0" fontId="4" numFmtId="165" xfId="0" applyBorder="1" applyFont="1" applyNumberFormat="1"/>
    <xf borderId="9" fillId="0" fontId="4" numFmtId="165" xfId="0" applyBorder="1" applyFont="1" applyNumberFormat="1"/>
    <xf borderId="9" fillId="0" fontId="4" numFmtId="165" xfId="0" applyAlignment="1" applyBorder="1" applyFont="1" applyNumberFormat="1">
      <alignment readingOrder="0"/>
    </xf>
    <xf borderId="29" fillId="0" fontId="4" numFmtId="165" xfId="0" applyBorder="1" applyFont="1" applyNumberFormat="1"/>
    <xf borderId="9" fillId="0" fontId="42" numFmtId="0" xfId="0" applyBorder="1" applyFont="1"/>
    <xf borderId="8" fillId="0" fontId="4" numFmtId="165" xfId="0" applyBorder="1" applyFont="1" applyNumberFormat="1"/>
    <xf borderId="9" fillId="0" fontId="4" numFmtId="10" xfId="0" applyAlignment="1" applyBorder="1" applyFont="1" applyNumberFormat="1">
      <alignment horizontal="center"/>
    </xf>
    <xf borderId="9" fillId="0" fontId="4" numFmtId="3" xfId="0" applyBorder="1" applyFont="1" applyNumberFormat="1"/>
    <xf borderId="13" fillId="0" fontId="4" numFmtId="10" xfId="0" applyAlignment="1" applyBorder="1" applyFont="1" applyNumberFormat="1">
      <alignment horizontal="center"/>
    </xf>
    <xf borderId="66" fillId="0" fontId="3" numFmtId="165" xfId="0" applyBorder="1" applyFont="1" applyNumberFormat="1"/>
    <xf borderId="63" fillId="0" fontId="3" numFmtId="165" xfId="0" applyBorder="1" applyFont="1" applyNumberFormat="1"/>
    <xf borderId="21" fillId="0" fontId="3" numFmtId="0" xfId="0" applyBorder="1" applyFont="1"/>
    <xf borderId="29" fillId="0" fontId="43" numFmtId="0" xfId="0" applyAlignment="1" applyBorder="1" applyFont="1">
      <alignment horizontal="left"/>
    </xf>
    <xf borderId="70" fillId="0" fontId="3" numFmtId="165" xfId="0" applyBorder="1" applyFont="1" applyNumberFormat="1"/>
    <xf borderId="18" fillId="0" fontId="4" numFmtId="165" xfId="0" applyBorder="1" applyFont="1" applyNumberFormat="1"/>
    <xf borderId="29" fillId="10" fontId="3" numFmtId="0" xfId="0" applyBorder="1" applyFill="1" applyFont="1"/>
    <xf borderId="116" fillId="10" fontId="3" numFmtId="165" xfId="0" applyAlignment="1" applyBorder="1" applyFont="1" applyNumberFormat="1">
      <alignment horizontal="center"/>
    </xf>
    <xf borderId="29" fillId="10" fontId="3" numFmtId="10" xfId="0" applyAlignment="1" applyBorder="1" applyFont="1" applyNumberFormat="1">
      <alignment horizontal="center"/>
    </xf>
    <xf borderId="29" fillId="10" fontId="3" numFmtId="165" xfId="0" applyAlignment="1" applyBorder="1" applyFont="1" applyNumberFormat="1">
      <alignment horizontal="center"/>
    </xf>
    <xf borderId="29" fillId="10" fontId="3" numFmtId="0" xfId="0" applyAlignment="1" applyBorder="1" applyFont="1">
      <alignment horizontal="center"/>
    </xf>
    <xf borderId="18" fillId="10" fontId="3" numFmtId="10" xfId="0" applyAlignment="1" applyBorder="1" applyFont="1" applyNumberFormat="1">
      <alignment horizontal="center"/>
    </xf>
    <xf borderId="9" fillId="0" fontId="44" numFmtId="0" xfId="0" applyBorder="1" applyFont="1"/>
    <xf borderId="8" fillId="0" fontId="3" numFmtId="165" xfId="0" applyBorder="1" applyFont="1" applyNumberFormat="1"/>
    <xf borderId="9" fillId="0" fontId="3" numFmtId="165" xfId="0" applyBorder="1" applyFont="1" applyNumberFormat="1"/>
    <xf borderId="13" fillId="0" fontId="3" numFmtId="0" xfId="0" applyBorder="1" applyFont="1"/>
    <xf borderId="66" fillId="0" fontId="3" numFmtId="165" xfId="0" applyAlignment="1" applyBorder="1" applyFont="1" applyNumberFormat="1">
      <alignment readingOrder="0"/>
    </xf>
    <xf borderId="63" fillId="0" fontId="3" numFmtId="165" xfId="0" applyAlignment="1" applyBorder="1" applyFont="1" applyNumberFormat="1">
      <alignment readingOrder="0"/>
    </xf>
    <xf borderId="100" fillId="0" fontId="3" numFmtId="0" xfId="0" applyBorder="1" applyFont="1"/>
    <xf borderId="101" fillId="0" fontId="45" numFmtId="0" xfId="0" applyBorder="1" applyFont="1"/>
    <xf borderId="40" fillId="0" fontId="3" numFmtId="0" xfId="0" applyBorder="1" applyFont="1"/>
    <xf borderId="13" fillId="0" fontId="4" numFmtId="0" xfId="0" applyBorder="1" applyFont="1"/>
    <xf borderId="29" fillId="0" fontId="26" numFmtId="165" xfId="0" applyBorder="1" applyFont="1" applyNumberFormat="1"/>
    <xf borderId="100" fillId="0" fontId="2" numFmtId="0" xfId="0" applyBorder="1" applyFont="1"/>
    <xf borderId="75" fillId="0" fontId="3" numFmtId="165" xfId="0" applyBorder="1" applyFont="1" applyNumberFormat="1"/>
    <xf borderId="100" fillId="0" fontId="3" numFmtId="165" xfId="0" applyBorder="1" applyFont="1" applyNumberFormat="1"/>
    <xf borderId="0" fillId="0" fontId="16" numFmtId="10" xfId="0" applyFont="1" applyNumberFormat="1"/>
    <xf quotePrefix="1" borderId="7" fillId="8" fontId="4" numFmtId="0" xfId="0" applyAlignment="1" applyBorder="1" applyFont="1">
      <alignment horizontal="center"/>
    </xf>
    <xf quotePrefix="1" borderId="7" fillId="8" fontId="4" numFmtId="0" xfId="0" applyAlignment="1" applyBorder="1" applyFont="1">
      <alignment horizontal="center" readingOrder="0"/>
    </xf>
    <xf quotePrefix="1" borderId="9" fillId="8" fontId="4" numFmtId="0" xfId="0" applyAlignment="1" applyBorder="1" applyFont="1">
      <alignment horizontal="center" readingOrder="0"/>
    </xf>
    <xf borderId="118" fillId="8" fontId="4" numFmtId="165" xfId="0" applyAlignment="1" applyBorder="1" applyFont="1" applyNumberFormat="1">
      <alignment horizontal="center" shrinkToFit="0" vertical="top" wrapText="1"/>
    </xf>
    <xf borderId="119" fillId="8" fontId="4" numFmtId="10" xfId="0" applyAlignment="1" applyBorder="1" applyFont="1" applyNumberFormat="1">
      <alignment horizontal="center" shrinkToFit="0" vertical="top" wrapText="1"/>
    </xf>
    <xf borderId="119" fillId="8" fontId="4" numFmtId="165" xfId="0" applyAlignment="1" applyBorder="1" applyFont="1" applyNumberFormat="1">
      <alignment horizontal="center" shrinkToFit="0" vertical="top" wrapText="1"/>
    </xf>
    <xf borderId="119" fillId="8" fontId="4" numFmtId="0" xfId="0" applyAlignment="1" applyBorder="1" applyFont="1">
      <alignment horizontal="center" shrinkToFit="0" vertical="top" wrapText="1"/>
    </xf>
    <xf borderId="120" fillId="8" fontId="4" numFmtId="0" xfId="0" applyAlignment="1" applyBorder="1" applyFont="1">
      <alignment horizontal="center" shrinkToFit="0" vertical="top" wrapText="1"/>
    </xf>
    <xf borderId="9" fillId="8" fontId="4" numFmtId="165" xfId="0" applyAlignment="1" applyBorder="1" applyFont="1" applyNumberFormat="1">
      <alignment horizontal="center" shrinkToFit="0" vertical="top" wrapText="1"/>
    </xf>
    <xf borderId="9" fillId="8" fontId="4" numFmtId="10" xfId="0" applyAlignment="1" applyBorder="1" applyFont="1" applyNumberFormat="1">
      <alignment horizontal="center" shrinkToFit="0" vertical="top" wrapText="1"/>
    </xf>
    <xf borderId="9" fillId="8" fontId="4" numFmtId="0" xfId="0" applyAlignment="1" applyBorder="1" applyFont="1">
      <alignment horizontal="center" shrinkToFit="0" vertical="top" wrapText="1"/>
    </xf>
    <xf borderId="17" fillId="11" fontId="12" numFmtId="0" xfId="0" applyAlignment="1" applyBorder="1" applyFill="1" applyFont="1">
      <alignment horizontal="center"/>
    </xf>
    <xf borderId="17" fillId="11" fontId="12" numFmtId="0" xfId="0" applyBorder="1" applyFont="1"/>
    <xf borderId="64" fillId="0" fontId="3" numFmtId="165" xfId="0" applyAlignment="1" applyBorder="1" applyFont="1" applyNumberFormat="1">
      <alignment horizontal="center"/>
    </xf>
    <xf borderId="23" fillId="0" fontId="3" numFmtId="10" xfId="0" applyAlignment="1" applyBorder="1" applyFont="1" applyNumberFormat="1">
      <alignment horizontal="center"/>
    </xf>
    <xf borderId="23" fillId="0" fontId="3" numFmtId="165" xfId="0" applyAlignment="1" applyBorder="1" applyFont="1" applyNumberFormat="1">
      <alignment horizontal="center"/>
    </xf>
    <xf borderId="23" fillId="0" fontId="3" numFmtId="0" xfId="0" applyAlignment="1" applyBorder="1" applyFont="1">
      <alignment horizontal="center"/>
    </xf>
    <xf borderId="23" fillId="0" fontId="3" numFmtId="3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/>
    </xf>
    <xf borderId="21" fillId="0" fontId="3" numFmtId="165" xfId="0" applyAlignment="1" applyBorder="1" applyFont="1" applyNumberFormat="1">
      <alignment horizontal="center"/>
    </xf>
    <xf borderId="29" fillId="11" fontId="12" numFmtId="0" xfId="0" applyAlignment="1" applyBorder="1" applyFont="1">
      <alignment horizontal="center"/>
    </xf>
    <xf borderId="29" fillId="11" fontId="12" numFmtId="0" xfId="0" applyBorder="1" applyFont="1"/>
    <xf borderId="72" fillId="0" fontId="3" numFmtId="165" xfId="0" applyAlignment="1" applyBorder="1" applyFont="1" applyNumberFormat="1">
      <alignment horizontal="center"/>
    </xf>
    <xf borderId="28" fillId="0" fontId="3" numFmtId="10" xfId="0" applyAlignment="1" applyBorder="1" applyFont="1" applyNumberFormat="1">
      <alignment horizontal="center"/>
    </xf>
    <xf borderId="28" fillId="0" fontId="3" numFmtId="165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8" fillId="0" fontId="3" numFmtId="3" xfId="0" applyAlignment="1" applyBorder="1" applyFont="1" applyNumberFormat="1">
      <alignment horizontal="center"/>
    </xf>
    <xf borderId="31" fillId="0" fontId="3" numFmtId="0" xfId="0" applyAlignment="1" applyBorder="1" applyFont="1">
      <alignment horizontal="center"/>
    </xf>
    <xf borderId="18" fillId="0" fontId="3" numFmtId="165" xfId="0" applyAlignment="1" applyBorder="1" applyFont="1" applyNumberFormat="1">
      <alignment horizontal="center"/>
    </xf>
    <xf borderId="28" fillId="0" fontId="3" numFmtId="10" xfId="0" applyBorder="1" applyFont="1" applyNumberFormat="1"/>
    <xf borderId="82" fillId="0" fontId="3" numFmtId="165" xfId="0" applyAlignment="1" applyBorder="1" applyFont="1" applyNumberFormat="1">
      <alignment horizontal="center"/>
    </xf>
    <xf borderId="41" fillId="0" fontId="3" numFmtId="10" xfId="0" applyBorder="1" applyFont="1" applyNumberFormat="1"/>
    <xf borderId="41" fillId="0" fontId="3" numFmtId="165" xfId="0" applyAlignment="1" applyBorder="1" applyFont="1" applyNumberFormat="1">
      <alignment horizontal="center"/>
    </xf>
    <xf borderId="41" fillId="0" fontId="3" numFmtId="3" xfId="0" applyAlignment="1" applyBorder="1" applyFont="1" applyNumberFormat="1">
      <alignment horizontal="center"/>
    </xf>
    <xf borderId="40" fillId="0" fontId="3" numFmtId="165" xfId="0" applyAlignment="1" applyBorder="1" applyFont="1" applyNumberFormat="1">
      <alignment horizontal="center"/>
    </xf>
    <xf borderId="9" fillId="0" fontId="4" numFmtId="0" xfId="0" applyAlignment="1" applyBorder="1" applyFont="1">
      <alignment horizontal="left"/>
    </xf>
    <xf borderId="9" fillId="0" fontId="3" numFmtId="10" xfId="0" applyBorder="1" applyFont="1" applyNumberFormat="1"/>
    <xf borderId="23" fillId="0" fontId="3" numFmtId="10" xfId="0" applyBorder="1" applyFont="1" applyNumberFormat="1"/>
    <xf borderId="63" fillId="0" fontId="3" numFmtId="165" xfId="0" applyAlignment="1" applyBorder="1" applyFont="1" applyNumberFormat="1">
      <alignment horizontal="center" readingOrder="0"/>
    </xf>
    <xf borderId="64" fillId="0" fontId="3" numFmtId="10" xfId="0" applyBorder="1" applyFont="1" applyNumberFormat="1"/>
    <xf borderId="72" fillId="0" fontId="3" numFmtId="10" xfId="0" applyBorder="1" applyFont="1" applyNumberFormat="1"/>
    <xf borderId="18" fillId="0" fontId="3" numFmtId="165" xfId="0" applyAlignment="1" applyBorder="1" applyFont="1" applyNumberFormat="1">
      <alignment horizontal="center" readingOrder="0"/>
    </xf>
    <xf borderId="72" fillId="0" fontId="3" numFmtId="165" xfId="0" applyAlignment="1" applyBorder="1" applyFont="1" applyNumberFormat="1">
      <alignment horizontal="center" readingOrder="0"/>
    </xf>
    <xf borderId="72" fillId="0" fontId="2" numFmtId="165" xfId="0" applyAlignment="1" applyBorder="1" applyFont="1" applyNumberFormat="1">
      <alignment horizontal="center" readingOrder="0" vertical="center"/>
    </xf>
    <xf borderId="28" fillId="0" fontId="2" numFmtId="165" xfId="0" applyAlignment="1" applyBorder="1" applyFont="1" applyNumberFormat="1">
      <alignment horizontal="center" vertical="center"/>
    </xf>
    <xf borderId="28" fillId="0" fontId="2" numFmtId="3" xfId="0" applyAlignment="1" applyBorder="1" applyFont="1" applyNumberFormat="1">
      <alignment horizontal="center" vertical="center"/>
    </xf>
    <xf borderId="28" fillId="0" fontId="4" numFmtId="10" xfId="0" applyBorder="1" applyFont="1" applyNumberFormat="1"/>
    <xf borderId="28" fillId="0" fontId="4" numFmtId="165" xfId="0" applyAlignment="1" applyBorder="1" applyFont="1" applyNumberFormat="1">
      <alignment horizontal="center"/>
    </xf>
    <xf borderId="28" fillId="0" fontId="4" numFmtId="0" xfId="0" applyBorder="1" applyFont="1"/>
    <xf borderId="28" fillId="0" fontId="4" numFmtId="3" xfId="0" applyBorder="1" applyFont="1" applyNumberFormat="1"/>
    <xf borderId="31" fillId="0" fontId="4" numFmtId="0" xfId="0" applyBorder="1" applyFont="1"/>
    <xf borderId="18" fillId="0" fontId="4" numFmtId="165" xfId="0" applyAlignment="1" applyBorder="1" applyFont="1" applyNumberFormat="1">
      <alignment horizontal="center"/>
    </xf>
    <xf borderId="72" fillId="0" fontId="4" numFmtId="10" xfId="0" applyBorder="1" applyFont="1" applyNumberFormat="1"/>
    <xf borderId="82" fillId="0" fontId="4" numFmtId="165" xfId="0" applyAlignment="1" applyBorder="1" applyFont="1" applyNumberFormat="1">
      <alignment horizontal="center"/>
    </xf>
    <xf borderId="41" fillId="0" fontId="4" numFmtId="10" xfId="0" applyBorder="1" applyFont="1" applyNumberFormat="1"/>
    <xf borderId="41" fillId="0" fontId="4" numFmtId="165" xfId="0" applyAlignment="1" applyBorder="1" applyFont="1" applyNumberFormat="1">
      <alignment horizontal="center"/>
    </xf>
    <xf borderId="41" fillId="0" fontId="4" numFmtId="0" xfId="0" applyBorder="1" applyFont="1"/>
    <xf borderId="41" fillId="0" fontId="4" numFmtId="3" xfId="0" applyAlignment="1" applyBorder="1" applyFont="1" applyNumberFormat="1">
      <alignment horizontal="center"/>
    </xf>
    <xf borderId="37" fillId="0" fontId="4" numFmtId="0" xfId="0" applyBorder="1" applyFont="1"/>
    <xf borderId="82" fillId="0" fontId="4" numFmtId="10" xfId="0" applyBorder="1" applyFont="1" applyNumberFormat="1"/>
    <xf borderId="13" fillId="0" fontId="4" numFmtId="165" xfId="0" applyAlignment="1" applyBorder="1" applyFont="1" applyNumberFormat="1">
      <alignment horizontal="center"/>
    </xf>
    <xf borderId="11" fillId="0" fontId="4" numFmtId="10" xfId="0" applyAlignment="1" applyBorder="1" applyFont="1" applyNumberFormat="1">
      <alignment horizontal="center"/>
    </xf>
    <xf borderId="11" fillId="0" fontId="4" numFmtId="165" xfId="0" applyAlignment="1" applyBorder="1" applyFont="1" applyNumberFormat="1">
      <alignment horizontal="center"/>
    </xf>
    <xf borderId="11" fillId="0" fontId="4" numFmtId="0" xfId="0" applyAlignment="1" applyBorder="1" applyFont="1">
      <alignment horizontal="center"/>
    </xf>
    <xf borderId="11" fillId="0" fontId="4" numFmtId="3" xfId="0" applyAlignment="1" applyBorder="1" applyFont="1" applyNumberFormat="1">
      <alignment horizontal="center"/>
    </xf>
    <xf borderId="14" fillId="0" fontId="4" numFmtId="0" xfId="0" applyAlignment="1" applyBorder="1" applyFont="1">
      <alignment horizontal="center"/>
    </xf>
    <xf borderId="15" fillId="0" fontId="4" numFmtId="10" xfId="0" applyAlignment="1" applyBorder="1" applyFont="1" applyNumberFormat="1">
      <alignment horizontal="center"/>
    </xf>
    <xf borderId="22" fillId="0" fontId="3" numFmtId="3" xfId="0" applyAlignment="1" applyBorder="1" applyFont="1" applyNumberFormat="1">
      <alignment horizontal="center"/>
    </xf>
    <xf borderId="64" fillId="0" fontId="3" numFmtId="10" xfId="0" applyAlignment="1" applyBorder="1" applyFont="1" applyNumberFormat="1">
      <alignment horizontal="center"/>
    </xf>
    <xf borderId="31" fillId="0" fontId="3" numFmtId="3" xfId="0" applyAlignment="1" applyBorder="1" applyFont="1" applyNumberFormat="1">
      <alignment horizontal="center"/>
    </xf>
    <xf borderId="72" fillId="0" fontId="3" numFmtId="10" xfId="0" applyAlignment="1" applyBorder="1" applyFont="1" applyNumberFormat="1">
      <alignment horizontal="center"/>
    </xf>
    <xf borderId="121" fillId="9" fontId="3" numFmtId="165" xfId="0" applyAlignment="1" applyBorder="1" applyFont="1" applyNumberFormat="1">
      <alignment horizontal="center"/>
    </xf>
    <xf borderId="28" fillId="9" fontId="3" numFmtId="10" xfId="0" applyAlignment="1" applyBorder="1" applyFont="1" applyNumberFormat="1">
      <alignment horizontal="center"/>
    </xf>
    <xf borderId="28" fillId="9" fontId="3" numFmtId="165" xfId="0" applyAlignment="1" applyBorder="1" applyFont="1" applyNumberFormat="1">
      <alignment horizontal="center"/>
    </xf>
    <xf borderId="28" fillId="9" fontId="3" numFmtId="3" xfId="0" applyAlignment="1" applyBorder="1" applyFont="1" applyNumberFormat="1">
      <alignment horizontal="center"/>
    </xf>
    <xf borderId="32" fillId="9" fontId="3" numFmtId="3" xfId="0" applyAlignment="1" applyBorder="1" applyFont="1" applyNumberFormat="1">
      <alignment horizontal="center"/>
    </xf>
    <xf borderId="18" fillId="9" fontId="3" numFmtId="165" xfId="0" applyAlignment="1" applyBorder="1" applyFont="1" applyNumberFormat="1">
      <alignment horizontal="center"/>
    </xf>
    <xf borderId="72" fillId="9" fontId="3" numFmtId="10" xfId="0" applyAlignment="1" applyBorder="1" applyFont="1" applyNumberFormat="1">
      <alignment horizontal="center"/>
    </xf>
    <xf borderId="0" fillId="0" fontId="26" numFmtId="165" xfId="0" applyFont="1" applyNumberFormat="1"/>
    <xf borderId="70" fillId="0" fontId="3" numFmtId="3" xfId="0" applyAlignment="1" applyBorder="1" applyFont="1" applyNumberFormat="1">
      <alignment readingOrder="0"/>
    </xf>
    <xf borderId="101" fillId="0" fontId="3" numFmtId="10" xfId="0" applyBorder="1" applyFont="1" applyNumberFormat="1"/>
    <xf borderId="101" fillId="0" fontId="3" numFmtId="3" xfId="0" applyAlignment="1" applyBorder="1" applyFont="1" applyNumberFormat="1">
      <alignment readingOrder="0"/>
    </xf>
    <xf borderId="82" fillId="0" fontId="3" numFmtId="10" xfId="0" applyBorder="1" applyFont="1" applyNumberFormat="1"/>
    <xf borderId="15" fillId="0" fontId="4" numFmtId="165" xfId="0" applyBorder="1" applyFont="1" applyNumberFormat="1"/>
    <xf borderId="11" fillId="0" fontId="4" numFmtId="10" xfId="0" applyBorder="1" applyFont="1" applyNumberFormat="1"/>
    <xf borderId="11" fillId="0" fontId="3" numFmtId="165" xfId="0" applyBorder="1" applyFont="1" applyNumberFormat="1"/>
    <xf borderId="11" fillId="0" fontId="3" numFmtId="0" xfId="0" applyBorder="1" applyFont="1"/>
    <xf borderId="14" fillId="0" fontId="3" numFmtId="0" xfId="0" applyBorder="1" applyFont="1"/>
    <xf borderId="15" fillId="0" fontId="4" numFmtId="10" xfId="0" applyBorder="1" applyFont="1" applyNumberFormat="1"/>
    <xf borderId="100" fillId="0" fontId="18" numFmtId="0" xfId="0" applyBorder="1" applyFont="1"/>
    <xf borderId="45" fillId="0" fontId="4" numFmtId="10" xfId="0" applyBorder="1" applyFont="1" applyNumberFormat="1"/>
    <xf borderId="45" fillId="0" fontId="4" numFmtId="165" xfId="0" applyBorder="1" applyFont="1" applyNumberFormat="1"/>
    <xf borderId="45" fillId="0" fontId="4" numFmtId="0" xfId="0" applyBorder="1" applyFont="1"/>
    <xf borderId="52" fillId="0" fontId="4" numFmtId="0" xfId="0" applyBorder="1" applyFont="1"/>
    <xf borderId="100" fillId="0" fontId="26" numFmtId="165" xfId="0" applyBorder="1" applyFont="1" applyNumberFormat="1"/>
    <xf borderId="57" fillId="0" fontId="4" numFmtId="10" xfId="0" applyBorder="1" applyFont="1" applyNumberFormat="1"/>
    <xf borderId="100" fillId="0" fontId="27" numFmtId="165" xfId="0" applyAlignment="1" applyBorder="1" applyFont="1" applyNumberFormat="1">
      <alignment readingOrder="0"/>
    </xf>
    <xf borderId="14" fillId="0" fontId="4" numFmtId="0" xfId="0" applyBorder="1" applyFont="1"/>
    <xf borderId="7" fillId="0" fontId="18" numFmtId="0" xfId="0" applyAlignment="1" applyBorder="1" applyFont="1">
      <alignment horizontal="left"/>
    </xf>
    <xf borderId="11" fillId="0" fontId="3" numFmtId="3" xfId="0" applyBorder="1" applyFont="1" applyNumberFormat="1"/>
    <xf borderId="82" fillId="0" fontId="4" numFmtId="165" xfId="0" applyBorder="1" applyFont="1" applyNumberFormat="1"/>
    <xf borderId="41" fillId="0" fontId="4" numFmtId="165" xfId="0" applyBorder="1" applyFont="1" applyNumberFormat="1"/>
    <xf borderId="37" fillId="0" fontId="4" numFmtId="165" xfId="0" applyBorder="1" applyFont="1" applyNumberFormat="1"/>
    <xf borderId="40" fillId="0" fontId="4" numFmtId="165" xfId="0" applyBorder="1" applyFont="1" applyNumberFormat="1"/>
    <xf borderId="101" fillId="0" fontId="4" numFmtId="165" xfId="0" applyAlignment="1" applyBorder="1" applyFont="1" applyNumberFormat="1">
      <alignment readingOrder="0"/>
    </xf>
    <xf borderId="101" fillId="0" fontId="4" numFmtId="165" xfId="0" applyBorder="1" applyFont="1" applyNumberFormat="1"/>
    <xf borderId="76" fillId="0" fontId="13" numFmtId="0" xfId="0" applyAlignment="1" applyBorder="1" applyFont="1">
      <alignment horizontal="center"/>
    </xf>
    <xf borderId="75" fillId="0" fontId="5" numFmtId="0" xfId="0" applyBorder="1" applyFont="1"/>
    <xf borderId="57" fillId="0" fontId="3" numFmtId="165" xfId="0" applyAlignment="1" applyBorder="1" applyFont="1" applyNumberFormat="1">
      <alignment horizontal="center"/>
    </xf>
    <xf borderId="45" fillId="0" fontId="3" numFmtId="10" xfId="0" applyAlignment="1" applyBorder="1" applyFont="1" applyNumberFormat="1">
      <alignment horizontal="center"/>
    </xf>
    <xf borderId="45" fillId="0" fontId="3" numFmtId="165" xfId="0" applyAlignment="1" applyBorder="1" applyFont="1" applyNumberFormat="1">
      <alignment horizontal="center"/>
    </xf>
    <xf borderId="45" fillId="0" fontId="3" numFmtId="0" xfId="0" applyAlignment="1" applyBorder="1" applyFont="1">
      <alignment horizontal="center"/>
    </xf>
    <xf borderId="52" fillId="0" fontId="3" numFmtId="0" xfId="0" applyAlignment="1" applyBorder="1" applyFont="1">
      <alignment horizontal="center"/>
    </xf>
    <xf borderId="42" fillId="0" fontId="3" numFmtId="165" xfId="0" applyAlignment="1" applyBorder="1" applyFont="1" applyNumberFormat="1">
      <alignment horizontal="center"/>
    </xf>
    <xf borderId="100" fillId="0" fontId="3" numFmtId="165" xfId="0" applyAlignment="1" applyBorder="1" applyFont="1" applyNumberFormat="1">
      <alignment horizontal="center"/>
    </xf>
    <xf borderId="57" fillId="0" fontId="3" numFmtId="10" xfId="0" applyAlignment="1" applyBorder="1" applyFont="1" applyNumberFormat="1">
      <alignment horizontal="center"/>
    </xf>
    <xf borderId="7" fillId="0" fontId="46" numFmtId="0" xfId="0" applyAlignment="1" applyBorder="1" applyFont="1">
      <alignment horizontal="center"/>
    </xf>
    <xf borderId="15" fillId="0" fontId="4" numFmtId="165" xfId="0" applyAlignment="1" applyBorder="1" applyFont="1" applyNumberFormat="1">
      <alignment horizontal="center"/>
    </xf>
    <xf borderId="21" fillId="0" fontId="3" numFmtId="165" xfId="0" applyAlignment="1" applyBorder="1" applyFont="1" applyNumberFormat="1">
      <alignment horizontal="center" readingOrder="0"/>
    </xf>
    <xf borderId="31" fillId="0" fontId="3" numFmtId="10" xfId="0" applyAlignment="1" applyBorder="1" applyFont="1" applyNumberFormat="1">
      <alignment horizontal="center"/>
    </xf>
    <xf borderId="82" fillId="0" fontId="3" numFmtId="165" xfId="0" applyBorder="1" applyFont="1" applyNumberFormat="1"/>
    <xf borderId="65" fillId="0" fontId="3" numFmtId="165" xfId="0" applyBorder="1" applyFont="1" applyNumberFormat="1"/>
    <xf borderId="21" fillId="0" fontId="3" numFmtId="165" xfId="0" applyAlignment="1" applyBorder="1" applyFont="1" applyNumberFormat="1">
      <alignment readingOrder="0"/>
    </xf>
    <xf borderId="18" fillId="0" fontId="3" numFmtId="165" xfId="0" applyAlignment="1" applyBorder="1" applyFont="1" applyNumberFormat="1">
      <alignment readingOrder="0"/>
    </xf>
    <xf borderId="9" fillId="0" fontId="4" numFmtId="10" xfId="0" applyBorder="1" applyFont="1" applyNumberFormat="1"/>
    <xf borderId="64" fillId="0" fontId="3" numFmtId="165" xfId="0" applyAlignment="1" applyBorder="1" applyFont="1" applyNumberFormat="1">
      <alignment readingOrder="0"/>
    </xf>
    <xf borderId="72" fillId="0" fontId="3" numFmtId="165" xfId="0" applyAlignment="1" applyBorder="1" applyFont="1" applyNumberFormat="1">
      <alignment readingOrder="0"/>
    </xf>
    <xf borderId="77" fillId="0" fontId="3" numFmtId="165" xfId="0" applyBorder="1" applyFont="1" applyNumberFormat="1"/>
    <xf borderId="100" fillId="0" fontId="3" numFmtId="165" xfId="0" applyAlignment="1" applyBorder="1" applyFont="1" applyNumberFormat="1">
      <alignment readingOrder="0"/>
    </xf>
    <xf borderId="45" fillId="0" fontId="3" numFmtId="10" xfId="0" applyBorder="1" applyFont="1" applyNumberFormat="1"/>
    <xf borderId="57" fillId="0" fontId="3" numFmtId="10" xfId="0" applyBorder="1" applyFont="1" applyNumberFormat="1"/>
    <xf borderId="11" fillId="0" fontId="3" numFmtId="10" xfId="0" applyBorder="1" applyFont="1" applyNumberFormat="1"/>
    <xf borderId="15" fillId="0" fontId="3" numFmtId="10" xfId="0" applyBorder="1" applyFont="1" applyNumberFormat="1"/>
    <xf borderId="42" fillId="0" fontId="3" numFmtId="165" xfId="0" applyAlignment="1" applyBorder="1" applyFont="1" applyNumberFormat="1">
      <alignment readingOrder="0"/>
    </xf>
    <xf borderId="0" fillId="0" fontId="27" numFmtId="165" xfId="0" applyAlignment="1" applyFont="1" applyNumberFormat="1">
      <alignment readingOrder="0"/>
    </xf>
    <xf borderId="40" fillId="0" fontId="3" numFmtId="165" xfId="0" applyAlignment="1" applyBorder="1" applyFont="1" applyNumberFormat="1">
      <alignment readingOrder="0"/>
    </xf>
    <xf borderId="0" fillId="0" fontId="12" numFmtId="3" xfId="0" applyAlignment="1" applyFont="1" applyNumberFormat="1">
      <alignment horizontal="center"/>
    </xf>
    <xf borderId="0" fillId="0" fontId="16" numFmtId="164" xfId="0" applyFont="1" applyNumberFormat="1"/>
    <xf borderId="110" fillId="8" fontId="18" numFmtId="0" xfId="0" applyAlignment="1" applyBorder="1" applyFont="1">
      <alignment horizontal="center" shrinkToFit="0" vertical="top" wrapText="1"/>
    </xf>
    <xf borderId="43" fillId="8" fontId="18" numFmtId="164" xfId="0" applyAlignment="1" applyBorder="1" applyFont="1" applyNumberFormat="1">
      <alignment horizontal="center" shrinkToFit="0" vertical="top" wrapText="1"/>
    </xf>
    <xf borderId="9" fillId="8" fontId="18" numFmtId="164" xfId="0" applyAlignment="1" applyBorder="1" applyFont="1" applyNumberFormat="1">
      <alignment horizontal="center" shrinkToFit="0" vertical="top" wrapText="1"/>
    </xf>
    <xf borderId="64" fillId="0" fontId="12" numFmtId="3" xfId="0" applyAlignment="1" applyBorder="1" applyFont="1" applyNumberFormat="1">
      <alignment horizontal="center"/>
    </xf>
    <xf borderId="23" fillId="0" fontId="12" numFmtId="164" xfId="0" applyAlignment="1" applyBorder="1" applyFont="1" applyNumberFormat="1">
      <alignment horizontal="center"/>
    </xf>
    <xf borderId="82" fillId="0" fontId="12" numFmtId="3" xfId="0" applyAlignment="1" applyBorder="1" applyFont="1" applyNumberFormat="1">
      <alignment horizontal="center"/>
    </xf>
    <xf borderId="41" fillId="0" fontId="12" numFmtId="164" xfId="0" applyAlignment="1" applyBorder="1" applyFont="1" applyNumberFormat="1">
      <alignment horizontal="center"/>
    </xf>
    <xf borderId="64" fillId="0" fontId="18" numFmtId="165" xfId="0" applyAlignment="1" applyBorder="1" applyFont="1" applyNumberFormat="1">
      <alignment horizontal="center"/>
    </xf>
    <xf borderId="65" fillId="0" fontId="18" numFmtId="165" xfId="0" applyAlignment="1" applyBorder="1" applyFont="1" applyNumberFormat="1">
      <alignment horizontal="center"/>
    </xf>
    <xf borderId="21" fillId="0" fontId="18" numFmtId="165" xfId="0" applyAlignment="1" applyBorder="1" applyFont="1" applyNumberFormat="1">
      <alignment horizontal="center"/>
    </xf>
    <xf borderId="64" fillId="0" fontId="12" numFmtId="165" xfId="0" applyAlignment="1" applyBorder="1" applyFont="1" applyNumberFormat="1">
      <alignment horizontal="center"/>
    </xf>
    <xf borderId="63" fillId="0" fontId="18" numFmtId="165" xfId="0" applyAlignment="1" applyBorder="1" applyFont="1" applyNumberFormat="1">
      <alignment horizontal="center"/>
    </xf>
    <xf borderId="72" fillId="0" fontId="12" numFmtId="165" xfId="0" applyAlignment="1" applyBorder="1" applyFont="1" applyNumberFormat="1">
      <alignment horizontal="center" readingOrder="0"/>
    </xf>
    <xf borderId="72" fillId="0" fontId="19" numFmtId="165" xfId="0" applyAlignment="1" applyBorder="1" applyFont="1" applyNumberFormat="1">
      <alignment horizontal="center" vertical="center"/>
    </xf>
    <xf borderId="28" fillId="0" fontId="19" numFmtId="164" xfId="0" applyAlignment="1" applyBorder="1" applyFont="1" applyNumberFormat="1">
      <alignment horizontal="center" vertical="center"/>
    </xf>
    <xf borderId="72" fillId="0" fontId="16" numFmtId="165" xfId="0" applyAlignment="1" applyBorder="1" applyFont="1" applyNumberFormat="1">
      <alignment horizontal="center" vertical="center"/>
    </xf>
    <xf borderId="28" fillId="0" fontId="16" numFmtId="164" xfId="0" applyAlignment="1" applyBorder="1" applyFont="1" applyNumberFormat="1">
      <alignment horizontal="center" vertical="center"/>
    </xf>
    <xf borderId="82" fillId="0" fontId="12" numFmtId="165" xfId="0" applyAlignment="1" applyBorder="1" applyFont="1" applyNumberFormat="1">
      <alignment horizontal="center"/>
    </xf>
    <xf borderId="15" fillId="0" fontId="18" numFmtId="165" xfId="0" applyAlignment="1" applyBorder="1" applyFont="1" applyNumberFormat="1">
      <alignment horizontal="center"/>
    </xf>
    <xf borderId="11" fillId="0" fontId="18" numFmtId="164" xfId="0" applyAlignment="1" applyBorder="1" applyFont="1" applyNumberFormat="1">
      <alignment horizontal="center"/>
    </xf>
    <xf borderId="101" fillId="0" fontId="18" numFmtId="0" xfId="0" applyBorder="1" applyFont="1"/>
    <xf borderId="63" fillId="0" fontId="47" numFmtId="0" xfId="0" applyBorder="1" applyFont="1"/>
    <xf borderId="9" fillId="0" fontId="18" numFmtId="164" xfId="0" applyAlignment="1" applyBorder="1" applyFont="1" applyNumberFormat="1">
      <alignment horizontal="center"/>
    </xf>
    <xf borderId="63" fillId="0" fontId="18" numFmtId="0" xfId="0" applyBorder="1" applyFont="1"/>
    <xf borderId="82" fillId="0" fontId="18" numFmtId="165" xfId="0" applyAlignment="1" applyBorder="1" applyFont="1" applyNumberFormat="1">
      <alignment horizontal="center"/>
    </xf>
    <xf borderId="41" fillId="0" fontId="18" numFmtId="0" xfId="0" applyAlignment="1" applyBorder="1" applyFont="1">
      <alignment horizontal="center"/>
    </xf>
    <xf borderId="41" fillId="0" fontId="18" numFmtId="165" xfId="0" applyAlignment="1" applyBorder="1" applyFont="1" applyNumberFormat="1">
      <alignment horizontal="center"/>
    </xf>
    <xf borderId="41" fillId="0" fontId="18" numFmtId="10" xfId="0" applyAlignment="1" applyBorder="1" applyFont="1" applyNumberFormat="1">
      <alignment horizontal="center"/>
    </xf>
    <xf borderId="41" fillId="0" fontId="18" numFmtId="164" xfId="0" applyAlignment="1" applyBorder="1" applyFont="1" applyNumberFormat="1">
      <alignment horizontal="center"/>
    </xf>
    <xf borderId="38" fillId="0" fontId="18" numFmtId="0" xfId="0" applyAlignment="1" applyBorder="1" applyFont="1">
      <alignment horizontal="center"/>
    </xf>
    <xf borderId="40" fillId="0" fontId="18" numFmtId="165" xfId="0" applyAlignment="1" applyBorder="1" applyFont="1" applyNumberFormat="1">
      <alignment horizontal="center"/>
    </xf>
    <xf borderId="101" fillId="0" fontId="18" numFmtId="165" xfId="0" applyAlignment="1" applyBorder="1" applyFont="1" applyNumberFormat="1">
      <alignment horizontal="center"/>
    </xf>
    <xf borderId="82" fillId="0" fontId="18" numFmtId="0" xfId="0" applyAlignment="1" applyBorder="1" applyFont="1">
      <alignment horizontal="center"/>
    </xf>
    <xf borderId="11" fillId="0" fontId="12" numFmtId="0" xfId="0" applyAlignment="1" applyBorder="1" applyFont="1">
      <alignment horizontal="center"/>
    </xf>
    <xf borderId="11" fillId="0" fontId="12" numFmtId="165" xfId="0" applyAlignment="1" applyBorder="1" applyFont="1" applyNumberFormat="1">
      <alignment horizontal="center"/>
    </xf>
    <xf borderId="11" fillId="0" fontId="12" numFmtId="164" xfId="0" applyAlignment="1" applyBorder="1" applyFont="1" applyNumberFormat="1">
      <alignment horizontal="center"/>
    </xf>
    <xf borderId="12" fillId="0" fontId="12" numFmtId="0" xfId="0" applyAlignment="1" applyBorder="1" applyFont="1">
      <alignment horizontal="center"/>
    </xf>
    <xf borderId="15" fillId="0" fontId="12" numFmtId="0" xfId="0" applyAlignment="1" applyBorder="1" applyFont="1">
      <alignment horizontal="center"/>
    </xf>
    <xf borderId="28" fillId="0" fontId="18" numFmtId="164" xfId="0" applyAlignment="1" applyBorder="1" applyFont="1" applyNumberFormat="1">
      <alignment horizontal="center"/>
    </xf>
    <xf quotePrefix="1" borderId="100" fillId="0" fontId="27" numFmtId="0" xfId="0" applyBorder="1" applyFont="1"/>
    <xf borderId="29" fillId="0" fontId="12" numFmtId="0" xfId="0" applyAlignment="1" applyBorder="1" applyFont="1">
      <alignment horizontal="left"/>
    </xf>
    <xf borderId="11" fillId="0" fontId="12" numFmtId="10" xfId="0" applyAlignment="1" applyBorder="1" applyFont="1" applyNumberFormat="1">
      <alignment horizontal="center"/>
    </xf>
    <xf borderId="64" fillId="0" fontId="12" numFmtId="165" xfId="0" applyAlignment="1" applyBorder="1" applyFont="1" applyNumberFormat="1">
      <alignment horizontal="center" readingOrder="0"/>
    </xf>
    <xf borderId="69" fillId="0" fontId="12" numFmtId="165" xfId="0" applyAlignment="1" applyBorder="1" applyFont="1" applyNumberFormat="1">
      <alignment horizontal="left"/>
    </xf>
    <xf borderId="45" fillId="0" fontId="12" numFmtId="164" xfId="0" applyAlignment="1" applyBorder="1" applyFont="1" applyNumberFormat="1">
      <alignment horizontal="center"/>
    </xf>
    <xf borderId="13" fillId="8" fontId="18" numFmtId="0" xfId="0" applyAlignment="1" applyBorder="1" applyFont="1">
      <alignment horizontal="center" shrinkToFit="0" vertical="center" wrapText="1"/>
    </xf>
    <xf borderId="11" fillId="8" fontId="18" numFmtId="0" xfId="0" applyAlignment="1" applyBorder="1" applyFont="1">
      <alignment horizontal="center" shrinkToFit="0" vertical="center" wrapText="1"/>
    </xf>
    <xf borderId="12" fillId="8" fontId="18" numFmtId="0" xfId="0" applyAlignment="1" applyBorder="1" applyFont="1">
      <alignment horizontal="center" shrinkToFit="0" vertical="center" wrapText="1"/>
    </xf>
    <xf borderId="10" fillId="8" fontId="18" numFmtId="0" xfId="0" applyAlignment="1" applyBorder="1" applyFont="1">
      <alignment horizontal="center" shrinkToFit="0" vertical="center" wrapText="1"/>
    </xf>
    <xf borderId="28" fillId="0" fontId="12" numFmtId="164" xfId="0" applyBorder="1" applyFont="1" applyNumberFormat="1"/>
    <xf borderId="30" fillId="0" fontId="12" numFmtId="164" xfId="0" applyBorder="1" applyFont="1" applyNumberFormat="1"/>
    <xf borderId="18" fillId="0" fontId="16" numFmtId="3" xfId="0" applyAlignment="1" applyBorder="1" applyFont="1" applyNumberFormat="1">
      <alignment horizontal="center" vertical="center"/>
    </xf>
    <xf borderId="29" fillId="0" fontId="16" numFmtId="3" xfId="0" applyAlignment="1" applyBorder="1" applyFont="1" applyNumberFormat="1">
      <alignment horizontal="center" vertical="center"/>
    </xf>
    <xf borderId="21" fillId="0" fontId="12" numFmtId="0" xfId="0" applyAlignment="1" applyBorder="1" applyFont="1">
      <alignment horizontal="center"/>
    </xf>
    <xf borderId="68" fillId="0" fontId="18" numFmtId="0" xfId="0" applyAlignment="1" applyBorder="1" applyFont="1">
      <alignment horizontal="left"/>
    </xf>
    <xf borderId="69" fillId="0" fontId="5" numFmtId="0" xfId="0" applyBorder="1" applyFont="1"/>
    <xf borderId="28" fillId="0" fontId="12" numFmtId="3" xfId="0" applyBorder="1" applyFont="1" applyNumberFormat="1"/>
    <xf borderId="29" fillId="0" fontId="12" numFmtId="3" xfId="0" applyBorder="1" applyFont="1" applyNumberFormat="1"/>
    <xf borderId="57" fillId="0" fontId="18" numFmtId="165" xfId="0" applyAlignment="1" applyBorder="1" applyFont="1" applyNumberFormat="1">
      <alignment horizontal="center"/>
    </xf>
    <xf borderId="45" fillId="0" fontId="18" numFmtId="165" xfId="0" applyBorder="1" applyFont="1" applyNumberFormat="1"/>
    <xf borderId="53" fillId="0" fontId="18" numFmtId="165" xfId="0" applyBorder="1" applyFont="1" applyNumberFormat="1"/>
    <xf borderId="100" fillId="0" fontId="18" numFmtId="165" xfId="0" applyAlignment="1" applyBorder="1" applyFont="1" applyNumberFormat="1">
      <alignment horizontal="center"/>
    </xf>
    <xf borderId="100" fillId="0" fontId="18" numFmtId="165" xfId="0" applyBorder="1" applyFont="1" applyNumberFormat="1"/>
    <xf borderId="11" fillId="0" fontId="18" numFmtId="10" xfId="0" applyBorder="1" applyFont="1" applyNumberFormat="1"/>
    <xf borderId="9" fillId="0" fontId="18" numFmtId="10" xfId="0" applyBorder="1" applyFont="1" applyNumberFormat="1"/>
    <xf borderId="28" fillId="0" fontId="12" numFmtId="10" xfId="0" applyAlignment="1" applyBorder="1" applyFont="1" applyNumberFormat="1">
      <alignment horizontal="right"/>
    </xf>
    <xf borderId="28" fillId="0" fontId="12" numFmtId="3" xfId="0" applyAlignment="1" applyBorder="1" applyFont="1" applyNumberFormat="1">
      <alignment horizontal="right"/>
    </xf>
    <xf borderId="31" fillId="0" fontId="12" numFmtId="0" xfId="0" applyAlignment="1" applyBorder="1" applyFont="1">
      <alignment horizontal="right"/>
    </xf>
    <xf borderId="18" fillId="0" fontId="3" numFmtId="165" xfId="0" applyAlignment="1" applyBorder="1" applyFont="1" applyNumberFormat="1">
      <alignment horizontal="right"/>
    </xf>
    <xf borderId="72" fillId="0" fontId="12" numFmtId="10" xfId="0" applyBorder="1" applyFont="1" applyNumberFormat="1"/>
    <xf borderId="28" fillId="0" fontId="12" numFmtId="10" xfId="0" applyBorder="1" applyFont="1" applyNumberFormat="1"/>
    <xf borderId="30" fillId="0" fontId="12" numFmtId="0" xfId="0" applyAlignment="1" applyBorder="1" applyFont="1">
      <alignment horizontal="right"/>
    </xf>
    <xf borderId="21" fillId="0" fontId="12" numFmtId="165" xfId="0" applyAlignment="1" applyBorder="1" applyFont="1" applyNumberFormat="1">
      <alignment horizontal="right"/>
    </xf>
    <xf borderId="41" fillId="0" fontId="12" numFmtId="0" xfId="0" applyAlignment="1" applyBorder="1" applyFont="1">
      <alignment horizontal="right"/>
    </xf>
    <xf borderId="38" fillId="0" fontId="12" numFmtId="0" xfId="0" applyAlignment="1" applyBorder="1" applyFont="1">
      <alignment horizontal="right"/>
    </xf>
    <xf borderId="11" fillId="0" fontId="18" numFmtId="3" xfId="0" applyBorder="1" applyFont="1" applyNumberFormat="1"/>
    <xf borderId="9" fillId="0" fontId="18" numFmtId="3" xfId="0" applyBorder="1" applyFont="1" applyNumberFormat="1"/>
    <xf borderId="23" fillId="0" fontId="12" numFmtId="10" xfId="0" applyBorder="1" applyFont="1" applyNumberFormat="1"/>
    <xf borderId="63" fillId="0" fontId="12" numFmtId="10" xfId="0" applyBorder="1" applyFont="1" applyNumberFormat="1"/>
    <xf borderId="67" fillId="0" fontId="12" numFmtId="3" xfId="0" applyAlignment="1" applyBorder="1" applyFont="1" applyNumberFormat="1">
      <alignment horizontal="center"/>
    </xf>
    <xf borderId="68" fillId="0" fontId="12" numFmtId="3" xfId="0" applyAlignment="1" applyBorder="1" applyFont="1" applyNumberFormat="1">
      <alignment horizontal="center"/>
    </xf>
    <xf borderId="74" fillId="0" fontId="12" numFmtId="3" xfId="0" applyAlignment="1" applyBorder="1" applyFont="1" applyNumberFormat="1">
      <alignment horizontal="center"/>
    </xf>
    <xf borderId="28" fillId="0" fontId="18" numFmtId="165" xfId="0" applyBorder="1" applyFont="1" applyNumberFormat="1"/>
    <xf borderId="30" fillId="0" fontId="18" numFmtId="165" xfId="0" applyBorder="1" applyFont="1" applyNumberFormat="1"/>
    <xf borderId="29" fillId="0" fontId="12" numFmtId="165" xfId="0" applyBorder="1" applyFont="1" applyNumberFormat="1"/>
    <xf borderId="41" fillId="0" fontId="18" numFmtId="165" xfId="0" applyBorder="1" applyFont="1" applyNumberFormat="1"/>
    <xf borderId="38" fillId="0" fontId="18" numFmtId="165" xfId="0" applyBorder="1" applyFont="1" applyNumberFormat="1"/>
    <xf borderId="101" fillId="0" fontId="12" numFmtId="165" xfId="0" applyBorder="1" applyFont="1" applyNumberFormat="1"/>
    <xf borderId="9" fillId="0" fontId="19" numFmtId="3" xfId="0" applyAlignment="1" applyBorder="1" applyFont="1" applyNumberFormat="1">
      <alignment horizontal="center" vertical="center"/>
    </xf>
    <xf borderId="29" fillId="0" fontId="18" numFmtId="165" xfId="0" applyAlignment="1" applyBorder="1" applyFont="1" applyNumberFormat="1">
      <alignment horizontal="center" readingOrder="0"/>
    </xf>
    <xf borderId="13" fillId="0" fontId="18" numFmtId="165" xfId="0" applyBorder="1" applyFont="1" applyNumberFormat="1"/>
    <xf borderId="11" fillId="0" fontId="48" numFmtId="165" xfId="0" applyAlignment="1" applyBorder="1" applyFont="1" applyNumberFormat="1">
      <alignment horizontal="center"/>
    </xf>
    <xf borderId="11" fillId="0" fontId="48" numFmtId="165" xfId="0" applyBorder="1" applyFont="1" applyNumberFormat="1"/>
    <xf borderId="12" fillId="0" fontId="48" numFmtId="165" xfId="0" applyBorder="1" applyFont="1" applyNumberFormat="1"/>
    <xf borderId="9" fillId="0" fontId="48" numFmtId="165" xfId="0" applyAlignment="1" applyBorder="1" applyFont="1" applyNumberFormat="1">
      <alignment horizontal="center"/>
    </xf>
    <xf borderId="9" fillId="0" fontId="48" numFmtId="165" xfId="0" applyBorder="1" applyFont="1" applyNumberFormat="1"/>
    <xf borderId="29" fillId="0" fontId="18" numFmtId="165" xfId="0" applyBorder="1" applyFont="1" applyNumberFormat="1"/>
    <xf borderId="45" fillId="0" fontId="18" numFmtId="10" xfId="0" applyAlignment="1" applyBorder="1" applyFont="1" applyNumberFormat="1">
      <alignment horizontal="center"/>
    </xf>
    <xf borderId="45" fillId="0" fontId="18" numFmtId="3" xfId="0" applyAlignment="1" applyBorder="1" applyFont="1" applyNumberFormat="1">
      <alignment horizontal="center"/>
    </xf>
    <xf borderId="45" fillId="0" fontId="18" numFmtId="10" xfId="0" applyBorder="1" applyFont="1" applyNumberFormat="1"/>
    <xf borderId="53" fillId="0" fontId="18" numFmtId="0" xfId="0" applyBorder="1" applyFont="1"/>
    <xf borderId="100" fillId="0" fontId="18" numFmtId="10" xfId="0" applyAlignment="1" applyBorder="1" applyFont="1" applyNumberFormat="1">
      <alignment horizontal="center"/>
    </xf>
    <xf borderId="100" fillId="0" fontId="18" numFmtId="3" xfId="0" applyAlignment="1" applyBorder="1" applyFont="1" applyNumberFormat="1">
      <alignment horizontal="center"/>
    </xf>
    <xf borderId="100" fillId="0" fontId="18" numFmtId="10" xfId="0" applyBorder="1" applyFont="1" applyNumberFormat="1"/>
    <xf borderId="69" fillId="0" fontId="12" numFmtId="10" xfId="0" applyBorder="1" applyFont="1" applyNumberFormat="1"/>
    <xf borderId="70" fillId="0" fontId="12" numFmtId="0" xfId="0" applyAlignment="1" applyBorder="1" applyFont="1">
      <alignment horizontal="center"/>
    </xf>
    <xf borderId="0" fillId="0" fontId="49" numFmtId="0" xfId="0" applyAlignment="1" applyFont="1">
      <alignment horizontal="left"/>
    </xf>
    <xf borderId="0" fillId="0" fontId="18" numFmtId="0" xfId="0" applyAlignment="1" applyFont="1">
      <alignment horizontal="left"/>
    </xf>
    <xf borderId="0" fillId="0" fontId="12" numFmtId="0" xfId="0" applyAlignment="1" applyFont="1">
      <alignment horizontal="center" shrinkToFit="0" vertical="top" wrapText="1"/>
    </xf>
    <xf borderId="63" fillId="0" fontId="12" numFmtId="0" xfId="0" applyAlignment="1" applyBorder="1" applyFont="1">
      <alignment horizontal="left"/>
    </xf>
    <xf borderId="21" fillId="0" fontId="12" numFmtId="3" xfId="0" applyAlignment="1" applyBorder="1" applyFont="1" applyNumberFormat="1">
      <alignment horizontal="left"/>
    </xf>
    <xf borderId="23" fillId="0" fontId="12" numFmtId="0" xfId="0" applyAlignment="1" applyBorder="1" applyFont="1">
      <alignment horizontal="left"/>
    </xf>
    <xf borderId="23" fillId="0" fontId="12" numFmtId="3" xfId="0" applyAlignment="1" applyBorder="1" applyFont="1" applyNumberFormat="1">
      <alignment horizontal="left"/>
    </xf>
    <xf borderId="24" fillId="0" fontId="12" numFmtId="0" xfId="0" applyAlignment="1" applyBorder="1" applyFont="1">
      <alignment horizontal="left"/>
    </xf>
    <xf borderId="18" fillId="0" fontId="12" numFmtId="3" xfId="0" applyAlignment="1" applyBorder="1" applyFont="1" applyNumberFormat="1">
      <alignment horizontal="left"/>
    </xf>
    <xf borderId="28" fillId="0" fontId="12" numFmtId="0" xfId="0" applyAlignment="1" applyBorder="1" applyFont="1">
      <alignment horizontal="left"/>
    </xf>
    <xf borderId="28" fillId="0" fontId="12" numFmtId="3" xfId="0" applyAlignment="1" applyBorder="1" applyFont="1" applyNumberFormat="1">
      <alignment horizontal="left"/>
    </xf>
    <xf borderId="30" fillId="0" fontId="12" numFmtId="0" xfId="0" applyAlignment="1" applyBorder="1" applyFont="1">
      <alignment horizontal="left"/>
    </xf>
    <xf borderId="101" fillId="0" fontId="12" numFmtId="0" xfId="0" applyAlignment="1" applyBorder="1" applyFont="1">
      <alignment horizontal="left"/>
    </xf>
    <xf borderId="40" fillId="0" fontId="12" numFmtId="3" xfId="0" applyAlignment="1" applyBorder="1" applyFont="1" applyNumberFormat="1">
      <alignment horizontal="left"/>
    </xf>
    <xf borderId="41" fillId="0" fontId="12" numFmtId="0" xfId="0" applyAlignment="1" applyBorder="1" applyFont="1">
      <alignment horizontal="left"/>
    </xf>
    <xf borderId="41" fillId="0" fontId="12" numFmtId="3" xfId="0" applyAlignment="1" applyBorder="1" applyFont="1" applyNumberFormat="1">
      <alignment horizontal="left"/>
    </xf>
    <xf borderId="38" fillId="0" fontId="12" numFmtId="0" xfId="0" applyAlignment="1" applyBorder="1" applyFont="1">
      <alignment horizontal="left"/>
    </xf>
    <xf borderId="9" fillId="0" fontId="18" numFmtId="0" xfId="0" applyAlignment="1" applyBorder="1" applyFont="1">
      <alignment horizontal="left"/>
    </xf>
    <xf borderId="100" fillId="0" fontId="9" numFmtId="0" xfId="0" applyBorder="1" applyFont="1"/>
    <xf borderId="9" fillId="0" fontId="12" numFmtId="0" xfId="0" applyAlignment="1" applyBorder="1" applyFont="1">
      <alignment horizontal="left"/>
    </xf>
    <xf borderId="11" fillId="0" fontId="12" numFmtId="3" xfId="0" applyAlignment="1" applyBorder="1" applyFont="1" applyNumberFormat="1">
      <alignment horizontal="center"/>
    </xf>
    <xf borderId="74" fillId="0" fontId="13" numFmtId="0" xfId="0" applyAlignment="1" applyBorder="1" applyFont="1">
      <alignment horizontal="left"/>
    </xf>
    <xf borderId="75" fillId="0" fontId="50" numFmtId="0" xfId="0" applyBorder="1" applyFont="1"/>
    <xf borderId="29" fillId="0" fontId="50" numFmtId="0" xfId="0" applyBorder="1" applyFont="1"/>
    <xf borderId="30" fillId="0" fontId="50" numFmtId="0" xfId="0" applyBorder="1" applyFont="1"/>
    <xf borderId="100" fillId="0" fontId="12" numFmtId="0" xfId="0" applyAlignment="1" applyBorder="1" applyFont="1">
      <alignment horizontal="left"/>
    </xf>
    <xf borderId="101" fillId="0" fontId="51" numFmtId="0" xfId="0" applyAlignment="1" applyBorder="1" applyFont="1">
      <alignment horizontal="left"/>
    </xf>
    <xf borderId="21" fillId="0" fontId="12" numFmtId="0" xfId="0" applyBorder="1" applyFont="1"/>
    <xf borderId="18" fillId="0" fontId="12" numFmtId="0" xfId="0" applyBorder="1" applyFont="1"/>
    <xf borderId="40" fillId="0" fontId="12" numFmtId="0" xfId="0" applyBorder="1" applyFont="1"/>
    <xf borderId="37" fillId="0" fontId="12" numFmtId="0" xfId="0" applyBorder="1" applyFont="1"/>
    <xf borderId="22" fillId="0" fontId="12" numFmtId="0" xfId="0" applyBorder="1" applyFont="1"/>
    <xf borderId="18" fillId="0" fontId="18" numFmtId="0" xfId="0" applyBorder="1" applyFont="1"/>
    <xf borderId="18" fillId="0" fontId="52" numFmtId="0" xfId="0" applyBorder="1" applyFont="1"/>
    <xf borderId="41" fillId="0" fontId="12" numFmtId="165" xfId="0" applyAlignment="1" applyBorder="1" applyFont="1" applyNumberFormat="1">
      <alignment horizontal="center" readingOrder="0"/>
    </xf>
    <xf borderId="42" fillId="0" fontId="18" numFmtId="0" xfId="0" applyBorder="1" applyFont="1"/>
    <xf borderId="76" fillId="0" fontId="26" numFmtId="165" xfId="0" applyBorder="1" applyFont="1" applyNumberFormat="1"/>
    <xf borderId="28" fillId="0" fontId="18" numFmtId="0" xfId="0" applyBorder="1" applyFont="1"/>
    <xf borderId="31" fillId="0" fontId="18" numFmtId="0" xfId="0" applyBorder="1" applyFont="1"/>
    <xf borderId="9" fillId="0" fontId="53" numFmtId="0" xfId="0" applyBorder="1" applyFont="1"/>
    <xf borderId="9" fillId="0" fontId="53" numFmtId="10" xfId="0" applyAlignment="1" applyBorder="1" applyFont="1" applyNumberFormat="1">
      <alignment horizontal="center"/>
    </xf>
    <xf borderId="9" fillId="0" fontId="53" numFmtId="3" xfId="0" applyAlignment="1" applyBorder="1" applyFont="1" applyNumberFormat="1">
      <alignment horizontal="center"/>
    </xf>
    <xf borderId="9" fillId="0" fontId="53" numFmtId="10" xfId="0" applyBorder="1" applyFont="1" applyNumberFormat="1"/>
    <xf borderId="72" fillId="0" fontId="53" numFmtId="10" xfId="0" applyAlignment="1" applyBorder="1" applyFont="1" applyNumberFormat="1">
      <alignment horizontal="center"/>
    </xf>
    <xf borderId="28" fillId="0" fontId="53" numFmtId="3" xfId="0" applyAlignment="1" applyBorder="1" applyFont="1" applyNumberFormat="1">
      <alignment horizontal="center"/>
    </xf>
    <xf borderId="28" fillId="0" fontId="53" numFmtId="10" xfId="0" applyBorder="1" applyFont="1" applyNumberFormat="1"/>
    <xf borderId="31" fillId="0" fontId="53" numFmtId="10" xfId="0" applyBorder="1" applyFont="1" applyNumberFormat="1"/>
    <xf borderId="29" fillId="0" fontId="53" numFmtId="10" xfId="0" applyAlignment="1" applyBorder="1" applyFont="1" applyNumberFormat="1">
      <alignment horizontal="center"/>
    </xf>
    <xf borderId="29" fillId="0" fontId="53" numFmtId="3" xfId="0" applyAlignment="1" applyBorder="1" applyFont="1" applyNumberFormat="1">
      <alignment horizontal="center"/>
    </xf>
    <xf borderId="29" fillId="0" fontId="53" numFmtId="10" xfId="0" applyBorder="1" applyFont="1" applyNumberFormat="1"/>
    <xf borderId="42" fillId="0" fontId="12" numFmtId="0" xfId="0" applyBorder="1" applyFont="1"/>
    <xf borderId="23" fillId="0" fontId="12" numFmtId="165" xfId="0" applyAlignment="1" applyBorder="1" applyFont="1" applyNumberFormat="1">
      <alignment horizontal="center" readingOrder="0"/>
    </xf>
    <xf borderId="23" fillId="0" fontId="12" numFmtId="3" xfId="0" applyBorder="1" applyFont="1" applyNumberFormat="1"/>
    <xf borderId="63" fillId="0" fontId="12" numFmtId="3" xfId="0" applyBorder="1" applyFont="1" applyNumberFormat="1"/>
    <xf borderId="28" fillId="0" fontId="12" numFmtId="165" xfId="0" applyAlignment="1" applyBorder="1" applyFont="1" applyNumberFormat="1">
      <alignment horizontal="center" readingOrder="0"/>
    </xf>
    <xf borderId="82" fillId="0" fontId="5" numFmtId="0" xfId="0" applyBorder="1" applyFont="1"/>
    <xf borderId="40" fillId="0" fontId="54" numFmtId="0" xfId="0" applyBorder="1" applyFont="1"/>
    <xf borderId="28" fillId="0" fontId="18" numFmtId="10" xfId="0" applyBorder="1" applyFont="1" applyNumberFormat="1"/>
    <xf borderId="28" fillId="0" fontId="18" numFmtId="3" xfId="0" applyBorder="1" applyFont="1" applyNumberFormat="1"/>
    <xf borderId="29" fillId="0" fontId="18" numFmtId="10" xfId="0" applyBorder="1" applyFont="1" applyNumberFormat="1"/>
    <xf borderId="29" fillId="0" fontId="18" numFmtId="3" xfId="0" applyBorder="1" applyFont="1" applyNumberFormat="1"/>
    <xf borderId="29" fillId="7" fontId="12" numFmtId="165" xfId="0" applyAlignment="1" applyBorder="1" applyFont="1" applyNumberFormat="1">
      <alignment horizontal="center" readingOrder="0"/>
    </xf>
    <xf borderId="18" fillId="7" fontId="12" numFmtId="165" xfId="0" applyAlignment="1" applyBorder="1" applyFont="1" applyNumberFormat="1">
      <alignment horizontal="center"/>
    </xf>
    <xf borderId="9" fillId="0" fontId="12" numFmtId="3" xfId="0" applyBorder="1" applyFont="1" applyNumberFormat="1"/>
    <xf borderId="102" fillId="0" fontId="18" numFmtId="10" xfId="0" applyAlignment="1" applyBorder="1" applyFont="1" applyNumberFormat="1">
      <alignment horizontal="center"/>
    </xf>
    <xf borderId="102" fillId="0" fontId="18" numFmtId="3" xfId="0" applyAlignment="1" applyBorder="1" applyFont="1" applyNumberFormat="1">
      <alignment horizontal="center"/>
    </xf>
    <xf borderId="102" fillId="0" fontId="18" numFmtId="10" xfId="0" applyBorder="1" applyFont="1" applyNumberFormat="1"/>
    <xf borderId="102" fillId="0" fontId="18" numFmtId="0" xfId="0" applyBorder="1" applyFont="1"/>
    <xf quotePrefix="1" borderId="11" fillId="2" fontId="7" numFmtId="0" xfId="0" applyAlignment="1" applyBorder="1" applyFont="1">
      <alignment horizontal="center" readingOrder="0"/>
    </xf>
    <xf quotePrefix="1" borderId="14" fillId="2" fontId="7" numFmtId="0" xfId="0" applyAlignment="1" applyBorder="1" applyFont="1">
      <alignment horizontal="center" readingOrder="0"/>
    </xf>
    <xf borderId="12" fillId="2" fontId="7" numFmtId="166" xfId="0" applyAlignment="1" applyBorder="1" applyFont="1" applyNumberFormat="1">
      <alignment horizontal="center"/>
    </xf>
    <xf borderId="22" fillId="0" fontId="9" numFmtId="3" xfId="0" applyBorder="1" applyFont="1" applyNumberFormat="1"/>
    <xf borderId="24" fillId="0" fontId="9" numFmtId="3" xfId="0" applyBorder="1" applyFont="1" applyNumberFormat="1"/>
    <xf borderId="31" fillId="0" fontId="9" numFmtId="3" xfId="0" applyBorder="1" applyFont="1" applyNumberFormat="1"/>
    <xf borderId="30" fillId="0" fontId="9" numFmtId="3" xfId="0" applyBorder="1" applyFont="1" applyNumberFormat="1"/>
    <xf borderId="40" fillId="2" fontId="7" numFmtId="0" xfId="0" applyBorder="1" applyFont="1"/>
    <xf borderId="42" fillId="2" fontId="7" numFmtId="0" xfId="0" applyBorder="1" applyFont="1"/>
    <xf borderId="0" fillId="0" fontId="9" numFmtId="168" xfId="0" applyFont="1" applyNumberFormat="1"/>
    <xf borderId="0" fillId="0" fontId="9" numFmtId="169" xfId="0" applyFont="1" applyNumberFormat="1"/>
    <xf borderId="0" fillId="0" fontId="9" numFmtId="170" xfId="0" applyFont="1" applyNumberFormat="1"/>
    <xf borderId="78" fillId="3" fontId="9" numFmtId="0" xfId="0" applyBorder="1" applyFont="1"/>
    <xf borderId="78" fillId="3" fontId="9" numFmtId="168" xfId="0" applyBorder="1" applyFont="1" applyNumberFormat="1"/>
    <xf borderId="78" fillId="3" fontId="9" numFmtId="3" xfId="0" applyBorder="1" applyFont="1" applyNumberFormat="1"/>
    <xf borderId="9" fillId="0" fontId="9" numFmtId="0" xfId="0" applyBorder="1" applyFont="1"/>
    <xf borderId="9" fillId="0" fontId="7" numFmtId="0" xfId="0" applyAlignment="1" applyBorder="1" applyFont="1">
      <alignment horizontal="center"/>
    </xf>
    <xf borderId="9" fillId="0" fontId="7" numFmtId="0" xfId="0" applyAlignment="1" applyBorder="1" applyFont="1">
      <alignment horizontal="center" readingOrder="0"/>
    </xf>
    <xf borderId="67" fillId="0" fontId="9" numFmtId="0" xfId="0" applyBorder="1" applyFont="1"/>
    <xf borderId="63" fillId="0" fontId="7" numFmtId="3" xfId="0" applyAlignment="1" applyBorder="1" applyFont="1" applyNumberFormat="1">
      <alignment horizontal="center"/>
    </xf>
    <xf borderId="65" fillId="0" fontId="7" numFmtId="3" xfId="0" applyAlignment="1" applyBorder="1" applyFont="1" applyNumberFormat="1">
      <alignment horizontal="center"/>
    </xf>
    <xf borderId="63" fillId="0" fontId="7" numFmtId="3" xfId="0" applyAlignment="1" applyBorder="1" applyFont="1" applyNumberFormat="1">
      <alignment horizontal="center" readingOrder="0"/>
    </xf>
    <xf borderId="68" fillId="0" fontId="9" numFmtId="0" xfId="0" applyBorder="1" applyFont="1"/>
    <xf borderId="29" fillId="0" fontId="9" numFmtId="3" xfId="0" applyAlignment="1" applyBorder="1" applyFont="1" applyNumberFormat="1">
      <alignment horizontal="center"/>
    </xf>
    <xf borderId="77" fillId="0" fontId="9" numFmtId="3" xfId="0" applyAlignment="1" applyBorder="1" applyFont="1" applyNumberFormat="1">
      <alignment horizontal="center"/>
    </xf>
    <xf borderId="29" fillId="0" fontId="10" numFmtId="0" xfId="0" applyBorder="1" applyFont="1"/>
    <xf borderId="68" fillId="0" fontId="9" numFmtId="3" xfId="0" applyAlignment="1" applyBorder="1" applyFont="1" applyNumberFormat="1">
      <alignment horizontal="center"/>
    </xf>
    <xf borderId="74" fillId="0" fontId="9" numFmtId="0" xfId="0" applyBorder="1" applyFont="1"/>
    <xf borderId="101" fillId="0" fontId="9" numFmtId="3" xfId="0" applyAlignment="1" applyBorder="1" applyFont="1" applyNumberFormat="1">
      <alignment horizontal="center"/>
    </xf>
    <xf borderId="73" fillId="0" fontId="9" numFmtId="3" xfId="0" applyAlignment="1" applyBorder="1" applyFont="1" applyNumberFormat="1">
      <alignment horizontal="center"/>
    </xf>
    <xf borderId="101" fillId="0" fontId="10" numFmtId="0" xfId="0" applyBorder="1" applyFont="1"/>
    <xf borderId="7" fillId="0" fontId="7" numFmtId="0" xfId="0" applyBorder="1" applyFont="1"/>
    <xf borderId="9" fillId="0" fontId="7" numFmtId="3" xfId="0" applyAlignment="1" applyBorder="1" applyFont="1" applyNumberFormat="1">
      <alignment horizontal="center"/>
    </xf>
    <xf borderId="5" fillId="0" fontId="7" numFmtId="3" xfId="0" applyAlignment="1" applyBorder="1" applyFont="1" applyNumberFormat="1">
      <alignment horizontal="center"/>
    </xf>
    <xf borderId="63" fillId="0" fontId="9" numFmtId="3" xfId="0" applyAlignment="1" applyBorder="1" applyFont="1" applyNumberFormat="1">
      <alignment horizontal="center"/>
    </xf>
    <xf borderId="65" fillId="0" fontId="9" numFmtId="3" xfId="0" applyAlignment="1" applyBorder="1" applyFont="1" applyNumberFormat="1">
      <alignment horizontal="center"/>
    </xf>
    <xf borderId="63" fillId="0" fontId="10" numFmtId="0" xfId="0" applyBorder="1" applyFont="1"/>
    <xf borderId="108" fillId="0" fontId="9" numFmtId="0" xfId="0" applyBorder="1" applyFont="1"/>
    <xf borderId="102" fillId="0" fontId="9" numFmtId="3" xfId="0" applyAlignment="1" applyBorder="1" applyFont="1" applyNumberFormat="1">
      <alignment horizontal="center"/>
    </xf>
    <xf borderId="122" fillId="0" fontId="9" numFmtId="3" xfId="0" applyAlignment="1" applyBorder="1" applyFont="1" applyNumberFormat="1">
      <alignment horizontal="center"/>
    </xf>
    <xf borderId="9" fillId="0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 readingOrder="0" vertical="bottom"/>
    </xf>
    <xf borderId="22" fillId="0" fontId="3" numFmtId="3" xfId="0" applyBorder="1" applyFont="1" applyNumberFormat="1"/>
    <xf borderId="63" fillId="0" fontId="3" numFmtId="3" xfId="0" applyBorder="1" applyFont="1" applyNumberFormat="1"/>
    <xf borderId="66" fillId="0" fontId="2" numFmtId="4" xfId="0" applyAlignment="1" applyBorder="1" applyFont="1" applyNumberFormat="1">
      <alignment readingOrder="0"/>
    </xf>
    <xf borderId="24" fillId="0" fontId="55" numFmtId="0" xfId="0" applyAlignment="1" applyBorder="1" applyFont="1">
      <alignment vertical="bottom"/>
    </xf>
    <xf borderId="31" fillId="0" fontId="3" numFmtId="3" xfId="0" applyBorder="1" applyFont="1" applyNumberFormat="1"/>
    <xf borderId="29" fillId="0" fontId="3" numFmtId="3" xfId="0" applyBorder="1" applyFont="1" applyNumberFormat="1"/>
    <xf borderId="30" fillId="0" fontId="55" numFmtId="0" xfId="0" applyAlignment="1" applyBorder="1" applyFont="1">
      <alignment vertical="bottom"/>
    </xf>
    <xf borderId="123" fillId="0" fontId="22" numFmtId="165" xfId="0" applyAlignment="1" applyBorder="1" applyFont="1" applyNumberFormat="1">
      <alignment horizontal="right" vertical="center"/>
    </xf>
    <xf borderId="29" fillId="0" fontId="22" numFmtId="165" xfId="0" applyAlignment="1" applyBorder="1" applyFont="1" applyNumberFormat="1">
      <alignment horizontal="right" vertical="center"/>
    </xf>
    <xf borderId="69" fillId="0" fontId="2" numFmtId="3" xfId="0" applyAlignment="1" applyBorder="1" applyFont="1" applyNumberFormat="1">
      <alignment readingOrder="0"/>
    </xf>
    <xf borderId="69" fillId="0" fontId="2" numFmtId="0" xfId="0" applyAlignment="1" applyBorder="1" applyFont="1">
      <alignment readingOrder="0"/>
    </xf>
    <xf borderId="37" fillId="0" fontId="3" numFmtId="3" xfId="0" applyBorder="1" applyFont="1" applyNumberFormat="1"/>
    <xf borderId="101" fillId="0" fontId="3" numFmtId="3" xfId="0" applyBorder="1" applyFont="1" applyNumberFormat="1"/>
    <xf borderId="70" fillId="0" fontId="2" numFmtId="0" xfId="0" applyAlignment="1" applyBorder="1" applyFont="1">
      <alignment readingOrder="0"/>
    </xf>
    <xf borderId="38" fillId="0" fontId="55" numFmtId="0" xfId="0" applyAlignment="1" applyBorder="1" applyFont="1">
      <alignment vertical="bottom"/>
    </xf>
    <xf borderId="14" fillId="0" fontId="4" numFmtId="3" xfId="0" applyBorder="1" applyFont="1" applyNumberFormat="1"/>
    <xf borderId="8" fillId="0" fontId="4" numFmtId="3" xfId="0" applyBorder="1" applyFont="1" applyNumberFormat="1"/>
    <xf borderId="12" fillId="0" fontId="4" numFmtId="3" xfId="0" applyAlignment="1" applyBorder="1" applyFont="1" applyNumberFormat="1">
      <alignment horizontal="right" vertical="bottom"/>
    </xf>
    <xf borderId="100" fillId="0" fontId="3" numFmtId="0" xfId="0" applyAlignment="1" applyBorder="1" applyFont="1">
      <alignment horizontal="center"/>
    </xf>
    <xf borderId="75" fillId="0" fontId="2" numFmtId="0" xfId="0" applyBorder="1" applyFont="1"/>
    <xf borderId="53" fillId="0" fontId="55" numFmtId="0" xfId="0" applyAlignment="1" applyBorder="1" applyFont="1">
      <alignment vertical="bottom"/>
    </xf>
    <xf borderId="66" fillId="0" fontId="2" numFmtId="0" xfId="0" applyBorder="1" applyFont="1"/>
    <xf borderId="69" fillId="0" fontId="2" numFmtId="0" xfId="0" applyBorder="1" applyFont="1"/>
    <xf borderId="70" fillId="0" fontId="2" numFmtId="0" xfId="0" applyBorder="1" applyFont="1"/>
    <xf borderId="124" fillId="0" fontId="3" numFmtId="0" xfId="0" applyBorder="1" applyFont="1"/>
    <xf borderId="125" fillId="0" fontId="3" numFmtId="3" xfId="0" applyBorder="1" applyFont="1" applyNumberFormat="1"/>
    <xf borderId="99" fillId="0" fontId="3" numFmtId="3" xfId="0" applyBorder="1" applyFont="1" applyNumberFormat="1"/>
    <xf borderId="126" fillId="0" fontId="2" numFmtId="0" xfId="0" applyBorder="1" applyFont="1"/>
    <xf borderId="127" fillId="0" fontId="55" numFmtId="0" xfId="0" applyAlignment="1" applyBorder="1" applyFont="1">
      <alignment vertical="bottom"/>
    </xf>
    <xf borderId="0" fillId="0" fontId="7" numFmtId="166" xfId="0" applyFont="1" applyNumberFormat="1"/>
    <xf quotePrefix="1" borderId="9" fillId="2" fontId="7" numFmtId="0" xfId="0" applyAlignment="1" applyBorder="1" applyFont="1">
      <alignment horizontal="center" readingOrder="0"/>
    </xf>
    <xf borderId="0" fillId="7" fontId="7" numFmtId="0" xfId="0" applyAlignment="1" applyFont="1">
      <alignment horizontal="center" readingOrder="0"/>
    </xf>
    <xf borderId="9" fillId="0" fontId="7" numFmtId="0" xfId="0" applyBorder="1" applyFont="1"/>
    <xf borderId="9" fillId="0" fontId="9" numFmtId="3" xfId="0" applyBorder="1" applyFont="1" applyNumberFormat="1"/>
    <xf borderId="23" fillId="0" fontId="9" numFmtId="3" xfId="0" applyAlignment="1" applyBorder="1" applyFont="1" applyNumberFormat="1">
      <alignment horizontal="center"/>
    </xf>
    <xf borderId="24" fillId="0" fontId="9" numFmtId="3" xfId="0" applyAlignment="1" applyBorder="1" applyFont="1" applyNumberFormat="1">
      <alignment horizontal="center"/>
    </xf>
    <xf borderId="28" fillId="0" fontId="9" numFmtId="3" xfId="0" applyAlignment="1" applyBorder="1" applyFont="1" applyNumberFormat="1">
      <alignment horizontal="center"/>
    </xf>
    <xf borderId="30" fillId="0" fontId="9" numFmtId="3" xfId="0" applyAlignment="1" applyBorder="1" applyFont="1" applyNumberFormat="1">
      <alignment horizontal="center"/>
    </xf>
    <xf borderId="9" fillId="0" fontId="9" numFmtId="10" xfId="0" applyBorder="1" applyFont="1" applyNumberFormat="1"/>
    <xf borderId="41" fillId="0" fontId="9" numFmtId="3" xfId="0" applyAlignment="1" applyBorder="1" applyFont="1" applyNumberFormat="1">
      <alignment horizontal="center"/>
    </xf>
    <xf borderId="38" fillId="0" fontId="9" numFmtId="3" xfId="0" applyAlignment="1" applyBorder="1" applyFont="1" applyNumberFormat="1">
      <alignment horizontal="center"/>
    </xf>
    <xf borderId="11" fillId="2" fontId="7" numFmtId="3" xfId="0" applyAlignment="1" applyBorder="1" applyFont="1" applyNumberFormat="1">
      <alignment horizontal="center"/>
    </xf>
    <xf borderId="14" fillId="2" fontId="7" numFmtId="3" xfId="0" applyAlignment="1" applyBorder="1" applyFont="1" applyNumberFormat="1">
      <alignment horizontal="center"/>
    </xf>
    <xf borderId="12" fillId="2" fontId="7" numFmtId="3" xfId="0" applyAlignment="1" applyBorder="1" applyFont="1" applyNumberFormat="1">
      <alignment horizontal="center"/>
    </xf>
    <xf borderId="23" fillId="0" fontId="9" numFmtId="0" xfId="0" applyAlignment="1" applyBorder="1" applyFont="1">
      <alignment horizontal="center"/>
    </xf>
    <xf borderId="23" fillId="0" fontId="10" numFmtId="0" xfId="0" applyBorder="1" applyFont="1"/>
    <xf borderId="22" fillId="0" fontId="10" numFmtId="0" xfId="0" applyBorder="1" applyFont="1"/>
    <xf borderId="24" fillId="0" fontId="10" numFmtId="0" xfId="0" applyBorder="1" applyFont="1"/>
    <xf borderId="45" fillId="0" fontId="9" numFmtId="0" xfId="0" applyAlignment="1" applyBorder="1" applyFont="1">
      <alignment horizontal="center"/>
    </xf>
    <xf borderId="45" fillId="0" fontId="10" numFmtId="0" xfId="0" applyBorder="1" applyFont="1"/>
    <xf borderId="52" fillId="0" fontId="10" numFmtId="0" xfId="0" applyBorder="1" applyFont="1"/>
    <xf borderId="53" fillId="0" fontId="10" numFmtId="0" xfId="0" applyBorder="1" applyFont="1"/>
    <xf borderId="11" fillId="2" fontId="7" numFmtId="10" xfId="0" applyAlignment="1" applyBorder="1" applyFont="1" applyNumberFormat="1">
      <alignment horizontal="center"/>
    </xf>
    <xf borderId="104" fillId="2" fontId="7" numFmtId="0" xfId="0" applyBorder="1" applyFont="1"/>
    <xf borderId="105" fillId="2" fontId="7" numFmtId="3" xfId="0" applyAlignment="1" applyBorder="1" applyFont="1" applyNumberFormat="1">
      <alignment horizontal="center"/>
    </xf>
    <xf borderId="128" fillId="2" fontId="7" numFmtId="3" xfId="0" applyAlignment="1" applyBorder="1" applyFont="1" applyNumberFormat="1">
      <alignment horizontal="center"/>
    </xf>
    <xf borderId="106" fillId="2" fontId="7" numFmtId="3" xfId="0" applyAlignment="1" applyBorder="1" applyFont="1" applyNumberFormat="1">
      <alignment horizontal="center"/>
    </xf>
    <xf quotePrefix="1" borderId="28" fillId="2" fontId="7" numFmtId="0" xfId="0" applyAlignment="1" applyBorder="1" applyFont="1">
      <alignment horizontal="center" readingOrder="0"/>
    </xf>
    <xf borderId="28" fillId="2" fontId="7" numFmtId="3" xfId="0" applyBorder="1" applyFont="1" applyNumberFormat="1"/>
    <xf borderId="28" fillId="2" fontId="56" numFmtId="3" xfId="0" applyAlignment="1" applyBorder="1" applyFont="1" applyNumberFormat="1">
      <alignment horizontal="right" vertical="bottom"/>
    </xf>
    <xf borderId="28" fillId="0" fontId="10" numFmtId="0" xfId="0" applyBorder="1" applyFont="1"/>
    <xf borderId="28" fillId="2" fontId="7" numFmtId="10" xfId="0" applyBorder="1" applyFont="1" applyNumberFormat="1"/>
    <xf borderId="28" fillId="0" fontId="55" numFmtId="3" xfId="0" applyAlignment="1" applyBorder="1" applyFont="1" applyNumberFormat="1">
      <alignment horizontal="center" vertical="bottom"/>
    </xf>
    <xf borderId="129" fillId="0" fontId="9" numFmtId="0" xfId="0" applyBorder="1" applyFont="1"/>
    <xf quotePrefix="1" borderId="12" fillId="2" fontId="7" numFmtId="0" xfId="0" applyAlignment="1" applyBorder="1" applyFont="1">
      <alignment horizontal="center" readingOrder="0"/>
    </xf>
    <xf borderId="11" fillId="2" fontId="7" numFmtId="0" xfId="0" applyAlignment="1" applyBorder="1" applyFont="1">
      <alignment horizontal="right" readingOrder="0"/>
    </xf>
    <xf borderId="12" fillId="2" fontId="7" numFmtId="0" xfId="0" applyAlignment="1" applyBorder="1" applyFont="1">
      <alignment horizontal="right" readingOrder="0"/>
    </xf>
    <xf borderId="57" fillId="0" fontId="10" numFmtId="0" xfId="0" applyBorder="1" applyFont="1"/>
    <xf borderId="41" fillId="0" fontId="10" numFmtId="0" xfId="0" applyBorder="1" applyFont="1"/>
    <xf borderId="82" fillId="0" fontId="10" numFmtId="0" xfId="0" applyBorder="1" applyFont="1"/>
    <xf borderId="38" fillId="0" fontId="10" numFmtId="0" xfId="0" applyBorder="1" applyFont="1"/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right"/>
    </xf>
    <xf borderId="0" fillId="0" fontId="18" numFmtId="166" xfId="0" applyAlignment="1" applyFont="1" applyNumberFormat="1">
      <alignment horizontal="center"/>
    </xf>
    <xf borderId="9" fillId="4" fontId="18" numFmtId="0" xfId="0" applyBorder="1" applyFont="1"/>
    <xf borderId="7" fillId="4" fontId="18" numFmtId="168" xfId="0" applyAlignment="1" applyBorder="1" applyFont="1" applyNumberFormat="1">
      <alignment horizontal="center" readingOrder="0" shrinkToFit="0" vertical="top" wrapText="1"/>
    </xf>
    <xf quotePrefix="1" borderId="7" fillId="4" fontId="18" numFmtId="0" xfId="0" applyAlignment="1" applyBorder="1" applyFont="1">
      <alignment horizontal="center" readingOrder="0" shrinkToFit="0" vertical="top" wrapText="1"/>
    </xf>
    <xf borderId="97" fillId="4" fontId="18" numFmtId="166" xfId="0" applyAlignment="1" applyBorder="1" applyFont="1" applyNumberFormat="1">
      <alignment horizontal="center" vertical="center"/>
    </xf>
    <xf borderId="9" fillId="4" fontId="57" numFmtId="0" xfId="0" applyBorder="1" applyFont="1"/>
    <xf borderId="13" fillId="4" fontId="18" numFmtId="168" xfId="0" applyAlignment="1" applyBorder="1" applyFont="1" applyNumberFormat="1">
      <alignment horizontal="center" shrinkToFit="0" vertical="top" wrapText="1"/>
    </xf>
    <xf borderId="12" fillId="4" fontId="18" numFmtId="168" xfId="0" applyAlignment="1" applyBorder="1" applyFont="1" applyNumberFormat="1">
      <alignment horizontal="center" shrinkToFit="0" vertical="top" wrapText="1"/>
    </xf>
    <xf borderId="16" fillId="4" fontId="18" numFmtId="168" xfId="0" applyAlignment="1" applyBorder="1" applyFont="1" applyNumberFormat="1">
      <alignment horizontal="center" shrinkToFit="0" vertical="top" wrapText="1"/>
    </xf>
    <xf borderId="24" fillId="0" fontId="12" numFmtId="10" xfId="0" applyAlignment="1" applyBorder="1" applyFont="1" applyNumberFormat="1">
      <alignment horizontal="right"/>
    </xf>
    <xf borderId="22" fillId="0" fontId="12" numFmtId="10" xfId="0" applyAlignment="1" applyBorder="1" applyFont="1" applyNumberFormat="1">
      <alignment horizontal="right"/>
    </xf>
    <xf borderId="63" fillId="0" fontId="12" numFmtId="3" xfId="0" applyAlignment="1" applyBorder="1" applyFont="1" applyNumberFormat="1">
      <alignment horizontal="right"/>
    </xf>
    <xf borderId="66" fillId="0" fontId="12" numFmtId="10" xfId="0" applyAlignment="1" applyBorder="1" applyFont="1" applyNumberFormat="1">
      <alignment horizontal="center"/>
    </xf>
    <xf borderId="30" fillId="0" fontId="12" numFmtId="10" xfId="0" applyAlignment="1" applyBorder="1" applyFont="1" applyNumberFormat="1">
      <alignment horizontal="right"/>
    </xf>
    <xf borderId="69" fillId="0" fontId="12" numFmtId="10" xfId="0" applyAlignment="1" applyBorder="1" applyFont="1" applyNumberFormat="1">
      <alignment horizontal="center"/>
    </xf>
    <xf borderId="38" fillId="0" fontId="12" numFmtId="10" xfId="0" applyAlignment="1" applyBorder="1" applyFont="1" applyNumberFormat="1">
      <alignment horizontal="right"/>
    </xf>
    <xf borderId="24" fillId="0" fontId="12" numFmtId="165" xfId="0" applyAlignment="1" applyBorder="1" applyFont="1" applyNumberFormat="1">
      <alignment horizontal="right"/>
    </xf>
    <xf borderId="101" fillId="0" fontId="12" numFmtId="164" xfId="0" applyAlignment="1" applyBorder="1" applyFont="1" applyNumberFormat="1">
      <alignment horizontal="right"/>
    </xf>
    <xf borderId="13" fillId="4" fontId="18" numFmtId="165" xfId="0" applyAlignment="1" applyBorder="1" applyFont="1" applyNumberFormat="1">
      <alignment horizontal="center"/>
    </xf>
    <xf borderId="12" fillId="4" fontId="18" numFmtId="10" xfId="0" applyAlignment="1" applyBorder="1" applyFont="1" applyNumberFormat="1">
      <alignment horizontal="right"/>
    </xf>
    <xf borderId="16" fillId="4" fontId="18" numFmtId="10" xfId="0" applyAlignment="1" applyBorder="1" applyFont="1" applyNumberFormat="1">
      <alignment horizontal="right"/>
    </xf>
    <xf borderId="13" fillId="4" fontId="18" numFmtId="165" xfId="0" applyAlignment="1" applyBorder="1" applyFont="1" applyNumberFormat="1">
      <alignment horizontal="right"/>
    </xf>
    <xf borderId="9" fillId="4" fontId="18" numFmtId="3" xfId="0" applyAlignment="1" applyBorder="1" applyFont="1" applyNumberFormat="1">
      <alignment horizontal="right"/>
    </xf>
    <xf borderId="130" fillId="4" fontId="18" numFmtId="10" xfId="0" applyAlignment="1" applyBorder="1" applyFont="1" applyNumberFormat="1">
      <alignment horizontal="center"/>
    </xf>
    <xf borderId="24" fillId="0" fontId="12" numFmtId="0" xfId="0" applyAlignment="1" applyBorder="1" applyFont="1">
      <alignment horizontal="right"/>
    </xf>
    <xf borderId="21" fillId="0" fontId="12" numFmtId="0" xfId="0" applyAlignment="1" applyBorder="1" applyFont="1">
      <alignment horizontal="right"/>
    </xf>
    <xf borderId="22" fillId="0" fontId="12" numFmtId="0" xfId="0" applyAlignment="1" applyBorder="1" applyFont="1">
      <alignment horizontal="right"/>
    </xf>
    <xf borderId="63" fillId="0" fontId="12" numFmtId="0" xfId="0" applyAlignment="1" applyBorder="1" applyFont="1">
      <alignment horizontal="right"/>
    </xf>
    <xf borderId="66" fillId="0" fontId="12" numFmtId="0" xfId="0" applyAlignment="1" applyBorder="1" applyFont="1">
      <alignment horizontal="center"/>
    </xf>
    <xf borderId="18" fillId="0" fontId="12" numFmtId="0" xfId="0" applyAlignment="1" applyBorder="1" applyFont="1">
      <alignment horizontal="right"/>
    </xf>
    <xf borderId="29" fillId="0" fontId="12" numFmtId="0" xfId="0" applyAlignment="1" applyBorder="1" applyFont="1">
      <alignment horizontal="right"/>
    </xf>
    <xf borderId="31" fillId="0" fontId="12" numFmtId="10" xfId="0" applyAlignment="1" applyBorder="1" applyFont="1" applyNumberFormat="1">
      <alignment horizontal="right"/>
    </xf>
    <xf borderId="38" fillId="0" fontId="12" numFmtId="3" xfId="0" applyAlignment="1" applyBorder="1" applyFont="1" applyNumberFormat="1">
      <alignment horizontal="right"/>
    </xf>
    <xf borderId="37" fillId="0" fontId="12" numFmtId="3" xfId="0" applyAlignment="1" applyBorder="1" applyFont="1" applyNumberFormat="1">
      <alignment horizontal="right"/>
    </xf>
    <xf borderId="101" fillId="0" fontId="12" numFmtId="3" xfId="0" applyAlignment="1" applyBorder="1" applyFont="1" applyNumberFormat="1">
      <alignment horizontal="right"/>
    </xf>
    <xf borderId="70" fillId="0" fontId="12" numFmtId="10" xfId="0" applyAlignment="1" applyBorder="1" applyFont="1" applyNumberFormat="1">
      <alignment horizontal="center"/>
    </xf>
    <xf borderId="13" fillId="4" fontId="18" numFmtId="3" xfId="0" applyAlignment="1" applyBorder="1" applyFont="1" applyNumberFormat="1">
      <alignment horizontal="right"/>
    </xf>
    <xf borderId="53" fillId="0" fontId="12" numFmtId="0" xfId="0" applyAlignment="1" applyBorder="1" applyFont="1">
      <alignment horizontal="right"/>
    </xf>
    <xf borderId="42" fillId="0" fontId="12" numFmtId="0" xfId="0" applyAlignment="1" applyBorder="1" applyFont="1">
      <alignment horizontal="right"/>
    </xf>
    <xf borderId="42" fillId="0" fontId="12" numFmtId="164" xfId="0" applyAlignment="1" applyBorder="1" applyFont="1" applyNumberFormat="1">
      <alignment horizontal="right"/>
    </xf>
    <xf borderId="52" fillId="0" fontId="12" numFmtId="0" xfId="0" applyAlignment="1" applyBorder="1" applyFont="1">
      <alignment horizontal="right"/>
    </xf>
    <xf borderId="100" fillId="0" fontId="12" numFmtId="0" xfId="0" applyAlignment="1" applyBorder="1" applyFont="1">
      <alignment horizontal="right"/>
    </xf>
    <xf borderId="75" fillId="0" fontId="12" numFmtId="0" xfId="0" applyAlignment="1" applyBorder="1" applyFont="1">
      <alignment horizontal="center"/>
    </xf>
    <xf borderId="12" fillId="4" fontId="18" numFmtId="3" xfId="0" applyAlignment="1" applyBorder="1" applyFont="1" applyNumberFormat="1">
      <alignment horizontal="right"/>
    </xf>
    <xf borderId="100" fillId="0" fontId="12" numFmtId="0" xfId="0" applyAlignment="1" applyBorder="1" applyFont="1">
      <alignment readingOrder="0"/>
    </xf>
    <xf borderId="53" fillId="0" fontId="12" numFmtId="10" xfId="0" applyAlignment="1" applyBorder="1" applyFont="1" applyNumberFormat="1">
      <alignment horizontal="right"/>
    </xf>
    <xf borderId="52" fillId="0" fontId="12" numFmtId="10" xfId="0" applyAlignment="1" applyBorder="1" applyFont="1" applyNumberFormat="1">
      <alignment horizontal="right"/>
    </xf>
    <xf borderId="100" fillId="0" fontId="12" numFmtId="3" xfId="0" applyAlignment="1" applyBorder="1" applyFont="1" applyNumberFormat="1">
      <alignment horizontal="right"/>
    </xf>
    <xf borderId="75" fillId="0" fontId="12" numFmtId="10" xfId="0" applyAlignment="1" applyBorder="1" applyFont="1" applyNumberFormat="1">
      <alignment horizontal="center"/>
    </xf>
    <xf borderId="124" fillId="0" fontId="12" numFmtId="0" xfId="0" applyAlignment="1" applyBorder="1" applyFont="1">
      <alignment horizontal="right"/>
    </xf>
    <xf borderId="125" fillId="0" fontId="12" numFmtId="0" xfId="0" applyAlignment="1" applyBorder="1" applyFont="1">
      <alignment horizontal="right"/>
    </xf>
    <xf borderId="10" fillId="4" fontId="18" numFmtId="3" xfId="0" applyAlignment="1" applyBorder="1" applyFont="1" applyNumberFormat="1">
      <alignment horizontal="right"/>
    </xf>
    <xf borderId="0" fillId="0" fontId="16" numFmtId="3" xfId="0" applyFont="1" applyNumberFormat="1"/>
    <xf borderId="0" fillId="0" fontId="16" numFmtId="165" xfId="0" applyAlignment="1" applyFont="1" applyNumberFormat="1">
      <alignment horizontal="center"/>
    </xf>
    <xf borderId="0" fillId="0" fontId="16" numFmtId="165" xfId="0" applyAlignment="1" applyFont="1" applyNumberFormat="1">
      <alignment horizontal="center" readingOrder="0"/>
    </xf>
    <xf borderId="0" fillId="0" fontId="16" numFmtId="165" xfId="0" applyAlignment="1" applyFont="1" applyNumberFormat="1">
      <alignment horizontal="right"/>
    </xf>
    <xf borderId="0" fillId="0" fontId="16" numFmtId="3" xfId="0" applyAlignment="1" applyFont="1" applyNumberFormat="1">
      <alignment horizontal="center"/>
    </xf>
    <xf borderId="0" fillId="0" fontId="16" numFmtId="3" xfId="0" applyAlignment="1" applyFont="1" applyNumberFormat="1">
      <alignment horizontal="right"/>
    </xf>
    <xf borderId="0" fillId="0" fontId="16" numFmtId="164" xfId="0" applyAlignment="1" applyFont="1" applyNumberFormat="1">
      <alignment horizontal="right"/>
    </xf>
    <xf quotePrefix="1" borderId="0" fillId="0" fontId="58" numFmtId="0" xfId="0" applyFont="1"/>
    <xf borderId="30" fillId="0" fontId="12" numFmtId="165" xfId="0" applyAlignment="1" applyBorder="1" applyFont="1" applyNumberFormat="1">
      <alignment horizontal="right"/>
    </xf>
    <xf borderId="22" fillId="0" fontId="12" numFmtId="165" xfId="0" applyAlignment="1" applyBorder="1" applyFont="1" applyNumberFormat="1">
      <alignment horizontal="right"/>
    </xf>
    <xf borderId="63" fillId="0" fontId="12" numFmtId="165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3" width="12.63"/>
    <col customWidth="1" min="4" max="4" width="8.13"/>
    <col customWidth="1" min="5" max="5" width="14.25"/>
    <col customWidth="1" min="6" max="6" width="12.63"/>
    <col customWidth="1" min="7" max="7" width="12.25"/>
    <col customWidth="1" min="9" max="9" width="11.63"/>
    <col customWidth="1" min="15" max="15" width="12.75"/>
    <col customWidth="1" min="17" max="17" width="14.63"/>
    <col customWidth="1" min="19" max="19" width="12.75"/>
    <col customWidth="1" min="21" max="21" width="12.75"/>
    <col customWidth="1" min="23" max="23" width="12.75"/>
    <col customWidth="1" min="25" max="25" width="12.75"/>
    <col customWidth="1" min="27" max="27" width="12.75"/>
    <col customWidth="1" min="31" max="31" width="12.75"/>
    <col customWidth="1" min="33" max="33" width="12.75"/>
    <col customWidth="1" min="35" max="35" width="12.75"/>
    <col customWidth="1" min="37" max="37" width="12.75"/>
    <col customWidth="1" min="39" max="39" width="12.75"/>
    <col customWidth="1" min="41" max="41" width="12.75"/>
    <col customWidth="1" min="43" max="43" width="12.75"/>
    <col customWidth="1" min="45" max="45" width="12.75"/>
    <col customWidth="1" min="47" max="47" width="12.75"/>
    <col customWidth="1" min="49" max="49" width="12.75"/>
  </cols>
  <sheetData>
    <row r="1" ht="15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15.75" customHeight="1"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ht="15.75" customHeight="1">
      <c r="B3" s="4"/>
      <c r="C3" s="5" t="s">
        <v>2</v>
      </c>
      <c r="D3" s="6"/>
      <c r="E3" s="6"/>
      <c r="F3" s="7"/>
      <c r="G3" s="8" t="s">
        <v>3</v>
      </c>
      <c r="H3" s="6"/>
      <c r="I3" s="6"/>
      <c r="J3" s="7"/>
      <c r="K3" s="9" t="s">
        <v>4</v>
      </c>
      <c r="L3" s="10"/>
      <c r="M3" s="10"/>
      <c r="N3" s="11"/>
      <c r="O3" s="12" t="s">
        <v>5</v>
      </c>
      <c r="P3" s="10"/>
      <c r="Q3" s="10"/>
      <c r="R3" s="13"/>
      <c r="S3" s="12" t="s">
        <v>6</v>
      </c>
      <c r="T3" s="10"/>
      <c r="U3" s="10"/>
      <c r="V3" s="13"/>
      <c r="W3" s="12" t="s">
        <v>7</v>
      </c>
      <c r="X3" s="10"/>
      <c r="Y3" s="10"/>
      <c r="Z3" s="13"/>
      <c r="AA3" s="12" t="s">
        <v>8</v>
      </c>
      <c r="AB3" s="10"/>
      <c r="AC3" s="10"/>
      <c r="AD3" s="13"/>
      <c r="AE3" s="12" t="s">
        <v>9</v>
      </c>
      <c r="AF3" s="10"/>
      <c r="AG3" s="10"/>
      <c r="AH3" s="13"/>
      <c r="AI3" s="12" t="s">
        <v>10</v>
      </c>
      <c r="AJ3" s="10"/>
      <c r="AK3" s="10"/>
      <c r="AL3" s="13"/>
      <c r="AM3" s="12" t="s">
        <v>11</v>
      </c>
      <c r="AN3" s="10"/>
      <c r="AO3" s="10"/>
      <c r="AP3" s="13"/>
      <c r="AQ3" s="12" t="s">
        <v>12</v>
      </c>
      <c r="AR3" s="10"/>
      <c r="AS3" s="10"/>
      <c r="AT3" s="13"/>
      <c r="AU3" s="12" t="s">
        <v>13</v>
      </c>
      <c r="AV3" s="10"/>
      <c r="AW3" s="10"/>
      <c r="AX3" s="13"/>
      <c r="AY3" s="12" t="s">
        <v>14</v>
      </c>
      <c r="AZ3" s="10"/>
      <c r="BA3" s="10"/>
      <c r="BB3" s="13"/>
      <c r="BC3" s="14" t="s">
        <v>15</v>
      </c>
      <c r="BD3" s="10"/>
      <c r="BE3" s="10"/>
      <c r="BF3" s="13"/>
      <c r="BG3" s="12" t="s">
        <v>16</v>
      </c>
      <c r="BH3" s="10"/>
      <c r="BI3" s="10"/>
      <c r="BJ3" s="13"/>
    </row>
    <row r="4" ht="15.75" customHeight="1">
      <c r="B4" s="15"/>
      <c r="C4" s="16" t="s">
        <v>17</v>
      </c>
      <c r="D4" s="17" t="s">
        <v>18</v>
      </c>
      <c r="E4" s="17" t="s">
        <v>19</v>
      </c>
      <c r="F4" s="18" t="s">
        <v>18</v>
      </c>
      <c r="G4" s="19" t="s">
        <v>20</v>
      </c>
      <c r="H4" s="20" t="s">
        <v>18</v>
      </c>
      <c r="I4" s="17" t="s">
        <v>19</v>
      </c>
      <c r="J4" s="18" t="s">
        <v>18</v>
      </c>
      <c r="K4" s="21" t="s">
        <v>17</v>
      </c>
      <c r="L4" s="20" t="s">
        <v>18</v>
      </c>
      <c r="M4" s="17" t="s">
        <v>19</v>
      </c>
      <c r="N4" s="22" t="s">
        <v>18</v>
      </c>
      <c r="O4" s="19" t="s">
        <v>17</v>
      </c>
      <c r="P4" s="17" t="s">
        <v>18</v>
      </c>
      <c r="Q4" s="17" t="s">
        <v>19</v>
      </c>
      <c r="R4" s="18" t="s">
        <v>18</v>
      </c>
      <c r="S4" s="19" t="s">
        <v>17</v>
      </c>
      <c r="T4" s="17" t="s">
        <v>18</v>
      </c>
      <c r="U4" s="17" t="s">
        <v>19</v>
      </c>
      <c r="V4" s="18" t="s">
        <v>18</v>
      </c>
      <c r="W4" s="19" t="s">
        <v>17</v>
      </c>
      <c r="X4" s="17" t="s">
        <v>18</v>
      </c>
      <c r="Y4" s="17" t="s">
        <v>19</v>
      </c>
      <c r="Z4" s="18" t="s">
        <v>18</v>
      </c>
      <c r="AA4" s="19" t="s">
        <v>17</v>
      </c>
      <c r="AB4" s="17" t="s">
        <v>18</v>
      </c>
      <c r="AC4" s="17" t="s">
        <v>19</v>
      </c>
      <c r="AD4" s="18" t="s">
        <v>18</v>
      </c>
      <c r="AE4" s="19" t="s">
        <v>17</v>
      </c>
      <c r="AF4" s="17" t="s">
        <v>18</v>
      </c>
      <c r="AG4" s="17" t="s">
        <v>19</v>
      </c>
      <c r="AH4" s="18" t="s">
        <v>18</v>
      </c>
      <c r="AI4" s="19" t="s">
        <v>17</v>
      </c>
      <c r="AJ4" s="17" t="s">
        <v>18</v>
      </c>
      <c r="AK4" s="17" t="s">
        <v>19</v>
      </c>
      <c r="AL4" s="18" t="s">
        <v>18</v>
      </c>
      <c r="AM4" s="19" t="s">
        <v>17</v>
      </c>
      <c r="AN4" s="17" t="s">
        <v>18</v>
      </c>
      <c r="AO4" s="17" t="s">
        <v>19</v>
      </c>
      <c r="AP4" s="18" t="s">
        <v>18</v>
      </c>
      <c r="AQ4" s="19" t="s">
        <v>17</v>
      </c>
      <c r="AR4" s="17" t="s">
        <v>18</v>
      </c>
      <c r="AS4" s="17" t="s">
        <v>19</v>
      </c>
      <c r="AT4" s="18" t="s">
        <v>18</v>
      </c>
      <c r="AU4" s="19" t="s">
        <v>17</v>
      </c>
      <c r="AV4" s="17" t="s">
        <v>18</v>
      </c>
      <c r="AW4" s="17" t="s">
        <v>19</v>
      </c>
      <c r="AX4" s="18" t="s">
        <v>18</v>
      </c>
      <c r="AY4" s="19" t="s">
        <v>17</v>
      </c>
      <c r="AZ4" s="17" t="s">
        <v>18</v>
      </c>
      <c r="BA4" s="17" t="s">
        <v>19</v>
      </c>
      <c r="BB4" s="18" t="s">
        <v>18</v>
      </c>
      <c r="BC4" s="19" t="s">
        <v>17</v>
      </c>
      <c r="BD4" s="17" t="s">
        <v>18</v>
      </c>
      <c r="BE4" s="17" t="s">
        <v>19</v>
      </c>
      <c r="BF4" s="18" t="s">
        <v>18</v>
      </c>
      <c r="BG4" s="19" t="s">
        <v>17</v>
      </c>
      <c r="BH4" s="17" t="s">
        <v>18</v>
      </c>
      <c r="BI4" s="17" t="s">
        <v>19</v>
      </c>
      <c r="BJ4" s="18" t="s">
        <v>18</v>
      </c>
    </row>
    <row r="5" ht="15.75" customHeight="1">
      <c r="B5" s="23" t="s">
        <v>21</v>
      </c>
      <c r="C5" s="24">
        <f t="shared" ref="C5:C9" si="1">G5+K5</f>
        <v>17071863.75</v>
      </c>
      <c r="D5" s="25">
        <f t="shared" ref="D5:D9" si="2">C5/$C$10</f>
        <v>0.07517043801</v>
      </c>
      <c r="E5" s="26">
        <f t="shared" ref="E5:E9" si="3">I5+M5</f>
        <v>0</v>
      </c>
      <c r="F5" s="27" t="str">
        <f t="shared" ref="F5:F9" si="4">E5/E$10</f>
        <v>#DIV/0!</v>
      </c>
      <c r="G5" s="28">
        <f>'Q1 FY26-27'!G5</f>
        <v>0</v>
      </c>
      <c r="H5" s="29"/>
      <c r="I5" s="30">
        <f>'Q1 FY26-27'!I5</f>
        <v>0</v>
      </c>
      <c r="J5" s="31"/>
      <c r="K5" s="32">
        <f t="shared" ref="K5:K9" si="5">O5+S5+W5+AA5+AE5+AI5+AM5+AQ5+AU5+AY5+BC5+BG5</f>
        <v>17071863.75</v>
      </c>
      <c r="L5" s="33">
        <f t="shared" ref="L5:L9" si="6">K5/$K$10</f>
        <v>0.07517043801</v>
      </c>
      <c r="M5" s="26">
        <f t="shared" ref="M5:M9" si="7">Q5+U5+Y5+AC5+AG5+AK5+AO5</f>
        <v>0</v>
      </c>
      <c r="N5" s="34" t="str">
        <f t="shared" ref="N5:N9" si="8">M5/M$10</f>
        <v>#DIV/0!</v>
      </c>
      <c r="O5" s="35">
        <f>'Q1 FY26-27'!O5</f>
        <v>3523965</v>
      </c>
      <c r="P5" s="36">
        <f t="shared" ref="P5:P9" si="9">O5/O$10</f>
        <v>0.05639760178</v>
      </c>
      <c r="Q5" s="37">
        <f>'Q1 FY26-27'!Q5</f>
        <v>0</v>
      </c>
      <c r="R5" s="38" t="str">
        <f t="shared" ref="R5:R9" si="10">Q5/Q$10</f>
        <v>#DIV/0!</v>
      </c>
      <c r="S5" s="35">
        <f>'Q1 FY26-27'!S5</f>
        <v>0</v>
      </c>
      <c r="T5" s="36">
        <f t="shared" ref="T5:T9" si="11">S5/S$10</f>
        <v>0</v>
      </c>
      <c r="U5" s="37">
        <f>'Q1 FY26-27'!U5</f>
        <v>0</v>
      </c>
      <c r="V5" s="38" t="str">
        <f t="shared" ref="V5:V9" si="12">U5/U$10</f>
        <v>#DIV/0!</v>
      </c>
      <c r="W5" s="35">
        <f>'Q1 FY26-27'!W5</f>
        <v>3552444</v>
      </c>
      <c r="X5" s="36">
        <f t="shared" ref="X5:X9" si="13">W5/W$10</f>
        <v>0.08455481062</v>
      </c>
      <c r="Y5" s="37">
        <f>'Q1 FY26-27'!Y5</f>
        <v>0</v>
      </c>
      <c r="Z5" s="38" t="str">
        <f t="shared" ref="Z5:Z9" si="14">Y5/Y$10</f>
        <v>#DIV/0!</v>
      </c>
      <c r="AA5" s="35">
        <f>'Q1 FY26-27'!AA5</f>
        <v>3698075.75</v>
      </c>
      <c r="AB5" s="36">
        <f t="shared" ref="AB5:AB9" si="15">AA5/AA$10</f>
        <v>0.1256566728</v>
      </c>
      <c r="AC5" s="37">
        <f>'Q1 FY26-27'!AC5</f>
        <v>0</v>
      </c>
      <c r="AD5" s="38" t="str">
        <f t="shared" ref="AD5:AD9" si="16">AC5/AC$10</f>
        <v>#DIV/0!</v>
      </c>
      <c r="AE5" s="35">
        <f>'Q1 FY26-27'!AE5</f>
        <v>4794716.5</v>
      </c>
      <c r="AF5" s="36">
        <f t="shared" ref="AF5:AF9" si="17">AE5/AE$10</f>
        <v>0.09147490606</v>
      </c>
      <c r="AG5" s="37">
        <f>'Q1 FY26-27'!AG5</f>
        <v>0</v>
      </c>
      <c r="AH5" s="38" t="str">
        <f t="shared" ref="AH5:AH9" si="18">AG5/AG$10</f>
        <v>#DIV/0!</v>
      </c>
      <c r="AI5" s="35">
        <f>'Q1 FY26-27'!AI5</f>
        <v>0</v>
      </c>
      <c r="AJ5" s="36">
        <f t="shared" ref="AJ5:AJ9" si="19">AI5/AI$10</f>
        <v>0</v>
      </c>
      <c r="AK5" s="37">
        <f>'Q1 FY26-27'!AK5</f>
        <v>0</v>
      </c>
      <c r="AL5" s="38" t="str">
        <f t="shared" ref="AL5:AL9" si="20">AK5/AK$10</f>
        <v>#DIV/0!</v>
      </c>
      <c r="AM5" s="35">
        <f>'Q1 FY26-27'!AM5</f>
        <v>0</v>
      </c>
      <c r="AN5" s="36">
        <f t="shared" ref="AN5:AN9" si="21">AM5/AM$10</f>
        <v>0</v>
      </c>
      <c r="AO5" s="37">
        <f>'Q1 FY26-27'!AO5</f>
        <v>0</v>
      </c>
      <c r="AP5" s="38" t="str">
        <f t="shared" ref="AP5:AP9" si="22">AO5/AO$10</f>
        <v>#DIV/0!</v>
      </c>
      <c r="AQ5" s="35">
        <f>'Q1 FY26-27'!AQ5</f>
        <v>1502662.5</v>
      </c>
      <c r="AR5" s="36">
        <f t="shared" ref="AR5:AR9" si="23">AQ5/AQ$10</f>
        <v>0.04572606361</v>
      </c>
      <c r="AS5" s="37">
        <f>'Q1 FY26-27'!AS5</f>
        <v>0</v>
      </c>
      <c r="AT5" s="31"/>
      <c r="AU5" s="39">
        <v>0.0</v>
      </c>
      <c r="AV5" s="36">
        <f t="shared" ref="AV5:AV9" si="24">AU5/AU$10</f>
        <v>0</v>
      </c>
      <c r="AW5" s="37">
        <f>'Q1 FY26-27'!AW5</f>
        <v>0</v>
      </c>
      <c r="AX5" s="31"/>
      <c r="AY5" s="40">
        <f>'Q1 FY26-27'!AY5</f>
        <v>0</v>
      </c>
      <c r="AZ5" s="41"/>
      <c r="BA5" s="37">
        <f>'Q1 FY26-27'!BA5</f>
        <v>0</v>
      </c>
      <c r="BB5" s="31"/>
      <c r="BC5" s="40">
        <f>'Q1 FY26-27'!BC5</f>
        <v>0</v>
      </c>
      <c r="BD5" s="41"/>
      <c r="BE5" s="37">
        <f>'Q1 FY26-27'!BE5</f>
        <v>0</v>
      </c>
      <c r="BF5" s="31"/>
      <c r="BG5" s="40">
        <f>'Q1 FY26-27'!BG5</f>
        <v>0</v>
      </c>
      <c r="BH5" s="41"/>
      <c r="BI5" s="42">
        <f>'Q1 FY26-27'!BI5</f>
        <v>0</v>
      </c>
      <c r="BJ5" s="31"/>
    </row>
    <row r="6" ht="15.75" customHeight="1">
      <c r="B6" s="43" t="s">
        <v>22</v>
      </c>
      <c r="C6" s="24">
        <f t="shared" si="1"/>
        <v>33500084</v>
      </c>
      <c r="D6" s="25">
        <f t="shared" si="2"/>
        <v>0.1475067998</v>
      </c>
      <c r="E6" s="44">
        <f t="shared" si="3"/>
        <v>0</v>
      </c>
      <c r="F6" s="45" t="str">
        <f t="shared" si="4"/>
        <v>#DIV/0!</v>
      </c>
      <c r="G6" s="28">
        <f>'Q1 FY26-27'!G6</f>
        <v>0</v>
      </c>
      <c r="H6" s="46"/>
      <c r="I6" s="30">
        <f>'Q1 FY26-27'!I6</f>
        <v>0</v>
      </c>
      <c r="J6" s="47"/>
      <c r="K6" s="32">
        <f t="shared" si="5"/>
        <v>33500084</v>
      </c>
      <c r="L6" s="33">
        <f t="shared" si="6"/>
        <v>0.1475067998</v>
      </c>
      <c r="M6" s="44">
        <f t="shared" si="7"/>
        <v>0</v>
      </c>
      <c r="N6" s="48" t="str">
        <f t="shared" si="8"/>
        <v>#DIV/0!</v>
      </c>
      <c r="O6" s="35">
        <f>'Q1 FY26-27'!O6</f>
        <v>13750031</v>
      </c>
      <c r="P6" s="49">
        <f t="shared" si="9"/>
        <v>0.2200557533</v>
      </c>
      <c r="Q6" s="37">
        <f>'Q1 FY26-27'!Q6</f>
        <v>0</v>
      </c>
      <c r="R6" s="50" t="str">
        <f t="shared" si="10"/>
        <v>#DIV/0!</v>
      </c>
      <c r="S6" s="35">
        <f>'Q1 FY26-27'!S6</f>
        <v>0</v>
      </c>
      <c r="T6" s="49">
        <f t="shared" si="11"/>
        <v>0</v>
      </c>
      <c r="U6" s="37">
        <f>'Q1 FY26-27'!U6</f>
        <v>0</v>
      </c>
      <c r="V6" s="50" t="str">
        <f t="shared" si="12"/>
        <v>#DIV/0!</v>
      </c>
      <c r="W6" s="35">
        <f>'Q1 FY26-27'!W6</f>
        <v>2330040</v>
      </c>
      <c r="X6" s="49">
        <f t="shared" si="13"/>
        <v>0.0554593094</v>
      </c>
      <c r="Y6" s="37">
        <f>'Q1 FY26-27'!Y6</f>
        <v>0</v>
      </c>
      <c r="Z6" s="50" t="str">
        <f t="shared" si="14"/>
        <v>#DIV/0!</v>
      </c>
      <c r="AA6" s="35">
        <f>'Q1 FY26-27'!AA6</f>
        <v>0</v>
      </c>
      <c r="AB6" s="49">
        <f t="shared" si="15"/>
        <v>0</v>
      </c>
      <c r="AC6" s="37">
        <f>'Q1 FY26-27'!AC6</f>
        <v>0</v>
      </c>
      <c r="AD6" s="50" t="str">
        <f t="shared" si="16"/>
        <v>#DIV/0!</v>
      </c>
      <c r="AE6" s="35">
        <f>'Q1 FY26-27'!AE6</f>
        <v>6056625.5</v>
      </c>
      <c r="AF6" s="49">
        <f t="shared" si="17"/>
        <v>0.1155499493</v>
      </c>
      <c r="AG6" s="37">
        <f>'Q1 FY26-27'!AG6</f>
        <v>0</v>
      </c>
      <c r="AH6" s="50" t="str">
        <f t="shared" si="18"/>
        <v>#DIV/0!</v>
      </c>
      <c r="AI6" s="35">
        <f>'Q1 FY26-27'!AI6</f>
        <v>0</v>
      </c>
      <c r="AJ6" s="49">
        <f t="shared" si="19"/>
        <v>0</v>
      </c>
      <c r="AK6" s="37">
        <f>'Q1 FY26-27'!AK6</f>
        <v>0</v>
      </c>
      <c r="AL6" s="38" t="str">
        <f t="shared" si="20"/>
        <v>#DIV/0!</v>
      </c>
      <c r="AM6" s="51">
        <f>'Q1 FY26-27'!AM6</f>
        <v>0</v>
      </c>
      <c r="AN6" s="49">
        <f t="shared" si="21"/>
        <v>0</v>
      </c>
      <c r="AO6" s="37">
        <f>'Q1 FY26-27'!AO6</f>
        <v>0</v>
      </c>
      <c r="AP6" s="50" t="str">
        <f t="shared" si="22"/>
        <v>#DIV/0!</v>
      </c>
      <c r="AQ6" s="35">
        <f>'Q1 FY26-27'!AQ6</f>
        <v>11363387.5</v>
      </c>
      <c r="AR6" s="49">
        <f t="shared" si="23"/>
        <v>0.3457882124</v>
      </c>
      <c r="AS6" s="37">
        <f>'Q1 FY26-27'!AS6</f>
        <v>0</v>
      </c>
      <c r="AT6" s="47"/>
      <c r="AU6" s="40">
        <v>0.0</v>
      </c>
      <c r="AV6" s="49">
        <f t="shared" si="24"/>
        <v>0</v>
      </c>
      <c r="AW6" s="37">
        <f>'Q1 FY26-27'!AW6</f>
        <v>0</v>
      </c>
      <c r="AX6" s="47"/>
      <c r="AY6" s="40">
        <f>'Q1 FY26-27'!AY6</f>
        <v>0</v>
      </c>
      <c r="AZ6" s="52"/>
      <c r="BA6" s="37">
        <f>'Q1 FY26-27'!BA6</f>
        <v>0</v>
      </c>
      <c r="BB6" s="47"/>
      <c r="BC6" s="40">
        <f>'Q1 FY26-27'!BC6</f>
        <v>0</v>
      </c>
      <c r="BD6" s="52"/>
      <c r="BE6" s="53">
        <f>'Q1 FY26-27'!BE6</f>
        <v>0</v>
      </c>
      <c r="BF6" s="47"/>
      <c r="BG6" s="40">
        <f>'Q1 FY26-27'!BG6</f>
        <v>0</v>
      </c>
      <c r="BH6" s="52"/>
      <c r="BI6" s="42">
        <f>'Q1 FY26-27'!BI6</f>
        <v>0</v>
      </c>
      <c r="BJ6" s="47"/>
    </row>
    <row r="7" ht="15.75" customHeight="1">
      <c r="B7" s="43" t="s">
        <v>23</v>
      </c>
      <c r="C7" s="24">
        <f t="shared" si="1"/>
        <v>162163449</v>
      </c>
      <c r="D7" s="25">
        <f t="shared" si="2"/>
        <v>0.7140343709</v>
      </c>
      <c r="E7" s="44">
        <f t="shared" si="3"/>
        <v>0</v>
      </c>
      <c r="F7" s="45" t="str">
        <f t="shared" si="4"/>
        <v>#DIV/0!</v>
      </c>
      <c r="G7" s="28">
        <f>'Q1 FY26-27'!G7</f>
        <v>0</v>
      </c>
      <c r="H7" s="46"/>
      <c r="I7" s="30">
        <f>'Q1 FY26-27'!I7</f>
        <v>0</v>
      </c>
      <c r="J7" s="47"/>
      <c r="K7" s="32">
        <f t="shared" si="5"/>
        <v>162163449</v>
      </c>
      <c r="L7" s="33">
        <f t="shared" si="6"/>
        <v>0.7140343709</v>
      </c>
      <c r="M7" s="44">
        <f t="shared" si="7"/>
        <v>0</v>
      </c>
      <c r="N7" s="48" t="str">
        <f t="shared" si="8"/>
        <v>#DIV/0!</v>
      </c>
      <c r="O7" s="35">
        <f>'Q1 FY26-27'!O7</f>
        <v>40171104.87</v>
      </c>
      <c r="P7" s="49">
        <f t="shared" si="9"/>
        <v>0.6428991138</v>
      </c>
      <c r="Q7" s="37">
        <f>'Q1 FY26-27'!Q7</f>
        <v>0</v>
      </c>
      <c r="R7" s="50" t="str">
        <f t="shared" si="10"/>
        <v>#DIV/0!</v>
      </c>
      <c r="S7" s="35">
        <f>'Q1 FY26-27'!S7</f>
        <v>2811739</v>
      </c>
      <c r="T7" s="49">
        <f t="shared" si="11"/>
        <v>1</v>
      </c>
      <c r="U7" s="37">
        <f>'Q1 FY26-27'!U7</f>
        <v>0</v>
      </c>
      <c r="V7" s="50" t="str">
        <f t="shared" si="12"/>
        <v>#DIV/0!</v>
      </c>
      <c r="W7" s="35">
        <f>'Q1 FY26-27'!W7</f>
        <v>33914191.49</v>
      </c>
      <c r="X7" s="49">
        <f t="shared" si="13"/>
        <v>0.8072211803</v>
      </c>
      <c r="Y7" s="37">
        <f>'Q1 FY26-27'!Y7</f>
        <v>0</v>
      </c>
      <c r="Z7" s="50" t="str">
        <f t="shared" si="14"/>
        <v>#DIV/0!</v>
      </c>
      <c r="AA7" s="35">
        <f>'Q1 FY26-27'!AA7</f>
        <v>24637248.15</v>
      </c>
      <c r="AB7" s="49">
        <f t="shared" si="15"/>
        <v>0.8371474356</v>
      </c>
      <c r="AC7" s="37">
        <f>'Q1 FY26-27'!AC7</f>
        <v>0</v>
      </c>
      <c r="AD7" s="50" t="str">
        <f t="shared" si="16"/>
        <v>#DIV/0!</v>
      </c>
      <c r="AE7" s="35">
        <f>'Q1 FY26-27'!AE7</f>
        <v>38406485.25</v>
      </c>
      <c r="AF7" s="49">
        <f t="shared" si="17"/>
        <v>0.7327293763</v>
      </c>
      <c r="AG7" s="37">
        <f>'Q1 FY26-27'!AG7</f>
        <v>0</v>
      </c>
      <c r="AH7" s="50" t="str">
        <f t="shared" si="18"/>
        <v>#DIV/0!</v>
      </c>
      <c r="AI7" s="35">
        <f>'Q1 FY26-27'!AI7</f>
        <v>510003</v>
      </c>
      <c r="AJ7" s="49">
        <f t="shared" si="19"/>
        <v>1</v>
      </c>
      <c r="AK7" s="37">
        <f>'Q1 FY26-27'!AK7</f>
        <v>0</v>
      </c>
      <c r="AL7" s="38" t="str">
        <f t="shared" si="20"/>
        <v>#DIV/0!</v>
      </c>
      <c r="AM7" s="51">
        <f>'Q1 FY26-27'!AM7</f>
        <v>1297376.82</v>
      </c>
      <c r="AN7" s="49">
        <f t="shared" si="21"/>
        <v>1</v>
      </c>
      <c r="AO7" s="37">
        <f>'Q1 FY26-27'!AO7</f>
        <v>0</v>
      </c>
      <c r="AP7" s="50" t="str">
        <f t="shared" si="22"/>
        <v>#DIV/0!</v>
      </c>
      <c r="AQ7" s="35">
        <f>'Q1 FY26-27'!AQ7</f>
        <v>17131409.5</v>
      </c>
      <c r="AR7" s="49">
        <f t="shared" si="23"/>
        <v>0.5213092897</v>
      </c>
      <c r="AS7" s="37">
        <f>'Q1 FY26-27'!AS7</f>
        <v>0</v>
      </c>
      <c r="AT7" s="47"/>
      <c r="AU7" s="40">
        <f>'Q1 FY26-27'!AU7</f>
        <v>972714.99</v>
      </c>
      <c r="AV7" s="49">
        <f t="shared" si="24"/>
        <v>1</v>
      </c>
      <c r="AW7" s="37">
        <f>'Q1 FY26-27'!AW7</f>
        <v>0</v>
      </c>
      <c r="AX7" s="47"/>
      <c r="AY7" s="40">
        <f>'Q1 FY26-27'!AY7</f>
        <v>228077.89</v>
      </c>
      <c r="AZ7" s="52"/>
      <c r="BA7" s="37">
        <f>'Q1 FY26-27'!BA7</f>
        <v>0</v>
      </c>
      <c r="BB7" s="47"/>
      <c r="BC7" s="40">
        <f>'Q1 FY26-27'!BC7</f>
        <v>306961.08</v>
      </c>
      <c r="BD7" s="52"/>
      <c r="BE7" s="53">
        <f>'Q1 FY26-27'!BE7</f>
        <v>0</v>
      </c>
      <c r="BF7" s="47"/>
      <c r="BG7" s="40">
        <f>'Q1 FY26-27'!BG7</f>
        <v>1776137</v>
      </c>
      <c r="BH7" s="52"/>
      <c r="BI7" s="42">
        <f>'Q1 FY26-27'!BI7</f>
        <v>0</v>
      </c>
      <c r="BJ7" s="47"/>
    </row>
    <row r="8" ht="15.75" customHeight="1">
      <c r="B8" s="54" t="s">
        <v>24</v>
      </c>
      <c r="C8" s="55">
        <f t="shared" si="1"/>
        <v>14197166.05</v>
      </c>
      <c r="D8" s="25">
        <f t="shared" si="2"/>
        <v>0.06251263518</v>
      </c>
      <c r="E8" s="56">
        <f t="shared" si="3"/>
        <v>0</v>
      </c>
      <c r="F8" s="57" t="str">
        <f t="shared" si="4"/>
        <v>#DIV/0!</v>
      </c>
      <c r="G8" s="28">
        <f>'Q1 FY26-27'!G8</f>
        <v>0</v>
      </c>
      <c r="H8" s="58"/>
      <c r="I8" s="30">
        <f>'Q1 FY26-27'!I8</f>
        <v>0</v>
      </c>
      <c r="J8" s="59"/>
      <c r="K8" s="32">
        <f t="shared" si="5"/>
        <v>14197166.05</v>
      </c>
      <c r="L8" s="33">
        <f t="shared" si="6"/>
        <v>0.06251263518</v>
      </c>
      <c r="M8" s="56">
        <f t="shared" si="7"/>
        <v>0</v>
      </c>
      <c r="N8" s="60" t="str">
        <f t="shared" si="8"/>
        <v>#DIV/0!</v>
      </c>
      <c r="O8" s="35">
        <f>'Q1 FY26-27'!O8</f>
        <v>4973055</v>
      </c>
      <c r="P8" s="61">
        <f t="shared" si="9"/>
        <v>0.07958886525</v>
      </c>
      <c r="Q8" s="37">
        <f>'Q1 FY26-27'!Q8</f>
        <v>0</v>
      </c>
      <c r="R8" s="62" t="str">
        <f t="shared" si="10"/>
        <v>#DIV/0!</v>
      </c>
      <c r="S8" s="35">
        <f>'Q1 FY26-27'!S8</f>
        <v>0</v>
      </c>
      <c r="T8" s="61">
        <f t="shared" si="11"/>
        <v>0</v>
      </c>
      <c r="U8" s="37">
        <f>'Q1 FY26-27'!U8</f>
        <v>0</v>
      </c>
      <c r="V8" s="62" t="str">
        <f t="shared" si="12"/>
        <v>#DIV/0!</v>
      </c>
      <c r="W8" s="35">
        <f>'Q1 FY26-27'!W8</f>
        <v>2183680</v>
      </c>
      <c r="X8" s="61">
        <f t="shared" si="13"/>
        <v>0.05197566769</v>
      </c>
      <c r="Y8" s="37">
        <f>'Q1 FY26-27'!Y8</f>
        <v>0</v>
      </c>
      <c r="Z8" s="62" t="str">
        <f t="shared" si="14"/>
        <v>#DIV/0!</v>
      </c>
      <c r="AA8" s="35">
        <f>'Q1 FY26-27'!AA8</f>
        <v>1076675.05</v>
      </c>
      <c r="AB8" s="61">
        <f t="shared" si="15"/>
        <v>0.03658427076</v>
      </c>
      <c r="AC8" s="37">
        <f>'Q1 FY26-27'!AC8</f>
        <v>0</v>
      </c>
      <c r="AD8" s="62" t="str">
        <f t="shared" si="16"/>
        <v>#DIV/0!</v>
      </c>
      <c r="AE8" s="35">
        <f>'Q1 FY26-27'!AE8</f>
        <v>3127290</v>
      </c>
      <c r="AF8" s="61">
        <f t="shared" si="17"/>
        <v>0.05966328958</v>
      </c>
      <c r="AG8" s="37">
        <f>'Q1 FY26-27'!AG8</f>
        <v>0</v>
      </c>
      <c r="AH8" s="62" t="str">
        <f t="shared" si="18"/>
        <v>#DIV/0!</v>
      </c>
      <c r="AI8" s="35">
        <f>'Q1 FY26-27'!AI8</f>
        <v>0</v>
      </c>
      <c r="AJ8" s="61">
        <f t="shared" si="19"/>
        <v>0</v>
      </c>
      <c r="AK8" s="37">
        <f>'Q1 FY26-27'!AK8</f>
        <v>0</v>
      </c>
      <c r="AL8" s="38" t="str">
        <f t="shared" si="20"/>
        <v>#DIV/0!</v>
      </c>
      <c r="AM8" s="51">
        <f>'Q1 FY26-27'!AM8</f>
        <v>0</v>
      </c>
      <c r="AN8" s="61">
        <f t="shared" si="21"/>
        <v>0</v>
      </c>
      <c r="AO8" s="37">
        <f>'Q1 FY26-27'!AO8</f>
        <v>0</v>
      </c>
      <c r="AP8" s="62" t="str">
        <f t="shared" si="22"/>
        <v>#DIV/0!</v>
      </c>
      <c r="AQ8" s="35">
        <f>'Q1 FY26-27'!AQ8</f>
        <v>2836466</v>
      </c>
      <c r="AR8" s="61">
        <f t="shared" si="23"/>
        <v>0.08631374294</v>
      </c>
      <c r="AS8" s="37">
        <f>'Q1 FY26-27'!AS8</f>
        <v>0</v>
      </c>
      <c r="AT8" s="59"/>
      <c r="AU8" s="63">
        <v>0.0</v>
      </c>
      <c r="AV8" s="61">
        <f t="shared" si="24"/>
        <v>0</v>
      </c>
      <c r="AW8" s="37">
        <f>'Q1 FY26-27'!AW8</f>
        <v>0</v>
      </c>
      <c r="AX8" s="59"/>
      <c r="AY8" s="40">
        <f>'Q1 FY26-27'!AY8</f>
        <v>0</v>
      </c>
      <c r="AZ8" s="64"/>
      <c r="BA8" s="37">
        <f>'Q1 FY26-27'!BA8</f>
        <v>0</v>
      </c>
      <c r="BB8" s="59"/>
      <c r="BC8" s="40">
        <f>'Q1 FY26-27'!BC8</f>
        <v>0</v>
      </c>
      <c r="BD8" s="64"/>
      <c r="BE8" s="53">
        <f>'Q1 FY26-27'!BE8</f>
        <v>0</v>
      </c>
      <c r="BF8" s="59"/>
      <c r="BG8" s="40">
        <f>'Q1 FY26-27'!BG8</f>
        <v>0</v>
      </c>
      <c r="BH8" s="64"/>
      <c r="BI8" s="42">
        <f>'Q1 FY26-27'!BI8</f>
        <v>0</v>
      </c>
      <c r="BJ8" s="59"/>
    </row>
    <row r="9" ht="15.75" customHeight="1">
      <c r="B9" s="54" t="s">
        <v>25</v>
      </c>
      <c r="C9" s="55">
        <f t="shared" si="1"/>
        <v>176181</v>
      </c>
      <c r="D9" s="25">
        <f t="shared" si="2"/>
        <v>0.0007757561291</v>
      </c>
      <c r="E9" s="56">
        <f t="shared" si="3"/>
        <v>0</v>
      </c>
      <c r="F9" s="57" t="str">
        <f t="shared" si="4"/>
        <v>#DIV/0!</v>
      </c>
      <c r="G9" s="28">
        <f>'Q1 FY26-27'!G9</f>
        <v>0</v>
      </c>
      <c r="H9" s="58"/>
      <c r="I9" s="30">
        <f>'Q1 FY26-27'!I9</f>
        <v>0</v>
      </c>
      <c r="J9" s="59"/>
      <c r="K9" s="32">
        <f t="shared" si="5"/>
        <v>176181</v>
      </c>
      <c r="L9" s="33">
        <f t="shared" si="6"/>
        <v>0.0007757561291</v>
      </c>
      <c r="M9" s="56">
        <f t="shared" si="7"/>
        <v>0</v>
      </c>
      <c r="N9" s="60" t="str">
        <f t="shared" si="8"/>
        <v>#DIV/0!</v>
      </c>
      <c r="O9" s="65">
        <f>'Q1 FY26-27'!O9</f>
        <v>66150</v>
      </c>
      <c r="P9" s="61">
        <f t="shared" si="9"/>
        <v>0.001058665837</v>
      </c>
      <c r="Q9" s="37">
        <f>'Q1 FY26-27'!Q9</f>
        <v>0</v>
      </c>
      <c r="R9" s="62" t="str">
        <f t="shared" si="10"/>
        <v>#DIV/0!</v>
      </c>
      <c r="S9" s="35">
        <f>'Q1 FY26-27'!S9</f>
        <v>0</v>
      </c>
      <c r="T9" s="61">
        <f t="shared" si="11"/>
        <v>0</v>
      </c>
      <c r="U9" s="37">
        <f>'Q1 FY26-27'!U9</f>
        <v>0</v>
      </c>
      <c r="V9" s="62" t="str">
        <f t="shared" si="12"/>
        <v>#DIV/0!</v>
      </c>
      <c r="W9" s="35">
        <f>'Q1 FY26-27'!W9</f>
        <v>33150</v>
      </c>
      <c r="X9" s="61">
        <f t="shared" si="13"/>
        <v>0.0007890319937</v>
      </c>
      <c r="Y9" s="37">
        <f>'Q1 FY26-27'!Y9</f>
        <v>0</v>
      </c>
      <c r="Z9" s="62" t="str">
        <f t="shared" si="14"/>
        <v>#DIV/0!</v>
      </c>
      <c r="AA9" s="35">
        <f>'Q1 FY26-27'!AA9</f>
        <v>18000</v>
      </c>
      <c r="AB9" s="61">
        <f t="shared" si="15"/>
        <v>0.0006116208169</v>
      </c>
      <c r="AC9" s="37">
        <f>'Q1 FY26-27'!AC9</f>
        <v>0</v>
      </c>
      <c r="AD9" s="62" t="str">
        <f t="shared" si="16"/>
        <v>#DIV/0!</v>
      </c>
      <c r="AE9" s="35">
        <f>'Q1 FY26-27'!AE9</f>
        <v>30531</v>
      </c>
      <c r="AF9" s="61">
        <f t="shared" si="17"/>
        <v>0.0005824787257</v>
      </c>
      <c r="AG9" s="37">
        <f>'Q1 FY26-27'!AG9</f>
        <v>0</v>
      </c>
      <c r="AH9" s="62" t="str">
        <f t="shared" si="18"/>
        <v>#DIV/0!</v>
      </c>
      <c r="AI9" s="35">
        <f>'Q1 FY26-27'!AI9</f>
        <v>0</v>
      </c>
      <c r="AJ9" s="61">
        <f t="shared" si="19"/>
        <v>0</v>
      </c>
      <c r="AK9" s="37">
        <f>'Q1 FY26-27'!AK9</f>
        <v>0</v>
      </c>
      <c r="AL9" s="38" t="str">
        <f t="shared" si="20"/>
        <v>#DIV/0!</v>
      </c>
      <c r="AM9" s="51">
        <f>'Q1 FY26-27'!AM9</f>
        <v>0</v>
      </c>
      <c r="AN9" s="61">
        <f t="shared" si="21"/>
        <v>0</v>
      </c>
      <c r="AO9" s="37">
        <f>'Q1 FY26-27'!AO9</f>
        <v>0</v>
      </c>
      <c r="AP9" s="62" t="str">
        <f t="shared" si="22"/>
        <v>#DIV/0!</v>
      </c>
      <c r="AQ9" s="35">
        <f>'Q1 FY26-27'!AQ9</f>
        <v>28350</v>
      </c>
      <c r="AR9" s="61">
        <f t="shared" si="23"/>
        <v>0.0008626913252</v>
      </c>
      <c r="AS9" s="37">
        <f>'Q1 FY26-27'!AS9</f>
        <v>0</v>
      </c>
      <c r="AT9" s="59"/>
      <c r="AU9" s="63">
        <v>0.0</v>
      </c>
      <c r="AV9" s="61">
        <f t="shared" si="24"/>
        <v>0</v>
      </c>
      <c r="AW9" s="37">
        <f>'Q1 FY26-27'!AW9</f>
        <v>0</v>
      </c>
      <c r="AX9" s="59"/>
      <c r="AY9" s="40">
        <f>'Q1 FY26-27'!AY9</f>
        <v>0</v>
      </c>
      <c r="AZ9" s="64"/>
      <c r="BA9" s="37">
        <f>'Q1 FY26-27'!BA9</f>
        <v>0</v>
      </c>
      <c r="BB9" s="59"/>
      <c r="BC9" s="40">
        <f>'Q1 FY26-27'!BC9</f>
        <v>0</v>
      </c>
      <c r="BD9" s="64"/>
      <c r="BE9" s="53">
        <f>'Q1 FY26-27'!BE9</f>
        <v>0</v>
      </c>
      <c r="BF9" s="59"/>
      <c r="BG9" s="40">
        <f>'Q1 FY26-27'!BG9</f>
        <v>0</v>
      </c>
      <c r="BH9" s="64"/>
      <c r="BI9" s="42">
        <f>'Q1 FY26-27'!BI9</f>
        <v>0</v>
      </c>
      <c r="BJ9" s="59"/>
    </row>
    <row r="10" ht="15.75" customHeight="1">
      <c r="B10" s="15" t="s">
        <v>26</v>
      </c>
      <c r="C10" s="66">
        <f>SUM(C5:C9)</f>
        <v>227108743.8</v>
      </c>
      <c r="D10" s="67">
        <f>C10/C10</f>
        <v>1</v>
      </c>
      <c r="E10" s="68">
        <f>SUM(E5:E9)</f>
        <v>0</v>
      </c>
      <c r="F10" s="67" t="str">
        <f>E10/E10</f>
        <v>#DIV/0!</v>
      </c>
      <c r="G10" s="66">
        <f>SUM(G5:G9)</f>
        <v>0</v>
      </c>
      <c r="H10" s="69"/>
      <c r="I10" s="68">
        <f>SUM(I5:I9)</f>
        <v>0</v>
      </c>
      <c r="J10" s="70"/>
      <c r="K10" s="71">
        <f>SUM(K5:K9)</f>
        <v>227108743.8</v>
      </c>
      <c r="L10" s="72">
        <f>K10/K10</f>
        <v>1</v>
      </c>
      <c r="M10" s="68">
        <f>SUM(M5:M9)</f>
        <v>0</v>
      </c>
      <c r="N10" s="73" t="str">
        <f>M10/M10</f>
        <v>#DIV/0!</v>
      </c>
      <c r="O10" s="66">
        <f>SUM(O5:O9)</f>
        <v>62484305.87</v>
      </c>
      <c r="P10" s="74"/>
      <c r="Q10" s="68">
        <f>SUM(Q5:Q9)</f>
        <v>0</v>
      </c>
      <c r="R10" s="70"/>
      <c r="S10" s="66">
        <f>SUM(S5:S9)</f>
        <v>2811739</v>
      </c>
      <c r="T10" s="69"/>
      <c r="U10" s="68">
        <f>SUM(U5:U8)</f>
        <v>0</v>
      </c>
      <c r="V10" s="70"/>
      <c r="W10" s="66">
        <f>SUM(W5:W9)</f>
        <v>42013505.49</v>
      </c>
      <c r="X10" s="75"/>
      <c r="Y10" s="68">
        <f>SUM(Y5:Y8)</f>
        <v>0</v>
      </c>
      <c r="Z10" s="70"/>
      <c r="AA10" s="66">
        <f>SUM(AA5:AA9)</f>
        <v>29429998.95</v>
      </c>
      <c r="AB10" s="75"/>
      <c r="AC10" s="68">
        <f>SUM(AC5:AC8)</f>
        <v>0</v>
      </c>
      <c r="AD10" s="70"/>
      <c r="AE10" s="66">
        <f>SUM(AE5:AE9)</f>
        <v>52415648.25</v>
      </c>
      <c r="AF10" s="75"/>
      <c r="AG10" s="68">
        <f>SUM(AG5:AG8)</f>
        <v>0</v>
      </c>
      <c r="AH10" s="70"/>
      <c r="AI10" s="66">
        <f>SUM(AI5:AI9)</f>
        <v>510003</v>
      </c>
      <c r="AJ10" s="75"/>
      <c r="AK10" s="68">
        <f>SUM(AK5:AK9)</f>
        <v>0</v>
      </c>
      <c r="AL10" s="70"/>
      <c r="AM10" s="66">
        <f>SUM(AM5:AM9)</f>
        <v>1297376.82</v>
      </c>
      <c r="AN10" s="75"/>
      <c r="AO10" s="68">
        <f>SUM(AO5:AO8)</f>
        <v>0</v>
      </c>
      <c r="AP10" s="75"/>
      <c r="AQ10" s="66">
        <f>SUM(AQ5:AQ9)</f>
        <v>32862275.5</v>
      </c>
      <c r="AR10" s="75"/>
      <c r="AS10" s="68">
        <f>'Q1 FY26-27'!AS10</f>
        <v>0</v>
      </c>
      <c r="AT10" s="70"/>
      <c r="AU10" s="76">
        <f>SUM(AU5:AU8)</f>
        <v>972714.99</v>
      </c>
      <c r="AV10" s="75"/>
      <c r="AW10" s="77">
        <f>SUM(AW5:AW8)</f>
        <v>0</v>
      </c>
      <c r="AX10" s="70"/>
      <c r="AY10" s="76">
        <f>SUM(AY5:AY8)</f>
        <v>228077.89</v>
      </c>
      <c r="AZ10" s="75"/>
      <c r="BA10" s="77">
        <f>SUM(BA5:BA8)</f>
        <v>0</v>
      </c>
      <c r="BB10" s="70"/>
      <c r="BC10" s="76">
        <f>SUM(BC5:BC8)</f>
        <v>306961.08</v>
      </c>
      <c r="BD10" s="75"/>
      <c r="BE10" s="77">
        <f>SUM(BE5:BE8)</f>
        <v>0</v>
      </c>
      <c r="BF10" s="70"/>
      <c r="BG10" s="76">
        <f>SUM(BG5:BG8)</f>
        <v>1776137</v>
      </c>
      <c r="BH10" s="75"/>
      <c r="BI10" s="77">
        <f>SUM(BI5:BI8)</f>
        <v>0</v>
      </c>
      <c r="BJ10" s="70"/>
    </row>
    <row r="11" ht="15.75" customHeight="1">
      <c r="B11" s="78" t="s">
        <v>27</v>
      </c>
      <c r="C11" s="79">
        <f>C10/12</f>
        <v>18925728.65</v>
      </c>
      <c r="D11" s="79"/>
      <c r="E11" s="79">
        <f>E10/12</f>
        <v>0</v>
      </c>
      <c r="F11" s="80"/>
      <c r="G11" s="81" t="str">
        <f>'Q1 FY26-27'!G11</f>
        <v/>
      </c>
      <c r="H11" s="82"/>
      <c r="I11" s="83" t="str">
        <f>'Q1 FY26-27'!I11</f>
        <v/>
      </c>
      <c r="J11" s="80"/>
      <c r="K11" s="84"/>
      <c r="L11" s="82"/>
      <c r="M11" s="83"/>
      <c r="N11" s="85"/>
      <c r="O11" s="86" t="str">
        <f>'Q1 FY26-27'!O11</f>
        <v/>
      </c>
      <c r="P11" s="83"/>
      <c r="Q11" s="83"/>
      <c r="R11" s="80"/>
      <c r="S11" s="81">
        <f>S10/12</f>
        <v>234311.5833</v>
      </c>
      <c r="T11" s="82"/>
      <c r="U11" s="83">
        <f>U10/12</f>
        <v>0</v>
      </c>
      <c r="V11" s="80"/>
      <c r="W11" s="81">
        <f>W10/12</f>
        <v>3501125.458</v>
      </c>
      <c r="X11" s="83"/>
      <c r="Y11" s="83">
        <f>Y10/12</f>
        <v>0</v>
      </c>
      <c r="Z11" s="80"/>
      <c r="AA11" s="81">
        <f>AA10/12</f>
        <v>2452499.913</v>
      </c>
      <c r="AB11" s="83"/>
      <c r="AC11" s="83"/>
      <c r="AD11" s="80"/>
      <c r="AE11" s="81">
        <f>AE10/12</f>
        <v>4367970.688</v>
      </c>
      <c r="AF11" s="83"/>
      <c r="AG11" s="83" t="str">
        <f>'Q1 FY26-27'!AG11</f>
        <v/>
      </c>
      <c r="AH11" s="80"/>
      <c r="AI11" s="81" t="str">
        <f>'Q1 FY26-27'!AI11</f>
        <v/>
      </c>
      <c r="AJ11" s="83"/>
      <c r="AK11" s="83" t="str">
        <f>'Q1 FY26-27'!AK11</f>
        <v/>
      </c>
      <c r="AL11" s="80"/>
      <c r="AM11" s="81">
        <f>AM10/12</f>
        <v>108114.735</v>
      </c>
      <c r="AN11" s="83"/>
      <c r="AO11" s="83" t="str">
        <f>'Q1 FY26-27'!AO11</f>
        <v/>
      </c>
      <c r="AP11" s="83"/>
      <c r="AQ11" s="81">
        <f>AQ10/4.5</f>
        <v>7302727.889</v>
      </c>
      <c r="AR11" s="83"/>
      <c r="AS11" s="83" t="str">
        <f>'Q1 FY26-27'!AS11</f>
        <v/>
      </c>
      <c r="AT11" s="80"/>
      <c r="AU11" s="81">
        <v>0.0</v>
      </c>
      <c r="AV11" s="83"/>
      <c r="AW11" s="83">
        <v>0.0</v>
      </c>
      <c r="AX11" s="80"/>
      <c r="AY11" s="81">
        <v>0.0</v>
      </c>
      <c r="AZ11" s="83"/>
      <c r="BA11" s="83">
        <v>0.0</v>
      </c>
      <c r="BB11" s="80"/>
      <c r="BC11" s="81">
        <v>0.0</v>
      </c>
      <c r="BD11" s="83"/>
      <c r="BE11" s="83">
        <v>0.0</v>
      </c>
      <c r="BF11" s="80"/>
      <c r="BG11" s="81">
        <v>0.0</v>
      </c>
      <c r="BH11" s="83"/>
      <c r="BI11" s="83">
        <v>0.0</v>
      </c>
      <c r="BJ11" s="80"/>
    </row>
    <row r="12" ht="15.75" customHeight="1">
      <c r="B12" s="23" t="s">
        <v>28</v>
      </c>
      <c r="C12" s="87">
        <f t="shared" ref="C12:C13" si="25">G12+K12</f>
        <v>81564010.26</v>
      </c>
      <c r="D12" s="25">
        <f t="shared" ref="D12:D13" si="26">C12/$C$10</f>
        <v>0.359140775</v>
      </c>
      <c r="E12" s="26" t="str">
        <f t="shared" ref="E12:E13" si="27">I12+M12</f>
        <v>#DIV/0!</v>
      </c>
      <c r="F12" s="27" t="str">
        <f t="shared" ref="F12:F14" si="28">E12/E$10</f>
        <v>#DIV/0!</v>
      </c>
      <c r="G12" s="35">
        <f>'Q1 FY26-27'!G12</f>
        <v>0</v>
      </c>
      <c r="H12" s="36">
        <f>G12/$C$10</f>
        <v>0</v>
      </c>
      <c r="I12" s="30">
        <f>'Q1 FY26-27'!I12</f>
        <v>0</v>
      </c>
      <c r="J12" s="38">
        <f>I12/$C$10</f>
        <v>0</v>
      </c>
      <c r="K12" s="32">
        <f t="shared" ref="K12:K13" si="29">O12+S12+W12+AA12+AE12+AI12+AM12+AQ12+AU12+AY12+BC12+BG12</f>
        <v>81564010.26</v>
      </c>
      <c r="L12" s="88">
        <f t="shared" ref="L12:L13" si="30">K12/$K$10</f>
        <v>0.359140775</v>
      </c>
      <c r="M12" s="26" t="str">
        <f t="shared" ref="M12:M13" si="31">Q12+U12+Y12+AC12+AG12+AK12+AO12</f>
        <v>#DIV/0!</v>
      </c>
      <c r="N12" s="34" t="str">
        <f t="shared" ref="N12:N14" si="32">M12/M$10</f>
        <v>#DIV/0!</v>
      </c>
      <c r="O12" s="35">
        <f>'Q1 FY26-27'!O12</f>
        <v>21283922.58</v>
      </c>
      <c r="P12" s="36">
        <f t="shared" ref="P12:P14" si="33">O12/O$10</f>
        <v>0.3406282952</v>
      </c>
      <c r="Q12" s="37">
        <f>'Q1 FY26-27'!Q12</f>
        <v>0</v>
      </c>
      <c r="R12" s="38" t="str">
        <f t="shared" ref="R12:R14" si="34">Q12/Q$10</f>
        <v>#DIV/0!</v>
      </c>
      <c r="S12" s="35">
        <f>'Q1 FY26-27'!S12</f>
        <v>836780.3905</v>
      </c>
      <c r="T12" s="36">
        <f t="shared" ref="T12:T14" si="35">S12/S$10</f>
        <v>0.2976024412</v>
      </c>
      <c r="U12" s="37">
        <f>'Q1 FY26-27'!U12</f>
        <v>0</v>
      </c>
      <c r="V12" s="38" t="str">
        <f t="shared" ref="V12:V14" si="36">U12/U$10</f>
        <v>#DIV/0!</v>
      </c>
      <c r="W12" s="35">
        <f>'Q1 FY26-27'!W12</f>
        <v>14866497.74</v>
      </c>
      <c r="X12" s="36">
        <f t="shared" ref="X12:X14" si="37">W12/W$10</f>
        <v>0.3538504481</v>
      </c>
      <c r="Y12" s="37">
        <f>'Q1 FY26-27'!Y12</f>
        <v>0</v>
      </c>
      <c r="Z12" s="38" t="str">
        <f t="shared" ref="Z12:Z14" si="38">Y12/Y$10</f>
        <v>#DIV/0!</v>
      </c>
      <c r="AA12" s="35">
        <f>'Q1 FY26-27'!AA12</f>
        <v>10322272.77</v>
      </c>
      <c r="AB12" s="36">
        <f t="shared" ref="AB12:AB14" si="39">AA12/AA$10</f>
        <v>0.3507398279</v>
      </c>
      <c r="AC12" s="37">
        <f>'Q1 FY26-27'!AC12</f>
        <v>0</v>
      </c>
      <c r="AD12" s="38" t="str">
        <f t="shared" ref="AD12:AD14" si="40">AC12/AC$10</f>
        <v>#DIV/0!</v>
      </c>
      <c r="AE12" s="35">
        <f>'Q1 FY26-27'!AE12</f>
        <v>17029683.04</v>
      </c>
      <c r="AF12" s="36">
        <f t="shared" ref="AF12:AF14" si="41">AE12/AE$10</f>
        <v>0.3248969269</v>
      </c>
      <c r="AG12" s="37" t="str">
        <f>'Q1 FY26-27'!AG12</f>
        <v>#DIV/0!</v>
      </c>
      <c r="AH12" s="38" t="str">
        <f t="shared" ref="AH12:AH14" si="42">AG12/AG$10</f>
        <v>#DIV/0!</v>
      </c>
      <c r="AI12" s="35">
        <f>'Q1 FY26-27'!AI12</f>
        <v>132816</v>
      </c>
      <c r="AJ12" s="36">
        <f t="shared" ref="AJ12:AJ14" si="43">AI12/AI$10</f>
        <v>0.2604219975</v>
      </c>
      <c r="AK12" s="89">
        <f>'Q1 FY26-27'!AK12</f>
        <v>0</v>
      </c>
      <c r="AL12" s="31" t="str">
        <f t="shared" ref="AL12:AL14" si="44">AK12/AK$10</f>
        <v>#DIV/0!</v>
      </c>
      <c r="AM12" s="35">
        <f>'Q1 FY26-27'!AM12</f>
        <v>2029624.737</v>
      </c>
      <c r="AN12" s="36">
        <f t="shared" ref="AN12:AN14" si="45">AM12/AM$10</f>
        <v>1.564406505</v>
      </c>
      <c r="AO12" s="89">
        <f>'Q1 FY26-27'!AO12</f>
        <v>0</v>
      </c>
      <c r="AP12" s="38" t="str">
        <f t="shared" ref="AP12:AP13" si="46">AO12/AO$10</f>
        <v>#DIV/0!</v>
      </c>
      <c r="AQ12" s="35">
        <f>'Q1 FY26-27'!AQ12</f>
        <v>12756023.64</v>
      </c>
      <c r="AR12" s="36">
        <f t="shared" ref="AR12:AR14" si="47">AQ12/AQ$10</f>
        <v>0.3881661707</v>
      </c>
      <c r="AS12" s="37">
        <f>'Q1 FY26-27'!AS12</f>
        <v>0</v>
      </c>
      <c r="AT12" s="31"/>
      <c r="AU12" s="39">
        <f>'Q1 FY26-27'!AU12</f>
        <v>948961.9812</v>
      </c>
      <c r="AV12" s="36">
        <f t="shared" ref="AV12:AV14" si="48">AU12/AU$10</f>
        <v>0.9755807107</v>
      </c>
      <c r="AW12" s="37">
        <f>'Q1 FY26-27'!AW12</f>
        <v>0</v>
      </c>
      <c r="AX12" s="31"/>
      <c r="AY12" s="39">
        <f>'Q1 FY26-27'!AY12</f>
        <v>347733.7687</v>
      </c>
      <c r="AZ12" s="41"/>
      <c r="BA12" s="37">
        <f>'Q1 FY26-27'!BA12</f>
        <v>0</v>
      </c>
      <c r="BB12" s="31"/>
      <c r="BC12" s="39">
        <f>'Q1 FY26-27'!BC12</f>
        <v>507511.3734</v>
      </c>
      <c r="BD12" s="41"/>
      <c r="BE12" s="37">
        <f>'Q1 FY26-27'!BE12</f>
        <v>0</v>
      </c>
      <c r="BF12" s="31"/>
      <c r="BG12" s="39">
        <f>'Q1 FY26-27'!BG12</f>
        <v>502182.2409</v>
      </c>
      <c r="BH12" s="41"/>
      <c r="BI12" s="37">
        <f>'Q1 FY26-27'!BI12</f>
        <v>0</v>
      </c>
      <c r="BJ12" s="31"/>
    </row>
    <row r="13" ht="15.75" customHeight="1">
      <c r="B13" s="54" t="s">
        <v>29</v>
      </c>
      <c r="C13" s="55">
        <f t="shared" si="25"/>
        <v>2867823.2</v>
      </c>
      <c r="D13" s="90">
        <f t="shared" si="26"/>
        <v>0.01262753319</v>
      </c>
      <c r="E13" s="56">
        <f t="shared" si="27"/>
        <v>0</v>
      </c>
      <c r="F13" s="57" t="str">
        <f t="shared" si="28"/>
        <v>#DIV/0!</v>
      </c>
      <c r="G13" s="35">
        <f>'Q1 FY26-27'!G13</f>
        <v>1964</v>
      </c>
      <c r="H13" s="58"/>
      <c r="I13" s="91">
        <f>'Q1 FY26-27'!I13</f>
        <v>0</v>
      </c>
      <c r="J13" s="59"/>
      <c r="K13" s="92">
        <f t="shared" si="29"/>
        <v>2865859.2</v>
      </c>
      <c r="L13" s="93">
        <f t="shared" si="30"/>
        <v>0.01261888535</v>
      </c>
      <c r="M13" s="56">
        <f t="shared" si="31"/>
        <v>0</v>
      </c>
      <c r="N13" s="60" t="str">
        <f t="shared" si="32"/>
        <v>#DIV/0!</v>
      </c>
      <c r="O13" s="65">
        <f>'Q1 FY26-27'!O13</f>
        <v>177908</v>
      </c>
      <c r="P13" s="61">
        <f t="shared" si="33"/>
        <v>0.00284724296</v>
      </c>
      <c r="Q13" s="37">
        <f>'Q1 FY26-27'!Q13</f>
        <v>0</v>
      </c>
      <c r="R13" s="62" t="str">
        <f t="shared" si="34"/>
        <v>#DIV/0!</v>
      </c>
      <c r="S13" s="35">
        <f>'Q1 FY26-27'!S13</f>
        <v>83931</v>
      </c>
      <c r="T13" s="61">
        <f t="shared" si="35"/>
        <v>0.02985021014</v>
      </c>
      <c r="U13" s="37">
        <f>'Q1 FY26-27'!U13</f>
        <v>0</v>
      </c>
      <c r="V13" s="62" t="str">
        <f t="shared" si="36"/>
        <v>#DIV/0!</v>
      </c>
      <c r="W13" s="35">
        <f>'Q1 FY26-27'!W13</f>
        <v>596670.4</v>
      </c>
      <c r="X13" s="61">
        <f t="shared" si="37"/>
        <v>0.01420187135</v>
      </c>
      <c r="Y13" s="94">
        <f>'Q1 FY26-27'!Y13</f>
        <v>0</v>
      </c>
      <c r="Z13" s="62" t="str">
        <f t="shared" si="38"/>
        <v>#DIV/0!</v>
      </c>
      <c r="AA13" s="95">
        <f>'Q1 FY26-27'!AA13</f>
        <v>641199</v>
      </c>
      <c r="AB13" s="61">
        <f t="shared" si="39"/>
        <v>0.02178725868</v>
      </c>
      <c r="AC13" s="37">
        <f>'Q1 FY26-27'!AC13</f>
        <v>0</v>
      </c>
      <c r="AD13" s="62" t="str">
        <f t="shared" si="40"/>
        <v>#DIV/0!</v>
      </c>
      <c r="AE13" s="35">
        <f>'Q1 FY26-27'!AE13</f>
        <v>678189</v>
      </c>
      <c r="AF13" s="61">
        <f t="shared" si="41"/>
        <v>0.01293867428</v>
      </c>
      <c r="AG13" s="94">
        <f>'Q1 FY26-27'!AG13</f>
        <v>0</v>
      </c>
      <c r="AH13" s="62" t="str">
        <f t="shared" si="42"/>
        <v>#DIV/0!</v>
      </c>
      <c r="AI13" s="35">
        <f>'Q1 FY26-27'!AI13</f>
        <v>13020</v>
      </c>
      <c r="AJ13" s="61">
        <f t="shared" si="43"/>
        <v>0.02552926159</v>
      </c>
      <c r="AK13" s="96">
        <f>'Q1 FY26-27'!AK13</f>
        <v>0</v>
      </c>
      <c r="AL13" s="31" t="str">
        <f t="shared" si="44"/>
        <v>#DIV/0!</v>
      </c>
      <c r="AM13" s="95">
        <f>'Q1 FY26-27'!AM13</f>
        <v>305564.5</v>
      </c>
      <c r="AN13" s="61">
        <f t="shared" si="45"/>
        <v>0.2355248647</v>
      </c>
      <c r="AO13" s="96">
        <f>'Q1 FY26-27'!AO13</f>
        <v>0</v>
      </c>
      <c r="AP13" s="62" t="str">
        <f t="shared" si="46"/>
        <v>#DIV/0!</v>
      </c>
      <c r="AQ13" s="35">
        <f>'Q1 FY26-27'!AQ13</f>
        <v>136606.8</v>
      </c>
      <c r="AR13" s="61">
        <f t="shared" si="47"/>
        <v>0.0041569489</v>
      </c>
      <c r="AS13" s="94">
        <f>'Q1 FY26-27'!AS13</f>
        <v>0</v>
      </c>
      <c r="AT13" s="59"/>
      <c r="AU13" s="39">
        <f>'Q1 FY26-27'!AU13</f>
        <v>112909.5</v>
      </c>
      <c r="AV13" s="61">
        <f t="shared" si="48"/>
        <v>0.1160766526</v>
      </c>
      <c r="AW13" s="94">
        <f>'Q1 FY26-27'!AW13</f>
        <v>0</v>
      </c>
      <c r="AX13" s="59"/>
      <c r="AY13" s="39">
        <f>'Q1 FY26-27'!AY13</f>
        <v>9422</v>
      </c>
      <c r="AZ13" s="64"/>
      <c r="BA13" s="37">
        <f>'Q1 FY26-27'!BA13</f>
        <v>0</v>
      </c>
      <c r="BB13" s="59"/>
      <c r="BC13" s="39">
        <f>'Q1 FY26-27'!BC13</f>
        <v>5647</v>
      </c>
      <c r="BD13" s="64"/>
      <c r="BE13" s="37">
        <f>'Q1 FY26-27'!BE13</f>
        <v>0</v>
      </c>
      <c r="BF13" s="59"/>
      <c r="BG13" s="39">
        <f>'Q1 FY26-27'!BG13</f>
        <v>104792</v>
      </c>
      <c r="BH13" s="64"/>
      <c r="BI13" s="37">
        <f>'Q1 FY26-27'!BI13</f>
        <v>0</v>
      </c>
      <c r="BJ13" s="59"/>
    </row>
    <row r="14" ht="15.75" customHeight="1">
      <c r="B14" s="15" t="s">
        <v>30</v>
      </c>
      <c r="C14" s="66">
        <f>SUM(C12:C13)</f>
        <v>84431833.46</v>
      </c>
      <c r="D14" s="67">
        <f>C14/C10</f>
        <v>0.3717683081</v>
      </c>
      <c r="E14" s="68" t="str">
        <f>E12+E13</f>
        <v>#DIV/0!</v>
      </c>
      <c r="F14" s="97" t="str">
        <f t="shared" si="28"/>
        <v>#DIV/0!</v>
      </c>
      <c r="G14" s="66">
        <f>'Q1 FY26-27'!G14</f>
        <v>1964</v>
      </c>
      <c r="H14" s="72">
        <f>G14/C10</f>
        <v>0.000008647839651</v>
      </c>
      <c r="I14" s="98">
        <f>'Q1 FY26-27'!I14</f>
        <v>0</v>
      </c>
      <c r="J14" s="99" t="str">
        <f>I14/E10</f>
        <v>#DIV/0!</v>
      </c>
      <c r="K14" s="100">
        <f>'Q1 FY26-27'!K14</f>
        <v>84429869.46</v>
      </c>
      <c r="L14" s="67">
        <f>K14/K10</f>
        <v>0.3717596603</v>
      </c>
      <c r="M14" s="68" t="str">
        <f>M12+M13</f>
        <v>#DIV/0!</v>
      </c>
      <c r="N14" s="73" t="str">
        <f t="shared" si="32"/>
        <v>#DIV/0!</v>
      </c>
      <c r="O14" s="101">
        <f>'Q1 FY26-27'!O14</f>
        <v>21461830.58</v>
      </c>
      <c r="P14" s="72">
        <f t="shared" si="33"/>
        <v>0.3434755381</v>
      </c>
      <c r="Q14" s="68">
        <f>SUM(Q12:Q13)</f>
        <v>0</v>
      </c>
      <c r="R14" s="97" t="str">
        <f t="shared" si="34"/>
        <v>#DIV/0!</v>
      </c>
      <c r="S14" s="66">
        <f>SUM(S12:S13)</f>
        <v>920711.3905</v>
      </c>
      <c r="T14" s="102">
        <f t="shared" si="35"/>
        <v>0.3274526514</v>
      </c>
      <c r="U14" s="68">
        <f>SUM(U12:U13)</f>
        <v>0</v>
      </c>
      <c r="V14" s="97" t="str">
        <f t="shared" si="36"/>
        <v>#DIV/0!</v>
      </c>
      <c r="W14" s="66">
        <f>SUM(W12:W13)</f>
        <v>15463168.14</v>
      </c>
      <c r="X14" s="102">
        <f t="shared" si="37"/>
        <v>0.3680523194</v>
      </c>
      <c r="Y14" s="68">
        <f>SUM(Y12:Y13)</f>
        <v>0</v>
      </c>
      <c r="Z14" s="97" t="str">
        <f t="shared" si="38"/>
        <v>#DIV/0!</v>
      </c>
      <c r="AA14" s="66">
        <f>SUM(AA12:AA13)</f>
        <v>10963471.77</v>
      </c>
      <c r="AB14" s="102">
        <f t="shared" si="39"/>
        <v>0.3725270866</v>
      </c>
      <c r="AC14" s="68">
        <f>SUM(AC12:AC13)</f>
        <v>0</v>
      </c>
      <c r="AD14" s="97" t="str">
        <f t="shared" si="40"/>
        <v>#DIV/0!</v>
      </c>
      <c r="AE14" s="66">
        <f>SUM(AE12:AE13)</f>
        <v>17707872.04</v>
      </c>
      <c r="AF14" s="102">
        <f t="shared" si="41"/>
        <v>0.3378356012</v>
      </c>
      <c r="AG14" s="68" t="str">
        <f>SUM(AG12:AG13)</f>
        <v>#DIV/0!</v>
      </c>
      <c r="AH14" s="97" t="str">
        <f t="shared" si="42"/>
        <v>#DIV/0!</v>
      </c>
      <c r="AI14" s="66">
        <f>'Q1 FY26-27'!AI14</f>
        <v>145836</v>
      </c>
      <c r="AJ14" s="72">
        <f t="shared" si="43"/>
        <v>0.2859512591</v>
      </c>
      <c r="AK14" s="68">
        <f>'Q1 FY26-27'!AK14</f>
        <v>0</v>
      </c>
      <c r="AL14" s="97" t="str">
        <f t="shared" si="44"/>
        <v>#DIV/0!</v>
      </c>
      <c r="AM14" s="66">
        <f>SUM(AM12:AM13)</f>
        <v>2335189.237</v>
      </c>
      <c r="AN14" s="102">
        <f t="shared" si="45"/>
        <v>1.79993137</v>
      </c>
      <c r="AO14" s="68">
        <f>SUM(AO12:AO13)</f>
        <v>0</v>
      </c>
      <c r="AP14" s="75"/>
      <c r="AQ14" s="66">
        <f>'Q1 FY26-27'!AQ14</f>
        <v>12892630.44</v>
      </c>
      <c r="AR14" s="102">
        <f t="shared" si="47"/>
        <v>0.3923231196</v>
      </c>
      <c r="AS14" s="68">
        <f>SUM(AS12:AS13)</f>
        <v>0</v>
      </c>
      <c r="AT14" s="70"/>
      <c r="AU14" s="76">
        <f>AU12+AU13</f>
        <v>1061871.481</v>
      </c>
      <c r="AV14" s="102">
        <f t="shared" si="48"/>
        <v>1.091657363</v>
      </c>
      <c r="AW14" s="77">
        <f>AW12+AW13</f>
        <v>0</v>
      </c>
      <c r="AX14" s="70"/>
      <c r="AY14" s="76">
        <f>AY12+AY13</f>
        <v>357155.7687</v>
      </c>
      <c r="AZ14" s="102">
        <f>AY14/AY$10</f>
        <v>1.56593771</v>
      </c>
      <c r="BA14" s="77">
        <f>BA12+BA13</f>
        <v>0</v>
      </c>
      <c r="BB14" s="70"/>
      <c r="BC14" s="76">
        <f>BC12+BC13</f>
        <v>513158.3734</v>
      </c>
      <c r="BD14" s="102">
        <f>BC14/BC$10</f>
        <v>1.671737581</v>
      </c>
      <c r="BE14" s="77">
        <f>BE12+BE13</f>
        <v>0</v>
      </c>
      <c r="BF14" s="70"/>
      <c r="BG14" s="76">
        <f>BG12+BG13</f>
        <v>606974.2409</v>
      </c>
      <c r="BH14" s="102">
        <f>BG14/BG$10</f>
        <v>0.3417384137</v>
      </c>
      <c r="BI14" s="77">
        <f>BI12+BI13</f>
        <v>0</v>
      </c>
      <c r="BJ14" s="70"/>
    </row>
    <row r="15" ht="15.75" customHeight="1">
      <c r="B15" s="103" t="s">
        <v>31</v>
      </c>
      <c r="C15" s="104"/>
      <c r="D15" s="105"/>
      <c r="E15" s="106"/>
      <c r="F15" s="107"/>
      <c r="G15" s="108" t="str">
        <f>'Q1 FY26-27'!G15</f>
        <v/>
      </c>
      <c r="H15" s="109"/>
      <c r="I15" s="30" t="str">
        <f>'Q1 FY26-27'!I15</f>
        <v/>
      </c>
      <c r="J15" s="110"/>
      <c r="K15" s="111"/>
      <c r="L15" s="112"/>
      <c r="M15" s="105"/>
      <c r="N15" s="113"/>
      <c r="O15" s="65" t="str">
        <f>'Q1 FY26-27'!O15</f>
        <v/>
      </c>
      <c r="P15" s="114"/>
      <c r="Q15" s="115" t="str">
        <f>'Q1 FY26-27'!Q15</f>
        <v/>
      </c>
      <c r="R15" s="116"/>
      <c r="S15" s="65" t="str">
        <f>'Q1 FY26-27'!S15</f>
        <v/>
      </c>
      <c r="T15" s="117"/>
      <c r="U15" s="114" t="str">
        <f>'Q1 FY26-27'!U15</f>
        <v/>
      </c>
      <c r="V15" s="116"/>
      <c r="W15" s="65" t="str">
        <f>'Q1 FY26-27'!W15</f>
        <v/>
      </c>
      <c r="X15" s="114"/>
      <c r="Y15" s="114" t="str">
        <f>'Q1 FY26-27'!Y15</f>
        <v/>
      </c>
      <c r="Z15" s="116"/>
      <c r="AA15" s="118" t="str">
        <f>'Q1 FY26-27'!AA15</f>
        <v/>
      </c>
      <c r="AB15" s="114"/>
      <c r="AC15" s="118" t="str">
        <f>'Q1 FY26-27'!AC15</f>
        <v/>
      </c>
      <c r="AD15" s="116"/>
      <c r="AE15" s="118" t="str">
        <f>'Q1 FY26-27'!AE15</f>
        <v/>
      </c>
      <c r="AF15" s="114"/>
      <c r="AG15" s="114" t="str">
        <f>'Q1 FY26-27'!AG15</f>
        <v/>
      </c>
      <c r="AH15" s="116"/>
      <c r="AI15" s="118" t="str">
        <f>'Q1 FY26-27'!AI15</f>
        <v/>
      </c>
      <c r="AJ15" s="114"/>
      <c r="AK15" s="114" t="str">
        <f>'Q1 FY26-27'!AK15</f>
        <v/>
      </c>
      <c r="AL15" s="116"/>
      <c r="AM15" s="118" t="str">
        <f>'Q1 FY26-27'!AM15</f>
        <v/>
      </c>
      <c r="AN15" s="114"/>
      <c r="AO15" s="114" t="str">
        <f>'Q1 FY26-27'!AO15</f>
        <v/>
      </c>
      <c r="AP15" s="114"/>
      <c r="AQ15" s="108" t="str">
        <f>'Q1 FY26-27'!AQ15</f>
        <v/>
      </c>
      <c r="AR15" s="114"/>
      <c r="AS15" s="119" t="str">
        <f>'Q1 FY26-27'!AS15</f>
        <v/>
      </c>
      <c r="AT15" s="116"/>
      <c r="AU15" s="108" t="str">
        <f>'Q1 FY26-27'!AU15</f>
        <v/>
      </c>
      <c r="AV15" s="114"/>
      <c r="AW15" s="108" t="str">
        <f>'Q1 FY26-27'!AW15</f>
        <v/>
      </c>
      <c r="AX15" s="116"/>
      <c r="AY15" s="108" t="str">
        <f>'Q1 FY26-27'!AY15</f>
        <v/>
      </c>
      <c r="AZ15" s="114"/>
      <c r="BA15" s="120" t="str">
        <f>'Q1 FY26-27'!BA15</f>
        <v/>
      </c>
      <c r="BB15" s="116"/>
      <c r="BC15" s="108" t="str">
        <f>'Q1 FY26-27'!BC15</f>
        <v/>
      </c>
      <c r="BD15" s="114"/>
      <c r="BE15" s="120" t="str">
        <f>'Q1 FY26-27'!BE15</f>
        <v/>
      </c>
      <c r="BF15" s="116"/>
      <c r="BG15" s="108" t="str">
        <f>'Q1 FY26-27'!BG15</f>
        <v/>
      </c>
      <c r="BH15" s="114"/>
      <c r="BI15" s="120" t="str">
        <f>'Q1 FY26-27'!BI15</f>
        <v/>
      </c>
      <c r="BJ15" s="116"/>
    </row>
    <row r="16" ht="15.75" customHeight="1">
      <c r="A16" s="121"/>
      <c r="B16" s="122" t="s">
        <v>32</v>
      </c>
      <c r="C16" s="123">
        <f>C10-C14</f>
        <v>142676910.4</v>
      </c>
      <c r="D16" s="124">
        <f>C16/C10</f>
        <v>0.6282316919</v>
      </c>
      <c r="E16" s="125" t="str">
        <f>E10-E14</f>
        <v>#DIV/0!</v>
      </c>
      <c r="F16" s="126" t="str">
        <f>E16/E$10</f>
        <v>#DIV/0!</v>
      </c>
      <c r="G16" s="123">
        <f>'Q1 FY26-27'!G16</f>
        <v>-1964</v>
      </c>
      <c r="H16" s="127">
        <f>G16/C10</f>
        <v>-0.000008647839651</v>
      </c>
      <c r="I16" s="83">
        <f>'Q1 FY26-27'!I16</f>
        <v>0</v>
      </c>
      <c r="J16" s="126" t="str">
        <f>I16/E10</f>
        <v>#DIV/0!</v>
      </c>
      <c r="K16" s="128">
        <f>'Q1 FY26-27'!K16</f>
        <v>142678874.4</v>
      </c>
      <c r="L16" s="127">
        <f>K16/K10</f>
        <v>0.6282403397</v>
      </c>
      <c r="M16" s="125" t="str">
        <f>Q16+U16+Y16+AC16+AG16+AK16+AO16</f>
        <v>#DIV/0!</v>
      </c>
      <c r="N16" s="129" t="str">
        <f>M16/M$10</f>
        <v>#DIV/0!</v>
      </c>
      <c r="O16" s="130">
        <f>'Q1 FY26-27'!O16</f>
        <v>41022475.29</v>
      </c>
      <c r="P16" s="127">
        <f>O16/O$10</f>
        <v>0.6565244619</v>
      </c>
      <c r="Q16" s="125">
        <f>'Q1 FY26-27'!Q16</f>
        <v>0</v>
      </c>
      <c r="R16" s="126" t="str">
        <f>Q16/Q$10</f>
        <v>#DIV/0!</v>
      </c>
      <c r="S16" s="123">
        <f>'Q1 FY26-27'!S16</f>
        <v>1891027.609</v>
      </c>
      <c r="T16" s="127">
        <f>S16/S$10</f>
        <v>0.6725473486</v>
      </c>
      <c r="U16" s="125">
        <f>'Q1 FY26-27'!U16</f>
        <v>0</v>
      </c>
      <c r="V16" s="126" t="str">
        <f>U16/U$10</f>
        <v>#DIV/0!</v>
      </c>
      <c r="W16" s="123">
        <f>'Q1 FY26-27'!W16</f>
        <v>26550337.35</v>
      </c>
      <c r="X16" s="127">
        <f>W16/W$10</f>
        <v>0.6319476806</v>
      </c>
      <c r="Y16" s="125">
        <f>'Q1 FY26-27'!Y16</f>
        <v>0</v>
      </c>
      <c r="Z16" s="126" t="str">
        <f>Y16/Y$10</f>
        <v>#DIV/0!</v>
      </c>
      <c r="AA16" s="123">
        <f>'Q1 FY26-27'!AA16</f>
        <v>18466527.18</v>
      </c>
      <c r="AB16" s="127">
        <f>AA16/AA$10</f>
        <v>0.6274729134</v>
      </c>
      <c r="AC16" s="125">
        <f>'Q1 FY26-27'!AC16</f>
        <v>0</v>
      </c>
      <c r="AD16" s="126" t="str">
        <f>AC16/AC$10</f>
        <v>#DIV/0!</v>
      </c>
      <c r="AE16" s="123">
        <f>'Q1 FY26-27'!AE16</f>
        <v>34707776.21</v>
      </c>
      <c r="AF16" s="127">
        <f>AE16/AE$10</f>
        <v>0.6621643988</v>
      </c>
      <c r="AG16" s="125" t="str">
        <f>'Q1 FY26-27'!AG16</f>
        <v>#DIV/0!</v>
      </c>
      <c r="AH16" s="126" t="str">
        <f>AG16/AG$10</f>
        <v>#DIV/0!</v>
      </c>
      <c r="AI16" s="123">
        <f>'Q1 FY26-27'!AI16</f>
        <v>364167</v>
      </c>
      <c r="AJ16" s="127">
        <f>AI16/AI$10</f>
        <v>0.7140487409</v>
      </c>
      <c r="AK16" s="125">
        <f>'Q1 FY26-27'!AK16</f>
        <v>0</v>
      </c>
      <c r="AL16" s="126" t="str">
        <f>AK16/AK$10</f>
        <v>#DIV/0!</v>
      </c>
      <c r="AM16" s="123">
        <f>'Q1 FY26-27'!AM16</f>
        <v>-1037812.417</v>
      </c>
      <c r="AN16" s="127">
        <f>AM16/AM$10</f>
        <v>-0.7999313702</v>
      </c>
      <c r="AO16" s="125">
        <f>'Q1 FY26-27'!AO16</f>
        <v>0</v>
      </c>
      <c r="AP16" s="129" t="str">
        <f>AO16/AO$10</f>
        <v>#DIV/0!</v>
      </c>
      <c r="AQ16" s="123">
        <f>'Q1 FY26-27'!AQ16</f>
        <v>19969645.06</v>
      </c>
      <c r="AR16" s="127">
        <f>AQ16/AQ$10</f>
        <v>0.6076768804</v>
      </c>
      <c r="AS16" s="125">
        <f>'Q1 FY26-27'!AS16</f>
        <v>0</v>
      </c>
      <c r="AT16" s="131"/>
      <c r="AU16" s="123">
        <f>'Q1 FY26-27'!AU16</f>
        <v>-89156.49122</v>
      </c>
      <c r="AV16" s="127">
        <f>AU16/AU$10</f>
        <v>-0.0916573633</v>
      </c>
      <c r="AW16" s="125">
        <f>'Q1 FY26-27'!AW16</f>
        <v>0</v>
      </c>
      <c r="AX16" s="131"/>
      <c r="AY16" s="125">
        <f>'Q1 FY26-27'!AY16</f>
        <v>-129077.8787</v>
      </c>
      <c r="AZ16" s="132"/>
      <c r="BA16" s="133">
        <f>BA10-BA14</f>
        <v>0</v>
      </c>
      <c r="BB16" s="131"/>
      <c r="BC16" s="125">
        <f>'Q1 FY26-27'!BC16</f>
        <v>-206197.2934</v>
      </c>
      <c r="BD16" s="132"/>
      <c r="BE16" s="133">
        <f>BE10-BE14</f>
        <v>0</v>
      </c>
      <c r="BF16" s="131"/>
      <c r="BG16" s="125">
        <f>'Q1 FY26-27'!BG16</f>
        <v>1169162.759</v>
      </c>
      <c r="BH16" s="132"/>
      <c r="BI16" s="133">
        <f>BI10-BI14</f>
        <v>0</v>
      </c>
      <c r="BJ16" s="131"/>
    </row>
    <row r="17" ht="15.75" customHeight="1">
      <c r="B17" s="78" t="s">
        <v>27</v>
      </c>
      <c r="C17" s="81"/>
      <c r="D17" s="83"/>
      <c r="E17" s="79" t="str">
        <f>E16/12</f>
        <v>#DIV/0!</v>
      </c>
      <c r="F17" s="80"/>
      <c r="G17" s="81" t="str">
        <f>'Q1 FY26-27'!G17</f>
        <v/>
      </c>
      <c r="H17" s="82"/>
      <c r="I17" s="83" t="str">
        <f>'Q1 FY26-27'!I17</f>
        <v/>
      </c>
      <c r="J17" s="80"/>
      <c r="K17" s="84"/>
      <c r="L17" s="82"/>
      <c r="M17" s="83"/>
      <c r="N17" s="85"/>
      <c r="O17" s="83" t="str">
        <f>'Q1 FY26-27'!O17</f>
        <v/>
      </c>
      <c r="P17" s="134"/>
      <c r="Q17" s="83"/>
      <c r="R17" s="80"/>
      <c r="S17" s="81" t="str">
        <f>'Q1 FY26-27'!S17</f>
        <v/>
      </c>
      <c r="T17" s="82"/>
      <c r="U17" s="83" t="str">
        <f>'Q1 FY26-27'!U17</f>
        <v/>
      </c>
      <c r="V17" s="80"/>
      <c r="W17" s="123" t="str">
        <f>'Q1 FY26-27'!W17</f>
        <v/>
      </c>
      <c r="X17" s="83"/>
      <c r="Y17" s="83" t="str">
        <f>'Q1 FY26-27'!Y17</f>
        <v/>
      </c>
      <c r="Z17" s="80"/>
      <c r="AA17" s="81" t="str">
        <f>'Q1 FY26-27'!AA17</f>
        <v/>
      </c>
      <c r="AB17" s="83"/>
      <c r="AC17" s="83"/>
      <c r="AD17" s="80"/>
      <c r="AE17" s="123" t="str">
        <f>'Q1 FY26-27'!AE17</f>
        <v/>
      </c>
      <c r="AF17" s="83"/>
      <c r="AG17" s="83" t="str">
        <f>'Q1 FY26-27'!AG17</f>
        <v/>
      </c>
      <c r="AH17" s="80"/>
      <c r="AI17" s="81" t="str">
        <f>'Q1 FY26-27'!AI17</f>
        <v/>
      </c>
      <c r="AJ17" s="83"/>
      <c r="AK17" s="125" t="str">
        <f>'Q1 FY26-27'!AK17</f>
        <v/>
      </c>
      <c r="AL17" s="80"/>
      <c r="AM17" s="81" t="str">
        <f>'Q1 FY26-27'!AM17</f>
        <v/>
      </c>
      <c r="AN17" s="83"/>
      <c r="AO17" s="83" t="str">
        <f>'Q1 FY26-27'!AO17</f>
        <v/>
      </c>
      <c r="AP17" s="83"/>
      <c r="AQ17" s="81" t="str">
        <f>'Q1 FY26-27'!AQ17</f>
        <v/>
      </c>
      <c r="AR17" s="83"/>
      <c r="AS17" s="83" t="str">
        <f>'Q1 FY26-27'!AS17</f>
        <v/>
      </c>
      <c r="AT17" s="80"/>
      <c r="AU17" s="81">
        <v>0.0</v>
      </c>
      <c r="AV17" s="83"/>
      <c r="AW17" s="83">
        <v>0.0</v>
      </c>
      <c r="AX17" s="80"/>
      <c r="AY17" s="81">
        <v>0.0</v>
      </c>
      <c r="AZ17" s="83"/>
      <c r="BA17" s="83">
        <v>0.0</v>
      </c>
      <c r="BB17" s="80"/>
      <c r="BC17" s="81">
        <v>0.0</v>
      </c>
      <c r="BD17" s="83"/>
      <c r="BE17" s="83">
        <v>0.0</v>
      </c>
      <c r="BF17" s="80"/>
      <c r="BG17" s="81">
        <v>0.0</v>
      </c>
      <c r="BH17" s="83"/>
      <c r="BI17" s="83">
        <v>0.0</v>
      </c>
      <c r="BJ17" s="80"/>
    </row>
    <row r="18" ht="15.75" customHeight="1">
      <c r="B18" s="23" t="s">
        <v>33</v>
      </c>
      <c r="C18" s="87">
        <f t="shared" ref="C18:C27" si="49">G18+K18</f>
        <v>6253320.41</v>
      </c>
      <c r="D18" s="25">
        <f t="shared" ref="D18:D27" si="50">C18/$C$10</f>
        <v>0.02753447668</v>
      </c>
      <c r="E18" s="26">
        <f t="shared" ref="E18:E28" si="51">I18+M18</f>
        <v>34378</v>
      </c>
      <c r="F18" s="27" t="str">
        <f t="shared" ref="F18:F28" si="52">E18/E$10</f>
        <v>#DIV/0!</v>
      </c>
      <c r="G18" s="35">
        <f>'Q1 FY26-27'!G18</f>
        <v>177596.5133</v>
      </c>
      <c r="H18" s="36">
        <f t="shared" ref="H18:H27" si="53">G18/$C$10</f>
        <v>0.0007819888848</v>
      </c>
      <c r="I18" s="30">
        <f>'Q1 FY26-27'!I18</f>
        <v>0</v>
      </c>
      <c r="J18" s="38">
        <f t="shared" ref="J18:J27" si="54">I18/$C$10</f>
        <v>0</v>
      </c>
      <c r="K18" s="32">
        <f t="shared" ref="K18:K27" si="55">O18+S18+W18+AA18+AE18+AI18+AM18+AQ18+AU18+AY18+BC18+BG18</f>
        <v>6075723.897</v>
      </c>
      <c r="L18" s="33">
        <f t="shared" ref="L18:L28" si="56">K18/$K$10</f>
        <v>0.02675248779</v>
      </c>
      <c r="M18" s="26">
        <f t="shared" ref="M18:M27" si="57">Q18+U18+Y18+AC18+AG18+AK18+AO18</f>
        <v>34378</v>
      </c>
      <c r="N18" s="34" t="str">
        <f t="shared" ref="N18:N28" si="58">M18/M$10</f>
        <v>#DIV/0!</v>
      </c>
      <c r="O18" s="35">
        <f>'Q1 FY26-27'!O18</f>
        <v>1693415.563</v>
      </c>
      <c r="P18" s="36">
        <f t="shared" ref="P18:P28" si="59">O18/O$10</f>
        <v>0.02710145435</v>
      </c>
      <c r="Q18" s="53">
        <f>'Q1 FY26-27'!Q18</f>
        <v>34378</v>
      </c>
      <c r="R18" s="38" t="str">
        <f t="shared" ref="R18:R28" si="60">Q18/Q$10</f>
        <v>#DIV/0!</v>
      </c>
      <c r="S18" s="35">
        <f>'Q1 FY26-27'!S18</f>
        <v>165661.29</v>
      </c>
      <c r="T18" s="36">
        <f t="shared" ref="T18:T28" si="61">S18/S$10</f>
        <v>0.05891773383</v>
      </c>
      <c r="U18" s="37">
        <f>'Q1 FY26-27'!U18</f>
        <v>0</v>
      </c>
      <c r="V18" s="38" t="str">
        <f t="shared" ref="V18:V28" si="62">U18/U$10</f>
        <v>#DIV/0!</v>
      </c>
      <c r="W18" s="35">
        <f>'Q1 FY26-27'!W18</f>
        <v>1171541.873</v>
      </c>
      <c r="X18" s="36">
        <f t="shared" ref="X18:X28" si="63">W18/W$10</f>
        <v>0.02788488748</v>
      </c>
      <c r="Y18" s="37">
        <f>'Q1 FY26-27'!Y18</f>
        <v>0</v>
      </c>
      <c r="Z18" s="38" t="str">
        <f t="shared" ref="Z18:Z28" si="64">Y18/Y$10</f>
        <v>#DIV/0!</v>
      </c>
      <c r="AA18" s="35">
        <f>'Q1 FY26-27'!AA18</f>
        <v>753037.8233</v>
      </c>
      <c r="AB18" s="36">
        <f t="shared" ref="AB18:AB28" si="65">AA18/AA$10</f>
        <v>0.0255874227</v>
      </c>
      <c r="AC18" s="37">
        <f>'Q1 FY26-27'!AC18</f>
        <v>0</v>
      </c>
      <c r="AD18" s="38" t="str">
        <f t="shared" ref="AD18:AD28" si="66">AC18/AC$10</f>
        <v>#DIV/0!</v>
      </c>
      <c r="AE18" s="35">
        <f>'Q1 FY26-27'!AE18</f>
        <v>1329058.453</v>
      </c>
      <c r="AF18" s="36">
        <f t="shared" ref="AF18:AF28" si="67">AE18/AE$10</f>
        <v>0.02535613882</v>
      </c>
      <c r="AG18" s="37">
        <f>'Q1 FY26-27'!AG18</f>
        <v>0</v>
      </c>
      <c r="AH18" s="38" t="str">
        <f t="shared" ref="AH18:AH28" si="68">AG18/AG$10</f>
        <v>#DIV/0!</v>
      </c>
      <c r="AI18" s="35">
        <f>'Q1 FY26-27'!AI18</f>
        <v>79725</v>
      </c>
      <c r="AJ18" s="36">
        <f t="shared" ref="AJ18:AJ28" si="69">AI18/AI$10</f>
        <v>0.1563226099</v>
      </c>
      <c r="AK18" s="37">
        <f>'Q1 FY26-27'!AK18</f>
        <v>0</v>
      </c>
      <c r="AL18" s="38" t="str">
        <f t="shared" ref="AL18:AL28" si="70">AK18/AK$10</f>
        <v>#DIV/0!</v>
      </c>
      <c r="AM18" s="35">
        <f>'Q1 FY26-27'!AM18</f>
        <v>110605.86</v>
      </c>
      <c r="AN18" s="36">
        <f t="shared" ref="AN18:AN28" si="71">AM18/AM$10</f>
        <v>0.08525345782</v>
      </c>
      <c r="AO18" s="37">
        <f>'Q1 FY26-27'!AO18</f>
        <v>0</v>
      </c>
      <c r="AP18" s="38" t="str">
        <f t="shared" ref="AP18:AP28" si="72">AO18/AO$10</f>
        <v>#DIV/0!</v>
      </c>
      <c r="AQ18" s="35">
        <f>'Q1 FY26-27'!AQ18</f>
        <v>724305.1333</v>
      </c>
      <c r="AR18" s="36">
        <f t="shared" ref="AR18:AR28" si="73">AQ18/AQ$10</f>
        <v>0.02204062629</v>
      </c>
      <c r="AS18" s="37">
        <f>'Q1 FY26-27'!AS18</f>
        <v>0</v>
      </c>
      <c r="AT18" s="31"/>
      <c r="AU18" s="35">
        <f>'Q1 FY26-27'!AU18</f>
        <v>39406.9</v>
      </c>
      <c r="AV18" s="36">
        <f t="shared" ref="AV18:AV28" si="74">AU18/AU$10</f>
        <v>0.04051227791</v>
      </c>
      <c r="AW18" s="37">
        <f>'Q1 FY26-27'!AW18</f>
        <v>0</v>
      </c>
      <c r="AX18" s="31"/>
      <c r="AY18" s="35">
        <f>'Q1 FY26-27'!AY18</f>
        <v>0</v>
      </c>
      <c r="AZ18" s="41"/>
      <c r="BA18" s="37">
        <f>'Q1 FY26-27'!BA18</f>
        <v>0</v>
      </c>
      <c r="BB18" s="31"/>
      <c r="BC18" s="35">
        <f>'Q1 FY26-27'!BC18</f>
        <v>0</v>
      </c>
      <c r="BD18" s="41"/>
      <c r="BE18" s="37">
        <f>'Q1 FY26-27'!BE18</f>
        <v>0</v>
      </c>
      <c r="BF18" s="31"/>
      <c r="BG18" s="35">
        <f>'Q1 FY26-27'!BG18</f>
        <v>8966</v>
      </c>
      <c r="BH18" s="41"/>
      <c r="BI18" s="37">
        <f>'Q1 FY26-27'!BI18</f>
        <v>0</v>
      </c>
      <c r="BJ18" s="31"/>
    </row>
    <row r="19" ht="15.75" customHeight="1">
      <c r="B19" s="43" t="s">
        <v>34</v>
      </c>
      <c r="C19" s="24">
        <f t="shared" si="49"/>
        <v>2375088.04</v>
      </c>
      <c r="D19" s="25">
        <f t="shared" si="50"/>
        <v>0.01045793306</v>
      </c>
      <c r="E19" s="44">
        <f t="shared" si="51"/>
        <v>106200</v>
      </c>
      <c r="F19" s="45" t="str">
        <f t="shared" si="52"/>
        <v>#DIV/0!</v>
      </c>
      <c r="G19" s="35">
        <f>'Q1 FY26-27'!G19</f>
        <v>159300</v>
      </c>
      <c r="H19" s="36">
        <f t="shared" si="53"/>
        <v>0.0007014260979</v>
      </c>
      <c r="I19" s="30">
        <f>'Q1 FY26-27'!I19</f>
        <v>106200</v>
      </c>
      <c r="J19" s="38">
        <f t="shared" si="54"/>
        <v>0.0004676173986</v>
      </c>
      <c r="K19" s="32">
        <f t="shared" si="55"/>
        <v>2215788.04</v>
      </c>
      <c r="L19" s="33">
        <f t="shared" si="56"/>
        <v>0.00975650696</v>
      </c>
      <c r="M19" s="44">
        <f t="shared" si="57"/>
        <v>0</v>
      </c>
      <c r="N19" s="48" t="str">
        <f t="shared" si="58"/>
        <v>#DIV/0!</v>
      </c>
      <c r="O19" s="35">
        <f>'Q1 FY26-27'!O19</f>
        <v>72049</v>
      </c>
      <c r="P19" s="49">
        <f t="shared" si="59"/>
        <v>0.001153073544</v>
      </c>
      <c r="Q19" s="53">
        <f>'Q1 FY26-27'!Q19</f>
        <v>0</v>
      </c>
      <c r="R19" s="50" t="str">
        <f t="shared" si="60"/>
        <v>#DIV/0!</v>
      </c>
      <c r="S19" s="35">
        <f>'Q1 FY26-27'!S19</f>
        <v>282881.69</v>
      </c>
      <c r="T19" s="49">
        <f t="shared" si="61"/>
        <v>0.1006073786</v>
      </c>
      <c r="U19" s="37">
        <f>'Q1 FY26-27'!U19</f>
        <v>0</v>
      </c>
      <c r="V19" s="50" t="str">
        <f t="shared" si="62"/>
        <v>#DIV/0!</v>
      </c>
      <c r="W19" s="35">
        <f>'Q1 FY26-27'!W19</f>
        <v>609158.44</v>
      </c>
      <c r="X19" s="49">
        <f t="shared" si="63"/>
        <v>0.01449911006</v>
      </c>
      <c r="Y19" s="37">
        <f>'Q1 FY26-27'!Y19</f>
        <v>0</v>
      </c>
      <c r="Z19" s="50" t="str">
        <f t="shared" si="64"/>
        <v>#DIV/0!</v>
      </c>
      <c r="AA19" s="35">
        <f>'Q1 FY26-27'!AA19</f>
        <v>312821.5</v>
      </c>
      <c r="AB19" s="49">
        <f t="shared" si="65"/>
        <v>0.01062934119</v>
      </c>
      <c r="AC19" s="37">
        <f>'Q1 FY26-27'!AC19</f>
        <v>0</v>
      </c>
      <c r="AD19" s="50" t="str">
        <f t="shared" si="66"/>
        <v>#DIV/0!</v>
      </c>
      <c r="AE19" s="35">
        <f>'Q1 FY26-27'!AE19</f>
        <v>290595</v>
      </c>
      <c r="AF19" s="49">
        <f t="shared" si="67"/>
        <v>0.005544050483</v>
      </c>
      <c r="AG19" s="37">
        <f>'Q1 FY26-27'!AG19</f>
        <v>0</v>
      </c>
      <c r="AH19" s="50" t="str">
        <f t="shared" si="68"/>
        <v>#DIV/0!</v>
      </c>
      <c r="AI19" s="35">
        <f>'Q1 FY26-27'!AI19</f>
        <v>80000</v>
      </c>
      <c r="AJ19" s="49">
        <f t="shared" si="69"/>
        <v>0.1568618224</v>
      </c>
      <c r="AK19" s="37">
        <f>'Q1 FY26-27'!AK19</f>
        <v>0</v>
      </c>
      <c r="AL19" s="38" t="str">
        <f t="shared" si="70"/>
        <v>#DIV/0!</v>
      </c>
      <c r="AM19" s="35">
        <f>'Q1 FY26-27'!AM19</f>
        <v>168577.78</v>
      </c>
      <c r="AN19" s="49">
        <f t="shared" si="71"/>
        <v>0.1299374071</v>
      </c>
      <c r="AO19" s="37">
        <f>'Q1 FY26-27'!AO19</f>
        <v>0</v>
      </c>
      <c r="AP19" s="50" t="str">
        <f t="shared" si="72"/>
        <v>#DIV/0!</v>
      </c>
      <c r="AQ19" s="35">
        <f>'Q1 FY26-27'!AQ19</f>
        <v>52063.98</v>
      </c>
      <c r="AR19" s="49">
        <f t="shared" si="73"/>
        <v>0.001584308427</v>
      </c>
      <c r="AS19" s="37">
        <f>'Q1 FY26-27'!AS19</f>
        <v>35000</v>
      </c>
      <c r="AT19" s="47"/>
      <c r="AU19" s="35">
        <f>'Q1 FY26-27'!AU19</f>
        <v>181927.16</v>
      </c>
      <c r="AV19" s="49">
        <f t="shared" si="74"/>
        <v>0.1870302831</v>
      </c>
      <c r="AW19" s="37">
        <f>'Q1 FY26-27'!AW19</f>
        <v>0</v>
      </c>
      <c r="AX19" s="47"/>
      <c r="AY19" s="35">
        <f>'Q1 FY26-27'!AY19</f>
        <v>43183.46</v>
      </c>
      <c r="AZ19" s="52"/>
      <c r="BA19" s="37">
        <f>'Q1 FY26-27'!BA19</f>
        <v>0</v>
      </c>
      <c r="BB19" s="47"/>
      <c r="BC19" s="35">
        <f>'Q1 FY26-27'!BC19</f>
        <v>43467.03</v>
      </c>
      <c r="BD19" s="52"/>
      <c r="BE19" s="37">
        <f>'Q1 FY26-27'!BE19</f>
        <v>0</v>
      </c>
      <c r="BF19" s="47"/>
      <c r="BG19" s="35">
        <f>'Q1 FY26-27'!BG19</f>
        <v>79063</v>
      </c>
      <c r="BH19" s="52"/>
      <c r="BI19" s="37">
        <f>'Q1 FY26-27'!BI19</f>
        <v>0</v>
      </c>
      <c r="BJ19" s="47"/>
    </row>
    <row r="20" ht="15.75" customHeight="1">
      <c r="B20" s="43" t="s">
        <v>35</v>
      </c>
      <c r="C20" s="24">
        <f t="shared" si="49"/>
        <v>6545599.42</v>
      </c>
      <c r="D20" s="25">
        <f t="shared" si="50"/>
        <v>0.02882143289</v>
      </c>
      <c r="E20" s="44" t="str">
        <f t="shared" si="51"/>
        <v>#REF!</v>
      </c>
      <c r="F20" s="45" t="str">
        <f t="shared" si="52"/>
        <v>#REF!</v>
      </c>
      <c r="G20" s="35">
        <f>'Q1 FY26-27'!G20</f>
        <v>0</v>
      </c>
      <c r="H20" s="36">
        <f t="shared" si="53"/>
        <v>0</v>
      </c>
      <c r="I20" s="30">
        <f>'Q1 FY26-27'!I20</f>
        <v>0</v>
      </c>
      <c r="J20" s="38">
        <f t="shared" si="54"/>
        <v>0</v>
      </c>
      <c r="K20" s="32">
        <f t="shared" si="55"/>
        <v>6545599.42</v>
      </c>
      <c r="L20" s="33">
        <f t="shared" si="56"/>
        <v>0.02882143289</v>
      </c>
      <c r="M20" s="44" t="str">
        <f t="shared" si="57"/>
        <v>#REF!</v>
      </c>
      <c r="N20" s="48" t="str">
        <f t="shared" si="58"/>
        <v>#REF!</v>
      </c>
      <c r="O20" s="35">
        <f>'Q1 FY26-27'!O20</f>
        <v>252669</v>
      </c>
      <c r="P20" s="49">
        <f t="shared" si="59"/>
        <v>0.004043719403</v>
      </c>
      <c r="Q20" s="53">
        <f>'Q1 FY26-27'!Q20</f>
        <v>0</v>
      </c>
      <c r="R20" s="50" t="str">
        <f t="shared" si="60"/>
        <v>#DIV/0!</v>
      </c>
      <c r="S20" s="35">
        <f>'Q1 FY26-27'!S20</f>
        <v>320926.03</v>
      </c>
      <c r="T20" s="49">
        <f t="shared" si="61"/>
        <v>0.1141379161</v>
      </c>
      <c r="U20" s="37">
        <f>'Q1 FY26-27'!U20</f>
        <v>0</v>
      </c>
      <c r="V20" s="50" t="str">
        <f t="shared" si="62"/>
        <v>#DIV/0!</v>
      </c>
      <c r="W20" s="35">
        <f>'Q1 FY26-27'!W20</f>
        <v>1382857.79</v>
      </c>
      <c r="X20" s="49">
        <f t="shared" si="63"/>
        <v>0.03291460148</v>
      </c>
      <c r="Y20" s="37" t="str">
        <f>'Q1 FY26-27'!Y20</f>
        <v>#REF!</v>
      </c>
      <c r="Z20" s="50" t="str">
        <f t="shared" si="64"/>
        <v>#REF!</v>
      </c>
      <c r="AA20" s="35">
        <f>'Q1 FY26-27'!AA20</f>
        <v>1997813.24</v>
      </c>
      <c r="AB20" s="49">
        <f t="shared" si="65"/>
        <v>0.06788356477</v>
      </c>
      <c r="AC20" s="37">
        <f>'Q1 FY26-27'!AC20</f>
        <v>0</v>
      </c>
      <c r="AD20" s="50" t="str">
        <f t="shared" si="66"/>
        <v>#DIV/0!</v>
      </c>
      <c r="AE20" s="35">
        <f>'Q1 FY26-27'!AE20</f>
        <v>1881090</v>
      </c>
      <c r="AF20" s="49">
        <f t="shared" si="67"/>
        <v>0.03588794688</v>
      </c>
      <c r="AG20" s="37">
        <f>'Q1 FY26-27'!AG20</f>
        <v>0</v>
      </c>
      <c r="AH20" s="50" t="str">
        <f t="shared" si="68"/>
        <v>#DIV/0!</v>
      </c>
      <c r="AI20" s="35">
        <f>'Q1 FY26-27'!AI20</f>
        <v>0</v>
      </c>
      <c r="AJ20" s="49">
        <f t="shared" si="69"/>
        <v>0</v>
      </c>
      <c r="AK20" s="37">
        <f>'Q1 FY26-27'!AK20</f>
        <v>0</v>
      </c>
      <c r="AL20" s="38" t="str">
        <f t="shared" si="70"/>
        <v>#DIV/0!</v>
      </c>
      <c r="AM20" s="35">
        <f>'Q1 FY26-27'!AM20</f>
        <v>104247.37</v>
      </c>
      <c r="AN20" s="49">
        <f t="shared" si="71"/>
        <v>0.08035242221</v>
      </c>
      <c r="AO20" s="37">
        <f>'Q1 FY26-27'!AO20</f>
        <v>0</v>
      </c>
      <c r="AP20" s="50" t="str">
        <f t="shared" si="72"/>
        <v>#DIV/0!</v>
      </c>
      <c r="AQ20" s="35">
        <f>'Q1 FY26-27'!AQ20</f>
        <v>0</v>
      </c>
      <c r="AR20" s="49">
        <f t="shared" si="73"/>
        <v>0</v>
      </c>
      <c r="AS20" s="37">
        <f>'Q1 FY26-27'!AS20</f>
        <v>0</v>
      </c>
      <c r="AT20" s="47"/>
      <c r="AU20" s="35">
        <f>'Q1 FY26-27'!AU20</f>
        <v>243426.64</v>
      </c>
      <c r="AV20" s="49">
        <f t="shared" si="74"/>
        <v>0.250254846</v>
      </c>
      <c r="AW20" s="37">
        <f>'Q1 FY26-27'!AW20</f>
        <v>0</v>
      </c>
      <c r="AX20" s="47"/>
      <c r="AY20" s="35">
        <f>'Q1 FY26-27'!AY20</f>
        <v>69035.85</v>
      </c>
      <c r="AZ20" s="52"/>
      <c r="BA20" s="37">
        <f>'Q1 FY26-27'!BA20</f>
        <v>0</v>
      </c>
      <c r="BB20" s="47"/>
      <c r="BC20" s="35">
        <f>'Q1 FY26-27'!BC20</f>
        <v>85672.94</v>
      </c>
      <c r="BD20" s="52"/>
      <c r="BE20" s="37">
        <f>'Q1 FY26-27'!BE20</f>
        <v>0</v>
      </c>
      <c r="BF20" s="47"/>
      <c r="BG20" s="35">
        <f>'Q1 FY26-27'!BG20</f>
        <v>207860.56</v>
      </c>
      <c r="BH20" s="52"/>
      <c r="BI20" s="37">
        <f>'Q1 FY26-27'!BI20</f>
        <v>0</v>
      </c>
      <c r="BJ20" s="47"/>
    </row>
    <row r="21" ht="15.75" customHeight="1">
      <c r="B21" s="43" t="s">
        <v>36</v>
      </c>
      <c r="C21" s="24">
        <f t="shared" si="49"/>
        <v>26371733.67</v>
      </c>
      <c r="D21" s="25">
        <f t="shared" si="50"/>
        <v>0.1161194114</v>
      </c>
      <c r="E21" s="44">
        <f t="shared" si="51"/>
        <v>3057546</v>
      </c>
      <c r="F21" s="45" t="str">
        <f t="shared" si="52"/>
        <v>#DIV/0!</v>
      </c>
      <c r="G21" s="35">
        <f>'Q1 FY26-27'!G21</f>
        <v>2508096</v>
      </c>
      <c r="H21" s="36">
        <f t="shared" si="53"/>
        <v>0.01104359065</v>
      </c>
      <c r="I21" s="30">
        <f>'Q1 FY26-27'!I21</f>
        <v>0</v>
      </c>
      <c r="J21" s="38">
        <f t="shared" si="54"/>
        <v>0</v>
      </c>
      <c r="K21" s="32">
        <f t="shared" si="55"/>
        <v>23863637.67</v>
      </c>
      <c r="L21" s="33">
        <f t="shared" si="56"/>
        <v>0.1050758208</v>
      </c>
      <c r="M21" s="44">
        <f t="shared" si="57"/>
        <v>3057546</v>
      </c>
      <c r="N21" s="48" t="str">
        <f t="shared" si="58"/>
        <v>#DIV/0!</v>
      </c>
      <c r="O21" s="35">
        <f>'Q1 FY26-27'!O21</f>
        <v>6042871.333</v>
      </c>
      <c r="P21" s="49">
        <f t="shared" si="59"/>
        <v>0.09671022586</v>
      </c>
      <c r="Q21" s="53">
        <f>'Q1 FY26-27'!Q21</f>
        <v>1419717</v>
      </c>
      <c r="R21" s="50" t="str">
        <f t="shared" si="60"/>
        <v>#DIV/0!</v>
      </c>
      <c r="S21" s="35">
        <f>'Q1 FY26-27'!S21</f>
        <v>255365</v>
      </c>
      <c r="T21" s="49">
        <f t="shared" si="61"/>
        <v>0.09082101859</v>
      </c>
      <c r="U21" s="37">
        <f>'Q1 FY26-27'!U21</f>
        <v>76212</v>
      </c>
      <c r="V21" s="50" t="str">
        <f t="shared" si="62"/>
        <v>#DIV/0!</v>
      </c>
      <c r="W21" s="35">
        <f>'Q1 FY26-27'!W21</f>
        <v>5600409.333</v>
      </c>
      <c r="X21" s="49">
        <f t="shared" si="63"/>
        <v>0.1333002154</v>
      </c>
      <c r="Y21" s="37">
        <f>'Q1 FY26-27'!Y21</f>
        <v>1314963</v>
      </c>
      <c r="Z21" s="50" t="str">
        <f t="shared" si="64"/>
        <v>#DIV/0!</v>
      </c>
      <c r="AA21" s="35">
        <f>'Q1 FY26-27'!AA21</f>
        <v>3263458</v>
      </c>
      <c r="AB21" s="49">
        <f t="shared" si="65"/>
        <v>0.1108888249</v>
      </c>
      <c r="AC21" s="37">
        <f>'Q1 FY26-27'!AC21</f>
        <v>0</v>
      </c>
      <c r="AD21" s="50" t="str">
        <f t="shared" si="66"/>
        <v>#DIV/0!</v>
      </c>
      <c r="AE21" s="35">
        <f>'Q1 FY26-27'!AE21</f>
        <v>4461956</v>
      </c>
      <c r="AF21" s="49">
        <f t="shared" si="67"/>
        <v>0.0851264107</v>
      </c>
      <c r="AG21" s="37">
        <f>'Q1 FY26-27'!AG21</f>
        <v>0</v>
      </c>
      <c r="AH21" s="50" t="str">
        <f t="shared" si="68"/>
        <v>#DIV/0!</v>
      </c>
      <c r="AI21" s="35">
        <f>'Q1 FY26-27'!AI21</f>
        <v>712234</v>
      </c>
      <c r="AJ21" s="49">
        <f t="shared" si="69"/>
        <v>1.39652904</v>
      </c>
      <c r="AK21" s="37">
        <f>'Q1 FY26-27'!AK21</f>
        <v>90931</v>
      </c>
      <c r="AL21" s="38" t="str">
        <f t="shared" si="70"/>
        <v>#DIV/0!</v>
      </c>
      <c r="AM21" s="35">
        <f>'Q1 FY26-27'!AM21</f>
        <v>703067</v>
      </c>
      <c r="AN21" s="49">
        <f t="shared" si="71"/>
        <v>0.5419142605</v>
      </c>
      <c r="AO21" s="37">
        <f>'Q1 FY26-27'!AO21</f>
        <v>155723</v>
      </c>
      <c r="AP21" s="50" t="str">
        <f t="shared" si="72"/>
        <v>#DIV/0!</v>
      </c>
      <c r="AQ21" s="35">
        <f>'Q1 FY26-27'!AQ21</f>
        <v>2824277</v>
      </c>
      <c r="AR21" s="49">
        <f t="shared" si="73"/>
        <v>0.08594283132</v>
      </c>
      <c r="AS21" s="37">
        <f>'Q1 FY26-27'!AS21</f>
        <v>2419</v>
      </c>
      <c r="AT21" s="47"/>
      <c r="AU21" s="35">
        <f>'Q1 FY26-27'!AU21</f>
        <v>0</v>
      </c>
      <c r="AV21" s="49">
        <f t="shared" si="74"/>
        <v>0</v>
      </c>
      <c r="AW21" s="37">
        <f>'Q1 FY26-27'!AW21</f>
        <v>0</v>
      </c>
      <c r="AX21" s="47"/>
      <c r="AY21" s="35">
        <f>'Q1 FY26-27'!AY21</f>
        <v>0</v>
      </c>
      <c r="AZ21" s="52"/>
      <c r="BA21" s="37">
        <f>'Q1 FY26-27'!BA21</f>
        <v>0</v>
      </c>
      <c r="BB21" s="47"/>
      <c r="BC21" s="35">
        <f>'Q1 FY26-27'!BC21</f>
        <v>0</v>
      </c>
      <c r="BD21" s="52"/>
      <c r="BE21" s="37">
        <f>'Q1 FY26-27'!BE21</f>
        <v>0</v>
      </c>
      <c r="BF21" s="47"/>
      <c r="BG21" s="35">
        <f>'Q1 FY26-27'!BG21</f>
        <v>0</v>
      </c>
      <c r="BH21" s="52"/>
      <c r="BI21" s="37">
        <f>'Q1 FY26-27'!BI21</f>
        <v>0</v>
      </c>
      <c r="BJ21" s="47"/>
    </row>
    <row r="22" ht="15.75" customHeight="1">
      <c r="B22" s="43" t="s">
        <v>37</v>
      </c>
      <c r="C22" s="24">
        <f t="shared" si="49"/>
        <v>72295298</v>
      </c>
      <c r="D22" s="25">
        <f t="shared" si="50"/>
        <v>0.3183289942</v>
      </c>
      <c r="E22" s="44">
        <f t="shared" si="51"/>
        <v>1461900</v>
      </c>
      <c r="F22" s="45" t="str">
        <f t="shared" si="52"/>
        <v>#DIV/0!</v>
      </c>
      <c r="G22" s="35">
        <f>'Q1 FY26-27'!G22</f>
        <v>11819119.72</v>
      </c>
      <c r="H22" s="36">
        <f t="shared" si="53"/>
        <v>0.05204167625</v>
      </c>
      <c r="I22" s="30">
        <f>'Q1 FY26-27'!I22</f>
        <v>0</v>
      </c>
      <c r="J22" s="38">
        <f t="shared" si="54"/>
        <v>0</v>
      </c>
      <c r="K22" s="32">
        <f t="shared" si="55"/>
        <v>60476178.28</v>
      </c>
      <c r="L22" s="33">
        <f t="shared" si="56"/>
        <v>0.2662873179</v>
      </c>
      <c r="M22" s="44">
        <f t="shared" si="57"/>
        <v>1461900</v>
      </c>
      <c r="N22" s="48" t="str">
        <f t="shared" si="58"/>
        <v>#DIV/0!</v>
      </c>
      <c r="O22" s="35">
        <f>'Q1 FY26-27'!O22</f>
        <v>15393073.68</v>
      </c>
      <c r="P22" s="49">
        <f t="shared" si="59"/>
        <v>0.2463510391</v>
      </c>
      <c r="Q22" s="53">
        <f>'Q1 FY26-27'!Q22</f>
        <v>1367500</v>
      </c>
      <c r="R22" s="50" t="str">
        <f t="shared" si="60"/>
        <v>#DIV/0!</v>
      </c>
      <c r="S22" s="35">
        <f>'Q1 FY26-27'!S22</f>
        <v>1083748.73</v>
      </c>
      <c r="T22" s="49">
        <f t="shared" si="61"/>
        <v>0.3854371725</v>
      </c>
      <c r="U22" s="37">
        <f>'Q1 FY26-27'!U22</f>
        <v>0</v>
      </c>
      <c r="V22" s="50" t="str">
        <f t="shared" si="62"/>
        <v>#DIV/0!</v>
      </c>
      <c r="W22" s="35">
        <f>'Q1 FY26-27'!W22</f>
        <v>9763782.583</v>
      </c>
      <c r="X22" s="49">
        <f t="shared" si="63"/>
        <v>0.2323962847</v>
      </c>
      <c r="Y22" s="37">
        <f>'Q1 FY26-27'!Y22</f>
        <v>0</v>
      </c>
      <c r="Z22" s="50" t="str">
        <f t="shared" si="64"/>
        <v>#DIV/0!</v>
      </c>
      <c r="AA22" s="35">
        <f>'Q1 FY26-27'!AA22</f>
        <v>5291158.353</v>
      </c>
      <c r="AB22" s="49">
        <f t="shared" si="65"/>
        <v>0.1797879219</v>
      </c>
      <c r="AC22" s="37">
        <f>'Q1 FY26-27'!AC22</f>
        <v>0</v>
      </c>
      <c r="AD22" s="50" t="str">
        <f t="shared" si="66"/>
        <v>#DIV/0!</v>
      </c>
      <c r="AE22" s="35">
        <f>'Q1 FY26-27'!AE22</f>
        <v>11246171</v>
      </c>
      <c r="AF22" s="49">
        <f t="shared" si="67"/>
        <v>0.2145575106</v>
      </c>
      <c r="AG22" s="37">
        <f>'Q1 FY26-27'!AG22</f>
        <v>0</v>
      </c>
      <c r="AH22" s="50" t="str">
        <f t="shared" si="68"/>
        <v>#DIV/0!</v>
      </c>
      <c r="AI22" s="35">
        <f>'Q1 FY26-27'!AI22</f>
        <v>648712</v>
      </c>
      <c r="AJ22" s="49">
        <f t="shared" si="69"/>
        <v>1.271976832</v>
      </c>
      <c r="AK22" s="37">
        <f>'Q1 FY26-27'!AK22</f>
        <v>0</v>
      </c>
      <c r="AL22" s="38" t="str">
        <f t="shared" si="70"/>
        <v>#DIV/0!</v>
      </c>
      <c r="AM22" s="35">
        <f>'Q1 FY26-27'!AM22</f>
        <v>4398566.58</v>
      </c>
      <c r="AN22" s="49">
        <f t="shared" si="71"/>
        <v>3.390353914</v>
      </c>
      <c r="AO22" s="37">
        <f>'Q1 FY26-27'!AO22</f>
        <v>94400</v>
      </c>
      <c r="AP22" s="50" t="str">
        <f t="shared" si="72"/>
        <v>#DIV/0!</v>
      </c>
      <c r="AQ22" s="35">
        <f>'Q1 FY26-27'!AQ22</f>
        <v>11282590.85</v>
      </c>
      <c r="AR22" s="49">
        <f t="shared" si="73"/>
        <v>0.343329568</v>
      </c>
      <c r="AS22" s="37">
        <f>'Q1 FY26-27'!AS22</f>
        <v>0</v>
      </c>
      <c r="AT22" s="47"/>
      <c r="AU22" s="35">
        <f>'Q1 FY26-27'!AU22</f>
        <v>0</v>
      </c>
      <c r="AV22" s="49">
        <f t="shared" si="74"/>
        <v>0</v>
      </c>
      <c r="AW22" s="37">
        <f>'Q1 FY26-27'!AW22</f>
        <v>0</v>
      </c>
      <c r="AX22" s="47"/>
      <c r="AY22" s="35">
        <f>'Q1 FY26-27'!AY22</f>
        <v>0</v>
      </c>
      <c r="AZ22" s="52"/>
      <c r="BA22" s="37">
        <f>'Q1 FY26-27'!BA22</f>
        <v>0</v>
      </c>
      <c r="BB22" s="47"/>
      <c r="BC22" s="35">
        <f>'Q1 FY26-27'!BC22</f>
        <v>0</v>
      </c>
      <c r="BD22" s="52"/>
      <c r="BE22" s="37">
        <f>'Q1 FY26-27'!BE22</f>
        <v>0</v>
      </c>
      <c r="BF22" s="47"/>
      <c r="BG22" s="35">
        <f>'Q1 FY26-27'!BG22</f>
        <v>1368374.5</v>
      </c>
      <c r="BH22" s="52"/>
      <c r="BI22" s="37">
        <f>'Q1 FY26-27'!BI22</f>
        <v>0</v>
      </c>
      <c r="BJ22" s="47"/>
    </row>
    <row r="23" ht="15.75" customHeight="1">
      <c r="B23" s="43" t="s">
        <v>38</v>
      </c>
      <c r="C23" s="24">
        <f t="shared" si="49"/>
        <v>2960323.62</v>
      </c>
      <c r="D23" s="25">
        <f t="shared" si="50"/>
        <v>0.01303482891</v>
      </c>
      <c r="E23" s="44">
        <f t="shared" si="51"/>
        <v>0</v>
      </c>
      <c r="F23" s="45" t="str">
        <f t="shared" si="52"/>
        <v>#DIV/0!</v>
      </c>
      <c r="G23" s="35">
        <f>'Q1 FY26-27'!G23</f>
        <v>1236166</v>
      </c>
      <c r="H23" s="36">
        <f t="shared" si="53"/>
        <v>0.005443057714</v>
      </c>
      <c r="I23" s="30">
        <f>'Q1 FY26-27'!I23</f>
        <v>0</v>
      </c>
      <c r="J23" s="38">
        <f t="shared" si="54"/>
        <v>0</v>
      </c>
      <c r="K23" s="32">
        <f t="shared" si="55"/>
        <v>1724157.62</v>
      </c>
      <c r="L23" s="33">
        <f t="shared" si="56"/>
        <v>0.007591771197</v>
      </c>
      <c r="M23" s="44">
        <f t="shared" si="57"/>
        <v>0</v>
      </c>
      <c r="N23" s="48" t="str">
        <f t="shared" si="58"/>
        <v>#DIV/0!</v>
      </c>
      <c r="O23" s="35">
        <f>'Q1 FY26-27'!O23</f>
        <v>1433371</v>
      </c>
      <c r="P23" s="49">
        <f t="shared" si="59"/>
        <v>0.0229396963</v>
      </c>
      <c r="Q23" s="53">
        <f>'Q1 FY26-27'!Q23</f>
        <v>0</v>
      </c>
      <c r="R23" s="50" t="str">
        <f t="shared" si="60"/>
        <v>#DIV/0!</v>
      </c>
      <c r="S23" s="35">
        <f>'Q1 FY26-27'!S23</f>
        <v>0</v>
      </c>
      <c r="T23" s="49">
        <f t="shared" si="61"/>
        <v>0</v>
      </c>
      <c r="U23" s="37">
        <f>'Q1 FY26-27'!U23</f>
        <v>0</v>
      </c>
      <c r="V23" s="50" t="str">
        <f t="shared" si="62"/>
        <v>#DIV/0!</v>
      </c>
      <c r="W23" s="35">
        <f>'Q1 FY26-27'!W23</f>
        <v>58748</v>
      </c>
      <c r="X23" s="49">
        <f t="shared" si="63"/>
        <v>0.001398312264</v>
      </c>
      <c r="Y23" s="37">
        <f>'Q1 FY26-27'!Y23</f>
        <v>0</v>
      </c>
      <c r="Z23" s="50" t="str">
        <f t="shared" si="64"/>
        <v>#DIV/0!</v>
      </c>
      <c r="AA23" s="35">
        <f>'Q1 FY26-27'!AA23</f>
        <v>55893</v>
      </c>
      <c r="AB23" s="49">
        <f t="shared" si="65"/>
        <v>0.001899184573</v>
      </c>
      <c r="AC23" s="37">
        <f>'Q1 FY26-27'!AC23</f>
        <v>0</v>
      </c>
      <c r="AD23" s="50" t="str">
        <f t="shared" si="66"/>
        <v>#DIV/0!</v>
      </c>
      <c r="AE23" s="35">
        <f>'Q1 FY26-27'!AE23</f>
        <v>64603</v>
      </c>
      <c r="AF23" s="49">
        <f t="shared" si="67"/>
        <v>0.001232513613</v>
      </c>
      <c r="AG23" s="37">
        <f>'Q1 FY26-27'!AG23</f>
        <v>0</v>
      </c>
      <c r="AH23" s="50" t="str">
        <f t="shared" si="68"/>
        <v>#DIV/0!</v>
      </c>
      <c r="AI23" s="35">
        <f>'Q1 FY26-27'!AI23</f>
        <v>0</v>
      </c>
      <c r="AJ23" s="49">
        <f t="shared" si="69"/>
        <v>0</v>
      </c>
      <c r="AK23" s="37">
        <f>'Q1 FY26-27'!AK23</f>
        <v>0</v>
      </c>
      <c r="AL23" s="38" t="str">
        <f t="shared" si="70"/>
        <v>#DIV/0!</v>
      </c>
      <c r="AM23" s="35">
        <f>'Q1 FY26-27'!AM23</f>
        <v>15501</v>
      </c>
      <c r="AN23" s="49">
        <f t="shared" si="71"/>
        <v>0.01194795511</v>
      </c>
      <c r="AO23" s="37">
        <f>'Q1 FY26-27'!AO23</f>
        <v>0</v>
      </c>
      <c r="AP23" s="50" t="str">
        <f t="shared" si="72"/>
        <v>#DIV/0!</v>
      </c>
      <c r="AQ23" s="35">
        <f>'Q1 FY26-27'!AQ23</f>
        <v>96041.62</v>
      </c>
      <c r="AR23" s="49">
        <f t="shared" si="73"/>
        <v>0.002922549292</v>
      </c>
      <c r="AS23" s="37">
        <f>'Q1 FY26-27'!AS23</f>
        <v>0</v>
      </c>
      <c r="AT23" s="47"/>
      <c r="AU23" s="35">
        <f>'Q1 FY26-27'!AU23</f>
        <v>0</v>
      </c>
      <c r="AV23" s="49">
        <f t="shared" si="74"/>
        <v>0</v>
      </c>
      <c r="AW23" s="37">
        <f>'Q1 FY26-27'!AW23</f>
        <v>0</v>
      </c>
      <c r="AX23" s="47"/>
      <c r="AY23" s="35">
        <f>'Q1 FY26-27'!AY23</f>
        <v>0</v>
      </c>
      <c r="AZ23" s="52"/>
      <c r="BA23" s="37">
        <f>'Q1 FY26-27'!BA23</f>
        <v>0</v>
      </c>
      <c r="BB23" s="47"/>
      <c r="BC23" s="35">
        <f>'Q1 FY26-27'!BC23</f>
        <v>0</v>
      </c>
      <c r="BD23" s="52"/>
      <c r="BE23" s="37">
        <f>'Q1 FY26-27'!BE23</f>
        <v>0</v>
      </c>
      <c r="BF23" s="47"/>
      <c r="BG23" s="35">
        <f>'Q1 FY26-27'!BG23</f>
        <v>0</v>
      </c>
      <c r="BH23" s="52"/>
      <c r="BI23" s="37">
        <f>'Q1 FY26-27'!BI23</f>
        <v>0</v>
      </c>
      <c r="BJ23" s="47"/>
    </row>
    <row r="24" ht="15.75" customHeight="1">
      <c r="B24" s="43" t="s">
        <v>39</v>
      </c>
      <c r="C24" s="24">
        <f t="shared" si="49"/>
        <v>1602317.583</v>
      </c>
      <c r="D24" s="25">
        <f t="shared" si="50"/>
        <v>0.007055287948</v>
      </c>
      <c r="E24" s="44">
        <f t="shared" si="51"/>
        <v>134471.9167</v>
      </c>
      <c r="F24" s="45" t="str">
        <f t="shared" si="52"/>
        <v>#DIV/0!</v>
      </c>
      <c r="G24" s="35">
        <f>'Q1 FY26-27'!G24</f>
        <v>526754.5</v>
      </c>
      <c r="H24" s="36">
        <f t="shared" si="53"/>
        <v>0.002319393305</v>
      </c>
      <c r="I24" s="30">
        <f>'Q1 FY26-27'!I24</f>
        <v>0</v>
      </c>
      <c r="J24" s="38">
        <f t="shared" si="54"/>
        <v>0</v>
      </c>
      <c r="K24" s="32">
        <f t="shared" si="55"/>
        <v>1075563.083</v>
      </c>
      <c r="L24" s="33">
        <f t="shared" si="56"/>
        <v>0.004735894643</v>
      </c>
      <c r="M24" s="44">
        <f t="shared" si="57"/>
        <v>134471.9167</v>
      </c>
      <c r="N24" s="48" t="str">
        <f t="shared" si="58"/>
        <v>#DIV/0!</v>
      </c>
      <c r="O24" s="35">
        <f>'Q1 FY26-27'!O24</f>
        <v>72420</v>
      </c>
      <c r="P24" s="49">
        <f t="shared" si="59"/>
        <v>0.001159011035</v>
      </c>
      <c r="Q24" s="53">
        <f>'Q1 FY26-27'!Q24</f>
        <v>0</v>
      </c>
      <c r="R24" s="50" t="str">
        <f t="shared" si="60"/>
        <v>#DIV/0!</v>
      </c>
      <c r="S24" s="35">
        <f>'Q1 FY26-27'!S24</f>
        <v>60731</v>
      </c>
      <c r="T24" s="49">
        <f t="shared" si="61"/>
        <v>0.02159908868</v>
      </c>
      <c r="U24" s="37">
        <f>'Q1 FY26-27'!U24</f>
        <v>0</v>
      </c>
      <c r="V24" s="50" t="str">
        <f t="shared" si="62"/>
        <v>#DIV/0!</v>
      </c>
      <c r="W24" s="35">
        <f>'Q1 FY26-27'!W24</f>
        <v>203521.6667</v>
      </c>
      <c r="X24" s="49">
        <f t="shared" si="63"/>
        <v>0.004844196272</v>
      </c>
      <c r="Y24" s="37">
        <f>'Q1 FY26-27'!Y24</f>
        <v>0</v>
      </c>
      <c r="Z24" s="50" t="str">
        <f t="shared" si="64"/>
        <v>#DIV/0!</v>
      </c>
      <c r="AA24" s="35">
        <f>'Q1 FY26-27'!AA24</f>
        <v>141068.6667</v>
      </c>
      <c r="AB24" s="49">
        <f t="shared" si="65"/>
        <v>0.004793362953</v>
      </c>
      <c r="AC24" s="37">
        <f>'Q1 FY26-27'!AC24</f>
        <v>49820.33333</v>
      </c>
      <c r="AD24" s="50" t="str">
        <f t="shared" si="66"/>
        <v>#DIV/0!</v>
      </c>
      <c r="AE24" s="35">
        <f>'Q1 FY26-27'!AE24</f>
        <v>222120.6667</v>
      </c>
      <c r="AF24" s="49">
        <f t="shared" si="67"/>
        <v>0.004237678519</v>
      </c>
      <c r="AG24" s="37">
        <f>'Q1 FY26-27'!AG24</f>
        <v>77845.33333</v>
      </c>
      <c r="AH24" s="50" t="str">
        <f t="shared" si="68"/>
        <v>#DIV/0!</v>
      </c>
      <c r="AI24" s="35">
        <f>'Q1 FY26-27'!AI24</f>
        <v>20418.75</v>
      </c>
      <c r="AJ24" s="49">
        <f t="shared" si="69"/>
        <v>0.0400365292</v>
      </c>
      <c r="AK24" s="37">
        <f>'Q1 FY26-27'!AK24</f>
        <v>6806.25</v>
      </c>
      <c r="AL24" s="38" t="str">
        <f t="shared" si="70"/>
        <v>#DIV/0!</v>
      </c>
      <c r="AM24" s="35">
        <f>'Q1 FY26-27'!AM24</f>
        <v>169574.3333</v>
      </c>
      <c r="AN24" s="49">
        <f t="shared" si="71"/>
        <v>0.1307055365</v>
      </c>
      <c r="AO24" s="37">
        <f>'Q1 FY26-27'!AO24</f>
        <v>0</v>
      </c>
      <c r="AP24" s="50" t="str">
        <f t="shared" si="72"/>
        <v>#DIV/0!</v>
      </c>
      <c r="AQ24" s="35">
        <f>'Q1 FY26-27'!AQ24</f>
        <v>9440</v>
      </c>
      <c r="AR24" s="49">
        <f t="shared" si="73"/>
        <v>0.0002872594748</v>
      </c>
      <c r="AS24" s="37">
        <f>'Q1 FY26-27'!AS24</f>
        <v>3146.666667</v>
      </c>
      <c r="AT24" s="47"/>
      <c r="AU24" s="35">
        <f>'Q1 FY26-27'!AU24</f>
        <v>81910</v>
      </c>
      <c r="AV24" s="49">
        <f t="shared" si="74"/>
        <v>0.08420760535</v>
      </c>
      <c r="AW24" s="37">
        <f>'Q1 FY26-27'!AW24</f>
        <v>0</v>
      </c>
      <c r="AX24" s="47"/>
      <c r="AY24" s="35">
        <f>'Q1 FY26-27'!AY24</f>
        <v>46182</v>
      </c>
      <c r="AZ24" s="52"/>
      <c r="BA24" s="37">
        <f>'Q1 FY26-27'!BA24</f>
        <v>0</v>
      </c>
      <c r="BB24" s="47"/>
      <c r="BC24" s="35">
        <f>'Q1 FY26-27'!BC24</f>
        <v>46182</v>
      </c>
      <c r="BD24" s="52"/>
      <c r="BE24" s="37">
        <f>'Q1 FY26-27'!BE24</f>
        <v>0</v>
      </c>
      <c r="BF24" s="47"/>
      <c r="BG24" s="35">
        <f>'Q1 FY26-27'!BG24</f>
        <v>1994</v>
      </c>
      <c r="BH24" s="52"/>
      <c r="BI24" s="37">
        <f>'Q1 FY26-27'!BI24</f>
        <v>0</v>
      </c>
      <c r="BJ24" s="47"/>
    </row>
    <row r="25" ht="15.75" customHeight="1">
      <c r="B25" s="43" t="s">
        <v>40</v>
      </c>
      <c r="C25" s="24">
        <f t="shared" si="49"/>
        <v>13264275.94</v>
      </c>
      <c r="D25" s="25">
        <f t="shared" si="50"/>
        <v>0.05840495491</v>
      </c>
      <c r="E25" s="44">
        <f t="shared" si="51"/>
        <v>553837</v>
      </c>
      <c r="F25" s="45" t="str">
        <f t="shared" si="52"/>
        <v>#DIV/0!</v>
      </c>
      <c r="G25" s="35">
        <f>'Q1 FY26-27'!G25</f>
        <v>2612831.5</v>
      </c>
      <c r="H25" s="36">
        <f t="shared" si="53"/>
        <v>0.0115047596</v>
      </c>
      <c r="I25" s="30">
        <f>'Q1 FY26-27'!I25</f>
        <v>10475</v>
      </c>
      <c r="J25" s="38">
        <f t="shared" si="54"/>
        <v>0.0000461232792</v>
      </c>
      <c r="K25" s="32">
        <f t="shared" si="55"/>
        <v>10651444.44</v>
      </c>
      <c r="L25" s="33">
        <f t="shared" si="56"/>
        <v>0.04690019531</v>
      </c>
      <c r="M25" s="44">
        <f t="shared" si="57"/>
        <v>543362</v>
      </c>
      <c r="N25" s="48" t="str">
        <f t="shared" si="58"/>
        <v>#DIV/0!</v>
      </c>
      <c r="O25" s="35">
        <f>'Q1 FY26-27'!O25</f>
        <v>2405048.05</v>
      </c>
      <c r="P25" s="49">
        <f t="shared" si="59"/>
        <v>0.03849043398</v>
      </c>
      <c r="Q25" s="53">
        <f>'Q1 FY26-27'!Q25</f>
        <v>371698.5</v>
      </c>
      <c r="R25" s="50" t="str">
        <f t="shared" si="60"/>
        <v>#DIV/0!</v>
      </c>
      <c r="S25" s="35">
        <f>'Q1 FY26-27'!S25</f>
        <v>73181</v>
      </c>
      <c r="T25" s="49">
        <f t="shared" si="61"/>
        <v>0.02602695343</v>
      </c>
      <c r="U25" s="37">
        <f>'Q1 FY26-27'!U25</f>
        <v>0</v>
      </c>
      <c r="V25" s="50" t="str">
        <f t="shared" si="62"/>
        <v>#DIV/0!</v>
      </c>
      <c r="W25" s="35">
        <f>'Q1 FY26-27'!W25</f>
        <v>1563923.75</v>
      </c>
      <c r="X25" s="49">
        <f t="shared" si="63"/>
        <v>0.03722430994</v>
      </c>
      <c r="Y25" s="37">
        <f>'Q1 FY26-27'!Y25</f>
        <v>0</v>
      </c>
      <c r="Z25" s="50" t="str">
        <f t="shared" si="64"/>
        <v>#DIV/0!</v>
      </c>
      <c r="AA25" s="35">
        <f>'Q1 FY26-27'!AA25</f>
        <v>518342.5</v>
      </c>
      <c r="AB25" s="49">
        <f t="shared" si="65"/>
        <v>0.01761272574</v>
      </c>
      <c r="AC25" s="37">
        <f>'Q1 FY26-27'!AC25</f>
        <v>15522.25</v>
      </c>
      <c r="AD25" s="50" t="str">
        <f t="shared" si="66"/>
        <v>#DIV/0!</v>
      </c>
      <c r="AE25" s="35">
        <f>'Q1 FY26-27'!AE25</f>
        <v>1517109.76</v>
      </c>
      <c r="AF25" s="49">
        <f t="shared" si="67"/>
        <v>0.02894383282</v>
      </c>
      <c r="AG25" s="37">
        <f>'Q1 FY26-27'!AG25</f>
        <v>133043</v>
      </c>
      <c r="AH25" s="50" t="str">
        <f t="shared" si="68"/>
        <v>#DIV/0!</v>
      </c>
      <c r="AI25" s="35">
        <f>'Q1 FY26-27'!AI25</f>
        <v>2518326.007</v>
      </c>
      <c r="AJ25" s="49">
        <f t="shared" si="69"/>
        <v>4.937865084</v>
      </c>
      <c r="AK25" s="37">
        <f>'Q1 FY26-27'!AK25</f>
        <v>5934.916667</v>
      </c>
      <c r="AL25" s="38" t="str">
        <f t="shared" si="70"/>
        <v>#DIV/0!</v>
      </c>
      <c r="AM25" s="35">
        <f>'Q1 FY26-27'!AM25</f>
        <v>601475.93</v>
      </c>
      <c r="AN25" s="49">
        <f t="shared" si="71"/>
        <v>0.4636092774</v>
      </c>
      <c r="AO25" s="37">
        <f>'Q1 FY26-27'!AO25</f>
        <v>17163.33333</v>
      </c>
      <c r="AP25" s="50" t="str">
        <f t="shared" si="72"/>
        <v>#DIV/0!</v>
      </c>
      <c r="AQ25" s="35">
        <f>'Q1 FY26-27'!AQ25</f>
        <v>1424427.447</v>
      </c>
      <c r="AR25" s="49">
        <f t="shared" si="73"/>
        <v>0.04334536866</v>
      </c>
      <c r="AS25" s="37">
        <f>'Q1 FY26-27'!AS25</f>
        <v>212632.0833</v>
      </c>
      <c r="AT25" s="47"/>
      <c r="AU25" s="35">
        <f>'Q1 FY26-27'!AU25</f>
        <v>8100</v>
      </c>
      <c r="AV25" s="49">
        <f t="shared" si="74"/>
        <v>0.008327207952</v>
      </c>
      <c r="AW25" s="37">
        <f>'Q1 FY26-27'!AW25</f>
        <v>0</v>
      </c>
      <c r="AX25" s="47"/>
      <c r="AY25" s="35">
        <f>'Q1 FY26-27'!AY25</f>
        <v>8100</v>
      </c>
      <c r="AZ25" s="52"/>
      <c r="BA25" s="37">
        <f>'Q1 FY26-27'!BA25</f>
        <v>0</v>
      </c>
      <c r="BB25" s="47"/>
      <c r="BC25" s="35">
        <f>'Q1 FY26-27'!BC25</f>
        <v>0</v>
      </c>
      <c r="BD25" s="52"/>
      <c r="BE25" s="37">
        <f>'Q1 FY26-27'!BE25</f>
        <v>0</v>
      </c>
      <c r="BF25" s="47"/>
      <c r="BG25" s="35">
        <f>'Q1 FY26-27'!BG25</f>
        <v>13410</v>
      </c>
      <c r="BH25" s="52"/>
      <c r="BI25" s="37">
        <f>'Q1 FY26-27'!BI25</f>
        <v>0</v>
      </c>
      <c r="BJ25" s="47"/>
    </row>
    <row r="26" ht="15.75" customHeight="1">
      <c r="B26" s="43" t="s">
        <v>41</v>
      </c>
      <c r="C26" s="24">
        <f t="shared" si="49"/>
        <v>1170805</v>
      </c>
      <c r="D26" s="25">
        <f t="shared" si="50"/>
        <v>0.005155261661</v>
      </c>
      <c r="E26" s="44">
        <f t="shared" si="51"/>
        <v>10010</v>
      </c>
      <c r="F26" s="45" t="str">
        <f t="shared" si="52"/>
        <v>#DIV/0!</v>
      </c>
      <c r="G26" s="35">
        <f>'Q1 FY26-27'!G26</f>
        <v>1027671</v>
      </c>
      <c r="H26" s="36">
        <f t="shared" si="53"/>
        <v>0.004525017323</v>
      </c>
      <c r="I26" s="30">
        <f>'Q1 FY26-27'!I26</f>
        <v>0</v>
      </c>
      <c r="J26" s="38">
        <f t="shared" si="54"/>
        <v>0</v>
      </c>
      <c r="K26" s="32">
        <f t="shared" si="55"/>
        <v>143134</v>
      </c>
      <c r="L26" s="33">
        <f t="shared" si="56"/>
        <v>0.0006302443384</v>
      </c>
      <c r="M26" s="44">
        <f t="shared" si="57"/>
        <v>10010</v>
      </c>
      <c r="N26" s="48" t="str">
        <f t="shared" si="58"/>
        <v>#DIV/0!</v>
      </c>
      <c r="O26" s="35">
        <f>'Q1 FY26-27'!O26</f>
        <v>56404</v>
      </c>
      <c r="P26" s="49">
        <f t="shared" si="59"/>
        <v>0.0009026906711</v>
      </c>
      <c r="Q26" s="53">
        <f>'Q1 FY26-27'!Q26</f>
        <v>0</v>
      </c>
      <c r="R26" s="50" t="str">
        <f t="shared" si="60"/>
        <v>#DIV/0!</v>
      </c>
      <c r="S26" s="35">
        <f>'Q1 FY26-27'!S26</f>
        <v>0</v>
      </c>
      <c r="T26" s="49">
        <f t="shared" si="61"/>
        <v>0</v>
      </c>
      <c r="U26" s="37">
        <f>'Q1 FY26-27'!U26</f>
        <v>0</v>
      </c>
      <c r="V26" s="50" t="str">
        <f t="shared" si="62"/>
        <v>#DIV/0!</v>
      </c>
      <c r="W26" s="35">
        <f>'Q1 FY26-27'!W26</f>
        <v>30975</v>
      </c>
      <c r="X26" s="49">
        <f t="shared" si="63"/>
        <v>0.0007372629263</v>
      </c>
      <c r="Y26" s="37">
        <f>'Q1 FY26-27'!Y26</f>
        <v>0</v>
      </c>
      <c r="Z26" s="50" t="str">
        <f t="shared" si="64"/>
        <v>#DIV/0!</v>
      </c>
      <c r="AA26" s="35">
        <f>'Q1 FY26-27'!AA26</f>
        <v>0</v>
      </c>
      <c r="AB26" s="49">
        <f t="shared" si="65"/>
        <v>0</v>
      </c>
      <c r="AC26" s="37">
        <f>'Q1 FY26-27'!AC26</f>
        <v>0</v>
      </c>
      <c r="AD26" s="50" t="str">
        <f t="shared" si="66"/>
        <v>#DIV/0!</v>
      </c>
      <c r="AE26" s="35">
        <f>'Q1 FY26-27'!AE26</f>
        <v>30975</v>
      </c>
      <c r="AF26" s="49">
        <f t="shared" si="67"/>
        <v>0.0005909494785</v>
      </c>
      <c r="AG26" s="37">
        <f>'Q1 FY26-27'!AG26</f>
        <v>10010</v>
      </c>
      <c r="AH26" s="50" t="str">
        <f t="shared" si="68"/>
        <v>#DIV/0!</v>
      </c>
      <c r="AI26" s="35">
        <f>'Q1 FY26-27'!AI26</f>
        <v>0</v>
      </c>
      <c r="AJ26" s="49">
        <f t="shared" si="69"/>
        <v>0</v>
      </c>
      <c r="AK26" s="37">
        <f>'Q1 FY26-27'!AK26</f>
        <v>0</v>
      </c>
      <c r="AL26" s="38" t="str">
        <f t="shared" si="70"/>
        <v>#DIV/0!</v>
      </c>
      <c r="AM26" s="35">
        <f>'Q1 FY26-27'!AM26</f>
        <v>0</v>
      </c>
      <c r="AN26" s="49">
        <f t="shared" si="71"/>
        <v>0</v>
      </c>
      <c r="AO26" s="37">
        <f>'Q1 FY26-27'!AO26</f>
        <v>0</v>
      </c>
      <c r="AP26" s="50" t="str">
        <f t="shared" si="72"/>
        <v>#DIV/0!</v>
      </c>
      <c r="AQ26" s="35">
        <f>'Q1 FY26-27'!AQ26</f>
        <v>24780</v>
      </c>
      <c r="AR26" s="49">
        <f t="shared" si="73"/>
        <v>0.0007540561213</v>
      </c>
      <c r="AS26" s="37">
        <f>'Q1 FY26-27'!AS26</f>
        <v>8260</v>
      </c>
      <c r="AT26" s="47"/>
      <c r="AU26" s="35">
        <f>'Q1 FY26-27'!AU26</f>
        <v>0</v>
      </c>
      <c r="AV26" s="49">
        <f t="shared" si="74"/>
        <v>0</v>
      </c>
      <c r="AW26" s="37">
        <f>'Q1 FY26-27'!AW26</f>
        <v>0</v>
      </c>
      <c r="AX26" s="47"/>
      <c r="AY26" s="35">
        <f>'Q1 FY26-27'!AY26</f>
        <v>0</v>
      </c>
      <c r="AZ26" s="52"/>
      <c r="BA26" s="37">
        <f>'Q1 FY26-27'!BA26</f>
        <v>0</v>
      </c>
      <c r="BB26" s="47"/>
      <c r="BC26" s="35">
        <f>'Q1 FY26-27'!BC26</f>
        <v>0</v>
      </c>
      <c r="BD26" s="52"/>
      <c r="BE26" s="37">
        <f>'Q1 FY26-27'!BE26</f>
        <v>0</v>
      </c>
      <c r="BF26" s="47"/>
      <c r="BG26" s="35">
        <f>'Q1 FY26-27'!BG26</f>
        <v>0</v>
      </c>
      <c r="BH26" s="52"/>
      <c r="BI26" s="37">
        <f>'Q1 FY26-27'!BI26</f>
        <v>0</v>
      </c>
      <c r="BJ26" s="47"/>
    </row>
    <row r="27" ht="15.75" customHeight="1">
      <c r="B27" s="54" t="s">
        <v>42</v>
      </c>
      <c r="C27" s="55">
        <f t="shared" si="49"/>
        <v>-4654815</v>
      </c>
      <c r="D27" s="25">
        <f t="shared" si="50"/>
        <v>-0.0204959744</v>
      </c>
      <c r="E27" s="56">
        <f t="shared" si="51"/>
        <v>0</v>
      </c>
      <c r="F27" s="57" t="str">
        <f t="shared" si="52"/>
        <v>#DIV/0!</v>
      </c>
      <c r="G27" s="65">
        <f>'Q1 FY26-27'!G27</f>
        <v>1606501</v>
      </c>
      <c r="H27" s="36">
        <f t="shared" si="53"/>
        <v>0.007073708272</v>
      </c>
      <c r="I27" s="30">
        <f>'Q1 FY26-27'!I27</f>
        <v>0</v>
      </c>
      <c r="J27" s="38">
        <f t="shared" si="54"/>
        <v>0</v>
      </c>
      <c r="K27" s="32">
        <f t="shared" si="55"/>
        <v>-6261316</v>
      </c>
      <c r="L27" s="33">
        <f t="shared" si="56"/>
        <v>-0.02756968267</v>
      </c>
      <c r="M27" s="56">
        <f t="shared" si="57"/>
        <v>0</v>
      </c>
      <c r="N27" s="60" t="str">
        <f t="shared" si="58"/>
        <v>#DIV/0!</v>
      </c>
      <c r="O27" s="35">
        <f>'Q1 FY26-27'!O27</f>
        <v>0</v>
      </c>
      <c r="P27" s="61">
        <f t="shared" si="59"/>
        <v>0</v>
      </c>
      <c r="Q27" s="53">
        <f>'Q1 FY26-27'!Q27</f>
        <v>0</v>
      </c>
      <c r="R27" s="62" t="str">
        <f t="shared" si="60"/>
        <v>#DIV/0!</v>
      </c>
      <c r="S27" s="35">
        <f>'Q1 FY26-27'!S27</f>
        <v>0</v>
      </c>
      <c r="T27" s="61">
        <f t="shared" si="61"/>
        <v>0</v>
      </c>
      <c r="U27" s="37">
        <f>'Q1 FY26-27'!U27</f>
        <v>0</v>
      </c>
      <c r="V27" s="62" t="str">
        <f t="shared" si="62"/>
        <v>#DIV/0!</v>
      </c>
      <c r="W27" s="35">
        <f>'Q1 FY26-27'!W27</f>
        <v>0</v>
      </c>
      <c r="X27" s="61">
        <f t="shared" si="63"/>
        <v>0</v>
      </c>
      <c r="Y27" s="37">
        <f>'Q1 FY26-27'!Y27</f>
        <v>0</v>
      </c>
      <c r="Z27" s="62" t="str">
        <f t="shared" si="64"/>
        <v>#DIV/0!</v>
      </c>
      <c r="AA27" s="35">
        <f>'Q1 FY26-27'!AA27</f>
        <v>0</v>
      </c>
      <c r="AB27" s="61">
        <f t="shared" si="65"/>
        <v>0</v>
      </c>
      <c r="AC27" s="37">
        <f>'Q1 FY26-27'!AC27</f>
        <v>0</v>
      </c>
      <c r="AD27" s="62" t="str">
        <f t="shared" si="66"/>
        <v>#DIV/0!</v>
      </c>
      <c r="AE27" s="35">
        <f>'Q1 FY26-27'!AE27</f>
        <v>0</v>
      </c>
      <c r="AF27" s="61">
        <f t="shared" si="67"/>
        <v>0</v>
      </c>
      <c r="AG27" s="37">
        <f>'Q1 FY26-27'!AG27</f>
        <v>0</v>
      </c>
      <c r="AH27" s="62" t="str">
        <f t="shared" si="68"/>
        <v>#DIV/0!</v>
      </c>
      <c r="AI27" s="35">
        <f>'Q1 FY26-27'!AI27</f>
        <v>0</v>
      </c>
      <c r="AJ27" s="61">
        <f t="shared" si="69"/>
        <v>0</v>
      </c>
      <c r="AK27" s="37">
        <f>'Q1 FY26-27'!AK27</f>
        <v>0</v>
      </c>
      <c r="AL27" s="38" t="str">
        <f t="shared" si="70"/>
        <v>#DIV/0!</v>
      </c>
      <c r="AM27" s="35">
        <f>'Q1 FY26-27'!AM27</f>
        <v>-6271616</v>
      </c>
      <c r="AN27" s="61">
        <f t="shared" si="71"/>
        <v>-4.834074344</v>
      </c>
      <c r="AO27" s="37">
        <f>'Q1 FY26-27'!AO27</f>
        <v>0</v>
      </c>
      <c r="AP27" s="62" t="str">
        <f t="shared" si="72"/>
        <v>#DIV/0!</v>
      </c>
      <c r="AQ27" s="35">
        <f>'Q1 FY26-27'!AQ27</f>
        <v>0</v>
      </c>
      <c r="AR27" s="61">
        <f t="shared" si="73"/>
        <v>0</v>
      </c>
      <c r="AS27" s="37">
        <f>'Q1 FY26-27'!AS27</f>
        <v>0</v>
      </c>
      <c r="AT27" s="59"/>
      <c r="AU27" s="35">
        <f>'Q1 FY26-27'!AU27</f>
        <v>0</v>
      </c>
      <c r="AV27" s="61">
        <f t="shared" si="74"/>
        <v>0</v>
      </c>
      <c r="AW27" s="37">
        <f>'Q1 FY26-27'!AW27</f>
        <v>0</v>
      </c>
      <c r="AX27" s="59"/>
      <c r="AY27" s="35">
        <f>'Q1 FY26-27'!AY27</f>
        <v>0</v>
      </c>
      <c r="AZ27" s="64"/>
      <c r="BA27" s="37">
        <f>'Q1 FY26-27'!BA27</f>
        <v>0</v>
      </c>
      <c r="BB27" s="59"/>
      <c r="BC27" s="35">
        <f>'Q1 FY26-27'!BC27</f>
        <v>0</v>
      </c>
      <c r="BD27" s="64"/>
      <c r="BE27" s="37">
        <f>'Q1 FY26-27'!BE27</f>
        <v>0</v>
      </c>
      <c r="BF27" s="59"/>
      <c r="BG27" s="35">
        <f>'Q1 FY26-27'!BG27</f>
        <v>10300</v>
      </c>
      <c r="BH27" s="64"/>
      <c r="BI27" s="37">
        <f>'Q1 FY26-27'!BI27</f>
        <v>0</v>
      </c>
      <c r="BJ27" s="59"/>
    </row>
    <row r="28" ht="15.75" customHeight="1">
      <c r="A28" s="121"/>
      <c r="B28" s="15" t="s">
        <v>43</v>
      </c>
      <c r="C28" s="66">
        <f>SUM(C18:C27)</f>
        <v>128183946.7</v>
      </c>
      <c r="D28" s="67">
        <f>C28/C10</f>
        <v>0.5644166073</v>
      </c>
      <c r="E28" s="68" t="str">
        <f t="shared" si="51"/>
        <v>#REF!</v>
      </c>
      <c r="F28" s="97" t="str">
        <f t="shared" si="52"/>
        <v>#REF!</v>
      </c>
      <c r="G28" s="66">
        <f>'Q1 FY26-27'!G28</f>
        <v>21674036.23</v>
      </c>
      <c r="H28" s="72">
        <f>G28/C10</f>
        <v>0.09543461809</v>
      </c>
      <c r="I28" s="68">
        <f>'Q1 FY26-27'!I28</f>
        <v>116675</v>
      </c>
      <c r="J28" s="97" t="str">
        <f>I28/E10</f>
        <v>#DIV/0!</v>
      </c>
      <c r="K28" s="71">
        <f>SUM(K18:K27)</f>
        <v>106509910.5</v>
      </c>
      <c r="L28" s="72">
        <f t="shared" si="56"/>
        <v>0.4689819892</v>
      </c>
      <c r="M28" s="68" t="str">
        <f>SUM(M18:M27)</f>
        <v>#REF!</v>
      </c>
      <c r="N28" s="97" t="str">
        <f t="shared" si="58"/>
        <v>#REF!</v>
      </c>
      <c r="O28" s="71">
        <f>SUM(O18:O27)</f>
        <v>27421321.63</v>
      </c>
      <c r="P28" s="72">
        <f t="shared" si="59"/>
        <v>0.4388513443</v>
      </c>
      <c r="Q28" s="68">
        <f>SUM(Q18:Q27)</f>
        <v>3193293.5</v>
      </c>
      <c r="R28" s="97" t="str">
        <f t="shared" si="60"/>
        <v>#DIV/0!</v>
      </c>
      <c r="S28" s="135">
        <f>SUM(S18:S27)</f>
        <v>2242494.74</v>
      </c>
      <c r="T28" s="72">
        <f t="shared" si="61"/>
        <v>0.7975472617</v>
      </c>
      <c r="U28" s="68">
        <f>'Q1 FY26-27'!U28</f>
        <v>76212</v>
      </c>
      <c r="V28" s="97" t="str">
        <f t="shared" si="62"/>
        <v>#DIV/0!</v>
      </c>
      <c r="W28" s="135">
        <f>SUM(W18:W27)</f>
        <v>20384918.44</v>
      </c>
      <c r="X28" s="72">
        <f t="shared" si="63"/>
        <v>0.4851991806</v>
      </c>
      <c r="Y28" s="68" t="str">
        <f>'Q1 FY26-27'!Y28</f>
        <v>#REF!</v>
      </c>
      <c r="Z28" s="97" t="str">
        <f t="shared" si="64"/>
        <v>#REF!</v>
      </c>
      <c r="AA28" s="135">
        <f>SUM(AA18:AA27)</f>
        <v>12333593.08</v>
      </c>
      <c r="AB28" s="72">
        <f t="shared" si="65"/>
        <v>0.4190823487</v>
      </c>
      <c r="AC28" s="68">
        <f>'Q1 FY26-27'!AC28</f>
        <v>65342.58333</v>
      </c>
      <c r="AD28" s="97" t="str">
        <f t="shared" si="66"/>
        <v>#DIV/0!</v>
      </c>
      <c r="AE28" s="135">
        <f>SUM(AE18:AE27)</f>
        <v>21043678.88</v>
      </c>
      <c r="AF28" s="72">
        <f t="shared" si="67"/>
        <v>0.4014770319</v>
      </c>
      <c r="AG28" s="68">
        <f>'Q1 FY26-27'!AG28</f>
        <v>220898.3333</v>
      </c>
      <c r="AH28" s="97" t="str">
        <f t="shared" si="68"/>
        <v>#DIV/0!</v>
      </c>
      <c r="AI28" s="135">
        <f>SUM(AI18:AI27)</f>
        <v>4059415.757</v>
      </c>
      <c r="AJ28" s="72">
        <f t="shared" si="69"/>
        <v>7.959591917</v>
      </c>
      <c r="AK28" s="68">
        <f>'Q1 FY26-27'!AK28</f>
        <v>103672.1667</v>
      </c>
      <c r="AL28" s="97" t="str">
        <f t="shared" si="70"/>
        <v>#DIV/0!</v>
      </c>
      <c r="AM28" s="135">
        <f>SUM(AM18:AM27)</f>
        <v>-0.1466666674</v>
      </c>
      <c r="AN28" s="72">
        <f t="shared" si="71"/>
        <v>-0.0000001130486264</v>
      </c>
      <c r="AO28" s="68">
        <f>'Q1 FY26-27'!AO28</f>
        <v>267286.3333</v>
      </c>
      <c r="AP28" s="97" t="str">
        <f t="shared" si="72"/>
        <v>#DIV/0!</v>
      </c>
      <c r="AQ28" s="135">
        <f>SUM(AQ18:AQ27)</f>
        <v>16437926.03</v>
      </c>
      <c r="AR28" s="72">
        <f t="shared" si="73"/>
        <v>0.5002065676</v>
      </c>
      <c r="AS28" s="68">
        <f>'Q1 FY26-27'!AS28</f>
        <v>261457.75</v>
      </c>
      <c r="AT28" s="70"/>
      <c r="AU28" s="135">
        <f>SUM(AU18:AU27)</f>
        <v>554770.7</v>
      </c>
      <c r="AV28" s="72">
        <f t="shared" si="74"/>
        <v>0.5703322203</v>
      </c>
      <c r="AW28" s="77">
        <f>SUM(AW18:AW27)</f>
        <v>0</v>
      </c>
      <c r="AX28" s="70"/>
      <c r="AY28" s="135">
        <f>SUM(AY18:AY27)</f>
        <v>166501.31</v>
      </c>
      <c r="AZ28" s="75"/>
      <c r="BA28" s="77">
        <f>SUM(BA18:BA27)</f>
        <v>0</v>
      </c>
      <c r="BB28" s="70"/>
      <c r="BC28" s="135">
        <f>SUM(BC18:BC27)</f>
        <v>175321.97</v>
      </c>
      <c r="BD28" s="75"/>
      <c r="BE28" s="77">
        <f>SUM(BE18:BE27)</f>
        <v>0</v>
      </c>
      <c r="BF28" s="70"/>
      <c r="BG28" s="135">
        <f>SUM(BG18:BG27)</f>
        <v>1689968.06</v>
      </c>
      <c r="BH28" s="75"/>
      <c r="BI28" s="77">
        <f>SUM(BI18:BI27)</f>
        <v>0</v>
      </c>
      <c r="BJ28" s="70"/>
    </row>
    <row r="29" ht="15.75" customHeight="1">
      <c r="B29" s="103"/>
      <c r="C29" s="104"/>
      <c r="D29" s="105"/>
      <c r="E29" s="106"/>
      <c r="F29" s="107"/>
      <c r="G29" s="118"/>
      <c r="H29" s="117"/>
      <c r="I29" s="136"/>
      <c r="J29" s="116"/>
      <c r="K29" s="111"/>
      <c r="L29" s="137"/>
      <c r="M29" s="105"/>
      <c r="N29" s="113"/>
      <c r="O29" s="118"/>
      <c r="P29" s="114"/>
      <c r="Q29" s="136"/>
      <c r="R29" s="116"/>
      <c r="S29" s="118"/>
      <c r="T29" s="114"/>
      <c r="U29" s="114"/>
      <c r="V29" s="116"/>
      <c r="W29" s="118"/>
      <c r="X29" s="114"/>
      <c r="Y29" s="114"/>
      <c r="Z29" s="116"/>
      <c r="AA29" s="118"/>
      <c r="AB29" s="114"/>
      <c r="AC29" s="114"/>
      <c r="AD29" s="116"/>
      <c r="AE29" s="118"/>
      <c r="AF29" s="114"/>
      <c r="AG29" s="114"/>
      <c r="AH29" s="116"/>
      <c r="AI29" s="118"/>
      <c r="AJ29" s="114"/>
      <c r="AK29" s="114"/>
      <c r="AL29" s="116"/>
      <c r="AM29" s="118"/>
      <c r="AN29" s="114"/>
      <c r="AO29" s="114"/>
      <c r="AP29" s="116"/>
      <c r="AQ29" s="118"/>
      <c r="AR29" s="114"/>
      <c r="AS29" s="114"/>
      <c r="AT29" s="116"/>
      <c r="AU29" s="108"/>
      <c r="AV29" s="114"/>
      <c r="AW29" s="119"/>
      <c r="AX29" s="116"/>
      <c r="AY29" s="108"/>
      <c r="AZ29" s="114"/>
      <c r="BA29" s="119"/>
      <c r="BB29" s="116"/>
      <c r="BC29" s="108"/>
      <c r="BD29" s="114"/>
      <c r="BE29" s="119"/>
      <c r="BF29" s="116"/>
      <c r="BG29" s="108"/>
      <c r="BH29" s="114"/>
      <c r="BI29" s="119"/>
      <c r="BJ29" s="116"/>
    </row>
    <row r="30" ht="15.75" customHeight="1">
      <c r="A30" s="121"/>
      <c r="B30" s="15" t="s">
        <v>44</v>
      </c>
      <c r="C30" s="66">
        <f>C16-C28</f>
        <v>14492963.69</v>
      </c>
      <c r="D30" s="67">
        <f>C30/C$10</f>
        <v>0.06381508456</v>
      </c>
      <c r="E30" s="68" t="str">
        <f>E16-E28</f>
        <v>#DIV/0!</v>
      </c>
      <c r="F30" s="97" t="str">
        <f>E30/E$10</f>
        <v>#DIV/0!</v>
      </c>
      <c r="G30" s="138">
        <f>G16-G28</f>
        <v>-21676000.23</v>
      </c>
      <c r="H30" s="139">
        <f>G30/C10</f>
        <v>-0.09544326593</v>
      </c>
      <c r="I30" s="140">
        <f>I16-I28</f>
        <v>-116675</v>
      </c>
      <c r="J30" s="141" t="str">
        <f>I30/E10</f>
        <v>#DIV/0!</v>
      </c>
      <c r="K30" s="71">
        <f>K16-K28</f>
        <v>36168963.93</v>
      </c>
      <c r="L30" s="72">
        <f>K30/$K$10</f>
        <v>0.1592583505</v>
      </c>
      <c r="M30" s="68" t="str">
        <f>M16-M28</f>
        <v>#DIV/0!</v>
      </c>
      <c r="N30" s="73" t="str">
        <f>M30/M$10</f>
        <v>#DIV/0!</v>
      </c>
      <c r="O30" s="138">
        <f>O16-O28</f>
        <v>13601153.66</v>
      </c>
      <c r="P30" s="139">
        <f>O30/O$10</f>
        <v>0.2176731176</v>
      </c>
      <c r="Q30" s="140">
        <f>Q16-Q28</f>
        <v>-3193293.5</v>
      </c>
      <c r="R30" s="141" t="str">
        <f>Q30/Q$10</f>
        <v>#DIV/0!</v>
      </c>
      <c r="S30" s="138">
        <f>S16-S28</f>
        <v>-351467.1305</v>
      </c>
      <c r="T30" s="139">
        <f>S30/S$10</f>
        <v>-0.1249999131</v>
      </c>
      <c r="U30" s="140">
        <f>U16-U28</f>
        <v>-76212</v>
      </c>
      <c r="V30" s="141" t="str">
        <f>U30/U$10</f>
        <v>#DIV/0!</v>
      </c>
      <c r="W30" s="138">
        <f>W16-W28</f>
        <v>6165418.911</v>
      </c>
      <c r="X30" s="139">
        <f>W30/W$10</f>
        <v>0.1467485</v>
      </c>
      <c r="Y30" s="140" t="str">
        <f>Y16-Y28</f>
        <v>#REF!</v>
      </c>
      <c r="Z30" s="141" t="str">
        <f>Y30/Y$10</f>
        <v>#REF!</v>
      </c>
      <c r="AA30" s="138">
        <f>AA16-AA28</f>
        <v>6132934.1</v>
      </c>
      <c r="AB30" s="139">
        <f>AA30/AA$10</f>
        <v>0.2083905647</v>
      </c>
      <c r="AC30" s="140">
        <f>AC16-AC28</f>
        <v>-65342.58333</v>
      </c>
      <c r="AD30" s="141" t="str">
        <f>AC30/AC$10</f>
        <v>#DIV/0!</v>
      </c>
      <c r="AE30" s="138">
        <f>AE16-AE28</f>
        <v>13664097.33</v>
      </c>
      <c r="AF30" s="139">
        <f>AE30/AE$10</f>
        <v>0.2606873669</v>
      </c>
      <c r="AG30" s="140" t="str">
        <f>AG16-AG28</f>
        <v>#DIV/0!</v>
      </c>
      <c r="AH30" s="141" t="str">
        <f>AG30/AG$10</f>
        <v>#DIV/0!</v>
      </c>
      <c r="AI30" s="138">
        <f>AI16-AI28</f>
        <v>-3695248.757</v>
      </c>
      <c r="AJ30" s="139">
        <f>AI30/AI$10</f>
        <v>-7.245543177</v>
      </c>
      <c r="AK30" s="140">
        <f>AK16-AK28</f>
        <v>-103672.1667</v>
      </c>
      <c r="AL30" s="141" t="str">
        <f>AK30/AK$10</f>
        <v>#DIV/0!</v>
      </c>
      <c r="AM30" s="138">
        <f>AM16-AM28</f>
        <v>-1037812.271</v>
      </c>
      <c r="AN30" s="139">
        <f>AM30/AM$10</f>
        <v>-0.7999312571</v>
      </c>
      <c r="AO30" s="140">
        <f>AO16-AO28</f>
        <v>-267286.3333</v>
      </c>
      <c r="AP30" s="141" t="str">
        <f>AO30/AO$10</f>
        <v>#DIV/0!</v>
      </c>
      <c r="AQ30" s="138">
        <f>AQ16-AQ28</f>
        <v>3531719.03</v>
      </c>
      <c r="AR30" s="139">
        <f>AQ30/AQ$10</f>
        <v>0.1074703129</v>
      </c>
      <c r="AS30" s="140">
        <f>AS16-AS28</f>
        <v>-261457.75</v>
      </c>
      <c r="AT30" s="141" t="str">
        <f>AS30/AS$10</f>
        <v>#DIV/0!</v>
      </c>
      <c r="AU30" s="142">
        <f>AU16-AU28</f>
        <v>-643927.1912</v>
      </c>
      <c r="AV30" s="139">
        <f>AU30/AU$10</f>
        <v>-0.6619895836</v>
      </c>
      <c r="AW30" s="143">
        <f>AW16-AW28</f>
        <v>0</v>
      </c>
      <c r="AX30" s="144"/>
      <c r="AY30" s="142">
        <f>AY16-AY28</f>
        <v>-295579.1887</v>
      </c>
      <c r="AZ30" s="145"/>
      <c r="BA30" s="143">
        <f>BA16-BA28</f>
        <v>0</v>
      </c>
      <c r="BB30" s="144"/>
      <c r="BC30" s="142">
        <f>BC16-BC28</f>
        <v>-381519.2634</v>
      </c>
      <c r="BD30" s="145"/>
      <c r="BE30" s="143">
        <f>BE16-BE28</f>
        <v>0</v>
      </c>
      <c r="BF30" s="144"/>
      <c r="BG30" s="142">
        <f>BG16-BG28</f>
        <v>-520805.3009</v>
      </c>
      <c r="BH30" s="145"/>
      <c r="BI30" s="143">
        <f>BI16-BI28</f>
        <v>0</v>
      </c>
      <c r="BJ30" s="144"/>
    </row>
    <row r="31" ht="15.75" customHeight="1"/>
    <row r="32" ht="15.75" customHeight="1">
      <c r="C32" s="146"/>
      <c r="D32" s="147"/>
      <c r="K32" s="146"/>
      <c r="L32" s="147"/>
      <c r="Q32" s="148"/>
    </row>
    <row r="33" ht="15.75" customHeight="1">
      <c r="C33" s="146">
        <f>'Q1 FY26-27'!C10</f>
        <v>227108743.8</v>
      </c>
      <c r="E33" s="149"/>
      <c r="G33" s="146">
        <f>'Q1 FY26-27'!G10</f>
        <v>0</v>
      </c>
      <c r="K33" s="146">
        <f>'Q1 FY26-27'!K10</f>
        <v>227108743.8</v>
      </c>
      <c r="L33" s="150"/>
      <c r="M33" s="150"/>
      <c r="O33" s="146">
        <f>'Q1 FY26-27'!O10</f>
        <v>62484305.87</v>
      </c>
      <c r="Q33" s="148"/>
      <c r="S33" s="146">
        <f>'Q1 FY26-27'!S10</f>
        <v>2811739</v>
      </c>
      <c r="W33" s="146">
        <f>'Q1 FY26-27'!W10</f>
        <v>42013505.49</v>
      </c>
      <c r="AA33" s="146">
        <f>'Q1 FY26-27'!AA10</f>
        <v>29429998.95</v>
      </c>
      <c r="AE33" s="146">
        <f>'Q1 FY26-27'!AE10</f>
        <v>52415648.25</v>
      </c>
      <c r="AI33" s="146">
        <f>'Q1 FY26-27'!AI10</f>
        <v>510003</v>
      </c>
      <c r="AM33" s="146">
        <f>'Q1 FY26-27'!AM10</f>
        <v>1297376.82</v>
      </c>
      <c r="AQ33" s="146">
        <f>'Q1 FY26-27'!AQ10</f>
        <v>32862275.5</v>
      </c>
      <c r="AU33" s="146">
        <f>'Q1 FY26-27'!AU10</f>
        <v>972714.99</v>
      </c>
      <c r="AY33" s="146">
        <f>'Q1 FY26-27'!AY10</f>
        <v>228077.89</v>
      </c>
      <c r="BC33" s="146">
        <f>'Q1 FY26-27'!BC10</f>
        <v>306961.08</v>
      </c>
      <c r="BG33" s="146">
        <f>'Q1 FY26-27'!BG10</f>
        <v>1776137</v>
      </c>
    </row>
    <row r="34" ht="15.75" customHeight="1">
      <c r="B34" s="151"/>
      <c r="C34" s="150"/>
      <c r="J34" s="146"/>
      <c r="K34" s="150"/>
      <c r="L34" s="150"/>
      <c r="M34" s="150"/>
      <c r="O34" s="150"/>
      <c r="S34" s="150"/>
      <c r="W34" s="150"/>
      <c r="AA34" s="150"/>
      <c r="AE34" s="150"/>
      <c r="AI34" s="150"/>
      <c r="AM34" s="150"/>
      <c r="AQ34" s="150"/>
      <c r="AU34" s="150"/>
      <c r="AY34" s="150"/>
      <c r="BC34" s="150"/>
      <c r="BG34" s="150"/>
    </row>
    <row r="35" ht="15.75" customHeight="1">
      <c r="C35" s="150">
        <f>C10-C33</f>
        <v>0</v>
      </c>
      <c r="G35" s="146">
        <f>G10-G33</f>
        <v>0</v>
      </c>
      <c r="J35" s="146"/>
      <c r="K35" s="150">
        <f>K10-K33</f>
        <v>0</v>
      </c>
      <c r="L35" s="150"/>
      <c r="M35" s="150"/>
      <c r="O35" s="150">
        <f>O10-O33</f>
        <v>0</v>
      </c>
      <c r="Q35" s="146"/>
      <c r="S35" s="150">
        <f>S10-S33</f>
        <v>0</v>
      </c>
      <c r="W35" s="150">
        <f>W10-W33</f>
        <v>0</v>
      </c>
      <c r="AA35" s="150">
        <f>AA10-AA33</f>
        <v>0</v>
      </c>
      <c r="AE35" s="150">
        <f>AE10-AE33</f>
        <v>0</v>
      </c>
      <c r="AI35" s="150">
        <f>AI10-AI33</f>
        <v>0</v>
      </c>
      <c r="AM35" s="150">
        <f>AM10-AM33</f>
        <v>0</v>
      </c>
      <c r="AQ35" s="150">
        <f>AQ10-AQ33</f>
        <v>0</v>
      </c>
      <c r="AU35" s="150">
        <f>AU10-AU33</f>
        <v>0</v>
      </c>
      <c r="AY35" s="150">
        <f>AY10-AY33</f>
        <v>0</v>
      </c>
      <c r="BC35" s="150">
        <f>BC10-BC33</f>
        <v>0</v>
      </c>
      <c r="BG35" s="150">
        <f>BG10-BG33</f>
        <v>0</v>
      </c>
    </row>
    <row r="36" ht="15.75" customHeight="1">
      <c r="C36" s="152"/>
      <c r="K36" s="152"/>
      <c r="L36" s="150"/>
      <c r="M36" s="152"/>
      <c r="O36" s="150"/>
      <c r="S36" s="150"/>
      <c r="W36" s="150"/>
      <c r="AA36" s="150"/>
      <c r="AE36" s="150"/>
      <c r="AI36" s="150"/>
      <c r="AM36" s="150"/>
      <c r="AQ36" s="150"/>
      <c r="AU36" s="150"/>
      <c r="AY36" s="150"/>
      <c r="BC36" s="150"/>
      <c r="BG36" s="150"/>
    </row>
    <row r="37" ht="15.75" customHeight="1"/>
    <row r="38" ht="15.75" customHeight="1">
      <c r="C38" s="150"/>
      <c r="K38" s="150"/>
      <c r="L38" s="150"/>
      <c r="M38" s="150"/>
      <c r="O38" s="150"/>
      <c r="S38" s="150"/>
      <c r="W38" s="150"/>
      <c r="AA38" s="150"/>
      <c r="AE38" s="150"/>
      <c r="AI38" s="150"/>
      <c r="AM38" s="150"/>
      <c r="AQ38" s="150"/>
      <c r="AU38" s="150"/>
      <c r="AY38" s="150"/>
      <c r="BC38" s="150"/>
      <c r="BG38" s="150"/>
    </row>
    <row r="39" ht="15.75" customHeight="1">
      <c r="C39" s="150"/>
      <c r="K39" s="150"/>
      <c r="O39" s="150"/>
      <c r="S39" s="150"/>
      <c r="W39" s="150"/>
      <c r="AA39" s="150"/>
      <c r="AE39" s="150"/>
      <c r="AI39" s="150"/>
      <c r="AM39" s="150"/>
      <c r="AQ39" s="150"/>
      <c r="AU39" s="152"/>
      <c r="AY39" s="152"/>
      <c r="BC39" s="152"/>
      <c r="BG39" s="15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3" width="11.88"/>
    <col customWidth="1" min="4" max="4" width="11.38"/>
    <col customWidth="1" min="5" max="5" width="11.88"/>
    <col customWidth="1" min="6" max="6" width="12.63"/>
    <col customWidth="1" min="7" max="7" width="15.0"/>
    <col customWidth="1" min="8" max="8" width="11.25"/>
    <col customWidth="1" min="9" max="10" width="12.63"/>
    <col customWidth="1" min="11" max="11" width="14.25"/>
    <col customWidth="1" min="12" max="12" width="12.63"/>
    <col customWidth="1" min="13" max="13" width="14.25"/>
    <col customWidth="1" min="14" max="14" width="12.63"/>
    <col customWidth="1" min="15" max="15" width="14.25"/>
    <col customWidth="1" min="16" max="16" width="12.63"/>
    <col customWidth="1" min="17" max="17" width="14.25"/>
    <col customWidth="1" min="18" max="18" width="12.63"/>
    <col customWidth="1" min="19" max="19" width="12.75"/>
    <col customWidth="1" min="20" max="20" width="12.63"/>
    <col customWidth="1" min="21" max="21" width="12.75"/>
    <col customWidth="1" min="22" max="22" width="12.63"/>
    <col customWidth="1" min="23" max="23" width="14.25"/>
    <col customWidth="1" min="24" max="24" width="12.63"/>
    <col customWidth="1" min="25" max="25" width="14.25"/>
    <col customWidth="1" min="26" max="26" width="12.63"/>
    <col customWidth="1" min="27" max="27" width="12.75"/>
    <col customWidth="1" min="28" max="28" width="12.63"/>
    <col customWidth="1" min="29" max="29" width="12.75"/>
    <col customWidth="1" min="30" max="30" width="12.63"/>
    <col customWidth="1" min="31" max="31" width="14.25"/>
    <col customWidth="1" min="32" max="32" width="12.63"/>
    <col customWidth="1" min="33" max="33" width="14.25"/>
    <col customWidth="1" min="34" max="34" width="12.63"/>
    <col customWidth="1" min="35" max="35" width="12.75"/>
    <col customWidth="1" min="36" max="36" width="12.63"/>
    <col customWidth="1" min="37" max="37" width="12.75"/>
    <col customWidth="1" min="38" max="38" width="12.63"/>
    <col customWidth="1" min="39" max="39" width="12.75"/>
    <col customWidth="1" min="40" max="40" width="12.63"/>
    <col customWidth="1" min="41" max="41" width="12.75"/>
    <col customWidth="1" min="42" max="42" width="12.63"/>
    <col customWidth="1" min="43" max="43" width="12.75"/>
    <col customWidth="1" min="44" max="44" width="12.63"/>
    <col customWidth="1" min="45" max="45" width="12.75"/>
    <col customWidth="1" min="46" max="46" width="12.63"/>
    <col customWidth="1" min="47" max="47" width="12.75"/>
    <col customWidth="1" min="48" max="48" width="12.63"/>
    <col customWidth="1" min="49" max="49" width="12.75"/>
    <col customWidth="1" min="50" max="50" width="12.63"/>
    <col customWidth="1" min="51" max="51" width="12.75"/>
    <col customWidth="1" min="52" max="52" width="12.63"/>
    <col customWidth="1" min="53" max="53" width="12.75"/>
    <col customWidth="1" min="54" max="62" width="12.63"/>
  </cols>
  <sheetData>
    <row r="1" ht="15.75" customHeight="1">
      <c r="A1" s="2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ht="15.75" customHeight="1">
      <c r="A2" s="2"/>
      <c r="B2" s="3" t="s">
        <v>45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ht="15.75" customHeight="1">
      <c r="A3" s="153"/>
      <c r="B3" s="4"/>
      <c r="C3" s="154" t="s">
        <v>46</v>
      </c>
      <c r="D3" s="6"/>
      <c r="E3" s="6"/>
      <c r="F3" s="7"/>
      <c r="G3" s="155" t="s">
        <v>3</v>
      </c>
      <c r="H3" s="6"/>
      <c r="I3" s="6"/>
      <c r="J3" s="156"/>
      <c r="K3" s="154" t="s">
        <v>4</v>
      </c>
      <c r="L3" s="6"/>
      <c r="M3" s="6"/>
      <c r="N3" s="7"/>
      <c r="O3" s="157" t="s">
        <v>5</v>
      </c>
      <c r="P3" s="6"/>
      <c r="Q3" s="6"/>
      <c r="R3" s="7"/>
      <c r="S3" s="154" t="s">
        <v>6</v>
      </c>
      <c r="T3" s="6"/>
      <c r="U3" s="6"/>
      <c r="V3" s="7"/>
      <c r="W3" s="154" t="s">
        <v>7</v>
      </c>
      <c r="X3" s="6"/>
      <c r="Y3" s="6"/>
      <c r="Z3" s="7"/>
      <c r="AA3" s="154" t="s">
        <v>8</v>
      </c>
      <c r="AB3" s="6"/>
      <c r="AC3" s="6"/>
      <c r="AD3" s="7"/>
      <c r="AE3" s="154" t="s">
        <v>9</v>
      </c>
      <c r="AF3" s="6"/>
      <c r="AG3" s="6"/>
      <c r="AH3" s="7"/>
      <c r="AI3" s="154" t="s">
        <v>10</v>
      </c>
      <c r="AJ3" s="6"/>
      <c r="AK3" s="6"/>
      <c r="AL3" s="7"/>
      <c r="AM3" s="154" t="s">
        <v>11</v>
      </c>
      <c r="AN3" s="6"/>
      <c r="AO3" s="6"/>
      <c r="AP3" s="7"/>
      <c r="AQ3" s="154" t="s">
        <v>12</v>
      </c>
      <c r="AR3" s="6"/>
      <c r="AS3" s="6"/>
      <c r="AT3" s="7"/>
      <c r="AU3" s="154" t="s">
        <v>13</v>
      </c>
      <c r="AV3" s="6"/>
      <c r="AW3" s="6"/>
      <c r="AX3" s="7"/>
      <c r="AY3" s="154" t="s">
        <v>14</v>
      </c>
      <c r="AZ3" s="6"/>
      <c r="BA3" s="6"/>
      <c r="BB3" s="7"/>
      <c r="BC3" s="158" t="s">
        <v>15</v>
      </c>
      <c r="BD3" s="10"/>
      <c r="BE3" s="10"/>
      <c r="BF3" s="13"/>
      <c r="BG3" s="158" t="s">
        <v>47</v>
      </c>
      <c r="BH3" s="10"/>
      <c r="BI3" s="10"/>
      <c r="BJ3" s="13"/>
    </row>
    <row r="4" ht="15.75" customHeight="1">
      <c r="A4" s="153"/>
      <c r="B4" s="15"/>
      <c r="C4" s="159" t="s">
        <v>17</v>
      </c>
      <c r="D4" s="160" t="s">
        <v>18</v>
      </c>
      <c r="E4" s="160" t="s">
        <v>19</v>
      </c>
      <c r="F4" s="161" t="s">
        <v>18</v>
      </c>
      <c r="G4" s="162" t="s">
        <v>17</v>
      </c>
      <c r="H4" s="160" t="s">
        <v>18</v>
      </c>
      <c r="I4" s="160" t="s">
        <v>19</v>
      </c>
      <c r="J4" s="163" t="s">
        <v>18</v>
      </c>
      <c r="K4" s="159" t="s">
        <v>17</v>
      </c>
      <c r="L4" s="160" t="s">
        <v>18</v>
      </c>
      <c r="M4" s="160" t="s">
        <v>19</v>
      </c>
      <c r="N4" s="161" t="s">
        <v>18</v>
      </c>
      <c r="O4" s="164" t="s">
        <v>17</v>
      </c>
      <c r="P4" s="160" t="s">
        <v>18</v>
      </c>
      <c r="Q4" s="160" t="s">
        <v>19</v>
      </c>
      <c r="R4" s="165" t="s">
        <v>18</v>
      </c>
      <c r="S4" s="158" t="s">
        <v>17</v>
      </c>
      <c r="T4" s="160" t="s">
        <v>18</v>
      </c>
      <c r="U4" s="160" t="s">
        <v>19</v>
      </c>
      <c r="V4" s="165" t="s">
        <v>18</v>
      </c>
      <c r="W4" s="158" t="s">
        <v>17</v>
      </c>
      <c r="X4" s="160" t="s">
        <v>18</v>
      </c>
      <c r="Y4" s="160" t="s">
        <v>19</v>
      </c>
      <c r="Z4" s="165" t="s">
        <v>18</v>
      </c>
      <c r="AA4" s="158" t="s">
        <v>17</v>
      </c>
      <c r="AB4" s="160" t="s">
        <v>18</v>
      </c>
      <c r="AC4" s="160" t="s">
        <v>19</v>
      </c>
      <c r="AD4" s="165" t="s">
        <v>18</v>
      </c>
      <c r="AE4" s="158" t="s">
        <v>17</v>
      </c>
      <c r="AF4" s="160" t="s">
        <v>18</v>
      </c>
      <c r="AG4" s="160" t="s">
        <v>19</v>
      </c>
      <c r="AH4" s="165" t="s">
        <v>18</v>
      </c>
      <c r="AI4" s="158" t="s">
        <v>17</v>
      </c>
      <c r="AJ4" s="160" t="s">
        <v>18</v>
      </c>
      <c r="AK4" s="160" t="s">
        <v>19</v>
      </c>
      <c r="AL4" s="165" t="s">
        <v>18</v>
      </c>
      <c r="AM4" s="158" t="s">
        <v>17</v>
      </c>
      <c r="AN4" s="160" t="s">
        <v>18</v>
      </c>
      <c r="AO4" s="160" t="s">
        <v>19</v>
      </c>
      <c r="AP4" s="165" t="s">
        <v>18</v>
      </c>
      <c r="AQ4" s="158" t="s">
        <v>17</v>
      </c>
      <c r="AR4" s="160" t="s">
        <v>18</v>
      </c>
      <c r="AS4" s="160" t="s">
        <v>19</v>
      </c>
      <c r="AT4" s="165" t="s">
        <v>18</v>
      </c>
      <c r="AU4" s="158" t="s">
        <v>17</v>
      </c>
      <c r="AV4" s="160" t="s">
        <v>18</v>
      </c>
      <c r="AW4" s="160" t="s">
        <v>19</v>
      </c>
      <c r="AX4" s="165" t="s">
        <v>18</v>
      </c>
      <c r="AY4" s="158" t="s">
        <v>17</v>
      </c>
      <c r="AZ4" s="160" t="s">
        <v>18</v>
      </c>
      <c r="BA4" s="160" t="s">
        <v>19</v>
      </c>
      <c r="BB4" s="165" t="s">
        <v>18</v>
      </c>
      <c r="BC4" s="158" t="s">
        <v>17</v>
      </c>
      <c r="BD4" s="160" t="s">
        <v>18</v>
      </c>
      <c r="BE4" s="160" t="s">
        <v>19</v>
      </c>
      <c r="BF4" s="165" t="s">
        <v>18</v>
      </c>
      <c r="BG4" s="158" t="s">
        <v>17</v>
      </c>
      <c r="BH4" s="160" t="s">
        <v>18</v>
      </c>
      <c r="BI4" s="160" t="s">
        <v>19</v>
      </c>
      <c r="BJ4" s="165" t="s">
        <v>18</v>
      </c>
    </row>
    <row r="5" ht="15.75" customHeight="1">
      <c r="A5" s="2"/>
      <c r="B5" s="166" t="s">
        <v>21</v>
      </c>
      <c r="C5" s="87">
        <f t="shared" ref="C5:C9" si="1">G5+K5</f>
        <v>17071863.75</v>
      </c>
      <c r="D5" s="25">
        <f t="shared" ref="D5:D9" si="2">C5/$C$10</f>
        <v>0.07517043801</v>
      </c>
      <c r="E5" s="26">
        <f t="shared" ref="E5:E9" si="3">I5+M5</f>
        <v>0</v>
      </c>
      <c r="F5" s="27" t="str">
        <f t="shared" ref="F5:F9" si="4">E5/$E$10</f>
        <v>#DIV/0!</v>
      </c>
      <c r="G5" s="167">
        <f>'Summary Sheet - April 2026'!G5 + 'Summary Sheet - May 2026'!G5 + 'Summary Sheet - June 2026'!G5</f>
        <v>0</v>
      </c>
      <c r="H5" s="89"/>
      <c r="I5" s="167">
        <f>'Summary Sheet - April 2026'!I5 + 'Summary Sheet - May 2026'!I5 + 'Summary Sheet - June 2026'!I5</f>
        <v>0</v>
      </c>
      <c r="J5" s="168"/>
      <c r="K5" s="87">
        <f t="shared" ref="K5:K9" si="5">O5+S5+W5+AA5+AE5+AI5+AM5+AQ5+AU5+AY5+BC5+BG5</f>
        <v>17071863.75</v>
      </c>
      <c r="L5" s="169"/>
      <c r="M5" s="26">
        <f t="shared" ref="M5:M9" si="6">Q5+U5+Y5+AC5+AG5+AK5+AO5</f>
        <v>0</v>
      </c>
      <c r="N5" s="170"/>
      <c r="O5" s="171">
        <f>'Summary Sheet - April 2026'!O5 + 'Summary Sheet - May 2026'!O5 + 'Summary Sheet - June 2026'!O5</f>
        <v>3523965</v>
      </c>
      <c r="P5" s="41"/>
      <c r="Q5" s="37">
        <f>'Summary Sheet - April 2026'!Q5 + 'Summary Sheet - May 2026'!Q5 + 'Summary Sheet - June 2026'!Q5</f>
        <v>0</v>
      </c>
      <c r="R5" s="172"/>
      <c r="S5" s="173">
        <f>'Summary Sheet - April 2026'!S5 + 'Summary Sheet - May 2026'!S5 + 'Summary Sheet - June 2026'!S5</f>
        <v>0</v>
      </c>
      <c r="T5" s="41"/>
      <c r="U5" s="37">
        <f>'Summary Sheet - April 2026'!U5 + 'Summary Sheet - May 2026'!U5 + 'Summary Sheet - June 2026'!U5</f>
        <v>0</v>
      </c>
      <c r="V5" s="172"/>
      <c r="W5" s="173">
        <f>'Summary Sheet - April 2026'!W5+'Summary Sheet - May 2026'!W5 + 'Summary Sheet - June 2026'!W5</f>
        <v>3552444</v>
      </c>
      <c r="X5" s="41"/>
      <c r="Y5" s="37">
        <f>'Summary Sheet - April 2026'!Y5+'Summary Sheet - May 2026'!Y5 + 'Summary Sheet - June 2026'!Y5</f>
        <v>0</v>
      </c>
      <c r="Z5" s="172"/>
      <c r="AA5" s="173">
        <f>'Summary Sheet - April 2026'!AA5 + 'Summary Sheet - May 2026'!AA5 + 'Summary Sheet - June 2026'!AA5</f>
        <v>3698075.75</v>
      </c>
      <c r="AB5" s="41"/>
      <c r="AC5" s="37">
        <f>'Summary Sheet - April 2026'!AC5 + 'Summary Sheet - May 2026'!AC5 + 'Summary Sheet - June 2026'!AC5</f>
        <v>0</v>
      </c>
      <c r="AD5" s="172"/>
      <c r="AE5" s="173">
        <f>'Summary Sheet - April 2026'!AE5 + 'Summary Sheet - May 2026'!AE5 + 'Summary Sheet - June 2026'!AE5</f>
        <v>4794716.5</v>
      </c>
      <c r="AF5" s="41"/>
      <c r="AG5" s="37">
        <f>'Summary Sheet - April 2026'!AG5 + 'Summary Sheet - May 2026'!AG5 + 'Summary Sheet - June 2026'!AG5</f>
        <v>0</v>
      </c>
      <c r="AH5" s="172"/>
      <c r="AI5" s="173">
        <f>'Summary Sheet - April 2026'!AI5 + 'Summary Sheet - May 2026'!AI5 + 'Summary Sheet - June 2026'!AI5</f>
        <v>0</v>
      </c>
      <c r="AJ5" s="41"/>
      <c r="AK5" s="37">
        <f>'Summary Sheet - April 2026'!AK5 + 'Summary Sheet - May 2026'!AK5 + 'Summary Sheet - June 2026'!AK5</f>
        <v>0</v>
      </c>
      <c r="AL5" s="172"/>
      <c r="AM5" s="173">
        <f>'Summary Sheet - April 2026'!AM5 + 'Summary Sheet - May 2026'!AM5 + 'Summary Sheet - June 2026'!AM5</f>
        <v>0</v>
      </c>
      <c r="AN5" s="41"/>
      <c r="AO5" s="37">
        <f>'Summary Sheet - April 2026'!AO5 + 'Summary Sheet - May 2026'!AO5 + 'Summary Sheet - June 2026'!AO5</f>
        <v>0</v>
      </c>
      <c r="AP5" s="172"/>
      <c r="AQ5" s="173">
        <f>'Summary Sheet - April 2026'!AQ5 + 'Summary Sheet - May 2026'!AQ5 + 'Summary Sheet - June 2026'!AQ5</f>
        <v>1502662.5</v>
      </c>
      <c r="AR5" s="41"/>
      <c r="AS5" s="37">
        <f>'Summary Sheet - April 2026'!AS5 + 'Summary Sheet - May 2026'!AS5 + 'Summary Sheet - June 2026'!AS5</f>
        <v>0</v>
      </c>
      <c r="AT5" s="172"/>
      <c r="AU5" s="173">
        <f>'Summary Sheet - April 2026'!AU5 + 'Summary Sheet - May 2026'!AU5 + 'Summary Sheet - June 2026'!AU5</f>
        <v>0</v>
      </c>
      <c r="AV5" s="37"/>
      <c r="AW5" s="37">
        <f>'Summary Sheet - April 2026'!AW5 + 'Summary Sheet - May 2026'!AW5 + 'Summary Sheet - June 2026'!AW5</f>
        <v>0</v>
      </c>
      <c r="AX5" s="172"/>
      <c r="AY5" s="174">
        <f>'Summary Sheet - April 2026'!AY5 + 'Summary Sheet - May 2026'!AY5 + 'Summary Sheet - June 2026'!AY5</f>
        <v>0</v>
      </c>
      <c r="AZ5" s="41"/>
      <c r="BA5" s="53">
        <f>'Summary Sheet - April 2026'!BA5 + 'Summary Sheet - May 2026'!BA5 + 'Summary Sheet - June 2026'!BA5</f>
        <v>0</v>
      </c>
      <c r="BB5" s="172"/>
      <c r="BC5" s="174">
        <f>'Summary Sheet - April 2026'!BC5 + 'Summary Sheet - May 2026'!BC5 + 'Summary Sheet - June 2026'!BC5</f>
        <v>0</v>
      </c>
      <c r="BD5" s="41"/>
      <c r="BE5" s="53">
        <f>'Summary Sheet - April 2026'!BE5 + 'Summary Sheet - May 2026'!BE5 + 'Summary Sheet - June 2026'!BE5</f>
        <v>0</v>
      </c>
      <c r="BF5" s="172"/>
      <c r="BG5" s="174">
        <f>'Summary Sheet - April 2026'!BG5 + 'Summary Sheet - May 2026'!BG5 + 'Summary Sheet - June 2026'!BG5</f>
        <v>0</v>
      </c>
      <c r="BH5" s="41"/>
      <c r="BI5" s="53">
        <f>'Summary Sheet - April 2026'!BI5 + 'Summary Sheet - May 2026'!BI5 + 'Summary Sheet - June 2026'!BI5</f>
        <v>0</v>
      </c>
      <c r="BJ5" s="172"/>
    </row>
    <row r="6" ht="15.75" customHeight="1">
      <c r="A6" s="2"/>
      <c r="B6" s="175" t="s">
        <v>22</v>
      </c>
      <c r="C6" s="24">
        <f t="shared" si="1"/>
        <v>33500084</v>
      </c>
      <c r="D6" s="25">
        <f t="shared" si="2"/>
        <v>0.1475067998</v>
      </c>
      <c r="E6" s="44">
        <f t="shared" si="3"/>
        <v>0</v>
      </c>
      <c r="F6" s="27" t="str">
        <f t="shared" si="4"/>
        <v>#DIV/0!</v>
      </c>
      <c r="G6" s="167">
        <f>'Summary Sheet - April 2026'!G6 + 'Summary Sheet - May 2026'!G6 + 'Summary Sheet - June 2026'!G6</f>
        <v>0</v>
      </c>
      <c r="H6" s="42"/>
      <c r="I6" s="167">
        <f>'Summary Sheet - April 2026'!I6 + 'Summary Sheet - May 2026'!I6 + 'Summary Sheet - June 2026'!I6</f>
        <v>0</v>
      </c>
      <c r="J6" s="176"/>
      <c r="K6" s="87">
        <f t="shared" si="5"/>
        <v>33500084</v>
      </c>
      <c r="L6" s="177"/>
      <c r="M6" s="44">
        <f t="shared" si="6"/>
        <v>0</v>
      </c>
      <c r="N6" s="178"/>
      <c r="O6" s="171">
        <f>'Summary Sheet - April 2026'!O6 + 'Summary Sheet - May 2026'!O6 + 'Summary Sheet - June 2026'!O6</f>
        <v>13750031</v>
      </c>
      <c r="P6" s="52"/>
      <c r="Q6" s="37">
        <f>'Summary Sheet - April 2026'!Q6 + 'Summary Sheet - May 2026'!Q6 + 'Summary Sheet - June 2026'!Q6</f>
        <v>0</v>
      </c>
      <c r="R6" s="179"/>
      <c r="S6" s="173">
        <f>'Summary Sheet - April 2026'!S6 + 'Summary Sheet - May 2026'!S6 + 'Summary Sheet - June 2026'!S6</f>
        <v>0</v>
      </c>
      <c r="T6" s="52"/>
      <c r="U6" s="37">
        <f>'Summary Sheet - April 2026'!U6 + 'Summary Sheet - May 2026'!U6 + 'Summary Sheet - June 2026'!U6</f>
        <v>0</v>
      </c>
      <c r="V6" s="179"/>
      <c r="W6" s="173">
        <f>'Summary Sheet - April 2026'!W6+'Summary Sheet - May 2026'!W6 + 'Summary Sheet - June 2026'!W6</f>
        <v>2330040</v>
      </c>
      <c r="X6" s="52"/>
      <c r="Y6" s="37">
        <f>'Summary Sheet - April 2026'!Y6+'Summary Sheet - May 2026'!Y6 + 'Summary Sheet - June 2026'!Y6</f>
        <v>0</v>
      </c>
      <c r="Z6" s="179"/>
      <c r="AA6" s="173">
        <f>'Summary Sheet - April 2026'!AA6 + 'Summary Sheet - May 2026'!AA6 + 'Summary Sheet - June 2026'!AA6</f>
        <v>0</v>
      </c>
      <c r="AB6" s="52"/>
      <c r="AC6" s="37">
        <f>'Summary Sheet - April 2026'!AC6 + 'Summary Sheet - May 2026'!AC6 + 'Summary Sheet - June 2026'!AC6</f>
        <v>0</v>
      </c>
      <c r="AD6" s="179"/>
      <c r="AE6" s="173">
        <f>'Summary Sheet - April 2026'!AE6 + 'Summary Sheet - May 2026'!AE6 + 'Summary Sheet - June 2026'!AE6</f>
        <v>6056625.5</v>
      </c>
      <c r="AF6" s="52"/>
      <c r="AG6" s="37">
        <f>'Summary Sheet - April 2026'!AG6 + 'Summary Sheet - May 2026'!AG6 + 'Summary Sheet - June 2026'!AG6</f>
        <v>0</v>
      </c>
      <c r="AH6" s="179"/>
      <c r="AI6" s="173">
        <f>'Summary Sheet - April 2026'!AI6 + 'Summary Sheet - May 2026'!AI6 + 'Summary Sheet - June 2026'!AI6</f>
        <v>0</v>
      </c>
      <c r="AJ6" s="52"/>
      <c r="AK6" s="37">
        <f>'Summary Sheet - April 2026'!AK6 + 'Summary Sheet - May 2026'!AK6 + 'Summary Sheet - June 2026'!AK6</f>
        <v>0</v>
      </c>
      <c r="AL6" s="179"/>
      <c r="AM6" s="173">
        <f>'Summary Sheet - April 2026'!AM6 + 'Summary Sheet - May 2026'!AM6 + 'Summary Sheet - June 2026'!AM6</f>
        <v>0</v>
      </c>
      <c r="AN6" s="52"/>
      <c r="AO6" s="37">
        <f>'Summary Sheet - April 2026'!AO6 + 'Summary Sheet - May 2026'!AO6 + 'Summary Sheet - June 2026'!AO6</f>
        <v>0</v>
      </c>
      <c r="AP6" s="179"/>
      <c r="AQ6" s="173">
        <f>'Summary Sheet - April 2026'!AQ6 + 'Summary Sheet - May 2026'!AQ6 + 'Summary Sheet - June 2026'!AQ6</f>
        <v>11363387.5</v>
      </c>
      <c r="AR6" s="52"/>
      <c r="AS6" s="37">
        <f>'Summary Sheet - April 2026'!AS6 + 'Summary Sheet - May 2026'!AS6 + 'Summary Sheet - June 2026'!AS6</f>
        <v>0</v>
      </c>
      <c r="AT6" s="179"/>
      <c r="AU6" s="173">
        <f>'Summary Sheet - April 2026'!AU6 + 'Summary Sheet - May 2026'!AU6 + 'Summary Sheet - June 2026'!AU6</f>
        <v>0</v>
      </c>
      <c r="AV6" s="52"/>
      <c r="AW6" s="37">
        <f>'Summary Sheet - April 2026'!AW6 + 'Summary Sheet - May 2026'!AW6 + 'Summary Sheet - June 2026'!AW6</f>
        <v>0</v>
      </c>
      <c r="AX6" s="179"/>
      <c r="AY6" s="174">
        <f>'Summary Sheet - April 2026'!AY6 + 'Summary Sheet - May 2026'!AY6 + 'Summary Sheet - June 2026'!AY6</f>
        <v>0</v>
      </c>
      <c r="AZ6" s="52"/>
      <c r="BA6" s="53">
        <f>'Summary Sheet - April 2026'!BA6 + 'Summary Sheet - May 2026'!BA6 + 'Summary Sheet - June 2026'!BA6</f>
        <v>0</v>
      </c>
      <c r="BB6" s="179"/>
      <c r="BC6" s="174">
        <f>'Summary Sheet - April 2026'!BC6 + 'Summary Sheet - May 2026'!BC6 + 'Summary Sheet - June 2026'!BC6</f>
        <v>0</v>
      </c>
      <c r="BD6" s="52"/>
      <c r="BE6" s="53">
        <f>'Summary Sheet - April 2026'!BE6 + 'Summary Sheet - May 2026'!BE6 + 'Summary Sheet - June 2026'!BE6</f>
        <v>0</v>
      </c>
      <c r="BF6" s="179"/>
      <c r="BG6" s="174">
        <f>'Summary Sheet - April 2026'!BG6 + 'Summary Sheet - May 2026'!BG6 + 'Summary Sheet - June 2026'!BG6</f>
        <v>0</v>
      </c>
      <c r="BH6" s="52"/>
      <c r="BI6" s="53">
        <f>'Summary Sheet - April 2026'!BI6 + 'Summary Sheet - May 2026'!BI6 + 'Summary Sheet - June 2026'!BI6</f>
        <v>0</v>
      </c>
      <c r="BJ6" s="179"/>
    </row>
    <row r="7" ht="15.75" customHeight="1">
      <c r="A7" s="2"/>
      <c r="B7" s="175" t="s">
        <v>23</v>
      </c>
      <c r="C7" s="24">
        <f t="shared" si="1"/>
        <v>162163449</v>
      </c>
      <c r="D7" s="25">
        <f t="shared" si="2"/>
        <v>0.7140343709</v>
      </c>
      <c r="E7" s="44">
        <f t="shared" si="3"/>
        <v>0</v>
      </c>
      <c r="F7" s="27" t="str">
        <f t="shared" si="4"/>
        <v>#DIV/0!</v>
      </c>
      <c r="G7" s="167">
        <f>'Summary Sheet - April 2026'!G7 + 'Summary Sheet - May 2026'!G7 + 'Summary Sheet - June 2026'!G7</f>
        <v>0</v>
      </c>
      <c r="H7" s="42"/>
      <c r="I7" s="167">
        <f>'Summary Sheet - April 2026'!I7 + 'Summary Sheet - May 2026'!I7 + 'Summary Sheet - June 2026'!I7</f>
        <v>0</v>
      </c>
      <c r="J7" s="180"/>
      <c r="K7" s="87">
        <f t="shared" si="5"/>
        <v>162163449</v>
      </c>
      <c r="L7" s="177"/>
      <c r="M7" s="44">
        <f t="shared" si="6"/>
        <v>0</v>
      </c>
      <c r="N7" s="178"/>
      <c r="O7" s="171">
        <f>'Summary Sheet - April 2026'!O7 + 'Summary Sheet - May 2026'!O7 + 'Summary Sheet - June 2026'!O7</f>
        <v>40171104.87</v>
      </c>
      <c r="P7" s="52"/>
      <c r="Q7" s="37">
        <f>'Summary Sheet - April 2026'!Q7 + 'Summary Sheet - May 2026'!Q7 + 'Summary Sheet - June 2026'!Q7</f>
        <v>0</v>
      </c>
      <c r="R7" s="179"/>
      <c r="S7" s="173">
        <f>'Summary Sheet - April 2026'!S7 + 'Summary Sheet - May 2026'!S7 + 'Summary Sheet - June 2026'!S7</f>
        <v>2811739</v>
      </c>
      <c r="T7" s="52"/>
      <c r="U7" s="37">
        <f>'Summary Sheet - April 2026'!U7 + 'Summary Sheet - May 2026'!U7 + 'Summary Sheet - June 2026'!U7</f>
        <v>0</v>
      </c>
      <c r="V7" s="179"/>
      <c r="W7" s="173">
        <f>'Summary Sheet - April 2026'!W7+'Summary Sheet - May 2026'!W7 + 'Summary Sheet - June 2026'!W7</f>
        <v>33914191.49</v>
      </c>
      <c r="X7" s="52"/>
      <c r="Y7" s="37">
        <f>'Summary Sheet - April 2026'!Y7+'Summary Sheet - May 2026'!Y7 + 'Summary Sheet - June 2026'!Y7</f>
        <v>0</v>
      </c>
      <c r="Z7" s="179"/>
      <c r="AA7" s="173">
        <f>'Summary Sheet - April 2026'!AA7 + 'Summary Sheet - May 2026'!AA7 + 'Summary Sheet - June 2026'!AA7</f>
        <v>24637248.15</v>
      </c>
      <c r="AB7" s="52"/>
      <c r="AC7" s="37">
        <f>'Summary Sheet - April 2026'!AC7 + 'Summary Sheet - May 2026'!AC7 + 'Summary Sheet - June 2026'!AC7</f>
        <v>0</v>
      </c>
      <c r="AD7" s="179"/>
      <c r="AE7" s="173">
        <f>'Summary Sheet - April 2026'!AE7 + 'Summary Sheet - May 2026'!AE7 + 'Summary Sheet - June 2026'!AE7</f>
        <v>38406485.25</v>
      </c>
      <c r="AF7" s="52"/>
      <c r="AG7" s="37">
        <f>'Summary Sheet - April 2026'!AG7 + 'Summary Sheet - May 2026'!AG7 + 'Summary Sheet - June 2026'!AG7</f>
        <v>0</v>
      </c>
      <c r="AH7" s="179"/>
      <c r="AI7" s="173">
        <f>'Summary Sheet - April 2026'!AI7 + 'Summary Sheet - May 2026'!AI7 + 'Summary Sheet - June 2026'!AI7</f>
        <v>510003</v>
      </c>
      <c r="AJ7" s="52"/>
      <c r="AK7" s="37">
        <f>'Summary Sheet - April 2026'!AK7 + 'Summary Sheet - May 2026'!AK7 + 'Summary Sheet - June 2026'!AK7</f>
        <v>0</v>
      </c>
      <c r="AL7" s="179"/>
      <c r="AM7" s="173">
        <f>'Summary Sheet - April 2026'!AM7 + 'Summary Sheet - May 2026'!AM7 + 'Summary Sheet - June 2026'!AM7</f>
        <v>1297376.82</v>
      </c>
      <c r="AN7" s="52"/>
      <c r="AO7" s="37">
        <f>'Summary Sheet - April 2026'!AO7 + 'Summary Sheet - May 2026'!AO7 + 'Summary Sheet - June 2026'!AO7</f>
        <v>0</v>
      </c>
      <c r="AP7" s="179"/>
      <c r="AQ7" s="173">
        <f>'Summary Sheet - April 2026'!AQ7 + 'Summary Sheet - May 2026'!AQ7 + 'Summary Sheet - June 2026'!AQ7</f>
        <v>17131409.5</v>
      </c>
      <c r="AR7" s="52"/>
      <c r="AS7" s="37">
        <f>'Summary Sheet - April 2026'!AS7 + 'Summary Sheet - May 2026'!AS7 + 'Summary Sheet - June 2026'!AS7</f>
        <v>0</v>
      </c>
      <c r="AT7" s="179"/>
      <c r="AU7" s="173">
        <f>'Summary Sheet - April 2026'!AU7 + 'Summary Sheet - May 2026'!AU7 + 'Summary Sheet - June 2026'!AU7</f>
        <v>972714.99</v>
      </c>
      <c r="AV7" s="52"/>
      <c r="AW7" s="37">
        <f>'Summary Sheet - April 2026'!AW7 + 'Summary Sheet - May 2026'!AW7 + 'Summary Sheet - June 2026'!AW7</f>
        <v>0</v>
      </c>
      <c r="AX7" s="179"/>
      <c r="AY7" s="174">
        <f>'Summary Sheet - April 2026'!AY7 + 'Summary Sheet - May 2026'!AY7 + 'Summary Sheet - June 2026'!AY7</f>
        <v>228077.89</v>
      </c>
      <c r="AZ7" s="52"/>
      <c r="BA7" s="53">
        <f>'Summary Sheet - April 2026'!BA7 + 'Summary Sheet - May 2026'!BA7 + 'Summary Sheet - June 2026'!BA7</f>
        <v>0</v>
      </c>
      <c r="BB7" s="179"/>
      <c r="BC7" s="174">
        <f>'Summary Sheet - April 2026'!BC7 + 'Summary Sheet - May 2026'!BC7 + 'Summary Sheet - June 2026'!BC7</f>
        <v>306961.08</v>
      </c>
      <c r="BD7" s="52"/>
      <c r="BE7" s="53">
        <f>'Summary Sheet - April 2026'!BE7 + 'Summary Sheet - May 2026'!BE7 + 'Summary Sheet - June 2026'!BE7</f>
        <v>0</v>
      </c>
      <c r="BF7" s="179"/>
      <c r="BG7" s="174">
        <f>'Summary Sheet - April 2026'!BG7 + 'Summary Sheet - May 2026'!BG7 + 'Summary Sheet - June 2026'!BG7</f>
        <v>1776137</v>
      </c>
      <c r="BH7" s="52"/>
      <c r="BI7" s="53">
        <f>'Summary Sheet - April 2026'!BI7 + 'Summary Sheet - May 2026'!BI7 + 'Summary Sheet - June 2026'!BI7</f>
        <v>0</v>
      </c>
      <c r="BJ7" s="179"/>
    </row>
    <row r="8" ht="15.75" customHeight="1">
      <c r="A8" s="2"/>
      <c r="B8" s="181" t="s">
        <v>24</v>
      </c>
      <c r="C8" s="55">
        <f t="shared" si="1"/>
        <v>14197166.05</v>
      </c>
      <c r="D8" s="25">
        <f t="shared" si="2"/>
        <v>0.06251263518</v>
      </c>
      <c r="E8" s="56">
        <f t="shared" si="3"/>
        <v>0</v>
      </c>
      <c r="F8" s="27" t="str">
        <f t="shared" si="4"/>
        <v>#DIV/0!</v>
      </c>
      <c r="G8" s="167">
        <f>'Summary Sheet - April 2026'!G8 + 'Summary Sheet - May 2026'!G8 + 'Summary Sheet - June 2026'!G8</f>
        <v>0</v>
      </c>
      <c r="H8" s="96"/>
      <c r="I8" s="167">
        <f>'Summary Sheet - April 2026'!I8 + 'Summary Sheet - May 2026'!I8 + 'Summary Sheet - June 2026'!I8</f>
        <v>0</v>
      </c>
      <c r="J8" s="176"/>
      <c r="K8" s="87">
        <f t="shared" si="5"/>
        <v>14197166.05</v>
      </c>
      <c r="L8" s="182"/>
      <c r="M8" s="56">
        <f t="shared" si="6"/>
        <v>0</v>
      </c>
      <c r="N8" s="183"/>
      <c r="O8" s="171">
        <f>'Summary Sheet - April 2026'!O8 + 'Summary Sheet - May 2026'!O8 + 'Summary Sheet - June 2026'!O8</f>
        <v>4973055</v>
      </c>
      <c r="P8" s="64"/>
      <c r="Q8" s="37">
        <f>'Summary Sheet - April 2026'!Q8 + 'Summary Sheet - May 2026'!Q8 + 'Summary Sheet - June 2026'!Q8</f>
        <v>0</v>
      </c>
      <c r="R8" s="184"/>
      <c r="S8" s="173">
        <f>'Summary Sheet - April 2026'!S8 + 'Summary Sheet - May 2026'!S8 + 'Summary Sheet - June 2026'!S8</f>
        <v>0</v>
      </c>
      <c r="T8" s="64"/>
      <c r="U8" s="37">
        <f>'Summary Sheet - April 2026'!U8 + 'Summary Sheet - May 2026'!U8 + 'Summary Sheet - June 2026'!U8</f>
        <v>0</v>
      </c>
      <c r="V8" s="184"/>
      <c r="W8" s="173">
        <f>'Summary Sheet - April 2026'!W8+'Summary Sheet - May 2026'!W8 + 'Summary Sheet - June 2026'!W8</f>
        <v>2183680</v>
      </c>
      <c r="X8" s="64"/>
      <c r="Y8" s="37">
        <f>'Summary Sheet - April 2026'!Y8+'Summary Sheet - May 2026'!Y8 + 'Summary Sheet - June 2026'!Y8</f>
        <v>0</v>
      </c>
      <c r="Z8" s="184"/>
      <c r="AA8" s="173">
        <f>'Summary Sheet - April 2026'!AA8 + 'Summary Sheet - May 2026'!AA8 + 'Summary Sheet - June 2026'!AA8</f>
        <v>1076675.05</v>
      </c>
      <c r="AB8" s="64"/>
      <c r="AC8" s="37">
        <f>'Summary Sheet - April 2026'!AC8 + 'Summary Sheet - May 2026'!AC8 + 'Summary Sheet - June 2026'!AC8</f>
        <v>0</v>
      </c>
      <c r="AD8" s="184"/>
      <c r="AE8" s="173">
        <f>'Summary Sheet - April 2026'!AE8 + 'Summary Sheet - May 2026'!AE8 + 'Summary Sheet - June 2026'!AE8</f>
        <v>3127290</v>
      </c>
      <c r="AF8" s="64"/>
      <c r="AG8" s="37">
        <f>'Summary Sheet - April 2026'!AG8 + 'Summary Sheet - May 2026'!AG8 + 'Summary Sheet - June 2026'!AG8</f>
        <v>0</v>
      </c>
      <c r="AH8" s="184"/>
      <c r="AI8" s="173">
        <f>'Summary Sheet - April 2026'!AI8 + 'Summary Sheet - May 2026'!AI8 + 'Summary Sheet - June 2026'!AI8</f>
        <v>0</v>
      </c>
      <c r="AJ8" s="64"/>
      <c r="AK8" s="37">
        <f>'Summary Sheet - April 2026'!AK8 + 'Summary Sheet - May 2026'!AK8 + 'Summary Sheet - June 2026'!AK8</f>
        <v>0</v>
      </c>
      <c r="AL8" s="184"/>
      <c r="AM8" s="173">
        <f>'Summary Sheet - April 2026'!AM8 + 'Summary Sheet - May 2026'!AM8 + 'Summary Sheet - June 2026'!AM8</f>
        <v>0</v>
      </c>
      <c r="AN8" s="64"/>
      <c r="AO8" s="37">
        <f>'Summary Sheet - April 2026'!AO8 + 'Summary Sheet - May 2026'!AO8 + 'Summary Sheet - June 2026'!AO8</f>
        <v>0</v>
      </c>
      <c r="AP8" s="184"/>
      <c r="AQ8" s="173">
        <f>'Summary Sheet - April 2026'!AQ8 + 'Summary Sheet - May 2026'!AQ8 + 'Summary Sheet - June 2026'!AQ8</f>
        <v>2836466</v>
      </c>
      <c r="AR8" s="64"/>
      <c r="AS8" s="37">
        <f>'Summary Sheet - April 2026'!AS8 + 'Summary Sheet - May 2026'!AS8 + 'Summary Sheet - June 2026'!AS8</f>
        <v>0</v>
      </c>
      <c r="AT8" s="184"/>
      <c r="AU8" s="173">
        <f>'Summary Sheet - April 2026'!AU8 + 'Summary Sheet - May 2026'!AU8 + 'Summary Sheet - June 2026'!AU8</f>
        <v>0</v>
      </c>
      <c r="AV8" s="64"/>
      <c r="AW8" s="37">
        <f>'Summary Sheet - April 2026'!AW8 + 'Summary Sheet - May 2026'!AW8 + 'Summary Sheet - June 2026'!AW8</f>
        <v>0</v>
      </c>
      <c r="AX8" s="184"/>
      <c r="AY8" s="174">
        <f>'Summary Sheet - April 2026'!AY8 + 'Summary Sheet - May 2026'!AY8 + 'Summary Sheet - June 2026'!AY8</f>
        <v>0</v>
      </c>
      <c r="AZ8" s="64"/>
      <c r="BA8" s="53">
        <f>'Summary Sheet - April 2026'!BA8 + 'Summary Sheet - May 2026'!BA8 + 'Summary Sheet - June 2026'!BA8</f>
        <v>0</v>
      </c>
      <c r="BB8" s="184"/>
      <c r="BC8" s="174">
        <f>'Summary Sheet - April 2026'!BC8 + 'Summary Sheet - May 2026'!BC8 + 'Summary Sheet - June 2026'!BC8</f>
        <v>0</v>
      </c>
      <c r="BD8" s="64"/>
      <c r="BE8" s="53">
        <f>'Summary Sheet - April 2026'!BE8 + 'Summary Sheet - May 2026'!BE8 + 'Summary Sheet - June 2026'!BE8</f>
        <v>0</v>
      </c>
      <c r="BF8" s="184"/>
      <c r="BG8" s="174">
        <f>'Summary Sheet - April 2026'!BG8 + 'Summary Sheet - May 2026'!BG8 + 'Summary Sheet - June 2026'!BG8</f>
        <v>0</v>
      </c>
      <c r="BH8" s="64"/>
      <c r="BI8" s="53">
        <f>'Summary Sheet - April 2026'!BI8 + 'Summary Sheet - May 2026'!BI8 + 'Summary Sheet - June 2026'!BI8</f>
        <v>0</v>
      </c>
      <c r="BJ8" s="184"/>
    </row>
    <row r="9" ht="15.75" customHeight="1">
      <c r="A9" s="2"/>
      <c r="B9" s="181" t="s">
        <v>25</v>
      </c>
      <c r="C9" s="55">
        <f t="shared" si="1"/>
        <v>176181</v>
      </c>
      <c r="D9" s="25">
        <f t="shared" si="2"/>
        <v>0.0007757561291</v>
      </c>
      <c r="E9" s="56">
        <f t="shared" si="3"/>
        <v>0</v>
      </c>
      <c r="F9" s="27" t="str">
        <f t="shared" si="4"/>
        <v>#DIV/0!</v>
      </c>
      <c r="G9" s="167">
        <f>'Summary Sheet - April 2026'!G9 + 'Summary Sheet - May 2026'!G9 + 'Summary Sheet - June 2026'!G9</f>
        <v>0</v>
      </c>
      <c r="H9" s="185"/>
      <c r="I9" s="167">
        <f>'Summary Sheet - April 2026'!I9 + 'Summary Sheet - May 2026'!I9 + 'Summary Sheet - June 2026'!I9</f>
        <v>0</v>
      </c>
      <c r="J9" s="180"/>
      <c r="K9" s="87">
        <f t="shared" si="5"/>
        <v>176181</v>
      </c>
      <c r="L9" s="182"/>
      <c r="M9" s="56">
        <f t="shared" si="6"/>
        <v>0</v>
      </c>
      <c r="N9" s="183"/>
      <c r="O9" s="171">
        <f>'Summary Sheet - April 2026'!O9 + 'Summary Sheet - May 2026'!O9 + 'Summary Sheet - June 2026'!O9</f>
        <v>66150</v>
      </c>
      <c r="P9" s="64"/>
      <c r="Q9" s="37">
        <f>'Summary Sheet - April 2026'!Q9 + 'Summary Sheet - May 2026'!Q9 + 'Summary Sheet - June 2026'!Q9</f>
        <v>0</v>
      </c>
      <c r="R9" s="184"/>
      <c r="S9" s="173">
        <f>'Summary Sheet - April 2026'!S9 + 'Summary Sheet - May 2026'!S9 + 'Summary Sheet - June 2026'!S9</f>
        <v>0</v>
      </c>
      <c r="T9" s="64"/>
      <c r="U9" s="37">
        <f>'Summary Sheet - April 2026'!U9 + 'Summary Sheet - May 2026'!U9 + 'Summary Sheet - June 2026'!U9</f>
        <v>0</v>
      </c>
      <c r="V9" s="184"/>
      <c r="W9" s="173">
        <f>'Summary Sheet - April 2026'!W9+'Summary Sheet - May 2026'!W9 + 'Summary Sheet - June 2026'!W9</f>
        <v>33150</v>
      </c>
      <c r="X9" s="64"/>
      <c r="Y9" s="37">
        <f>'Summary Sheet - April 2026'!Y9+'Summary Sheet - May 2026'!Y9 + 'Summary Sheet - June 2026'!Y9</f>
        <v>0</v>
      </c>
      <c r="Z9" s="184"/>
      <c r="AA9" s="173">
        <f>'Summary Sheet - April 2026'!AA9 + 'Summary Sheet - May 2026'!AA9 + 'Summary Sheet - June 2026'!AA9</f>
        <v>18000</v>
      </c>
      <c r="AB9" s="64"/>
      <c r="AC9" s="37">
        <f>'Summary Sheet - April 2026'!AC9 + 'Summary Sheet - May 2026'!AC9 + 'Summary Sheet - June 2026'!AC9</f>
        <v>0</v>
      </c>
      <c r="AD9" s="184"/>
      <c r="AE9" s="173">
        <f>'Summary Sheet - April 2026'!AE9 + 'Summary Sheet - May 2026'!AE9 + 'Summary Sheet - June 2026'!AE9</f>
        <v>30531</v>
      </c>
      <c r="AF9" s="64"/>
      <c r="AG9" s="37">
        <f>'Summary Sheet - April 2026'!AG9 + 'Summary Sheet - May 2026'!AG9 + 'Summary Sheet - June 2026'!AG9</f>
        <v>0</v>
      </c>
      <c r="AH9" s="184"/>
      <c r="AI9" s="173">
        <f>'Summary Sheet - April 2026'!AI9 + 'Summary Sheet - May 2026'!AI9 + 'Summary Sheet - June 2026'!AI9</f>
        <v>0</v>
      </c>
      <c r="AJ9" s="64"/>
      <c r="AK9" s="37">
        <f>'Summary Sheet - April 2026'!AK9 + 'Summary Sheet - May 2026'!AK9 + 'Summary Sheet - June 2026'!AK9</f>
        <v>0</v>
      </c>
      <c r="AL9" s="184"/>
      <c r="AM9" s="173">
        <f>'Summary Sheet - April 2026'!AM9 + 'Summary Sheet - May 2026'!AM9 + 'Summary Sheet - June 2026'!AM9</f>
        <v>0</v>
      </c>
      <c r="AN9" s="64"/>
      <c r="AO9" s="37">
        <f>'Summary Sheet - April 2026'!AO9 + 'Summary Sheet - May 2026'!AO9 + 'Summary Sheet - June 2026'!AO9</f>
        <v>0</v>
      </c>
      <c r="AP9" s="184"/>
      <c r="AQ9" s="173">
        <f>'Summary Sheet - April 2026'!AQ9 + 'Summary Sheet - May 2026'!AQ9 + 'Summary Sheet - June 2026'!AQ9</f>
        <v>28350</v>
      </c>
      <c r="AR9" s="64"/>
      <c r="AS9" s="37">
        <f>'Summary Sheet - April 2026'!AS9 + 'Summary Sheet - May 2026'!AS9 + 'Summary Sheet - June 2026'!AS9</f>
        <v>0</v>
      </c>
      <c r="AT9" s="184"/>
      <c r="AU9" s="173">
        <f>'Summary Sheet - April 2026'!AU9 + 'Summary Sheet - May 2026'!AU9 + 'Summary Sheet - June 2026'!AU9</f>
        <v>0</v>
      </c>
      <c r="AV9" s="64"/>
      <c r="AW9" s="37">
        <f>'Summary Sheet - April 2026'!AW9 + 'Summary Sheet - May 2026'!AW9 + 'Summary Sheet - June 2026'!AW9</f>
        <v>0</v>
      </c>
      <c r="AX9" s="184"/>
      <c r="AY9" s="174">
        <f>'Summary Sheet - April 2026'!AY9 + 'Summary Sheet - May 2026'!AY9 + 'Summary Sheet - June 2026'!AY9</f>
        <v>0</v>
      </c>
      <c r="AZ9" s="64"/>
      <c r="BA9" s="53">
        <f>'Summary Sheet - April 2026'!BA9 + 'Summary Sheet - May 2026'!BA9 + 'Summary Sheet - June 2026'!BA9</f>
        <v>0</v>
      </c>
      <c r="BB9" s="184"/>
      <c r="BC9" s="174">
        <f>'Summary Sheet - April 2026'!BC9 + 'Summary Sheet - May 2026'!BC9 + 'Summary Sheet - June 2026'!BC9</f>
        <v>0</v>
      </c>
      <c r="BD9" s="64"/>
      <c r="BE9" s="53">
        <f>'Summary Sheet - April 2026'!BE9 + 'Summary Sheet - May 2026'!BE9 + 'Summary Sheet - June 2026'!BE9</f>
        <v>0</v>
      </c>
      <c r="BF9" s="184"/>
      <c r="BG9" s="174">
        <f>'Summary Sheet - April 2026'!BG9 + 'Summary Sheet - May 2026'!BG9 + 'Summary Sheet - June 2026'!BG9</f>
        <v>0</v>
      </c>
      <c r="BH9" s="64"/>
      <c r="BI9" s="53">
        <f>'Summary Sheet - April 2026'!BI9 + 'Summary Sheet - May 2026'!BI9 + 'Summary Sheet - June 2026'!BI9</f>
        <v>0</v>
      </c>
      <c r="BJ9" s="184"/>
    </row>
    <row r="10" ht="15.75" customHeight="1">
      <c r="A10" s="2"/>
      <c r="B10" s="186" t="s">
        <v>26</v>
      </c>
      <c r="C10" s="66">
        <f>SUM(C5:C9)</f>
        <v>227108743.8</v>
      </c>
      <c r="D10" s="67">
        <f>C10/C10</f>
        <v>1</v>
      </c>
      <c r="E10" s="66">
        <f>SUM(E5:E9)</f>
        <v>0</v>
      </c>
      <c r="F10" s="97" t="str">
        <f>E10/E10</f>
        <v>#DIV/0!</v>
      </c>
      <c r="G10" s="187">
        <f>SUM(G5:G9)</f>
        <v>0</v>
      </c>
      <c r="H10" s="77"/>
      <c r="I10" s="188">
        <f>SUM(I5:I8)</f>
        <v>0</v>
      </c>
      <c r="J10" s="189"/>
      <c r="K10" s="190">
        <f>SUM(K5:K9)</f>
        <v>227108743.8</v>
      </c>
      <c r="L10" s="75"/>
      <c r="M10" s="68">
        <f>SUM(M5:M9)</f>
        <v>0</v>
      </c>
      <c r="N10" s="70"/>
      <c r="O10" s="191">
        <f>SUM(O5:O9)</f>
        <v>62484305.87</v>
      </c>
      <c r="P10" s="187"/>
      <c r="Q10" s="187">
        <f>SUM(Q5:Q9)</f>
        <v>0</v>
      </c>
      <c r="R10" s="192"/>
      <c r="S10" s="193">
        <f>SUM(S5:S9)</f>
        <v>2811739</v>
      </c>
      <c r="T10" s="75"/>
      <c r="U10" s="187">
        <f>SUM(U5:U9)</f>
        <v>0</v>
      </c>
      <c r="V10" s="194"/>
      <c r="W10" s="193">
        <f>SUM(W5:W9)</f>
        <v>42013505.49</v>
      </c>
      <c r="X10" s="75"/>
      <c r="Y10" s="187">
        <f>SUM(Y5:Y9)</f>
        <v>0</v>
      </c>
      <c r="Z10" s="194"/>
      <c r="AA10" s="193">
        <f>SUM(AA5:AA9)</f>
        <v>29429998.95</v>
      </c>
      <c r="AB10" s="75"/>
      <c r="AC10" s="187">
        <f>SUM(AC5:AC9)</f>
        <v>0</v>
      </c>
      <c r="AD10" s="194"/>
      <c r="AE10" s="195">
        <f>SUM(AE5:AE9)</f>
        <v>52415648.25</v>
      </c>
      <c r="AF10" s="75"/>
      <c r="AG10" s="68">
        <f>SUM(AG5:AG9)</f>
        <v>0</v>
      </c>
      <c r="AH10" s="194"/>
      <c r="AI10" s="195">
        <f>SUM(AI5:AI9)</f>
        <v>510003</v>
      </c>
      <c r="AJ10" s="75"/>
      <c r="AK10" s="68">
        <f>SUM(AK5:AK9)</f>
        <v>0</v>
      </c>
      <c r="AL10" s="194"/>
      <c r="AM10" s="195">
        <f>SUM(AM5:AM9)</f>
        <v>1297376.82</v>
      </c>
      <c r="AN10" s="75"/>
      <c r="AO10" s="68">
        <f>SUM(AO5:AO9)</f>
        <v>0</v>
      </c>
      <c r="AP10" s="194"/>
      <c r="AQ10" s="195">
        <f>SUM(AQ5:AQ9)</f>
        <v>32862275.5</v>
      </c>
      <c r="AR10" s="75"/>
      <c r="AS10" s="68">
        <f>SUM(AS5:AS9)</f>
        <v>0</v>
      </c>
      <c r="AT10" s="194"/>
      <c r="AU10" s="195">
        <f>SUM(AU5:AU9)</f>
        <v>972714.99</v>
      </c>
      <c r="AV10" s="75"/>
      <c r="AW10" s="68">
        <f>SUM(AW5:AW9)</f>
        <v>0</v>
      </c>
      <c r="AX10" s="194"/>
      <c r="AY10" s="195">
        <f>SUM(AY5:AY9)</f>
        <v>228077.89</v>
      </c>
      <c r="AZ10" s="75"/>
      <c r="BA10" s="68">
        <f>SUM(BA5:BA9)</f>
        <v>0</v>
      </c>
      <c r="BB10" s="194"/>
      <c r="BC10" s="195">
        <f>SUM(BC5:BC8)</f>
        <v>306961.08</v>
      </c>
      <c r="BD10" s="75"/>
      <c r="BE10" s="68">
        <f>SUM(BE5:BE8)</f>
        <v>0</v>
      </c>
      <c r="BF10" s="194"/>
      <c r="BG10" s="195">
        <f>SUM(BG5:BG8)</f>
        <v>1776137</v>
      </c>
      <c r="BH10" s="75"/>
      <c r="BI10" s="68">
        <f>SUM(BI5:BI8)</f>
        <v>0</v>
      </c>
      <c r="BJ10" s="194"/>
    </row>
    <row r="11" ht="15.75" customHeight="1">
      <c r="A11" s="2"/>
      <c r="B11" s="196"/>
      <c r="C11" s="197"/>
      <c r="D11" s="169"/>
      <c r="E11" s="169"/>
      <c r="F11" s="170"/>
      <c r="G11" s="167"/>
      <c r="H11" s="89"/>
      <c r="I11" s="89"/>
      <c r="J11" s="168"/>
      <c r="K11" s="197"/>
      <c r="L11" s="169"/>
      <c r="M11" s="169"/>
      <c r="N11" s="170"/>
      <c r="O11" s="198"/>
      <c r="P11" s="41"/>
      <c r="Q11" s="41"/>
      <c r="R11" s="172"/>
      <c r="S11" s="199"/>
      <c r="T11" s="41"/>
      <c r="U11" s="41"/>
      <c r="V11" s="172"/>
      <c r="W11" s="199"/>
      <c r="X11" s="41"/>
      <c r="Y11" s="41"/>
      <c r="Z11" s="172"/>
      <c r="AA11" s="199"/>
      <c r="AB11" s="41"/>
      <c r="AC11" s="41"/>
      <c r="AD11" s="172"/>
      <c r="AE11" s="199"/>
      <c r="AF11" s="41"/>
      <c r="AG11" s="41"/>
      <c r="AH11" s="172"/>
      <c r="AI11" s="199"/>
      <c r="AJ11" s="41"/>
      <c r="AK11" s="41"/>
      <c r="AL11" s="172"/>
      <c r="AM11" s="199"/>
      <c r="AN11" s="41"/>
      <c r="AO11" s="41"/>
      <c r="AP11" s="172"/>
      <c r="AQ11" s="199"/>
      <c r="AR11" s="41"/>
      <c r="AS11" s="41"/>
      <c r="AT11" s="172"/>
      <c r="AU11" s="199"/>
      <c r="AV11" s="41"/>
      <c r="AW11" s="41"/>
      <c r="AX11" s="172"/>
      <c r="AY11" s="199"/>
      <c r="AZ11" s="41"/>
      <c r="BA11" s="41"/>
      <c r="BB11" s="172"/>
      <c r="BC11" s="199"/>
      <c r="BD11" s="41"/>
      <c r="BE11" s="41"/>
      <c r="BF11" s="172"/>
      <c r="BG11" s="199"/>
      <c r="BH11" s="41"/>
      <c r="BI11" s="41"/>
      <c r="BJ11" s="172"/>
    </row>
    <row r="12" ht="15.75" customHeight="1">
      <c r="A12" s="2"/>
      <c r="B12" s="175" t="s">
        <v>28</v>
      </c>
      <c r="C12" s="24">
        <f t="shared" ref="C12:C13" si="7">G12+K12</f>
        <v>81564010.26</v>
      </c>
      <c r="D12" s="90">
        <f t="shared" ref="D12:D13" si="8">C12/$C$10</f>
        <v>0.359140775</v>
      </c>
      <c r="E12" s="44" t="str">
        <f t="shared" ref="E12:E13" si="9">I12+M12</f>
        <v>#DIV/0!</v>
      </c>
      <c r="F12" s="27" t="str">
        <f t="shared" ref="F12:F13" si="10">E12/$E$10</f>
        <v>#DIV/0!</v>
      </c>
      <c r="G12" s="200">
        <f>'Summary Sheet - April 2026'!G12 + 'Summary Sheet - May 2026'!G12 + 'Summary Sheet - June 2026'!G12</f>
        <v>0</v>
      </c>
      <c r="H12" s="42"/>
      <c r="I12" s="200">
        <f>'Summary Sheet - April 2026'!I12 + 'Summary Sheet - May 2026'!I12 + 'Summary Sheet - June 2026'!I12</f>
        <v>0</v>
      </c>
      <c r="J12" s="176"/>
      <c r="K12" s="87">
        <f t="shared" ref="K12:K13" si="11">O12+S12+W12+AA12+AE12+AI12+AM12+AQ12+AU12+AY12+BC12+BG12</f>
        <v>81564010.26</v>
      </c>
      <c r="L12" s="177"/>
      <c r="M12" s="44" t="str">
        <f t="shared" ref="M12:M14" si="12">Q12+U12+Y12+AC12+AG12+AK12+AO12</f>
        <v>#DIV/0!</v>
      </c>
      <c r="N12" s="178"/>
      <c r="O12" s="201">
        <f>'Summary Sheet - April 2026'!O12 +'Summary Sheet - May 2026'!O12 + 'Summary Sheet - June 2026'!O12</f>
        <v>21283922.58</v>
      </c>
      <c r="P12" s="52"/>
      <c r="Q12" s="94">
        <f>'Summary Sheet - April 2026'!Q12 +'Summary Sheet - May 2026'!Q12 + 'Summary Sheet - June 2026'!Q12</f>
        <v>0</v>
      </c>
      <c r="R12" s="179"/>
      <c r="S12" s="202">
        <f>'Summary Sheet - April 2026'!S12 + 'Summary Sheet - May 2026'!S12 + 'Summary Sheet - June 2026'!S12</f>
        <v>836780.3905</v>
      </c>
      <c r="T12" s="52"/>
      <c r="U12" s="94">
        <f>'Summary Sheet - April 2026'!U12 + 'Summary Sheet - May 2026'!U12 + 'Summary Sheet - June 2026'!U12</f>
        <v>0</v>
      </c>
      <c r="V12" s="179"/>
      <c r="W12" s="174">
        <f>'Summary Sheet - April 2026'!W12 + 'Summary Sheet - May 2026'!W12 + 'Summary Sheet - June 2026'!W12</f>
        <v>14866497.74</v>
      </c>
      <c r="X12" s="52"/>
      <c r="Y12" s="53">
        <f>'Summary Sheet - April 2026'!Y12 + 'Summary Sheet - May 2026'!Y12</f>
        <v>0</v>
      </c>
      <c r="Z12" s="179"/>
      <c r="AA12" s="174">
        <f>'Summary Sheet - April 2026'!AA12 + 'Summary Sheet - May 2026'!AA12 + 'Summary Sheet - June 2026'!AA12</f>
        <v>10322272.77</v>
      </c>
      <c r="AB12" s="52"/>
      <c r="AC12" s="53">
        <f>'Summary Sheet - April 2026'!AC12 + 'Summary Sheet - May 2026'!AC12 + 'Summary Sheet - June 2026'!AC12</f>
        <v>0</v>
      </c>
      <c r="AD12" s="179"/>
      <c r="AE12" s="174">
        <f>'Summary Sheet - April 2026'!AE12 + 'Summary Sheet - May 2026'!AE12 + 'Summary Sheet - June 2026'!AE12</f>
        <v>17029683.04</v>
      </c>
      <c r="AF12" s="52"/>
      <c r="AG12" s="53" t="str">
        <f>'Summary Sheet - April 2026'!AG12 + 'Summary Sheet - May 2026'!AG12 + 'Summary Sheet - June 2026'!AG12</f>
        <v>#DIV/0!</v>
      </c>
      <c r="AH12" s="179"/>
      <c r="AI12" s="203">
        <f>'Summary Sheet - April 2026'!AI12 + 'Summary Sheet - May 2026'!AI12 + 'Summary Sheet - June 2026'!AI12</f>
        <v>132816</v>
      </c>
      <c r="AJ12" s="52"/>
      <c r="AK12" s="42">
        <f>'Summary Sheet - April 2026'!AK12 + 'Summary Sheet - May 2026'!AK12 + 'Summary Sheet - June 2026'!AK12</f>
        <v>0</v>
      </c>
      <c r="AL12" s="179"/>
      <c r="AM12" s="174">
        <f>'Summary Sheet - April 2026'!AM12 + 'Summary Sheet - May 2026'!AM12 + 'Summary Sheet - June 2026'!AM12</f>
        <v>2029624.737</v>
      </c>
      <c r="AN12" s="52"/>
      <c r="AO12" s="53">
        <f>'Summary Sheet - April 2026'!AO12 + 'Summary Sheet - May 2026'!AO12 + 'Summary Sheet - June 2026'!AO12</f>
        <v>0</v>
      </c>
      <c r="AP12" s="179"/>
      <c r="AQ12" s="174">
        <f>'Summary Sheet - April 2026'!AQ12 + 'Summary Sheet - May 2026'!AQ12 +'Summary Sheet - June 2026'!AQ12</f>
        <v>12756023.64</v>
      </c>
      <c r="AR12" s="52"/>
      <c r="AS12" s="53">
        <f>'Summary Sheet - April 2026'!AS12 + 'Summary Sheet - May 2026'!AS12 +'Summary Sheet - June 2026'!AS12</f>
        <v>0</v>
      </c>
      <c r="AT12" s="179"/>
      <c r="AU12" s="174">
        <f>'Summary Sheet - April 2026'!AU12 + 'Summary Sheet - May 2026'!AU12 + 'Summary Sheet - June 2026'!AU12</f>
        <v>948961.9812</v>
      </c>
      <c r="AV12" s="53"/>
      <c r="AW12" s="53">
        <f>'Summary Sheet - April 2026'!AW12 + 'Summary Sheet - May 2026'!AW12 + 'Summary Sheet - June 2026'!AW12</f>
        <v>0</v>
      </c>
      <c r="AX12" s="204"/>
      <c r="AY12" s="174">
        <f>'Summary Sheet - April 2026'!AY12 + 'Summary Sheet - May 2026'!AY12 + 'Summary Sheet - June 2026'!AY12</f>
        <v>347733.7687</v>
      </c>
      <c r="AZ12" s="52"/>
      <c r="BA12" s="53">
        <f>'Summary Sheet - April 2026'!BA12 + 'Summary Sheet - May 2026'!BA12 + 'Summary Sheet - June 2026'!BA12</f>
        <v>0</v>
      </c>
      <c r="BB12" s="179"/>
      <c r="BC12" s="174">
        <f>'Summary Sheet - April 2026'!BC12 + 'Summary Sheet - May 2026'!BC12 + 'Summary Sheet - June 2026'!BC12</f>
        <v>507511.3734</v>
      </c>
      <c r="BD12" s="52"/>
      <c r="BE12" s="53">
        <f>'Summary Sheet - April 2026'!BE12 + 'Summary Sheet - May 2026'!BE12 + 'Summary Sheet - June 2026'!BE12</f>
        <v>0</v>
      </c>
      <c r="BF12" s="179"/>
      <c r="BG12" s="174">
        <f>'Summary Sheet - April 2026'!BG12 + 'Summary Sheet - May 2026'!BG12 + 'Summary Sheet - June 2026'!BG12</f>
        <v>502182.2409</v>
      </c>
      <c r="BH12" s="52"/>
      <c r="BI12" s="53">
        <f>'Summary Sheet - April 2026'!BI12 + 'Summary Sheet - May 2026'!BI12 + 'Summary Sheet - June 2026'!BI12</f>
        <v>0</v>
      </c>
      <c r="BJ12" s="179"/>
    </row>
    <row r="13" ht="15.75" customHeight="1">
      <c r="A13" s="2"/>
      <c r="B13" s="181" t="s">
        <v>29</v>
      </c>
      <c r="C13" s="55">
        <f t="shared" si="7"/>
        <v>2867823.2</v>
      </c>
      <c r="D13" s="90">
        <f t="shared" si="8"/>
        <v>0.01262753319</v>
      </c>
      <c r="E13" s="56">
        <f t="shared" si="9"/>
        <v>0</v>
      </c>
      <c r="F13" s="27" t="str">
        <f t="shared" si="10"/>
        <v>#DIV/0!</v>
      </c>
      <c r="G13" s="200">
        <f>'Summary Sheet - April 2026'!G13 + 'Summary Sheet - May 2026'!G13 + 'Summary Sheet - June 2026'!G13</f>
        <v>1964</v>
      </c>
      <c r="H13" s="96"/>
      <c r="I13" s="200">
        <f>'Summary Sheet - April 2026'!I13 + 'Summary Sheet - May 2026'!I13 + 'Summary Sheet - June 2026'!I13</f>
        <v>0</v>
      </c>
      <c r="J13" s="180"/>
      <c r="K13" s="87">
        <f t="shared" si="11"/>
        <v>2865859.2</v>
      </c>
      <c r="L13" s="182"/>
      <c r="M13" s="56">
        <f t="shared" si="12"/>
        <v>0</v>
      </c>
      <c r="N13" s="183"/>
      <c r="O13" s="201">
        <f>'Summary Sheet - April 2026'!O13 +'Summary Sheet - May 2026'!O13 + 'Summary Sheet - June 2026'!O13</f>
        <v>177908</v>
      </c>
      <c r="P13" s="64"/>
      <c r="Q13" s="94">
        <f>'Summary Sheet - April 2026'!Q13 +'Summary Sheet - May 2026'!Q13 + 'Summary Sheet - June 2026'!Q13</f>
        <v>0</v>
      </c>
      <c r="R13" s="184"/>
      <c r="S13" s="202">
        <f>'Summary Sheet - April 2026'!S13 + 'Summary Sheet - May 2026'!S13 + 'Summary Sheet - June 2026'!S13</f>
        <v>83931</v>
      </c>
      <c r="T13" s="64"/>
      <c r="U13" s="94">
        <f>'Summary Sheet - April 2026'!U13 + 'Summary Sheet - May 2026'!U13 + 'Summary Sheet - June 2026'!U13</f>
        <v>0</v>
      </c>
      <c r="V13" s="184"/>
      <c r="W13" s="174">
        <f>'Summary Sheet - April 2026'!W13 + 'Summary Sheet - May 2026'!W13 +'Summary Sheet - June 2026'!W13</f>
        <v>596670.4</v>
      </c>
      <c r="X13" s="64"/>
      <c r="Y13" s="53">
        <f>'Summary Sheet - April 2026'!Y13 + 'Summary Sheet - May 2026'!Y13</f>
        <v>0</v>
      </c>
      <c r="Z13" s="184"/>
      <c r="AA13" s="174">
        <f>'Summary Sheet - April 2026'!AA13 + 'Summary Sheet - May 2026'!AA13 + 'Summary Sheet - June 2026'!AA13</f>
        <v>641199</v>
      </c>
      <c r="AB13" s="64"/>
      <c r="AC13" s="53">
        <f>'Summary Sheet - April 2026'!AC13 + 'Summary Sheet - May 2026'!AC13 + 'Summary Sheet - June 2026'!AC13</f>
        <v>0</v>
      </c>
      <c r="AD13" s="184"/>
      <c r="AE13" s="174">
        <f>'Summary Sheet - April 2026'!AE13 + 'Summary Sheet - May 2026'!AE13 + 'Summary Sheet - June 2026'!AE13</f>
        <v>678189</v>
      </c>
      <c r="AF13" s="64"/>
      <c r="AG13" s="53">
        <f>'Summary Sheet - April 2026'!AG13 + 'Summary Sheet - May 2026'!AG13 + 'Summary Sheet - June 2026'!AG13</f>
        <v>0</v>
      </c>
      <c r="AH13" s="184"/>
      <c r="AI13" s="203">
        <f>'Summary Sheet - April 2026'!AI13 + 'Summary Sheet - May 2026'!AI13 + 'Summary Sheet - June 2026'!AI13</f>
        <v>13020</v>
      </c>
      <c r="AJ13" s="64"/>
      <c r="AK13" s="42">
        <f>'Summary Sheet - April 2026'!AK13 + 'Summary Sheet - May 2026'!AK13 + 'Summary Sheet - June 2026'!AK13</f>
        <v>0</v>
      </c>
      <c r="AL13" s="184"/>
      <c r="AM13" s="174">
        <f>'Summary Sheet - April 2026'!AM13 + 'Summary Sheet - May 2026'!AM13 + 'Summary Sheet - June 2026'!AM13</f>
        <v>305564.5</v>
      </c>
      <c r="AN13" s="64"/>
      <c r="AO13" s="53">
        <f>'Summary Sheet - April 2026'!AO13 + 'Summary Sheet - May 2026'!AO13 + 'Summary Sheet - June 2026'!AO13</f>
        <v>0</v>
      </c>
      <c r="AP13" s="184"/>
      <c r="AQ13" s="174">
        <f>'Summary Sheet - April 2026'!AQ13 + 'Summary Sheet - May 2026'!AQ13 +'Summary Sheet - June 2026'!AQ13</f>
        <v>136606.8</v>
      </c>
      <c r="AR13" s="64"/>
      <c r="AS13" s="53">
        <f>'Summary Sheet - April 2026'!AS13 + 'Summary Sheet - May 2026'!AS13 +'Summary Sheet - June 2026'!AS13</f>
        <v>0</v>
      </c>
      <c r="AT13" s="184"/>
      <c r="AU13" s="174">
        <f>'Summary Sheet - April 2026'!AU13 + 'Summary Sheet - May 2026'!AU13 + 'Summary Sheet - June 2026'!AU13</f>
        <v>112909.5</v>
      </c>
      <c r="AV13" s="64"/>
      <c r="AW13" s="53">
        <f>'Summary Sheet - April 2026'!AW13 + 'Summary Sheet - May 2026'!AW13 + 'Summary Sheet - June 2026'!AW13</f>
        <v>0</v>
      </c>
      <c r="AX13" s="184"/>
      <c r="AY13" s="174">
        <f>'Summary Sheet - April 2026'!AY13 + 'Summary Sheet - May 2026'!AY13 + 'Summary Sheet - June 2026'!AY13</f>
        <v>9422</v>
      </c>
      <c r="AZ13" s="64"/>
      <c r="BA13" s="53">
        <f>'Summary Sheet - April 2026'!BA13 + 'Summary Sheet - May 2026'!BA13 + 'Summary Sheet - June 2026'!BA13</f>
        <v>0</v>
      </c>
      <c r="BB13" s="184"/>
      <c r="BC13" s="174">
        <f>'Summary Sheet - April 2026'!BC13 + 'Summary Sheet - May 2026'!BC13 + 'Summary Sheet - June 2026'!BC13</f>
        <v>5647</v>
      </c>
      <c r="BD13" s="64"/>
      <c r="BE13" s="53">
        <f>'Summary Sheet - April 2026'!BE13 + 'Summary Sheet - May 2026'!BE13 + 'Summary Sheet - June 2026'!BE13</f>
        <v>0</v>
      </c>
      <c r="BF13" s="184"/>
      <c r="BG13" s="174">
        <f>'Summary Sheet - April 2026'!BG13 + 'Summary Sheet - May 2026'!BG13 + 'Summary Sheet - June 2026'!BG13</f>
        <v>104792</v>
      </c>
      <c r="BH13" s="64"/>
      <c r="BI13" s="53">
        <f>'Summary Sheet - April 2026'!BI13 + 'Summary Sheet - May 2026'!BI13 + 'Summary Sheet - June 2026'!BI13</f>
        <v>0</v>
      </c>
      <c r="BJ13" s="184"/>
    </row>
    <row r="14" ht="15.75" customHeight="1">
      <c r="A14" s="2"/>
      <c r="B14" s="186" t="s">
        <v>30</v>
      </c>
      <c r="C14" s="66">
        <f>SUM(C12:C13)</f>
        <v>84431833.46</v>
      </c>
      <c r="D14" s="67">
        <f>C14/C10</f>
        <v>0.3717683081</v>
      </c>
      <c r="E14" s="68" t="str">
        <f>E12+E13</f>
        <v>#DIV/0!</v>
      </c>
      <c r="F14" s="70"/>
      <c r="G14" s="205">
        <f>G12+G13</f>
        <v>1964</v>
      </c>
      <c r="H14" s="188"/>
      <c r="I14" s="205">
        <f>I12+I13</f>
        <v>0</v>
      </c>
      <c r="J14" s="206"/>
      <c r="K14" s="66">
        <f>SUM(K12:K13)</f>
        <v>84429869.46</v>
      </c>
      <c r="L14" s="75"/>
      <c r="M14" s="68" t="str">
        <f t="shared" si="12"/>
        <v>#DIV/0!</v>
      </c>
      <c r="N14" s="70"/>
      <c r="O14" s="207">
        <f>SUM(O12:O13)</f>
        <v>21461830.58</v>
      </c>
      <c r="P14" s="75"/>
      <c r="Q14" s="68">
        <f>Q12+Q13</f>
        <v>0</v>
      </c>
      <c r="R14" s="194"/>
      <c r="S14" s="207">
        <f>SUM(S12:S13)</f>
        <v>920711.3905</v>
      </c>
      <c r="T14" s="75"/>
      <c r="U14" s="68">
        <f>U12+U13</f>
        <v>0</v>
      </c>
      <c r="V14" s="194"/>
      <c r="W14" s="207">
        <f>SUM(W12:W13)</f>
        <v>15463168.14</v>
      </c>
      <c r="X14" s="75"/>
      <c r="Y14" s="68">
        <f>Y12+Y13</f>
        <v>0</v>
      </c>
      <c r="Z14" s="194"/>
      <c r="AA14" s="195">
        <f>AA12+AA13</f>
        <v>10963471.77</v>
      </c>
      <c r="AB14" s="75"/>
      <c r="AC14" s="68">
        <f>AC12+AC13</f>
        <v>0</v>
      </c>
      <c r="AD14" s="194"/>
      <c r="AE14" s="195">
        <f>AE12+AE13</f>
        <v>17707872.04</v>
      </c>
      <c r="AF14" s="75"/>
      <c r="AG14" s="68" t="str">
        <f>AG12+AG13</f>
        <v>#DIV/0!</v>
      </c>
      <c r="AH14" s="194"/>
      <c r="AI14" s="195">
        <f>AI12+AI13</f>
        <v>145836</v>
      </c>
      <c r="AJ14" s="75"/>
      <c r="AK14" s="68">
        <f>AK12+AK13</f>
        <v>0</v>
      </c>
      <c r="AL14" s="194"/>
      <c r="AM14" s="195">
        <f>AM12+AM13</f>
        <v>2335189.237</v>
      </c>
      <c r="AN14" s="75"/>
      <c r="AO14" s="68">
        <f>AO12+AO13</f>
        <v>0</v>
      </c>
      <c r="AP14" s="194"/>
      <c r="AQ14" s="195">
        <f>AQ12+AQ13</f>
        <v>12892630.44</v>
      </c>
      <c r="AR14" s="75"/>
      <c r="AS14" s="68">
        <f>AS12+AS13</f>
        <v>0</v>
      </c>
      <c r="AT14" s="194"/>
      <c r="AU14" s="195">
        <f>AU12+AU13</f>
        <v>1061871.481</v>
      </c>
      <c r="AV14" s="75"/>
      <c r="AW14" s="68">
        <f>AW12+AW13</f>
        <v>0</v>
      </c>
      <c r="AX14" s="194"/>
      <c r="AY14" s="195">
        <f>AY12+AY13</f>
        <v>357155.7687</v>
      </c>
      <c r="AZ14" s="75"/>
      <c r="BA14" s="68">
        <f>BA12+BA13</f>
        <v>0</v>
      </c>
      <c r="BB14" s="194"/>
      <c r="BC14" s="195">
        <f>BC12+BC13</f>
        <v>513158.3734</v>
      </c>
      <c r="BD14" s="75"/>
      <c r="BE14" s="68">
        <f>BE12+BE13</f>
        <v>0</v>
      </c>
      <c r="BF14" s="194"/>
      <c r="BG14" s="195">
        <f>BG12+BG13</f>
        <v>606974.2409</v>
      </c>
      <c r="BH14" s="75"/>
      <c r="BI14" s="68">
        <f>BI12+BI13</f>
        <v>0</v>
      </c>
      <c r="BJ14" s="194"/>
    </row>
    <row r="15" ht="15.75" customHeight="1">
      <c r="A15" s="2"/>
      <c r="B15" s="208" t="s">
        <v>31</v>
      </c>
      <c r="C15" s="104"/>
      <c r="D15" s="105"/>
      <c r="E15" s="105"/>
      <c r="F15" s="107"/>
      <c r="G15" s="120"/>
      <c r="H15" s="119"/>
      <c r="I15" s="119"/>
      <c r="J15" s="109"/>
      <c r="K15" s="209"/>
      <c r="L15" s="105"/>
      <c r="M15" s="105"/>
      <c r="N15" s="107"/>
      <c r="O15" s="210"/>
      <c r="P15" s="114"/>
      <c r="Q15" s="114"/>
      <c r="R15" s="211"/>
      <c r="S15" s="212"/>
      <c r="T15" s="114"/>
      <c r="U15" s="114"/>
      <c r="V15" s="211"/>
      <c r="W15" s="174"/>
      <c r="X15" s="114"/>
      <c r="Y15" s="114"/>
      <c r="Z15" s="211"/>
      <c r="AA15" s="213"/>
      <c r="AB15" s="114"/>
      <c r="AC15" s="114"/>
      <c r="AD15" s="211"/>
      <c r="AE15" s="213"/>
      <c r="AF15" s="114"/>
      <c r="AG15" s="114"/>
      <c r="AH15" s="211"/>
      <c r="AI15" s="213"/>
      <c r="AJ15" s="114"/>
      <c r="AK15" s="114"/>
      <c r="AL15" s="211"/>
      <c r="AM15" s="213"/>
      <c r="AN15" s="114"/>
      <c r="AO15" s="114"/>
      <c r="AP15" s="211"/>
      <c r="AQ15" s="213"/>
      <c r="AR15" s="114"/>
      <c r="AS15" s="114"/>
      <c r="AT15" s="211"/>
      <c r="AU15" s="212"/>
      <c r="AV15" s="136"/>
      <c r="AW15" s="136"/>
      <c r="AX15" s="211"/>
      <c r="AY15" s="212"/>
      <c r="AZ15" s="136"/>
      <c r="BA15" s="136"/>
      <c r="BB15" s="211"/>
      <c r="BC15" s="212"/>
      <c r="BD15" s="136"/>
      <c r="BE15" s="136"/>
      <c r="BF15" s="211"/>
      <c r="BG15" s="212"/>
      <c r="BH15" s="136"/>
      <c r="BI15" s="136"/>
      <c r="BJ15" s="211"/>
    </row>
    <row r="16" ht="15.75" customHeight="1">
      <c r="A16" s="2"/>
      <c r="B16" s="214" t="s">
        <v>32</v>
      </c>
      <c r="C16" s="215">
        <f>C10-C14</f>
        <v>142676910.4</v>
      </c>
      <c r="D16" s="216">
        <f>C16/C10</f>
        <v>0.6282316919</v>
      </c>
      <c r="E16" s="217" t="str">
        <f>E10-E14</f>
        <v>#DIV/0!</v>
      </c>
      <c r="F16" s="218"/>
      <c r="G16" s="219">
        <f>G10-G14</f>
        <v>-1964</v>
      </c>
      <c r="H16" s="220"/>
      <c r="I16" s="220">
        <f>I10-I14</f>
        <v>0</v>
      </c>
      <c r="J16" s="221"/>
      <c r="K16" s="215">
        <f>K10-K14</f>
        <v>142678874.4</v>
      </c>
      <c r="L16" s="222"/>
      <c r="M16" s="217" t="str">
        <f>M10-M14</f>
        <v>#DIV/0!</v>
      </c>
      <c r="N16" s="218"/>
      <c r="O16" s="100">
        <f>O10-O14</f>
        <v>41022475.29</v>
      </c>
      <c r="P16" s="222"/>
      <c r="Q16" s="217">
        <f>Q10-Q14-Q15</f>
        <v>0</v>
      </c>
      <c r="R16" s="223"/>
      <c r="S16" s="101">
        <f>S10-S14</f>
        <v>1891027.609</v>
      </c>
      <c r="T16" s="222"/>
      <c r="U16" s="217">
        <f>U10-U14-U15</f>
        <v>0</v>
      </c>
      <c r="V16" s="223"/>
      <c r="W16" s="101">
        <f>W10-W14</f>
        <v>26550337.35</v>
      </c>
      <c r="X16" s="222"/>
      <c r="Y16" s="217">
        <f>Y10-Y14-Y15</f>
        <v>0</v>
      </c>
      <c r="Z16" s="223"/>
      <c r="AA16" s="101">
        <f>AA10-AA14-AA15</f>
        <v>18466527.18</v>
      </c>
      <c r="AB16" s="222"/>
      <c r="AC16" s="217">
        <f>AC10-AC14-AC15</f>
        <v>0</v>
      </c>
      <c r="AD16" s="223"/>
      <c r="AE16" s="101">
        <f>AE10-AE14-AE15</f>
        <v>34707776.21</v>
      </c>
      <c r="AF16" s="222"/>
      <c r="AG16" s="217" t="str">
        <f>AG10-AG14-AG15</f>
        <v>#DIV/0!</v>
      </c>
      <c r="AH16" s="223"/>
      <c r="AI16" s="101">
        <f>AI10-AI14-AI15</f>
        <v>364167</v>
      </c>
      <c r="AJ16" s="222"/>
      <c r="AK16" s="217">
        <f>'Summary Sheet - April 2026'!AK17</f>
        <v>0</v>
      </c>
      <c r="AL16" s="223"/>
      <c r="AM16" s="101">
        <f>AM10-AM14-AM15</f>
        <v>-1037812.417</v>
      </c>
      <c r="AN16" s="222"/>
      <c r="AO16" s="217">
        <f>'Summary Sheet - April 2026'!AO17</f>
        <v>0</v>
      </c>
      <c r="AP16" s="223"/>
      <c r="AQ16" s="101">
        <f>AQ10-AQ14-AQ15</f>
        <v>19969645.06</v>
      </c>
      <c r="AR16" s="222"/>
      <c r="AS16" s="217">
        <f>AS10-AS14-AS15</f>
        <v>0</v>
      </c>
      <c r="AT16" s="223"/>
      <c r="AU16" s="101">
        <f>AU10-AU14-AU15</f>
        <v>-89156.49122</v>
      </c>
      <c r="AV16" s="222"/>
      <c r="AW16" s="217">
        <f>AW10-AW14</f>
        <v>0</v>
      </c>
      <c r="AX16" s="223"/>
      <c r="AY16" s="101">
        <f>AY10-AY14-AY15</f>
        <v>-129077.8787</v>
      </c>
      <c r="AZ16" s="222"/>
      <c r="BA16" s="217">
        <f>BA10-BA14</f>
        <v>0</v>
      </c>
      <c r="BB16" s="223"/>
      <c r="BC16" s="101">
        <f>BC10-BC14-BC15</f>
        <v>-206197.2934</v>
      </c>
      <c r="BD16" s="222"/>
      <c r="BE16" s="217">
        <f>BE10-BE14</f>
        <v>0</v>
      </c>
      <c r="BF16" s="223"/>
      <c r="BG16" s="101">
        <f>BG10-BG14-BG15</f>
        <v>1169162.759</v>
      </c>
      <c r="BH16" s="222"/>
      <c r="BI16" s="217">
        <f>BI10-BI14</f>
        <v>0</v>
      </c>
      <c r="BJ16" s="223"/>
    </row>
    <row r="17" ht="15.75" customHeight="1">
      <c r="A17" s="2"/>
      <c r="B17" s="196"/>
      <c r="C17" s="197"/>
      <c r="D17" s="169"/>
      <c r="E17" s="169"/>
      <c r="F17" s="170"/>
      <c r="G17" s="167"/>
      <c r="H17" s="89"/>
      <c r="I17" s="89"/>
      <c r="J17" s="168"/>
      <c r="K17" s="197"/>
      <c r="L17" s="169"/>
      <c r="M17" s="169"/>
      <c r="N17" s="170"/>
      <c r="O17" s="198"/>
      <c r="P17" s="41"/>
      <c r="Q17" s="41"/>
      <c r="R17" s="172"/>
      <c r="S17" s="199"/>
      <c r="T17" s="41"/>
      <c r="U17" s="41"/>
      <c r="V17" s="172"/>
      <c r="W17" s="199"/>
      <c r="X17" s="41"/>
      <c r="Y17" s="41"/>
      <c r="Z17" s="172"/>
      <c r="AA17" s="199"/>
      <c r="AB17" s="41"/>
      <c r="AC17" s="41"/>
      <c r="AD17" s="172"/>
      <c r="AE17" s="199"/>
      <c r="AF17" s="41"/>
      <c r="AG17" s="41"/>
      <c r="AH17" s="172"/>
      <c r="AI17" s="199"/>
      <c r="AJ17" s="41"/>
      <c r="AK17" s="41"/>
      <c r="AL17" s="172"/>
      <c r="AM17" s="199"/>
      <c r="AN17" s="41"/>
      <c r="AO17" s="41"/>
      <c r="AP17" s="172"/>
      <c r="AQ17" s="199"/>
      <c r="AR17" s="41"/>
      <c r="AS17" s="41"/>
      <c r="AT17" s="172"/>
      <c r="AU17" s="199"/>
      <c r="AV17" s="41"/>
      <c r="AW17" s="41"/>
      <c r="AX17" s="172"/>
      <c r="AY17" s="199"/>
      <c r="AZ17" s="41"/>
      <c r="BA17" s="41"/>
      <c r="BB17" s="172"/>
      <c r="BC17" s="199"/>
      <c r="BD17" s="41"/>
      <c r="BE17" s="41"/>
      <c r="BF17" s="172"/>
      <c r="BG17" s="199"/>
      <c r="BH17" s="41"/>
      <c r="BI17" s="41"/>
      <c r="BJ17" s="172"/>
    </row>
    <row r="18" ht="15.75" customHeight="1">
      <c r="A18" s="2"/>
      <c r="B18" s="175" t="s">
        <v>33</v>
      </c>
      <c r="C18" s="24">
        <f t="shared" ref="C18:C27" si="13">G18+K18</f>
        <v>6253320.41</v>
      </c>
      <c r="D18" s="90">
        <f t="shared" ref="D18:D27" si="14">C18/$C$10</f>
        <v>0.02753447668</v>
      </c>
      <c r="E18" s="44">
        <f t="shared" ref="E18:E28" si="15">I18+M18</f>
        <v>34378</v>
      </c>
      <c r="F18" s="27" t="str">
        <f t="shared" ref="F18:F27" si="16">E18/$E$10</f>
        <v>#DIV/0!</v>
      </c>
      <c r="G18" s="200">
        <f>'Summary Sheet - April 2026'!G19 + 'Summary Sheet - May 2026'!G19 + 'Summary Sheet - June 2026'!G19</f>
        <v>177596.5133</v>
      </c>
      <c r="H18" s="42"/>
      <c r="I18" s="200">
        <f>'Summary Sheet - April 2026'!I19 + 'Summary Sheet - May 2026'!I19 + 'Summary Sheet - June 2026'!I19</f>
        <v>0</v>
      </c>
      <c r="J18" s="176"/>
      <c r="K18" s="87">
        <f t="shared" ref="K18:K27" si="17">O18+S18+W18+AA18+AE18+AI18+AM18+AQ18+AU18+AY18+BC18+BG18</f>
        <v>6075723.897</v>
      </c>
      <c r="L18" s="177"/>
      <c r="M18" s="44">
        <f t="shared" ref="M18:M27" si="18">Q18+U18+Y18+AC18+AG18+AK18+AO18</f>
        <v>34378</v>
      </c>
      <c r="N18" s="178"/>
      <c r="O18" s="224">
        <f>'Summary Sheet - April 2026'!O19 + 'Summary Sheet - May 2026'!O19 + 'Summary Sheet - June 2026'!O19</f>
        <v>1693415.563</v>
      </c>
      <c r="P18" s="52"/>
      <c r="Q18" s="53">
        <f>'Summary Sheet - April 2026'!Q19 + 'Summary Sheet - May 2026'!Q19 + 'Summary Sheet - June 2026'!Q19</f>
        <v>34378</v>
      </c>
      <c r="R18" s="179"/>
      <c r="S18" s="174">
        <f>'Summary Sheet - April 2026'!S19 +'Summary Sheet - May 2026'!S19 + 'Summary Sheet - June 2026'!S19</f>
        <v>165661.29</v>
      </c>
      <c r="T18" s="52"/>
      <c r="U18" s="53">
        <f>'Summary Sheet - April 2026'!U19 +'Summary Sheet - May 2026'!U19 + 'Summary Sheet - June 2026'!U19</f>
        <v>0</v>
      </c>
      <c r="V18" s="179"/>
      <c r="W18" s="174">
        <f>'Summary Sheet - April 2026'!W19 + 'Summary Sheet - May 2026'!W19 + 'Summary Sheet - June 2026'!W19</f>
        <v>1171541.873</v>
      </c>
      <c r="X18" s="52"/>
      <c r="Y18" s="53">
        <f>'Summary Sheet - April 2026'!Y19 + 'Summary Sheet - May 2026'!Y19 + 'Summary Sheet - June 2026'!Y19</f>
        <v>0</v>
      </c>
      <c r="Z18" s="179"/>
      <c r="AA18" s="174">
        <f>'Summary Sheet - April 2026'!AA19 + 'Summary Sheet - May 2026'!AA19 + 'Summary Sheet - June 2026'!AA19</f>
        <v>753037.8233</v>
      </c>
      <c r="AB18" s="52"/>
      <c r="AC18" s="53">
        <f>'Summary Sheet - April 2026'!AC19 + 'Summary Sheet - May 2026'!AC19 + 'Summary Sheet - June 2026'!AC19</f>
        <v>0</v>
      </c>
      <c r="AD18" s="179"/>
      <c r="AE18" s="174">
        <f>'Summary Sheet - April 2026'!AE19 + 'Summary Sheet - May 2026'!AE19 + 'Summary Sheet - June 2026'!AE19</f>
        <v>1329058.453</v>
      </c>
      <c r="AF18" s="52"/>
      <c r="AG18" s="53">
        <f>'Summary Sheet - April 2026'!AG19 + 'Summary Sheet - May 2026'!AG19 + 'Summary Sheet - June 2026'!AG19</f>
        <v>0</v>
      </c>
      <c r="AH18" s="179"/>
      <c r="AI18" s="174">
        <f>'Summary Sheet - April 2026'!AI19 + 'Summary Sheet - May 2026'!AI19 + 'Summary Sheet - June 2026'!AI19</f>
        <v>79725</v>
      </c>
      <c r="AJ18" s="52"/>
      <c r="AK18" s="53">
        <f>'Summary Sheet - April 2026'!AK19 + 'Summary Sheet - May 2026'!AK19 + 'Summary Sheet - June 2026'!AK19</f>
        <v>0</v>
      </c>
      <c r="AL18" s="179"/>
      <c r="AM18" s="174">
        <f>'Summary Sheet - April 2026'!AM19 + 'Summary Sheet - May 2026'!AM19 + 'Summary Sheet - June 2026'!AM19</f>
        <v>110605.86</v>
      </c>
      <c r="AN18" s="52"/>
      <c r="AO18" s="53">
        <f>'Summary Sheet - April 2026'!AO19 + 'Summary Sheet - May 2026'!AO19 + 'Summary Sheet - June 2026'!AO19</f>
        <v>0</v>
      </c>
      <c r="AP18" s="179"/>
      <c r="AQ18" s="174">
        <f>'Summary Sheet - April 2026'!AQ19 + 'Summary Sheet - May 2026'!AQ19 + 'Summary Sheet - June 2026'!AQ19</f>
        <v>724305.1333</v>
      </c>
      <c r="AR18" s="52"/>
      <c r="AS18" s="53">
        <f>'Summary Sheet - April 2026'!AS19 + 'Summary Sheet - May 2026'!AS19 + 'Summary Sheet - June 2026'!AS19</f>
        <v>0</v>
      </c>
      <c r="AT18" s="179"/>
      <c r="AU18" s="174">
        <f>'Summary Sheet - April 2026'!AU19 + 'Summary Sheet - May 2026'!AU19 + 'Summary Sheet - June 2026'!AU19</f>
        <v>39406.9</v>
      </c>
      <c r="AV18" s="52"/>
      <c r="AW18" s="53">
        <f>'Summary Sheet - April 2026'!AW19 + 'Summary Sheet - May 2026'!AW19 + 'Summary Sheet - June 2026'!AW19</f>
        <v>0</v>
      </c>
      <c r="AX18" s="179"/>
      <c r="AY18" s="174">
        <f>'Summary Sheet - April 2026'!AY19 + 'Summary Sheet - May 2026'!AY19 + 'Summary Sheet - June 2026'!AY19</f>
        <v>0</v>
      </c>
      <c r="AZ18" s="52"/>
      <c r="BA18" s="53">
        <f>'Summary Sheet - April 2026'!BA19 + 'Summary Sheet - May 2026'!BA19 + 'Summary Sheet - June 2026'!BA19</f>
        <v>0</v>
      </c>
      <c r="BB18" s="179"/>
      <c r="BC18" s="174">
        <f>'Summary Sheet - April 2026'!BC19 + 'Summary Sheet - May 2026'!BC19 + 'Summary Sheet - June 2026'!BC19</f>
        <v>0</v>
      </c>
      <c r="BD18" s="52"/>
      <c r="BE18" s="53">
        <f>'Summary Sheet - April 2026'!BE19 + 'Summary Sheet - May 2026'!BE19 + 'Summary Sheet - June 2026'!BE19</f>
        <v>0</v>
      </c>
      <c r="BF18" s="179"/>
      <c r="BG18" s="174">
        <f>'Summary Sheet - April 2026'!BG19 + 'Summary Sheet - May 2026'!BG19 + 'Summary Sheet - June 2026'!BG19</f>
        <v>8966</v>
      </c>
      <c r="BH18" s="52"/>
      <c r="BI18" s="53">
        <f>'Summary Sheet - April 2026'!BI19 + 'Summary Sheet - May 2026'!BI19 + 'Summary Sheet - June 2026'!BI19</f>
        <v>0</v>
      </c>
      <c r="BJ18" s="179"/>
    </row>
    <row r="19" ht="15.75" customHeight="1">
      <c r="A19" s="2"/>
      <c r="B19" s="175" t="s">
        <v>34</v>
      </c>
      <c r="C19" s="24">
        <f t="shared" si="13"/>
        <v>2375088.04</v>
      </c>
      <c r="D19" s="90">
        <f t="shared" si="14"/>
        <v>0.01045793306</v>
      </c>
      <c r="E19" s="44">
        <f t="shared" si="15"/>
        <v>106200</v>
      </c>
      <c r="F19" s="27" t="str">
        <f t="shared" si="16"/>
        <v>#DIV/0!</v>
      </c>
      <c r="G19" s="200">
        <f>'Summary Sheet - April 2026'!G20 + 'Summary Sheet - May 2026'!G20 + 'Summary Sheet - June 2026'!G20</f>
        <v>159300</v>
      </c>
      <c r="H19" s="42"/>
      <c r="I19" s="200">
        <f>'Summary Sheet - April 2026'!I20 + 'Summary Sheet - May 2026'!I20 + 'Summary Sheet - June 2026'!I20</f>
        <v>106200</v>
      </c>
      <c r="J19" s="176"/>
      <c r="K19" s="87">
        <f t="shared" si="17"/>
        <v>2215788.04</v>
      </c>
      <c r="L19" s="177"/>
      <c r="M19" s="44">
        <f t="shared" si="18"/>
        <v>0</v>
      </c>
      <c r="N19" s="178"/>
      <c r="O19" s="224">
        <f>'Summary Sheet - April 2026'!O20 + 'Summary Sheet - May 2026'!O20 + 'Summary Sheet - June 2026'!O20</f>
        <v>72049</v>
      </c>
      <c r="P19" s="52"/>
      <c r="Q19" s="53">
        <f>'Summary Sheet - April 2026'!Q20 + 'Summary Sheet - May 2026'!Q20 + 'Summary Sheet - June 2026'!Q20</f>
        <v>0</v>
      </c>
      <c r="R19" s="179"/>
      <c r="S19" s="174">
        <f>'Summary Sheet - April 2026'!S20 +'Summary Sheet - May 2026'!S20 + 'Summary Sheet - June 2026'!S20</f>
        <v>282881.69</v>
      </c>
      <c r="T19" s="52"/>
      <c r="U19" s="53">
        <f>'Summary Sheet - April 2026'!U20 +'Summary Sheet - May 2026'!U20 + 'Summary Sheet - June 2026'!U20</f>
        <v>0</v>
      </c>
      <c r="V19" s="179"/>
      <c r="W19" s="174">
        <f>'Summary Sheet - April 2026'!W20 + 'Summary Sheet - May 2026'!W20 + 'Summary Sheet - June 2026'!W20</f>
        <v>609158.44</v>
      </c>
      <c r="X19" s="52"/>
      <c r="Y19" s="53">
        <f>'Summary Sheet - April 2026'!Y20 + 'Summary Sheet - May 2026'!Y20 + 'Summary Sheet - June 2026'!Y20</f>
        <v>0</v>
      </c>
      <c r="Z19" s="179"/>
      <c r="AA19" s="174">
        <f>'Summary Sheet - April 2026'!AA20 + 'Summary Sheet - May 2026'!AA20 + 'Summary Sheet - June 2026'!AA20</f>
        <v>312821.5</v>
      </c>
      <c r="AB19" s="52"/>
      <c r="AC19" s="53">
        <f>'Summary Sheet - April 2026'!AC20 + 'Summary Sheet - May 2026'!AC20 + 'Summary Sheet - June 2026'!AC20</f>
        <v>0</v>
      </c>
      <c r="AD19" s="179"/>
      <c r="AE19" s="174">
        <f>'Summary Sheet - April 2026'!AE20 + 'Summary Sheet - May 2026'!AE20 + 'Summary Sheet - June 2026'!AE20</f>
        <v>290595</v>
      </c>
      <c r="AF19" s="52"/>
      <c r="AG19" s="53">
        <f>'Summary Sheet - April 2026'!AG20 + 'Summary Sheet - May 2026'!AG20 + 'Summary Sheet - June 2026'!AG20</f>
        <v>0</v>
      </c>
      <c r="AH19" s="179"/>
      <c r="AI19" s="174">
        <f>'Summary Sheet - April 2026'!AI20 + 'Summary Sheet - May 2026'!AI20 + 'Summary Sheet - June 2026'!AI20</f>
        <v>80000</v>
      </c>
      <c r="AJ19" s="52"/>
      <c r="AK19" s="53">
        <f>'Summary Sheet - April 2026'!AK20 + 'Summary Sheet - May 2026'!AK20 + 'Summary Sheet - June 2026'!AK20</f>
        <v>0</v>
      </c>
      <c r="AL19" s="179"/>
      <c r="AM19" s="174">
        <f>'Summary Sheet - April 2026'!AM20 + 'Summary Sheet - May 2026'!AM20 + 'Summary Sheet - June 2026'!AM20</f>
        <v>168577.78</v>
      </c>
      <c r="AN19" s="52"/>
      <c r="AO19" s="53">
        <f>'Summary Sheet - April 2026'!AO20 + 'Summary Sheet - May 2026'!AO20 + 'Summary Sheet - June 2026'!AO20</f>
        <v>0</v>
      </c>
      <c r="AP19" s="179"/>
      <c r="AQ19" s="174">
        <f>'Summary Sheet - April 2026'!AQ20 + 'Summary Sheet - May 2026'!AQ20 + 'Summary Sheet - June 2026'!AQ20</f>
        <v>52063.98</v>
      </c>
      <c r="AR19" s="52"/>
      <c r="AS19" s="53">
        <f>'Summary Sheet - April 2026'!AS20 + 'Summary Sheet - May 2026'!AS20 + 'Summary Sheet - June 2026'!AS20</f>
        <v>35000</v>
      </c>
      <c r="AT19" s="179"/>
      <c r="AU19" s="174">
        <f>'Summary Sheet - April 2026'!AU20 + 'Summary Sheet - May 2026'!AU20 + 'Summary Sheet - June 2026'!AU20</f>
        <v>181927.16</v>
      </c>
      <c r="AV19" s="52"/>
      <c r="AW19" s="53">
        <f>'Summary Sheet - April 2026'!AW20 + 'Summary Sheet - May 2026'!AW20 + 'Summary Sheet - June 2026'!AW20</f>
        <v>0</v>
      </c>
      <c r="AX19" s="179"/>
      <c r="AY19" s="174">
        <f>'Summary Sheet - April 2026'!AY20 + 'Summary Sheet - May 2026'!AY20 + 'Summary Sheet - June 2026'!AY20</f>
        <v>43183.46</v>
      </c>
      <c r="AZ19" s="52"/>
      <c r="BA19" s="53">
        <f>'Summary Sheet - April 2026'!BA20 + 'Summary Sheet - May 2026'!BA20 + 'Summary Sheet - June 2026'!BA20</f>
        <v>0</v>
      </c>
      <c r="BB19" s="179"/>
      <c r="BC19" s="174">
        <f>'Summary Sheet - April 2026'!BC20 + 'Summary Sheet - May 2026'!BC20 + 'Summary Sheet - June 2026'!BC20</f>
        <v>43467.03</v>
      </c>
      <c r="BD19" s="52"/>
      <c r="BE19" s="53">
        <f>'Summary Sheet - April 2026'!BE20 + 'Summary Sheet - May 2026'!BE20 + 'Summary Sheet - June 2026'!BE20</f>
        <v>0</v>
      </c>
      <c r="BF19" s="179"/>
      <c r="BG19" s="174">
        <f>'Summary Sheet - April 2026'!BG20 + 'Summary Sheet - May 2026'!BG20 + 'Summary Sheet - June 2026'!BG20</f>
        <v>79063</v>
      </c>
      <c r="BH19" s="52"/>
      <c r="BI19" s="53">
        <f>'Summary Sheet - April 2026'!BI20 + 'Summary Sheet - May 2026'!BI20 + 'Summary Sheet - June 2026'!BI20</f>
        <v>0</v>
      </c>
      <c r="BJ19" s="179"/>
    </row>
    <row r="20" ht="15.75" customHeight="1">
      <c r="A20" s="2"/>
      <c r="B20" s="175" t="s">
        <v>35</v>
      </c>
      <c r="C20" s="24">
        <f t="shared" si="13"/>
        <v>6545599.42</v>
      </c>
      <c r="D20" s="90">
        <f t="shared" si="14"/>
        <v>0.02882143289</v>
      </c>
      <c r="E20" s="44" t="str">
        <f t="shared" si="15"/>
        <v>#REF!</v>
      </c>
      <c r="F20" s="27" t="str">
        <f t="shared" si="16"/>
        <v>#REF!</v>
      </c>
      <c r="G20" s="200">
        <f>'Summary Sheet - April 2026'!G21 + 'Summary Sheet - May 2026'!G21 + 'Summary Sheet - June 2026'!G21</f>
        <v>0</v>
      </c>
      <c r="H20" s="42"/>
      <c r="I20" s="200">
        <f>'Summary Sheet - April 2026'!I21 + 'Summary Sheet - May 2026'!I21 + 'Summary Sheet - June 2026'!I21</f>
        <v>0</v>
      </c>
      <c r="J20" s="176"/>
      <c r="K20" s="87">
        <f t="shared" si="17"/>
        <v>6545599.42</v>
      </c>
      <c r="L20" s="177"/>
      <c r="M20" s="44" t="str">
        <f t="shared" si="18"/>
        <v>#REF!</v>
      </c>
      <c r="N20" s="178"/>
      <c r="O20" s="224">
        <f>'Summary Sheet - April 2026'!O21 + 'Summary Sheet - May 2026'!O21 + 'Summary Sheet - June 2026'!O21</f>
        <v>252669</v>
      </c>
      <c r="P20" s="52"/>
      <c r="Q20" s="53">
        <f>'Summary Sheet - April 2026'!Q21 + 'Summary Sheet - May 2026'!Q21 + 'Summary Sheet - June 2026'!Q21</f>
        <v>0</v>
      </c>
      <c r="R20" s="179"/>
      <c r="S20" s="174">
        <f>'Summary Sheet - April 2026'!S21 +'Summary Sheet - May 2026'!S21 + 'Summary Sheet - June 2026'!S21</f>
        <v>320926.03</v>
      </c>
      <c r="T20" s="52"/>
      <c r="U20" s="53">
        <f>'Summary Sheet - April 2026'!U21 +'Summary Sheet - May 2026'!U21 + 'Summary Sheet - June 2026'!U21</f>
        <v>0</v>
      </c>
      <c r="V20" s="179"/>
      <c r="W20" s="174">
        <f>'Summary Sheet - April 2026'!W21 + 'Summary Sheet - May 2026'!W21 + 'Summary Sheet - June 2026'!W21</f>
        <v>1382857.79</v>
      </c>
      <c r="X20" s="52"/>
      <c r="Y20" s="53" t="str">
        <f>'Summary Sheet - April 2026'!Y21 + 'Summary Sheet - May 2026'!Y21 + 'Summary Sheet - June 2026'!Y21</f>
        <v>#REF!</v>
      </c>
      <c r="Z20" s="179"/>
      <c r="AA20" s="174">
        <f>'Summary Sheet - April 2026'!AA21 + 'Summary Sheet - May 2026'!AA21 + 'Summary Sheet - June 2026'!AA21</f>
        <v>1997813.24</v>
      </c>
      <c r="AB20" s="52"/>
      <c r="AC20" s="53">
        <f>'Summary Sheet - April 2026'!AC21 + 'Summary Sheet - May 2026'!AC21 + 'Summary Sheet - June 2026'!AC21</f>
        <v>0</v>
      </c>
      <c r="AD20" s="179"/>
      <c r="AE20" s="174">
        <f>'Summary Sheet - April 2026'!AE21 + 'Summary Sheet - May 2026'!AE21 + 'Summary Sheet - June 2026'!AE21</f>
        <v>1881090</v>
      </c>
      <c r="AF20" s="52"/>
      <c r="AG20" s="53">
        <f>'Summary Sheet - April 2026'!AG21 + 'Summary Sheet - May 2026'!AG21 + 'Summary Sheet - June 2026'!AG21</f>
        <v>0</v>
      </c>
      <c r="AH20" s="179"/>
      <c r="AI20" s="174">
        <f>'Summary Sheet - April 2026'!AI21 + 'Summary Sheet - May 2026'!AI21 + 'Summary Sheet - June 2026'!AI21</f>
        <v>0</v>
      </c>
      <c r="AJ20" s="52"/>
      <c r="AK20" s="53">
        <f>'Summary Sheet - April 2026'!AK21 + 'Summary Sheet - May 2026'!AK21 + 'Summary Sheet - June 2026'!AK21</f>
        <v>0</v>
      </c>
      <c r="AL20" s="179"/>
      <c r="AM20" s="174">
        <f>'Summary Sheet - April 2026'!AM21 + 'Summary Sheet - May 2026'!AM21 + 'Summary Sheet - June 2026'!AM21</f>
        <v>104247.37</v>
      </c>
      <c r="AN20" s="52"/>
      <c r="AO20" s="53">
        <f>'Summary Sheet - April 2026'!AO21 + 'Summary Sheet - May 2026'!AO21 + 'Summary Sheet - June 2026'!AO21</f>
        <v>0</v>
      </c>
      <c r="AP20" s="179"/>
      <c r="AQ20" s="174">
        <f>'Summary Sheet - April 2026'!AQ21 + 'Summary Sheet - May 2026'!AQ21 + 'Summary Sheet - June 2026'!AQ21</f>
        <v>0</v>
      </c>
      <c r="AR20" s="52"/>
      <c r="AS20" s="53">
        <f>'Summary Sheet - April 2026'!AS21 + 'Summary Sheet - May 2026'!AS21 + 'Summary Sheet - June 2026'!AS21</f>
        <v>0</v>
      </c>
      <c r="AT20" s="179"/>
      <c r="AU20" s="174">
        <f>'Summary Sheet - April 2026'!AU21 + 'Summary Sheet - May 2026'!AU21 + 'Summary Sheet - June 2026'!AU21</f>
        <v>243426.64</v>
      </c>
      <c r="AV20" s="52"/>
      <c r="AW20" s="53">
        <f>'Summary Sheet - April 2026'!AW21 + 'Summary Sheet - May 2026'!AW21 + 'Summary Sheet - June 2026'!AW21</f>
        <v>0</v>
      </c>
      <c r="AX20" s="179"/>
      <c r="AY20" s="174">
        <f>'Summary Sheet - April 2026'!AY21 + 'Summary Sheet - May 2026'!AY21 + 'Summary Sheet - June 2026'!AY21</f>
        <v>69035.85</v>
      </c>
      <c r="AZ20" s="52"/>
      <c r="BA20" s="53">
        <f>'Summary Sheet - April 2026'!BA21 + 'Summary Sheet - May 2026'!BA21 + 'Summary Sheet - June 2026'!BA21</f>
        <v>0</v>
      </c>
      <c r="BB20" s="179"/>
      <c r="BC20" s="174">
        <f>'Summary Sheet - April 2026'!BC21 + 'Summary Sheet - May 2026'!BC21 + 'Summary Sheet - June 2026'!BC21</f>
        <v>85672.94</v>
      </c>
      <c r="BD20" s="52"/>
      <c r="BE20" s="53">
        <f>'Summary Sheet - April 2026'!BE21 + 'Summary Sheet - May 2026'!BE21 + 'Summary Sheet - June 2026'!BE21</f>
        <v>0</v>
      </c>
      <c r="BF20" s="179"/>
      <c r="BG20" s="174">
        <f>'Summary Sheet - April 2026'!BG21 + 'Summary Sheet - May 2026'!BG21 + 'Summary Sheet - June 2026'!BG21</f>
        <v>207860.56</v>
      </c>
      <c r="BH20" s="52"/>
      <c r="BI20" s="53">
        <f>'Summary Sheet - April 2026'!BI21 + 'Summary Sheet - May 2026'!BI21 + 'Summary Sheet - June 2026'!BI21</f>
        <v>0</v>
      </c>
      <c r="BJ20" s="179"/>
    </row>
    <row r="21" ht="15.75" customHeight="1">
      <c r="A21" s="2"/>
      <c r="B21" s="175" t="s">
        <v>36</v>
      </c>
      <c r="C21" s="24">
        <f t="shared" si="13"/>
        <v>26371733.67</v>
      </c>
      <c r="D21" s="90">
        <f t="shared" si="14"/>
        <v>0.1161194114</v>
      </c>
      <c r="E21" s="44">
        <f t="shared" si="15"/>
        <v>3057546</v>
      </c>
      <c r="F21" s="27" t="str">
        <f t="shared" si="16"/>
        <v>#DIV/0!</v>
      </c>
      <c r="G21" s="200">
        <f>'Summary Sheet - April 2026'!G22 + 'Summary Sheet - May 2026'!G22 + 'Summary Sheet - June 2026'!G22</f>
        <v>2508096</v>
      </c>
      <c r="H21" s="42"/>
      <c r="I21" s="200">
        <f>'Summary Sheet - April 2026'!I22 + 'Summary Sheet - May 2026'!I22 + 'Summary Sheet - June 2026'!I22</f>
        <v>0</v>
      </c>
      <c r="J21" s="176"/>
      <c r="K21" s="87">
        <f t="shared" si="17"/>
        <v>23863637.67</v>
      </c>
      <c r="L21" s="177"/>
      <c r="M21" s="44">
        <f t="shared" si="18"/>
        <v>3057546</v>
      </c>
      <c r="N21" s="178"/>
      <c r="O21" s="224">
        <f>'Summary Sheet - April 2026'!O22 + 'Summary Sheet - May 2026'!O22 + 'Summary Sheet - June 2026'!O22</f>
        <v>6042871.333</v>
      </c>
      <c r="P21" s="52"/>
      <c r="Q21" s="53">
        <f>'Summary Sheet - April 2026'!Q22 + 'Summary Sheet - May 2026'!Q22 + 'Summary Sheet - June 2026'!Q22</f>
        <v>1419717</v>
      </c>
      <c r="R21" s="179"/>
      <c r="S21" s="174">
        <f>'Summary Sheet - April 2026'!S22 +'Summary Sheet - May 2026'!S22 + 'Summary Sheet - June 2026'!S22</f>
        <v>255365</v>
      </c>
      <c r="T21" s="52"/>
      <c r="U21" s="53">
        <f>'Summary Sheet - April 2026'!U22 +'Summary Sheet - May 2026'!U22 + 'Summary Sheet - June 2026'!U22</f>
        <v>76212</v>
      </c>
      <c r="V21" s="179"/>
      <c r="W21" s="174">
        <f>'Summary Sheet - April 2026'!W22 + 'Summary Sheet - May 2026'!W22 + 'Summary Sheet - June 2026'!W22</f>
        <v>5600409.333</v>
      </c>
      <c r="X21" s="52"/>
      <c r="Y21" s="53">
        <f>'Summary Sheet - April 2026'!Y22 + 'Summary Sheet - May 2026'!Y22 + 'Summary Sheet - June 2026'!Y22</f>
        <v>1314963</v>
      </c>
      <c r="Z21" s="179"/>
      <c r="AA21" s="174">
        <f>'Summary Sheet - April 2026'!AA22 + 'Summary Sheet - May 2026'!AA22 + 'Summary Sheet - June 2026'!AA22</f>
        <v>3263458</v>
      </c>
      <c r="AB21" s="52"/>
      <c r="AC21" s="53">
        <f>'Summary Sheet - April 2026'!AC22 + 'Summary Sheet - May 2026'!AC22 + 'Summary Sheet - June 2026'!AC22</f>
        <v>0</v>
      </c>
      <c r="AD21" s="179"/>
      <c r="AE21" s="174">
        <f>'Summary Sheet - April 2026'!AE22 + 'Summary Sheet - May 2026'!AE22 + 'Summary Sheet - June 2026'!AE22</f>
        <v>4461956</v>
      </c>
      <c r="AF21" s="52"/>
      <c r="AG21" s="53">
        <f>'Summary Sheet - April 2026'!AG22 + 'Summary Sheet - May 2026'!AG22 + 'Summary Sheet - June 2026'!AG22</f>
        <v>0</v>
      </c>
      <c r="AH21" s="179"/>
      <c r="AI21" s="174">
        <f>'Summary Sheet - April 2026'!AI22 + 'Summary Sheet - May 2026'!AI22 + 'Summary Sheet - June 2026'!AI22</f>
        <v>712234</v>
      </c>
      <c r="AJ21" s="52"/>
      <c r="AK21" s="53">
        <f>'Summary Sheet - April 2026'!AK22 + 'Summary Sheet - May 2026'!AK22 + 'Summary Sheet - June 2026'!AK22</f>
        <v>90931</v>
      </c>
      <c r="AL21" s="179"/>
      <c r="AM21" s="174">
        <f>'Summary Sheet - April 2026'!AM22 + 'Summary Sheet - May 2026'!AM22 + 'Summary Sheet - June 2026'!AM22</f>
        <v>703067</v>
      </c>
      <c r="AN21" s="52"/>
      <c r="AO21" s="53">
        <f>'Summary Sheet - April 2026'!AO22 + 'Summary Sheet - May 2026'!AO22 + 'Summary Sheet - June 2026'!AO22</f>
        <v>155723</v>
      </c>
      <c r="AP21" s="179"/>
      <c r="AQ21" s="174">
        <f>'Summary Sheet - April 2026'!AQ22 + 'Summary Sheet - May 2026'!AQ22 + 'Summary Sheet - June 2026'!AQ22</f>
        <v>2824277</v>
      </c>
      <c r="AR21" s="52"/>
      <c r="AS21" s="53">
        <f>'Summary Sheet - April 2026'!AS22 + 'Summary Sheet - May 2026'!AS22 + 'Summary Sheet - June 2026'!AS22</f>
        <v>2419</v>
      </c>
      <c r="AT21" s="179"/>
      <c r="AU21" s="174">
        <f>'Summary Sheet - April 2026'!AU22 + 'Summary Sheet - May 2026'!AU22 + 'Summary Sheet - June 2026'!AU22</f>
        <v>0</v>
      </c>
      <c r="AV21" s="52"/>
      <c r="AW21" s="53">
        <f>'Summary Sheet - April 2026'!AW22 + 'Summary Sheet - May 2026'!AW22 + 'Summary Sheet - June 2026'!AW22</f>
        <v>0</v>
      </c>
      <c r="AX21" s="179"/>
      <c r="AY21" s="174">
        <f>'Summary Sheet - April 2026'!AY22 + 'Summary Sheet - May 2026'!AY22 + 'Summary Sheet - June 2026'!AY22</f>
        <v>0</v>
      </c>
      <c r="AZ21" s="52"/>
      <c r="BA21" s="53">
        <f>'Summary Sheet - April 2026'!BA22 + 'Summary Sheet - May 2026'!BA22 + 'Summary Sheet - June 2026'!BA22</f>
        <v>0</v>
      </c>
      <c r="BB21" s="179"/>
      <c r="BC21" s="174">
        <f>'Summary Sheet - April 2026'!BC22 + 'Summary Sheet - May 2026'!BC22 + 'Summary Sheet - June 2026'!BC22</f>
        <v>0</v>
      </c>
      <c r="BD21" s="52"/>
      <c r="BE21" s="53">
        <f>'Summary Sheet - April 2026'!BE22 + 'Summary Sheet - May 2026'!BE22 + 'Summary Sheet - June 2026'!BE22</f>
        <v>0</v>
      </c>
      <c r="BF21" s="179"/>
      <c r="BG21" s="174">
        <f>'Summary Sheet - April 2026'!BG22 + 'Summary Sheet - May 2026'!BG22 + 'Summary Sheet - June 2026'!BG22</f>
        <v>0</v>
      </c>
      <c r="BH21" s="52"/>
      <c r="BI21" s="53">
        <f>'Summary Sheet - April 2026'!BI22 + 'Summary Sheet - May 2026'!BI22 + 'Summary Sheet - June 2026'!BI22</f>
        <v>0</v>
      </c>
      <c r="BJ21" s="179"/>
    </row>
    <row r="22" ht="15.75" customHeight="1">
      <c r="A22" s="2"/>
      <c r="B22" s="175" t="s">
        <v>37</v>
      </c>
      <c r="C22" s="24">
        <f t="shared" si="13"/>
        <v>72295298</v>
      </c>
      <c r="D22" s="90">
        <f t="shared" si="14"/>
        <v>0.3183289942</v>
      </c>
      <c r="E22" s="44">
        <f t="shared" si="15"/>
        <v>1461900</v>
      </c>
      <c r="F22" s="27" t="str">
        <f t="shared" si="16"/>
        <v>#DIV/0!</v>
      </c>
      <c r="G22" s="200">
        <f>'Summary Sheet - April 2026'!G23 + 'Summary Sheet - May 2026'!G23 + 'Summary Sheet - June 2026'!G23</f>
        <v>11819119.72</v>
      </c>
      <c r="H22" s="42"/>
      <c r="I22" s="200">
        <f>'Summary Sheet - April 2026'!I23 + 'Summary Sheet - May 2026'!I23 + 'Summary Sheet - June 2026'!I23</f>
        <v>0</v>
      </c>
      <c r="J22" s="176"/>
      <c r="K22" s="87">
        <f t="shared" si="17"/>
        <v>60476178.28</v>
      </c>
      <c r="L22" s="177"/>
      <c r="M22" s="44">
        <f t="shared" si="18"/>
        <v>1461900</v>
      </c>
      <c r="N22" s="178"/>
      <c r="O22" s="224">
        <f>'Summary Sheet - April 2026'!O23 + 'Summary Sheet - May 2026'!O23 + 'Summary Sheet - June 2026'!O23</f>
        <v>15393073.68</v>
      </c>
      <c r="P22" s="52"/>
      <c r="Q22" s="53">
        <f>'Summary Sheet - April 2026'!Q23 + 'Summary Sheet - May 2026'!Q23 + 'Summary Sheet - June 2026'!Q23</f>
        <v>1367500</v>
      </c>
      <c r="R22" s="179"/>
      <c r="S22" s="174">
        <f>'Summary Sheet - April 2026'!S23 +'Summary Sheet - May 2026'!S23 + 'Summary Sheet - June 2026'!S23</f>
        <v>1083748.73</v>
      </c>
      <c r="T22" s="52"/>
      <c r="U22" s="53">
        <f>'Summary Sheet - April 2026'!U23 +'Summary Sheet - May 2026'!U23 + 'Summary Sheet - June 2026'!U23</f>
        <v>0</v>
      </c>
      <c r="V22" s="179"/>
      <c r="W22" s="174">
        <f>'Summary Sheet - April 2026'!W23 + 'Summary Sheet - May 2026'!W23 + 'Summary Sheet - June 2026'!W23</f>
        <v>9763782.583</v>
      </c>
      <c r="X22" s="52"/>
      <c r="Y22" s="53">
        <f>'Summary Sheet - April 2026'!Y23 + 'Summary Sheet - May 2026'!Y23 + 'Summary Sheet - June 2026'!Y23</f>
        <v>0</v>
      </c>
      <c r="Z22" s="179"/>
      <c r="AA22" s="174">
        <f>'Summary Sheet - April 2026'!AA23 + 'Summary Sheet - May 2026'!AA23 + 'Summary Sheet - June 2026'!AA23</f>
        <v>5291158.353</v>
      </c>
      <c r="AB22" s="52"/>
      <c r="AC22" s="53">
        <f>'Summary Sheet - April 2026'!AC23 + 'Summary Sheet - May 2026'!AC23 + 'Summary Sheet - June 2026'!AC23</f>
        <v>0</v>
      </c>
      <c r="AD22" s="179"/>
      <c r="AE22" s="174">
        <f>'Summary Sheet - April 2026'!AE23 + 'Summary Sheet - May 2026'!AE23 + 'Summary Sheet - June 2026'!AE23</f>
        <v>11246171</v>
      </c>
      <c r="AF22" s="52"/>
      <c r="AG22" s="53">
        <f>'Summary Sheet - April 2026'!AG23 + 'Summary Sheet - May 2026'!AG23 + 'Summary Sheet - June 2026'!AG23</f>
        <v>0</v>
      </c>
      <c r="AH22" s="179"/>
      <c r="AI22" s="174">
        <f>'Summary Sheet - April 2026'!AI23 + 'Summary Sheet - May 2026'!AI23 + 'Summary Sheet - June 2026'!AI23</f>
        <v>648712</v>
      </c>
      <c r="AJ22" s="52"/>
      <c r="AK22" s="53">
        <f>'Summary Sheet - April 2026'!AK23 + 'Summary Sheet - May 2026'!AK23 + 'Summary Sheet - June 2026'!AK23</f>
        <v>0</v>
      </c>
      <c r="AL22" s="179"/>
      <c r="AM22" s="174">
        <f>'Summary Sheet - April 2026'!AM23 + 'Summary Sheet - May 2026'!AM23 + 'Summary Sheet - June 2026'!AM23</f>
        <v>4398566.58</v>
      </c>
      <c r="AN22" s="52"/>
      <c r="AO22" s="53">
        <f>'Summary Sheet - April 2026'!AO23 + 'Summary Sheet - May 2026'!AO23 + 'Summary Sheet - June 2026'!AO23</f>
        <v>94400</v>
      </c>
      <c r="AP22" s="179"/>
      <c r="AQ22" s="174">
        <f>'Summary Sheet - April 2026'!AQ23 + 'Summary Sheet - May 2026'!AQ23 + 'Summary Sheet - June 2026'!AQ23</f>
        <v>11282590.85</v>
      </c>
      <c r="AR22" s="52"/>
      <c r="AS22" s="53">
        <f>'Summary Sheet - April 2026'!AS23 + 'Summary Sheet - May 2026'!AS23 + 'Summary Sheet - June 2026'!AS23</f>
        <v>0</v>
      </c>
      <c r="AT22" s="179"/>
      <c r="AU22" s="174">
        <f>'Summary Sheet - April 2026'!AU23 + 'Summary Sheet - May 2026'!AU23 + 'Summary Sheet - June 2026'!AU23</f>
        <v>0</v>
      </c>
      <c r="AV22" s="52"/>
      <c r="AW22" s="53">
        <f>'Summary Sheet - April 2026'!AW23 + 'Summary Sheet - May 2026'!AW23 + 'Summary Sheet - June 2026'!AW23</f>
        <v>0</v>
      </c>
      <c r="AX22" s="179"/>
      <c r="AY22" s="174">
        <f>'Summary Sheet - April 2026'!AY23 + 'Summary Sheet - May 2026'!AY23 + 'Summary Sheet - June 2026'!AY23</f>
        <v>0</v>
      </c>
      <c r="AZ22" s="52"/>
      <c r="BA22" s="53">
        <f>'Summary Sheet - April 2026'!BA23 + 'Summary Sheet - May 2026'!BA23 + 'Summary Sheet - June 2026'!BA23</f>
        <v>0</v>
      </c>
      <c r="BB22" s="179"/>
      <c r="BC22" s="174">
        <f>'Summary Sheet - April 2026'!BC23 + 'Summary Sheet - May 2026'!BC23 + 'Summary Sheet - June 2026'!BC23</f>
        <v>0</v>
      </c>
      <c r="BD22" s="52"/>
      <c r="BE22" s="53">
        <f>'Summary Sheet - April 2026'!BE23 + 'Summary Sheet - May 2026'!BE23 + 'Summary Sheet - June 2026'!BE23</f>
        <v>0</v>
      </c>
      <c r="BF22" s="179"/>
      <c r="BG22" s="174">
        <f>'Summary Sheet - April 2026'!BG23 + 'Summary Sheet - May 2026'!BG23 + 'Summary Sheet - June 2026'!BG23</f>
        <v>1368374.5</v>
      </c>
      <c r="BH22" s="52"/>
      <c r="BI22" s="53">
        <f>'Summary Sheet - April 2026'!BI23 + 'Summary Sheet - May 2026'!BI23 + 'Summary Sheet - June 2026'!BI23</f>
        <v>0</v>
      </c>
      <c r="BJ22" s="179"/>
    </row>
    <row r="23" ht="15.75" customHeight="1">
      <c r="A23" s="2"/>
      <c r="B23" s="175" t="s">
        <v>38</v>
      </c>
      <c r="C23" s="24">
        <f t="shared" si="13"/>
        <v>2960323.62</v>
      </c>
      <c r="D23" s="90">
        <f t="shared" si="14"/>
        <v>0.01303482891</v>
      </c>
      <c r="E23" s="44">
        <f t="shared" si="15"/>
        <v>0</v>
      </c>
      <c r="F23" s="27" t="str">
        <f t="shared" si="16"/>
        <v>#DIV/0!</v>
      </c>
      <c r="G23" s="200">
        <f>'Summary Sheet - April 2026'!G24 + 'Summary Sheet - May 2026'!G24 + 'Summary Sheet - June 2026'!G24</f>
        <v>1236166</v>
      </c>
      <c r="H23" s="42"/>
      <c r="I23" s="200">
        <f>'Summary Sheet - April 2026'!I24 + 'Summary Sheet - May 2026'!I24 + 'Summary Sheet - June 2026'!I24</f>
        <v>0</v>
      </c>
      <c r="J23" s="176"/>
      <c r="K23" s="87">
        <f t="shared" si="17"/>
        <v>1724157.62</v>
      </c>
      <c r="L23" s="177"/>
      <c r="M23" s="44">
        <f t="shared" si="18"/>
        <v>0</v>
      </c>
      <c r="N23" s="178"/>
      <c r="O23" s="224">
        <f>'Summary Sheet - April 2026'!O24 + 'Summary Sheet - May 2026'!O24 + 'Summary Sheet - June 2026'!O24</f>
        <v>1433371</v>
      </c>
      <c r="P23" s="52"/>
      <c r="Q23" s="53">
        <f>'Summary Sheet - April 2026'!Q24 + 'Summary Sheet - May 2026'!Q24 + 'Summary Sheet - June 2026'!Q24</f>
        <v>0</v>
      </c>
      <c r="R23" s="179"/>
      <c r="S23" s="174">
        <f>'Summary Sheet - April 2026'!S24 +'Summary Sheet - May 2026'!S24 + 'Summary Sheet - June 2026'!S24</f>
        <v>0</v>
      </c>
      <c r="T23" s="52"/>
      <c r="U23" s="53">
        <f>'Summary Sheet - April 2026'!U24 +'Summary Sheet - May 2026'!U24 + 'Summary Sheet - June 2026'!U24</f>
        <v>0</v>
      </c>
      <c r="V23" s="179"/>
      <c r="W23" s="174">
        <f>'Summary Sheet - April 2026'!W24 + 'Summary Sheet - May 2026'!W24 + 'Summary Sheet - June 2026'!W24</f>
        <v>58748</v>
      </c>
      <c r="X23" s="52"/>
      <c r="Y23" s="53">
        <f>'Summary Sheet - April 2026'!Y24 + 'Summary Sheet - May 2026'!Y24 + 'Summary Sheet - June 2026'!Y24</f>
        <v>0</v>
      </c>
      <c r="Z23" s="179"/>
      <c r="AA23" s="174">
        <f>'Summary Sheet - April 2026'!AA24 + 'Summary Sheet - May 2026'!AA24 + 'Summary Sheet - June 2026'!AA24</f>
        <v>55893</v>
      </c>
      <c r="AB23" s="52"/>
      <c r="AC23" s="53">
        <f>'Summary Sheet - April 2026'!AC24 + 'Summary Sheet - May 2026'!AC24 + 'Summary Sheet - June 2026'!AC24</f>
        <v>0</v>
      </c>
      <c r="AD23" s="179"/>
      <c r="AE23" s="174">
        <f>'Summary Sheet - April 2026'!AE24 + 'Summary Sheet - May 2026'!AE24 + 'Summary Sheet - June 2026'!AE24</f>
        <v>64603</v>
      </c>
      <c r="AF23" s="52"/>
      <c r="AG23" s="53">
        <f>'Summary Sheet - April 2026'!AG24 + 'Summary Sheet - May 2026'!AG24 + 'Summary Sheet - June 2026'!AG24</f>
        <v>0</v>
      </c>
      <c r="AH23" s="179"/>
      <c r="AI23" s="174">
        <f>'Summary Sheet - April 2026'!AI24 + 'Summary Sheet - May 2026'!AI24 + 'Summary Sheet - June 2026'!AI24</f>
        <v>0</v>
      </c>
      <c r="AJ23" s="52"/>
      <c r="AK23" s="53">
        <f>'Summary Sheet - April 2026'!AK24 + 'Summary Sheet - May 2026'!AK24 + 'Summary Sheet - June 2026'!AK24</f>
        <v>0</v>
      </c>
      <c r="AL23" s="179"/>
      <c r="AM23" s="174">
        <f>'Summary Sheet - April 2026'!AM24 + 'Summary Sheet - May 2026'!AM24 + 'Summary Sheet - June 2026'!AM24</f>
        <v>15501</v>
      </c>
      <c r="AN23" s="52"/>
      <c r="AO23" s="53">
        <f>'Summary Sheet - April 2026'!AO24 + 'Summary Sheet - May 2026'!AO24 + 'Summary Sheet - June 2026'!AO24</f>
        <v>0</v>
      </c>
      <c r="AP23" s="179"/>
      <c r="AQ23" s="174">
        <f>'Summary Sheet - April 2026'!AQ24 + 'Summary Sheet - May 2026'!AQ24 + 'Summary Sheet - June 2026'!AQ24</f>
        <v>96041.62</v>
      </c>
      <c r="AR23" s="52"/>
      <c r="AS23" s="53">
        <f>'Summary Sheet - April 2026'!AS24 + 'Summary Sheet - May 2026'!AS24 + 'Summary Sheet - June 2026'!AS24</f>
        <v>0</v>
      </c>
      <c r="AT23" s="179"/>
      <c r="AU23" s="174">
        <f>'Summary Sheet - April 2026'!AU24 + 'Summary Sheet - May 2026'!AU24 + 'Summary Sheet - June 2026'!AU24</f>
        <v>0</v>
      </c>
      <c r="AV23" s="52"/>
      <c r="AW23" s="53">
        <f>'Summary Sheet - April 2026'!AW24 + 'Summary Sheet - May 2026'!AW24 + 'Summary Sheet - June 2026'!AW24</f>
        <v>0</v>
      </c>
      <c r="AX23" s="179"/>
      <c r="AY23" s="174">
        <f>'Summary Sheet - April 2026'!AY24 + 'Summary Sheet - May 2026'!AY24 + 'Summary Sheet - June 2026'!AY24</f>
        <v>0</v>
      </c>
      <c r="AZ23" s="52"/>
      <c r="BA23" s="53">
        <f>'Summary Sheet - April 2026'!BA24 + 'Summary Sheet - May 2026'!BA24 + 'Summary Sheet - June 2026'!BA24</f>
        <v>0</v>
      </c>
      <c r="BB23" s="179"/>
      <c r="BC23" s="174">
        <f>'Summary Sheet - April 2026'!BC24 + 'Summary Sheet - May 2026'!BC24 + 'Summary Sheet - June 2026'!BC24</f>
        <v>0</v>
      </c>
      <c r="BD23" s="52"/>
      <c r="BE23" s="53">
        <f>'Summary Sheet - April 2026'!BE24 + 'Summary Sheet - May 2026'!BE24 + 'Summary Sheet - June 2026'!BE24</f>
        <v>0</v>
      </c>
      <c r="BF23" s="179"/>
      <c r="BG23" s="174">
        <f>'Summary Sheet - April 2026'!BG24 + 'Summary Sheet - May 2026'!BG24 + 'Summary Sheet - June 2026'!BG24</f>
        <v>0</v>
      </c>
      <c r="BH23" s="52"/>
      <c r="BI23" s="53">
        <f>'Summary Sheet - April 2026'!BI24 + 'Summary Sheet - May 2026'!BI24 + 'Summary Sheet - June 2026'!BI24</f>
        <v>0</v>
      </c>
      <c r="BJ23" s="179"/>
    </row>
    <row r="24" ht="15.75" customHeight="1">
      <c r="A24" s="2"/>
      <c r="B24" s="175" t="s">
        <v>39</v>
      </c>
      <c r="C24" s="24">
        <f t="shared" si="13"/>
        <v>1602317.583</v>
      </c>
      <c r="D24" s="90">
        <f t="shared" si="14"/>
        <v>0.007055287948</v>
      </c>
      <c r="E24" s="44">
        <f t="shared" si="15"/>
        <v>134471.9167</v>
      </c>
      <c r="F24" s="27" t="str">
        <f t="shared" si="16"/>
        <v>#DIV/0!</v>
      </c>
      <c r="G24" s="200">
        <f>'Summary Sheet - April 2026'!G25 + 'Summary Sheet - May 2026'!G25 + 'Summary Sheet - June 2026'!G25</f>
        <v>526754.5</v>
      </c>
      <c r="H24" s="42"/>
      <c r="I24" s="200">
        <f>'Summary Sheet - April 2026'!I25 + 'Summary Sheet - May 2026'!I25 + 'Summary Sheet - June 2026'!I25</f>
        <v>0</v>
      </c>
      <c r="J24" s="176"/>
      <c r="K24" s="87">
        <f t="shared" si="17"/>
        <v>1075563.083</v>
      </c>
      <c r="L24" s="177"/>
      <c r="M24" s="44">
        <f t="shared" si="18"/>
        <v>134471.9167</v>
      </c>
      <c r="N24" s="178"/>
      <c r="O24" s="224">
        <f>'Summary Sheet - April 2026'!O25 + 'Summary Sheet - May 2026'!O25 + 'Summary Sheet - June 2026'!O25</f>
        <v>72420</v>
      </c>
      <c r="P24" s="52"/>
      <c r="Q24" s="53">
        <f>'Summary Sheet - April 2026'!Q25 + 'Summary Sheet - May 2026'!Q25 + 'Summary Sheet - June 2026'!Q25</f>
        <v>0</v>
      </c>
      <c r="R24" s="179"/>
      <c r="S24" s="174">
        <f>'Summary Sheet - April 2026'!S25 +'Summary Sheet - May 2026'!S25 + 'Summary Sheet - June 2026'!S25</f>
        <v>60731</v>
      </c>
      <c r="T24" s="52"/>
      <c r="U24" s="53">
        <f>'Summary Sheet - April 2026'!U25 +'Summary Sheet - May 2026'!U25 + 'Summary Sheet - June 2026'!U25</f>
        <v>0</v>
      </c>
      <c r="V24" s="179"/>
      <c r="W24" s="174">
        <f>'Summary Sheet - April 2026'!W25 + 'Summary Sheet - May 2026'!W25 + 'Summary Sheet - June 2026'!W25</f>
        <v>203521.6667</v>
      </c>
      <c r="X24" s="52"/>
      <c r="Y24" s="53">
        <f>'Summary Sheet - April 2026'!Y25 + 'Summary Sheet - May 2026'!Y25 + 'Summary Sheet - June 2026'!Y25</f>
        <v>0</v>
      </c>
      <c r="Z24" s="179"/>
      <c r="AA24" s="174">
        <f>'Summary Sheet - April 2026'!AA25 + 'Summary Sheet - May 2026'!AA25 + 'Summary Sheet - June 2026'!AA25</f>
        <v>141068.6667</v>
      </c>
      <c r="AB24" s="52"/>
      <c r="AC24" s="53">
        <f>'Summary Sheet - April 2026'!AC25 + 'Summary Sheet - May 2026'!AC25 + 'Summary Sheet - June 2026'!AC25</f>
        <v>49820.33333</v>
      </c>
      <c r="AD24" s="179"/>
      <c r="AE24" s="174">
        <f>'Summary Sheet - April 2026'!AE25 + 'Summary Sheet - May 2026'!AE25 + 'Summary Sheet - June 2026'!AE25</f>
        <v>222120.6667</v>
      </c>
      <c r="AF24" s="52"/>
      <c r="AG24" s="53">
        <f>'Summary Sheet - April 2026'!AG25 + 'Summary Sheet - May 2026'!AG25 + 'Summary Sheet - June 2026'!AG25</f>
        <v>77845.33333</v>
      </c>
      <c r="AH24" s="179"/>
      <c r="AI24" s="174">
        <f>'Summary Sheet - April 2026'!AI25 + 'Summary Sheet - May 2026'!AI25 + 'Summary Sheet - June 2026'!AI25</f>
        <v>20418.75</v>
      </c>
      <c r="AJ24" s="52"/>
      <c r="AK24" s="53">
        <f>'Summary Sheet - April 2026'!AK25 + 'Summary Sheet - May 2026'!AK25 + 'Summary Sheet - June 2026'!AK25</f>
        <v>6806.25</v>
      </c>
      <c r="AL24" s="179"/>
      <c r="AM24" s="174">
        <f>'Summary Sheet - April 2026'!AM25 + 'Summary Sheet - May 2026'!AM25 + 'Summary Sheet - June 2026'!AM25</f>
        <v>169574.3333</v>
      </c>
      <c r="AN24" s="52"/>
      <c r="AO24" s="53">
        <f>'Summary Sheet - April 2026'!AO25 + 'Summary Sheet - May 2026'!AO25 + 'Summary Sheet - June 2026'!AO25</f>
        <v>0</v>
      </c>
      <c r="AP24" s="179"/>
      <c r="AQ24" s="174">
        <f>'Summary Sheet - April 2026'!AQ25 + 'Summary Sheet - May 2026'!AQ25 + 'Summary Sheet - June 2026'!AQ25</f>
        <v>9440</v>
      </c>
      <c r="AR24" s="52"/>
      <c r="AS24" s="53">
        <f>'Summary Sheet - April 2026'!AS25 + 'Summary Sheet - May 2026'!AS25 + 'Summary Sheet - June 2026'!AS25</f>
        <v>3146.666667</v>
      </c>
      <c r="AT24" s="179"/>
      <c r="AU24" s="174">
        <f>'Summary Sheet - April 2026'!AU25 + 'Summary Sheet - May 2026'!AU25 + 'Summary Sheet - June 2026'!AU25</f>
        <v>81910</v>
      </c>
      <c r="AV24" s="52"/>
      <c r="AW24" s="53">
        <f>'Summary Sheet - April 2026'!AW25 + 'Summary Sheet - May 2026'!AW25 + 'Summary Sheet - June 2026'!AW25</f>
        <v>0</v>
      </c>
      <c r="AX24" s="179"/>
      <c r="AY24" s="174">
        <f>'Summary Sheet - April 2026'!AY25 + 'Summary Sheet - May 2026'!AY25 + 'Summary Sheet - June 2026'!AY25</f>
        <v>46182</v>
      </c>
      <c r="AZ24" s="52"/>
      <c r="BA24" s="53">
        <f>'Summary Sheet - April 2026'!BA25 + 'Summary Sheet - May 2026'!BA25 + 'Summary Sheet - June 2026'!BA25</f>
        <v>0</v>
      </c>
      <c r="BB24" s="179"/>
      <c r="BC24" s="174">
        <f>'Summary Sheet - April 2026'!BC25 + 'Summary Sheet - May 2026'!BC25 + 'Summary Sheet - June 2026'!BC25</f>
        <v>46182</v>
      </c>
      <c r="BD24" s="52"/>
      <c r="BE24" s="53">
        <f>'Summary Sheet - April 2026'!BE25 + 'Summary Sheet - May 2026'!BE25 + 'Summary Sheet - June 2026'!BE25</f>
        <v>0</v>
      </c>
      <c r="BF24" s="179"/>
      <c r="BG24" s="174">
        <f>'Summary Sheet - April 2026'!BG25 + 'Summary Sheet - May 2026'!BG25 + 'Summary Sheet - June 2026'!BG25</f>
        <v>1994</v>
      </c>
      <c r="BH24" s="52"/>
      <c r="BI24" s="53">
        <f>'Summary Sheet - April 2026'!BI25 + 'Summary Sheet - May 2026'!BI25 + 'Summary Sheet - June 2026'!BI25</f>
        <v>0</v>
      </c>
      <c r="BJ24" s="179"/>
    </row>
    <row r="25" ht="15.75" customHeight="1">
      <c r="A25" s="2"/>
      <c r="B25" s="175" t="s">
        <v>40</v>
      </c>
      <c r="C25" s="24">
        <f t="shared" si="13"/>
        <v>13264275.94</v>
      </c>
      <c r="D25" s="90">
        <f t="shared" si="14"/>
        <v>0.05840495491</v>
      </c>
      <c r="E25" s="44">
        <f t="shared" si="15"/>
        <v>553837</v>
      </c>
      <c r="F25" s="27" t="str">
        <f t="shared" si="16"/>
        <v>#DIV/0!</v>
      </c>
      <c r="G25" s="200">
        <f>'Summary Sheet - April 2026'!G26 + 'Summary Sheet - May 2026'!G26 + 'Summary Sheet - June 2026'!G26</f>
        <v>2612831.5</v>
      </c>
      <c r="H25" s="42"/>
      <c r="I25" s="200">
        <f>'Summary Sheet - April 2026'!I26 + 'Summary Sheet - May 2026'!I26 + 'Summary Sheet - June 2026'!I26</f>
        <v>10475</v>
      </c>
      <c r="J25" s="176"/>
      <c r="K25" s="87">
        <f t="shared" si="17"/>
        <v>10651444.44</v>
      </c>
      <c r="L25" s="177"/>
      <c r="M25" s="44">
        <f t="shared" si="18"/>
        <v>543362</v>
      </c>
      <c r="N25" s="178"/>
      <c r="O25" s="224">
        <f>'Summary Sheet - April 2026'!O26 + 'Summary Sheet - May 2026'!O26 + 'Summary Sheet - June 2026'!O26</f>
        <v>2405048.05</v>
      </c>
      <c r="P25" s="52"/>
      <c r="Q25" s="53">
        <f>'Summary Sheet - April 2026'!Q26 + 'Summary Sheet - May 2026'!Q26 + 'Summary Sheet - June 2026'!Q26</f>
        <v>371698.5</v>
      </c>
      <c r="R25" s="179"/>
      <c r="S25" s="174">
        <f>'Summary Sheet - April 2026'!S26 +'Summary Sheet - May 2026'!S26 + 'Summary Sheet - June 2026'!S26</f>
        <v>73181</v>
      </c>
      <c r="T25" s="52"/>
      <c r="U25" s="53">
        <f>'Summary Sheet - April 2026'!U26 +'Summary Sheet - May 2026'!U26 + 'Summary Sheet - June 2026'!U26</f>
        <v>0</v>
      </c>
      <c r="V25" s="179"/>
      <c r="W25" s="174">
        <f>'Summary Sheet - April 2026'!W26 + 'Summary Sheet - May 2026'!W26 + 'Summary Sheet - June 2026'!W26</f>
        <v>1563923.75</v>
      </c>
      <c r="X25" s="52"/>
      <c r="Y25" s="53">
        <f>'Summary Sheet - April 2026'!Y26 + 'Summary Sheet - May 2026'!Y26 + 'Summary Sheet - June 2026'!Y26</f>
        <v>0</v>
      </c>
      <c r="Z25" s="179"/>
      <c r="AA25" s="174">
        <f>'Summary Sheet - April 2026'!AA26 + 'Summary Sheet - May 2026'!AA26 + 'Summary Sheet - June 2026'!AA26</f>
        <v>518342.5</v>
      </c>
      <c r="AB25" s="52"/>
      <c r="AC25" s="53">
        <f>'Summary Sheet - April 2026'!AC26 + 'Summary Sheet - May 2026'!AC26 + 'Summary Sheet - June 2026'!AC26</f>
        <v>15522.25</v>
      </c>
      <c r="AD25" s="179"/>
      <c r="AE25" s="174">
        <f>'Summary Sheet - April 2026'!AE26 + 'Summary Sheet - May 2026'!AE26 + 'Summary Sheet - June 2026'!AE26</f>
        <v>1517109.76</v>
      </c>
      <c r="AF25" s="52"/>
      <c r="AG25" s="53">
        <f>'Summary Sheet - April 2026'!AG26 + 'Summary Sheet - May 2026'!AG26 + 'Summary Sheet - June 2026'!AG26</f>
        <v>133043</v>
      </c>
      <c r="AH25" s="179"/>
      <c r="AI25" s="174">
        <f>'Summary Sheet - April 2026'!AI26 + 'Summary Sheet - May 2026'!AI26 + 'Summary Sheet - June 2026'!AI26</f>
        <v>2518326.007</v>
      </c>
      <c r="AJ25" s="52"/>
      <c r="AK25" s="53">
        <f>'Summary Sheet - April 2026'!AK26 + 'Summary Sheet - May 2026'!AK26 + 'Summary Sheet - June 2026'!AK26</f>
        <v>5934.916667</v>
      </c>
      <c r="AL25" s="179"/>
      <c r="AM25" s="174">
        <f>'Summary Sheet - April 2026'!AM26 + 'Summary Sheet - May 2026'!AM26 + 'Summary Sheet - June 2026'!AM26</f>
        <v>601475.93</v>
      </c>
      <c r="AN25" s="52"/>
      <c r="AO25" s="53">
        <f>'Summary Sheet - April 2026'!AO26 + 'Summary Sheet - May 2026'!AO26 + 'Summary Sheet - June 2026'!AO26</f>
        <v>17163.33333</v>
      </c>
      <c r="AP25" s="179"/>
      <c r="AQ25" s="174">
        <f>'Summary Sheet - April 2026'!AQ26 + 'Summary Sheet - May 2026'!AQ26 + 'Summary Sheet - June 2026'!AQ26</f>
        <v>1424427.447</v>
      </c>
      <c r="AR25" s="52"/>
      <c r="AS25" s="53">
        <f>'Summary Sheet - April 2026'!AS26 + 'Summary Sheet - May 2026'!AS26 + 'Summary Sheet - June 2026'!AS26</f>
        <v>212632.0833</v>
      </c>
      <c r="AT25" s="179"/>
      <c r="AU25" s="174">
        <f>'Summary Sheet - April 2026'!AU26 + 'Summary Sheet - May 2026'!AU26 + 'Summary Sheet - June 2026'!AU26</f>
        <v>8100</v>
      </c>
      <c r="AV25" s="52"/>
      <c r="AW25" s="53">
        <f>'Summary Sheet - April 2026'!AW26 + 'Summary Sheet - May 2026'!AW26 + 'Summary Sheet - June 2026'!AW26</f>
        <v>0</v>
      </c>
      <c r="AX25" s="179"/>
      <c r="AY25" s="174">
        <f>'Summary Sheet - April 2026'!AY26 + 'Summary Sheet - May 2026'!AY26 + 'Summary Sheet - June 2026'!AY26</f>
        <v>8100</v>
      </c>
      <c r="AZ25" s="52"/>
      <c r="BA25" s="53">
        <f>'Summary Sheet - April 2026'!BA26 + 'Summary Sheet - May 2026'!BA26 + 'Summary Sheet - June 2026'!BA26</f>
        <v>0</v>
      </c>
      <c r="BB25" s="179"/>
      <c r="BC25" s="174">
        <f>'Summary Sheet - April 2026'!BC26 + 'Summary Sheet - May 2026'!BC26 + 'Summary Sheet - June 2026'!BC26</f>
        <v>0</v>
      </c>
      <c r="BD25" s="52"/>
      <c r="BE25" s="53">
        <f>'Summary Sheet - April 2026'!BE26 + 'Summary Sheet - May 2026'!BE26 + 'Summary Sheet - June 2026'!BE26</f>
        <v>0</v>
      </c>
      <c r="BF25" s="179"/>
      <c r="BG25" s="174">
        <f>'Summary Sheet - April 2026'!BG26 + 'Summary Sheet - May 2026'!BG26 + 'Summary Sheet - June 2026'!BG26</f>
        <v>13410</v>
      </c>
      <c r="BH25" s="52"/>
      <c r="BI25" s="53">
        <f>'Summary Sheet - April 2026'!BI26 + 'Summary Sheet - May 2026'!BI26 + 'Summary Sheet - June 2026'!BI26</f>
        <v>0</v>
      </c>
      <c r="BJ25" s="179"/>
    </row>
    <row r="26" ht="15.75" customHeight="1">
      <c r="A26" s="2"/>
      <c r="B26" s="175" t="s">
        <v>41</v>
      </c>
      <c r="C26" s="24">
        <f t="shared" si="13"/>
        <v>1170805</v>
      </c>
      <c r="D26" s="90">
        <f t="shared" si="14"/>
        <v>0.005155261661</v>
      </c>
      <c r="E26" s="44">
        <f t="shared" si="15"/>
        <v>10010</v>
      </c>
      <c r="F26" s="27" t="str">
        <f t="shared" si="16"/>
        <v>#DIV/0!</v>
      </c>
      <c r="G26" s="200">
        <f>'Summary Sheet - April 2026'!G27 + 'Summary Sheet - May 2026'!G27 + 'Summary Sheet - June 2026'!G27</f>
        <v>1027671</v>
      </c>
      <c r="H26" s="42"/>
      <c r="I26" s="200">
        <f>'Summary Sheet - April 2026'!I27 + 'Summary Sheet - May 2026'!I27 + 'Summary Sheet - June 2026'!I27</f>
        <v>0</v>
      </c>
      <c r="J26" s="176"/>
      <c r="K26" s="87">
        <f t="shared" si="17"/>
        <v>143134</v>
      </c>
      <c r="L26" s="177"/>
      <c r="M26" s="44">
        <f t="shared" si="18"/>
        <v>10010</v>
      </c>
      <c r="N26" s="178"/>
      <c r="O26" s="224">
        <f>'Summary Sheet - April 2026'!O27 + 'Summary Sheet - May 2026'!O27 + 'Summary Sheet - June 2026'!O27</f>
        <v>56404</v>
      </c>
      <c r="P26" s="52"/>
      <c r="Q26" s="53">
        <f>'Summary Sheet - April 2026'!Q27 + 'Summary Sheet - May 2026'!Q27 + 'Summary Sheet - June 2026'!Q27</f>
        <v>0</v>
      </c>
      <c r="R26" s="179"/>
      <c r="S26" s="174">
        <f>'Summary Sheet - April 2026'!S27 +'Summary Sheet - May 2026'!S27 + 'Summary Sheet - June 2026'!S27</f>
        <v>0</v>
      </c>
      <c r="T26" s="52"/>
      <c r="U26" s="53">
        <f>'Summary Sheet - April 2026'!U27 +'Summary Sheet - May 2026'!U27 + 'Summary Sheet - June 2026'!U27</f>
        <v>0</v>
      </c>
      <c r="V26" s="179"/>
      <c r="W26" s="174">
        <f>'Summary Sheet - April 2026'!W27 + 'Summary Sheet - May 2026'!W27 + 'Summary Sheet - June 2026'!W27</f>
        <v>30975</v>
      </c>
      <c r="X26" s="52"/>
      <c r="Y26" s="53">
        <f>'Summary Sheet - April 2026'!Y27 + 'Summary Sheet - May 2026'!Y27 + 'Summary Sheet - June 2026'!Y27</f>
        <v>0</v>
      </c>
      <c r="Z26" s="179"/>
      <c r="AA26" s="174">
        <f>'Summary Sheet - April 2026'!AA27 + 'Summary Sheet - May 2026'!AA27 + 'Summary Sheet - June 2026'!AA27</f>
        <v>0</v>
      </c>
      <c r="AB26" s="52"/>
      <c r="AC26" s="53">
        <f>'Summary Sheet - April 2026'!AC27 + 'Summary Sheet - May 2026'!AC27 + 'Summary Sheet - June 2026'!AC27</f>
        <v>0</v>
      </c>
      <c r="AD26" s="179"/>
      <c r="AE26" s="174">
        <f>'Summary Sheet - April 2026'!AE27 + 'Summary Sheet - May 2026'!AE27 + 'Summary Sheet - June 2026'!AE27</f>
        <v>30975</v>
      </c>
      <c r="AF26" s="52"/>
      <c r="AG26" s="53">
        <f>'Summary Sheet - April 2026'!AG27 + 'Summary Sheet - May 2026'!AG27 + 'Summary Sheet - June 2026'!AG27</f>
        <v>10010</v>
      </c>
      <c r="AH26" s="179"/>
      <c r="AI26" s="174">
        <f>'Summary Sheet - April 2026'!AI27 + 'Summary Sheet - May 2026'!AI27 + 'Summary Sheet - June 2026'!AI27</f>
        <v>0</v>
      </c>
      <c r="AJ26" s="52"/>
      <c r="AK26" s="53">
        <f>'Summary Sheet - April 2026'!AK27 + 'Summary Sheet - May 2026'!AK27 + 'Summary Sheet - June 2026'!AK27</f>
        <v>0</v>
      </c>
      <c r="AL26" s="179"/>
      <c r="AM26" s="174">
        <f>'Summary Sheet - April 2026'!AM27 + 'Summary Sheet - May 2026'!AM27 + 'Summary Sheet - June 2026'!AM27</f>
        <v>0</v>
      </c>
      <c r="AN26" s="52"/>
      <c r="AO26" s="53">
        <f>'Summary Sheet - April 2026'!AO27 + 'Summary Sheet - May 2026'!AO27 + 'Summary Sheet - June 2026'!AO27</f>
        <v>0</v>
      </c>
      <c r="AP26" s="179"/>
      <c r="AQ26" s="174">
        <f>'Summary Sheet - April 2026'!AQ27 + 'Summary Sheet - May 2026'!AQ27 + 'Summary Sheet - June 2026'!AQ27</f>
        <v>24780</v>
      </c>
      <c r="AR26" s="52"/>
      <c r="AS26" s="53">
        <f>'Summary Sheet - April 2026'!AS27 + 'Summary Sheet - May 2026'!AS27 + 'Summary Sheet - June 2026'!AS27</f>
        <v>8260</v>
      </c>
      <c r="AT26" s="179"/>
      <c r="AU26" s="174">
        <f>'Summary Sheet - April 2026'!AU27 + 'Summary Sheet - May 2026'!AU27 + 'Summary Sheet - June 2026'!AU27</f>
        <v>0</v>
      </c>
      <c r="AV26" s="52"/>
      <c r="AW26" s="53">
        <f>'Summary Sheet - April 2026'!AW27 + 'Summary Sheet - May 2026'!AW27 + 'Summary Sheet - June 2026'!AW27</f>
        <v>0</v>
      </c>
      <c r="AX26" s="179"/>
      <c r="AY26" s="174">
        <f>'Summary Sheet - April 2026'!AY27 + 'Summary Sheet - May 2026'!AY27 + 'Summary Sheet - June 2026'!AY27</f>
        <v>0</v>
      </c>
      <c r="AZ26" s="52"/>
      <c r="BA26" s="53">
        <f>'Summary Sheet - April 2026'!BA27 + 'Summary Sheet - May 2026'!BA27 + 'Summary Sheet - June 2026'!BA27</f>
        <v>0</v>
      </c>
      <c r="BB26" s="179"/>
      <c r="BC26" s="174">
        <f>'Summary Sheet - April 2026'!BC27 + 'Summary Sheet - May 2026'!BC27 + 'Summary Sheet - June 2026'!BC27</f>
        <v>0</v>
      </c>
      <c r="BD26" s="52"/>
      <c r="BE26" s="53">
        <f>'Summary Sheet - April 2026'!BE27 + 'Summary Sheet - May 2026'!BE27 + 'Summary Sheet - June 2026'!BE27</f>
        <v>0</v>
      </c>
      <c r="BF26" s="179"/>
      <c r="BG26" s="174">
        <f>'Summary Sheet - April 2026'!BG27 + 'Summary Sheet - May 2026'!BG27 + 'Summary Sheet - June 2026'!BG27</f>
        <v>0</v>
      </c>
      <c r="BH26" s="52"/>
      <c r="BI26" s="53">
        <f>'Summary Sheet - April 2026'!BI27 + 'Summary Sheet - May 2026'!BI27 + 'Summary Sheet - June 2026'!BI27</f>
        <v>0</v>
      </c>
      <c r="BJ26" s="179"/>
    </row>
    <row r="27" ht="15.75" customHeight="1">
      <c r="A27" s="2"/>
      <c r="B27" s="181" t="s">
        <v>42</v>
      </c>
      <c r="C27" s="55">
        <f t="shared" si="13"/>
        <v>-4654815</v>
      </c>
      <c r="D27" s="225">
        <f t="shared" si="14"/>
        <v>-0.0204959744</v>
      </c>
      <c r="E27" s="56">
        <f t="shared" si="15"/>
        <v>0</v>
      </c>
      <c r="F27" s="27" t="str">
        <f t="shared" si="16"/>
        <v>#DIV/0!</v>
      </c>
      <c r="G27" s="200">
        <f>'Summary Sheet - April 2026'!G28 + 'Summary Sheet - May 2026'!G28 + 'Summary Sheet - June 2026'!G28</f>
        <v>1606501</v>
      </c>
      <c r="H27" s="96"/>
      <c r="I27" s="200">
        <f>'Summary Sheet - April 2026'!I28 + 'Summary Sheet - May 2026'!I28 + 'Summary Sheet - June 2026'!I28</f>
        <v>0</v>
      </c>
      <c r="J27" s="180"/>
      <c r="K27" s="209">
        <f t="shared" si="17"/>
        <v>-6261316</v>
      </c>
      <c r="L27" s="182"/>
      <c r="M27" s="56">
        <f t="shared" si="18"/>
        <v>0</v>
      </c>
      <c r="N27" s="183"/>
      <c r="O27" s="224">
        <f>'Summary Sheet - April 2026'!O28 + 'Summary Sheet - May 2026'!O28 + 'Summary Sheet - June 2026'!O28</f>
        <v>0</v>
      </c>
      <c r="P27" s="64"/>
      <c r="Q27" s="53">
        <f>'Summary Sheet - April 2026'!Q28 + 'Summary Sheet - May 2026'!Q28 + 'Summary Sheet - June 2026'!Q28</f>
        <v>0</v>
      </c>
      <c r="R27" s="184"/>
      <c r="S27" s="174">
        <f>'Summary Sheet - April 2026'!S28 +'Summary Sheet - May 2026'!S28 + 'Summary Sheet - June 2026'!S28</f>
        <v>0</v>
      </c>
      <c r="T27" s="64"/>
      <c r="U27" s="53">
        <f>'Summary Sheet - April 2026'!U28 +'Summary Sheet - May 2026'!U28 + 'Summary Sheet - June 2026'!U28</f>
        <v>0</v>
      </c>
      <c r="V27" s="184"/>
      <c r="W27" s="174">
        <f>'Summary Sheet - April 2026'!W28 + 'Summary Sheet - May 2026'!W28 + 'Summary Sheet - June 2026'!W28</f>
        <v>0</v>
      </c>
      <c r="X27" s="64"/>
      <c r="Y27" s="53">
        <f>'Summary Sheet - April 2026'!Y28 + 'Summary Sheet - May 2026'!Y28 + 'Summary Sheet - June 2026'!Y28</f>
        <v>0</v>
      </c>
      <c r="Z27" s="184"/>
      <c r="AA27" s="174">
        <f>'Summary Sheet - April 2026'!AA28 + 'Summary Sheet - May 2026'!AA28 + 'Summary Sheet - June 2026'!AA28</f>
        <v>0</v>
      </c>
      <c r="AB27" s="64"/>
      <c r="AC27" s="53">
        <f>'Summary Sheet - April 2026'!AC28 + 'Summary Sheet - May 2026'!AC28 + 'Summary Sheet - June 2026'!AC28</f>
        <v>0</v>
      </c>
      <c r="AD27" s="184"/>
      <c r="AE27" s="174">
        <f>'Summary Sheet - April 2026'!AE28 + 'Summary Sheet - May 2026'!AE28 + 'Summary Sheet - June 2026'!AE28</f>
        <v>0</v>
      </c>
      <c r="AF27" s="64"/>
      <c r="AG27" s="53">
        <f>'Summary Sheet - April 2026'!AG28 + 'Summary Sheet - May 2026'!AG28 + 'Summary Sheet - June 2026'!AG28</f>
        <v>0</v>
      </c>
      <c r="AH27" s="184"/>
      <c r="AI27" s="174">
        <f>'Summary Sheet - April 2026'!AI28 + 'Summary Sheet - May 2026'!AI28 + 'Summary Sheet - June 2026'!AI28</f>
        <v>0</v>
      </c>
      <c r="AJ27" s="64"/>
      <c r="AK27" s="53">
        <f>'Summary Sheet - April 2026'!AK28 + 'Summary Sheet - May 2026'!AK28 + 'Summary Sheet - June 2026'!AK28</f>
        <v>0</v>
      </c>
      <c r="AL27" s="184"/>
      <c r="AM27" s="174">
        <f>'Summary Sheet - April 2026'!AM28 + 'Summary Sheet - May 2026'!AM28 + 'Summary Sheet - June 2026'!AM28</f>
        <v>-6271616</v>
      </c>
      <c r="AN27" s="64"/>
      <c r="AO27" s="53">
        <f>'Summary Sheet - April 2026'!AO28 + 'Summary Sheet - May 2026'!AO28 + 'Summary Sheet - June 2026'!AO28</f>
        <v>0</v>
      </c>
      <c r="AP27" s="184"/>
      <c r="AQ27" s="174">
        <f>'Summary Sheet - April 2026'!AQ28 + 'Summary Sheet - May 2026'!AQ28 + 'Summary Sheet - June 2026'!AQ28</f>
        <v>0</v>
      </c>
      <c r="AR27" s="64"/>
      <c r="AS27" s="53">
        <f>'Summary Sheet - April 2026'!AS28 + 'Summary Sheet - May 2026'!AS28 + 'Summary Sheet - June 2026'!AS28</f>
        <v>0</v>
      </c>
      <c r="AT27" s="184"/>
      <c r="AU27" s="174">
        <f>'Summary Sheet - April 2026'!AU28 + 'Summary Sheet - May 2026'!AU28 + 'Summary Sheet - June 2026'!AU28</f>
        <v>0</v>
      </c>
      <c r="AV27" s="64"/>
      <c r="AW27" s="53">
        <f>'Summary Sheet - April 2026'!AW28 + 'Summary Sheet - May 2026'!AW28 + 'Summary Sheet - June 2026'!AW28</f>
        <v>0</v>
      </c>
      <c r="AX27" s="184"/>
      <c r="AY27" s="174">
        <f>'Summary Sheet - April 2026'!AY28 + 'Summary Sheet - May 2026'!AY28 + 'Summary Sheet - June 2026'!AY28</f>
        <v>0</v>
      </c>
      <c r="AZ27" s="64"/>
      <c r="BA27" s="53">
        <f>'Summary Sheet - April 2026'!BA28 + 'Summary Sheet - May 2026'!BA28 + 'Summary Sheet - June 2026'!BA28</f>
        <v>0</v>
      </c>
      <c r="BB27" s="184"/>
      <c r="BC27" s="174">
        <f>'Summary Sheet - April 2026'!BC28 + 'Summary Sheet - May 2026'!BC28 + 'Summary Sheet - June 2026'!BC28</f>
        <v>0</v>
      </c>
      <c r="BD27" s="64"/>
      <c r="BE27" s="53">
        <f>'Summary Sheet - April 2026'!BE28 + 'Summary Sheet - May 2026'!BE28 + 'Summary Sheet - June 2026'!BE28</f>
        <v>0</v>
      </c>
      <c r="BF27" s="184"/>
      <c r="BG27" s="174">
        <f>'Summary Sheet - April 2026'!BG28 + 'Summary Sheet - May 2026'!BG28 + 'Summary Sheet - June 2026'!BG28</f>
        <v>10300</v>
      </c>
      <c r="BH27" s="64"/>
      <c r="BI27" s="53">
        <f>'Summary Sheet - April 2026'!BI28 + 'Summary Sheet - May 2026'!BI28 + 'Summary Sheet - June 2026'!BI28</f>
        <v>0</v>
      </c>
      <c r="BJ27" s="184"/>
    </row>
    <row r="28" ht="15.75" customHeight="1">
      <c r="A28" s="226"/>
      <c r="B28" s="214" t="s">
        <v>43</v>
      </c>
      <c r="C28" s="227">
        <f>SUM(C18:C27)</f>
        <v>128183946.7</v>
      </c>
      <c r="D28" s="216">
        <f>C28/C10</f>
        <v>0.5644166073</v>
      </c>
      <c r="E28" s="228" t="str">
        <f t="shared" si="15"/>
        <v>#REF!</v>
      </c>
      <c r="F28" s="221">
        <f>J28+N28</f>
        <v>0</v>
      </c>
      <c r="G28" s="229">
        <f>SUM(G18:G27)</f>
        <v>21674036.23</v>
      </c>
      <c r="H28" s="230"/>
      <c r="I28" s="230">
        <f>SUM(I18:I27)</f>
        <v>116675</v>
      </c>
      <c r="J28" s="231"/>
      <c r="K28" s="227">
        <f>SUM(K18:K27)</f>
        <v>106509910.5</v>
      </c>
      <c r="L28" s="221"/>
      <c r="M28" s="220" t="str">
        <f>SUM(M18:M27)</f>
        <v>#REF!</v>
      </c>
      <c r="N28" s="232"/>
      <c r="O28" s="227">
        <f>SUM(O18:O27)</f>
        <v>27421321.63</v>
      </c>
      <c r="P28" s="220"/>
      <c r="Q28" s="220">
        <f>SUM(Q18:Q27)</f>
        <v>3193293.5</v>
      </c>
      <c r="R28" s="232"/>
      <c r="S28" s="227">
        <f>SUM(S18:S27)</f>
        <v>2242494.74</v>
      </c>
      <c r="T28" s="220"/>
      <c r="U28" s="220">
        <f>SUM(U18:U27)</f>
        <v>76212</v>
      </c>
      <c r="V28" s="232"/>
      <c r="W28" s="227">
        <f>SUM(W18:W27)</f>
        <v>20384918.44</v>
      </c>
      <c r="X28" s="220"/>
      <c r="Y28" s="220" t="str">
        <f>SUM(Y18:Y27)</f>
        <v>#REF!</v>
      </c>
      <c r="Z28" s="232"/>
      <c r="AA28" s="227">
        <f>SUM(AA18:AA27)</f>
        <v>12333593.08</v>
      </c>
      <c r="AB28" s="220"/>
      <c r="AC28" s="220">
        <f>SUM(AC18:AC27)</f>
        <v>65342.58333</v>
      </c>
      <c r="AD28" s="232"/>
      <c r="AE28" s="227">
        <f>SUM(AE18:AE27)</f>
        <v>21043678.88</v>
      </c>
      <c r="AF28" s="220"/>
      <c r="AG28" s="220">
        <f>SUM(AG18:AG27)</f>
        <v>220898.3333</v>
      </c>
      <c r="AH28" s="232"/>
      <c r="AI28" s="227">
        <f>SUM(AI18:AI27)</f>
        <v>4059415.757</v>
      </c>
      <c r="AJ28" s="220"/>
      <c r="AK28" s="220">
        <f>SUM(AK18:AK27)</f>
        <v>103672.1667</v>
      </c>
      <c r="AL28" s="232"/>
      <c r="AM28" s="227">
        <f>SUM(AM18:AM27)</f>
        <v>-0.1466666674</v>
      </c>
      <c r="AN28" s="220"/>
      <c r="AO28" s="220">
        <f>SUM(AO18:AO27)</f>
        <v>267286.3333</v>
      </c>
      <c r="AP28" s="232"/>
      <c r="AQ28" s="227">
        <f>SUM(AQ18:AQ27)</f>
        <v>16437926.03</v>
      </c>
      <c r="AR28" s="220"/>
      <c r="AS28" s="220">
        <f>SUM(AS18:AS27)</f>
        <v>261457.75</v>
      </c>
      <c r="AT28" s="232"/>
      <c r="AU28" s="227">
        <f>SUM(AU18:AU27)</f>
        <v>554770.7</v>
      </c>
      <c r="AV28" s="220"/>
      <c r="AW28" s="220">
        <f>SUM(AW18:AW27)</f>
        <v>0</v>
      </c>
      <c r="AX28" s="232"/>
      <c r="AY28" s="227">
        <f>SUM(AY18:AY27)</f>
        <v>166501.31</v>
      </c>
      <c r="AZ28" s="220"/>
      <c r="BA28" s="220">
        <f>SUM(BA18:BA27)</f>
        <v>0</v>
      </c>
      <c r="BB28" s="232"/>
      <c r="BC28" s="227">
        <f>SUM(BC18:BC27)</f>
        <v>175321.97</v>
      </c>
      <c r="BD28" s="220"/>
      <c r="BE28" s="220">
        <f>SUM(BE18:BE27)</f>
        <v>0</v>
      </c>
      <c r="BF28" s="232"/>
      <c r="BG28" s="227">
        <f>SUM(BG18:BG27)</f>
        <v>1689968.06</v>
      </c>
      <c r="BH28" s="220"/>
      <c r="BI28" s="220">
        <f>SUM(BI18:BI27)</f>
        <v>0</v>
      </c>
      <c r="BJ28" s="232"/>
    </row>
    <row r="29" ht="15.75" customHeight="1">
      <c r="A29" s="2"/>
      <c r="B29" s="208"/>
      <c r="C29" s="104"/>
      <c r="D29" s="105"/>
      <c r="E29" s="105"/>
      <c r="F29" s="107"/>
      <c r="G29" s="120"/>
      <c r="H29" s="119"/>
      <c r="I29" s="119"/>
      <c r="J29" s="109"/>
      <c r="K29" s="104"/>
      <c r="L29" s="105"/>
      <c r="M29" s="105"/>
      <c r="N29" s="107"/>
      <c r="O29" s="3"/>
      <c r="P29" s="114"/>
      <c r="Q29" s="114"/>
      <c r="R29" s="211"/>
      <c r="S29" s="213"/>
      <c r="T29" s="114"/>
      <c r="U29" s="114"/>
      <c r="V29" s="211"/>
      <c r="W29" s="213"/>
      <c r="X29" s="114"/>
      <c r="Y29" s="114"/>
      <c r="Z29" s="211"/>
      <c r="AA29" s="213"/>
      <c r="AB29" s="114"/>
      <c r="AC29" s="114"/>
      <c r="AD29" s="211"/>
      <c r="AE29" s="213"/>
      <c r="AF29" s="114"/>
      <c r="AG29" s="114"/>
      <c r="AH29" s="211"/>
      <c r="AI29" s="213"/>
      <c r="AJ29" s="114"/>
      <c r="AK29" s="114"/>
      <c r="AL29" s="211"/>
      <c r="AM29" s="213"/>
      <c r="AN29" s="114"/>
      <c r="AO29" s="114"/>
      <c r="AP29" s="211"/>
      <c r="AQ29" s="213"/>
      <c r="AR29" s="114"/>
      <c r="AS29" s="114"/>
      <c r="AT29" s="211"/>
      <c r="AU29" s="213"/>
      <c r="AV29" s="114"/>
      <c r="AW29" s="114"/>
      <c r="AX29" s="211"/>
      <c r="AY29" s="213"/>
      <c r="AZ29" s="114"/>
      <c r="BA29" s="114"/>
      <c r="BB29" s="211"/>
      <c r="BC29" s="213"/>
      <c r="BD29" s="114"/>
      <c r="BE29" s="114"/>
      <c r="BF29" s="211"/>
      <c r="BG29" s="213"/>
      <c r="BH29" s="114"/>
      <c r="BI29" s="114"/>
      <c r="BJ29" s="211"/>
    </row>
    <row r="30" ht="15.75" customHeight="1">
      <c r="A30" s="2"/>
      <c r="B30" s="214" t="s">
        <v>44</v>
      </c>
      <c r="C30" s="215">
        <f>C16-C28</f>
        <v>14492963.69</v>
      </c>
      <c r="D30" s="216"/>
      <c r="E30" s="217" t="str">
        <f>E16-E28</f>
        <v>#DIV/0!</v>
      </c>
      <c r="F30" s="218"/>
      <c r="G30" s="233">
        <f>G16-G28</f>
        <v>-21676000.23</v>
      </c>
      <c r="H30" s="220"/>
      <c r="I30" s="220">
        <f>I16-I28</f>
        <v>-116675</v>
      </c>
      <c r="J30" s="221"/>
      <c r="K30" s="66">
        <f>K16-K28</f>
        <v>36168963.93</v>
      </c>
      <c r="L30" s="75"/>
      <c r="M30" s="68" t="str">
        <f>M16-M28</f>
        <v>#DIV/0!</v>
      </c>
      <c r="N30" s="70"/>
      <c r="O30" s="234">
        <f>O16-O28</f>
        <v>13601153.66</v>
      </c>
      <c r="P30" s="145"/>
      <c r="Q30" s="140">
        <f>Q16-Q28</f>
        <v>-3193293.5</v>
      </c>
      <c r="R30" s="235"/>
      <c r="S30" s="236">
        <f>S16-S28</f>
        <v>-351467.1305</v>
      </c>
      <c r="T30" s="145"/>
      <c r="U30" s="140">
        <f>U16-U28</f>
        <v>-76212</v>
      </c>
      <c r="V30" s="235"/>
      <c r="W30" s="236">
        <f>W16-W28</f>
        <v>6165418.911</v>
      </c>
      <c r="X30" s="145"/>
      <c r="Y30" s="140" t="str">
        <f>Y16-Y28</f>
        <v>#REF!</v>
      </c>
      <c r="Z30" s="235"/>
      <c r="AA30" s="236">
        <f>AA16-AA28</f>
        <v>6132934.1</v>
      </c>
      <c r="AB30" s="145"/>
      <c r="AC30" s="140">
        <f>AC16-AC28</f>
        <v>-65342.58333</v>
      </c>
      <c r="AD30" s="235"/>
      <c r="AE30" s="236">
        <f>AE16-AE28</f>
        <v>13664097.33</v>
      </c>
      <c r="AF30" s="145"/>
      <c r="AG30" s="140" t="str">
        <f>AG16-AG28</f>
        <v>#DIV/0!</v>
      </c>
      <c r="AH30" s="235"/>
      <c r="AI30" s="236">
        <f>AI16-AI28</f>
        <v>-3695248.757</v>
      </c>
      <c r="AJ30" s="145"/>
      <c r="AK30" s="140">
        <f>AK16-AK28</f>
        <v>-103672.1667</v>
      </c>
      <c r="AL30" s="235"/>
      <c r="AM30" s="236">
        <f>AM16-AM28</f>
        <v>-1037812.271</v>
      </c>
      <c r="AN30" s="145"/>
      <c r="AO30" s="140">
        <f>AO16-AO28</f>
        <v>-267286.3333</v>
      </c>
      <c r="AP30" s="235"/>
      <c r="AQ30" s="236">
        <f>AQ16-AQ28</f>
        <v>3531719.03</v>
      </c>
      <c r="AR30" s="145"/>
      <c r="AS30" s="140">
        <f>AS16-AS28</f>
        <v>-261457.75</v>
      </c>
      <c r="AT30" s="235"/>
      <c r="AU30" s="236">
        <f>AU16-AU28</f>
        <v>-643927.1912</v>
      </c>
      <c r="AV30" s="145"/>
      <c r="AW30" s="140">
        <f>AW16-AW28</f>
        <v>0</v>
      </c>
      <c r="AX30" s="235"/>
      <c r="AY30" s="236">
        <f>AY16-AY28</f>
        <v>-295579.1887</v>
      </c>
      <c r="AZ30" s="145"/>
      <c r="BA30" s="140">
        <f>BA16-BA28</f>
        <v>0</v>
      </c>
      <c r="BB30" s="235"/>
      <c r="BC30" s="236">
        <f>BC16-BC28</f>
        <v>-381519.2634</v>
      </c>
      <c r="BD30" s="145"/>
      <c r="BE30" s="140">
        <f>BE16-BE28</f>
        <v>0</v>
      </c>
      <c r="BF30" s="235"/>
      <c r="BG30" s="236">
        <f>BG16-BG28</f>
        <v>-520805.3009</v>
      </c>
      <c r="BH30" s="145"/>
      <c r="BI30" s="140">
        <f>BI16-BI28</f>
        <v>0</v>
      </c>
      <c r="BJ30" s="235"/>
    </row>
    <row r="31" ht="15.75" customHeight="1">
      <c r="A31" s="2"/>
      <c r="B31" s="237" t="s">
        <v>48</v>
      </c>
      <c r="C31" s="238">
        <f>C30/C10</f>
        <v>0.06381508456</v>
      </c>
      <c r="D31" s="239"/>
      <c r="E31" s="216" t="str">
        <f>E30/E10</f>
        <v>#DIV/0!</v>
      </c>
      <c r="F31" s="240"/>
      <c r="G31" s="238" t="str">
        <f>G30/G10</f>
        <v>#DIV/0!</v>
      </c>
      <c r="H31" s="230"/>
      <c r="I31" s="216" t="str">
        <f>I30/I10</f>
        <v>#DIV/0!</v>
      </c>
      <c r="J31" s="241"/>
      <c r="K31" s="238">
        <f>K30/K10</f>
        <v>0.1592583505</v>
      </c>
      <c r="L31" s="239"/>
      <c r="M31" s="216" t="str">
        <f>M30/M10</f>
        <v>#DIV/0!</v>
      </c>
      <c r="N31" s="240"/>
      <c r="O31" s="242">
        <f>O30/O10</f>
        <v>0.2176731176</v>
      </c>
      <c r="P31" s="239"/>
      <c r="Q31" s="216" t="str">
        <f>Q30/Q10</f>
        <v>#DIV/0!</v>
      </c>
      <c r="R31" s="243"/>
      <c r="S31" s="244">
        <f>S30/S10</f>
        <v>-0.1249999131</v>
      </c>
      <c r="T31" s="239"/>
      <c r="U31" s="216" t="str">
        <f>U30/U10</f>
        <v>#DIV/0!</v>
      </c>
      <c r="V31" s="243"/>
      <c r="W31" s="244">
        <f>W30/W10</f>
        <v>0.1467485</v>
      </c>
      <c r="X31" s="239"/>
      <c r="Y31" s="216" t="str">
        <f>Y30/Y10</f>
        <v>#REF!</v>
      </c>
      <c r="Z31" s="243"/>
      <c r="AA31" s="244">
        <f>AA30/AA10</f>
        <v>0.2083905647</v>
      </c>
      <c r="AB31" s="239"/>
      <c r="AC31" s="216" t="str">
        <f>AC30/AC10</f>
        <v>#DIV/0!</v>
      </c>
      <c r="AD31" s="243"/>
      <c r="AE31" s="244">
        <f>AE30/AE10</f>
        <v>0.2606873669</v>
      </c>
      <c r="AF31" s="239"/>
      <c r="AG31" s="216" t="str">
        <f>AG30/AG10</f>
        <v>#DIV/0!</v>
      </c>
      <c r="AH31" s="243"/>
      <c r="AI31" s="244">
        <f>AI30/AI10</f>
        <v>-7.245543177</v>
      </c>
      <c r="AJ31" s="239"/>
      <c r="AK31" s="216" t="str">
        <f>AK30/AK10</f>
        <v>#DIV/0!</v>
      </c>
      <c r="AL31" s="243"/>
      <c r="AM31" s="244">
        <f>AM30/AM10</f>
        <v>-0.7999312571</v>
      </c>
      <c r="AN31" s="239"/>
      <c r="AO31" s="216" t="str">
        <f>AO30/AO10</f>
        <v>#DIV/0!</v>
      </c>
      <c r="AP31" s="243"/>
      <c r="AQ31" s="245"/>
      <c r="AR31" s="239"/>
      <c r="AS31" s="239"/>
      <c r="AT31" s="243"/>
      <c r="AU31" s="245"/>
      <c r="AV31" s="239"/>
      <c r="AW31" s="239"/>
      <c r="AX31" s="243"/>
      <c r="AY31" s="245"/>
      <c r="AZ31" s="239"/>
      <c r="BA31" s="239"/>
      <c r="BB31" s="243"/>
      <c r="BC31" s="245"/>
      <c r="BD31" s="239"/>
      <c r="BE31" s="239"/>
      <c r="BF31" s="243"/>
      <c r="BG31" s="245"/>
      <c r="BH31" s="239"/>
      <c r="BI31" s="239"/>
      <c r="BJ31" s="243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2"/>
      <c r="B33" s="2"/>
      <c r="C33" s="246">
        <f>G33+K33</f>
        <v>14492963.69</v>
      </c>
      <c r="D33" s="2"/>
      <c r="E33" s="2"/>
      <c r="F33" s="2"/>
      <c r="G33" s="246">
        <f>'Summary Sheet - April 2026'!G31+'Summary Sheet - May 2026'!G31+ 'Summary Sheet - June 2026'!G31</f>
        <v>-21676000.23</v>
      </c>
      <c r="H33" s="2"/>
      <c r="I33" s="2"/>
      <c r="J33" s="2"/>
      <c r="K33" s="246">
        <f>SUM(O33:BJ33)</f>
        <v>36168963.93</v>
      </c>
      <c r="L33" s="2"/>
      <c r="M33" s="2"/>
      <c r="N33" s="2"/>
      <c r="O33" s="246">
        <f>'Summary Sheet - April 2026'!O31+'Summary Sheet - May 2026'!O31+ 'Summary Sheet - June 2026'!O31</f>
        <v>13601153.66</v>
      </c>
      <c r="P33" s="2"/>
      <c r="Q33" s="2"/>
      <c r="R33" s="2"/>
      <c r="S33" s="246">
        <f>'Summary Sheet - April 2026'!S31+'Summary Sheet - May 2026'!S31+ 'Summary Sheet - June 2026'!S31</f>
        <v>-351467.1305</v>
      </c>
      <c r="T33" s="2"/>
      <c r="U33" s="2"/>
      <c r="V33" s="2"/>
      <c r="W33" s="246">
        <f>'Summary Sheet - April 2026'!W31+'Summary Sheet - May 2026'!W31+ 'Summary Sheet - June 2026'!W31</f>
        <v>6165418.911</v>
      </c>
      <c r="X33" s="2"/>
      <c r="Y33" s="2"/>
      <c r="Z33" s="2"/>
      <c r="AA33" s="246">
        <f>'Summary Sheet - April 2026'!AA31+'Summary Sheet - May 2026'!AA31+ 'Summary Sheet - June 2026'!AA31</f>
        <v>6132934.1</v>
      </c>
      <c r="AB33" s="2"/>
      <c r="AC33" s="2"/>
      <c r="AD33" s="2"/>
      <c r="AE33" s="246">
        <f>'Summary Sheet - April 2026'!AE31+'Summary Sheet - May 2026'!AE31+ 'Summary Sheet - June 2026'!AE31</f>
        <v>13664097.33</v>
      </c>
      <c r="AF33" s="2"/>
      <c r="AG33" s="2"/>
      <c r="AH33" s="2"/>
      <c r="AI33" s="246">
        <f>'Summary Sheet - April 2026'!AI31+'Summary Sheet - May 2026'!AI31+ 'Summary Sheet - June 2026'!AI31</f>
        <v>-3695248.757</v>
      </c>
      <c r="AJ33" s="2"/>
      <c r="AK33" s="2"/>
      <c r="AL33" s="2"/>
      <c r="AM33" s="246">
        <f>'Summary Sheet - April 2026'!AM31+'Summary Sheet - May 2026'!AM31+ 'Summary Sheet - June 2026'!AM31</f>
        <v>-1037812.271</v>
      </c>
      <c r="AN33" s="2"/>
      <c r="AO33" s="2"/>
      <c r="AP33" s="2"/>
      <c r="AQ33" s="246">
        <f>'Summary Sheet - April 2026'!AQ31+'Summary Sheet - May 2026'!AQ31+ 'Summary Sheet - June 2026'!AQ31</f>
        <v>3531719.03</v>
      </c>
      <c r="AR33" s="2"/>
      <c r="AS33" s="2"/>
      <c r="AT33" s="2"/>
      <c r="AU33" s="246">
        <f>'Summary Sheet - April 2026'!AU31+'Summary Sheet - May 2026'!AU31+ 'Summary Sheet - June 2026'!AU31</f>
        <v>-643927.1912</v>
      </c>
      <c r="AV33" s="2"/>
      <c r="AW33" s="2"/>
      <c r="AX33" s="2"/>
      <c r="AY33" s="246">
        <f>'Summary Sheet - April 2026'!AY31+'Summary Sheet - May 2026'!AY31+ 'Summary Sheet - June 2026'!AY31</f>
        <v>-295579.1887</v>
      </c>
      <c r="AZ33" s="2"/>
      <c r="BA33" s="2"/>
      <c r="BB33" s="2"/>
      <c r="BC33" s="246">
        <f>'Summary Sheet - April 2026'!BC31+'Summary Sheet - May 2026'!BC31+ 'Summary Sheet - June 2026'!BC31</f>
        <v>-381519.2634</v>
      </c>
      <c r="BD33" s="2"/>
      <c r="BE33" s="2"/>
      <c r="BF33" s="2"/>
      <c r="BG33" s="246">
        <f>'Summary Sheet - April 2026'!BG31+'Summary Sheet - May 2026'!BG31+ 'Summary Sheet - June 2026'!BG31</f>
        <v>-520805.3009</v>
      </c>
      <c r="BH33" s="2"/>
      <c r="BI33" s="2"/>
      <c r="BJ33" s="2"/>
    </row>
    <row r="34" ht="15.75" customHeight="1">
      <c r="A34" s="2"/>
      <c r="B34" s="2"/>
      <c r="C34" s="246">
        <f>+C30-C33</f>
        <v>0.00000002980232239</v>
      </c>
      <c r="D34" s="2"/>
      <c r="E34" s="246"/>
      <c r="F34" s="2"/>
      <c r="G34" s="246">
        <f>+G30-G33</f>
        <v>0</v>
      </c>
      <c r="H34" s="2"/>
      <c r="I34" s="2"/>
      <c r="J34" s="2"/>
      <c r="K34" s="246">
        <f>+K30-K33</f>
        <v>0.00000004470348358</v>
      </c>
      <c r="L34" s="2"/>
      <c r="M34" s="246"/>
      <c r="N34" s="2"/>
      <c r="O34" s="246">
        <f>+O30-O33</f>
        <v>0.000000001862645149</v>
      </c>
      <c r="P34" s="2"/>
      <c r="Q34" s="246"/>
      <c r="R34" s="2"/>
      <c r="S34" s="246">
        <f>+S30-S33</f>
        <v>-0.0000000002328306437</v>
      </c>
      <c r="T34" s="2"/>
      <c r="U34" s="246"/>
      <c r="V34" s="2"/>
      <c r="W34" s="246">
        <f>+W30-W33</f>
        <v>-0.000000001862645149</v>
      </c>
      <c r="X34" s="2"/>
      <c r="Y34" s="246"/>
      <c r="Z34" s="2"/>
      <c r="AA34" s="246">
        <f>+AA30-AA33</f>
        <v>-0.000000001862645149</v>
      </c>
      <c r="AB34" s="2"/>
      <c r="AC34" s="246"/>
      <c r="AD34" s="2"/>
      <c r="AE34" s="246">
        <f>+AE30-AE33</f>
        <v>-0.000000003725290298</v>
      </c>
      <c r="AF34" s="2"/>
      <c r="AG34" s="246"/>
      <c r="AH34" s="2"/>
      <c r="AI34" s="246">
        <f>+AI30-AI33</f>
        <v>0</v>
      </c>
      <c r="AJ34" s="2"/>
      <c r="AK34" s="246"/>
      <c r="AL34" s="2"/>
      <c r="AM34" s="246">
        <f>+AM30-AM33</f>
        <v>0.0000000005820766091</v>
      </c>
      <c r="AN34" s="2"/>
      <c r="AO34" s="246"/>
      <c r="AP34" s="2"/>
      <c r="AQ34" s="246">
        <f>+AQ30-AQ33</f>
        <v>0</v>
      </c>
      <c r="AR34" s="2"/>
      <c r="AS34" s="246"/>
      <c r="AT34" s="2"/>
      <c r="AU34" s="246">
        <f>+AU30-AU33</f>
        <v>0.0000000001164153218</v>
      </c>
      <c r="AV34" s="2"/>
      <c r="AW34" s="246"/>
      <c r="AX34" s="2"/>
      <c r="AY34" s="246">
        <f>+AY30-AY33</f>
        <v>0</v>
      </c>
      <c r="AZ34" s="2"/>
      <c r="BA34" s="246"/>
      <c r="BB34" s="2"/>
      <c r="BC34" s="246">
        <f>+BC30-BC33</f>
        <v>0</v>
      </c>
      <c r="BD34" s="2"/>
      <c r="BE34" s="246"/>
      <c r="BF34" s="2"/>
      <c r="BG34" s="246">
        <f>+BG30-BG33</f>
        <v>0</v>
      </c>
      <c r="BH34" s="2"/>
      <c r="BI34" s="246"/>
      <c r="B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2"/>
      <c r="B36" s="2"/>
      <c r="C36" s="246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2"/>
      <c r="B37" s="2"/>
      <c r="C37" s="246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2.63"/>
    <col customWidth="1" min="2" max="2" width="33.63"/>
    <col customWidth="1" min="3" max="6" width="12.63"/>
    <col customWidth="1" hidden="1" min="25" max="33" width="12.63"/>
  </cols>
  <sheetData>
    <row r="1" ht="15.75" customHeight="1">
      <c r="A1" s="151" t="s">
        <v>49</v>
      </c>
    </row>
    <row r="2" ht="15.75" customHeight="1">
      <c r="V2" s="247"/>
      <c r="W2" s="247"/>
      <c r="X2" s="248" t="s">
        <v>50</v>
      </c>
      <c r="Y2" s="249" t="s">
        <v>51</v>
      </c>
      <c r="Z2" s="249"/>
      <c r="AA2" s="249"/>
      <c r="AB2" s="249"/>
      <c r="AC2" s="249"/>
      <c r="AD2" s="249"/>
      <c r="AE2" s="249"/>
      <c r="AF2" s="249"/>
      <c r="AG2" s="249"/>
      <c r="AH2" s="249" t="s">
        <v>52</v>
      </c>
      <c r="AJ2" s="249"/>
      <c r="AK2" s="249"/>
      <c r="AL2" s="249"/>
      <c r="AM2" s="249"/>
      <c r="AN2" s="249"/>
      <c r="AO2" s="249"/>
      <c r="AP2" s="249"/>
      <c r="AQ2" s="249"/>
      <c r="AR2" s="249" t="s">
        <v>53</v>
      </c>
      <c r="AT2" s="249"/>
      <c r="AU2" s="249"/>
      <c r="AV2" s="249"/>
      <c r="AW2" s="249"/>
      <c r="AX2" s="249"/>
      <c r="AY2" s="249"/>
      <c r="AZ2" s="249"/>
      <c r="BA2" s="249"/>
      <c r="BB2" s="249" t="s">
        <v>54</v>
      </c>
      <c r="BD2" s="249"/>
      <c r="BE2" s="249"/>
      <c r="BF2" s="249"/>
      <c r="BG2" s="249"/>
      <c r="BH2" s="249"/>
      <c r="BI2" s="249"/>
      <c r="BJ2" s="249"/>
      <c r="BK2" s="249"/>
      <c r="BL2" s="249" t="s">
        <v>55</v>
      </c>
      <c r="BN2" s="249"/>
      <c r="BO2" s="249"/>
      <c r="BP2" s="249"/>
      <c r="BQ2" s="249"/>
      <c r="BR2" s="249"/>
      <c r="BS2" s="249"/>
      <c r="BT2" s="249"/>
      <c r="BU2" s="249" t="s">
        <v>56</v>
      </c>
      <c r="BW2" s="249"/>
      <c r="BX2" s="249"/>
      <c r="BY2" s="249"/>
      <c r="BZ2" s="249"/>
      <c r="CA2" s="249"/>
      <c r="CB2" s="249"/>
      <c r="CC2" s="249"/>
      <c r="CD2" s="249"/>
      <c r="CE2" s="249" t="s">
        <v>57</v>
      </c>
      <c r="CG2" s="249"/>
      <c r="CH2" s="249"/>
      <c r="CI2" s="249"/>
      <c r="CJ2" s="249"/>
      <c r="CK2" s="249"/>
      <c r="CL2" s="249"/>
      <c r="CM2" s="249"/>
      <c r="CN2" s="249"/>
      <c r="CO2" s="249" t="s">
        <v>58</v>
      </c>
      <c r="CR2" s="249"/>
      <c r="CS2" s="249"/>
      <c r="CT2" s="249"/>
      <c r="CU2" s="249"/>
      <c r="CV2" s="249"/>
      <c r="CW2" s="249"/>
      <c r="CX2" s="249"/>
      <c r="CY2" s="249" t="s">
        <v>59</v>
      </c>
      <c r="DA2" s="249"/>
      <c r="DB2" s="249"/>
      <c r="DC2" s="249"/>
      <c r="DD2" s="249"/>
      <c r="DE2" s="249"/>
      <c r="DF2" s="249"/>
      <c r="DG2" s="249"/>
      <c r="DH2" s="249" t="s">
        <v>60</v>
      </c>
      <c r="DJ2" s="249"/>
      <c r="DK2" s="249"/>
      <c r="DL2" s="249"/>
      <c r="DM2" s="249"/>
      <c r="DN2" s="249"/>
      <c r="DO2" s="249"/>
      <c r="DP2" s="249"/>
      <c r="DQ2" s="249"/>
      <c r="DR2" s="249" t="s">
        <v>6</v>
      </c>
      <c r="DS2" s="249"/>
      <c r="DT2" s="249"/>
      <c r="DU2" s="249"/>
      <c r="DV2" s="249"/>
      <c r="DW2" s="249"/>
      <c r="DX2" s="249"/>
      <c r="DY2" s="249"/>
      <c r="DZ2" s="249"/>
    </row>
    <row r="3" ht="15.75" customHeight="1">
      <c r="B3" s="250" t="s">
        <v>61</v>
      </c>
      <c r="C3" s="251">
        <v>45444.0</v>
      </c>
      <c r="D3" s="251">
        <v>45474.0</v>
      </c>
      <c r="E3" s="251">
        <v>45505.0</v>
      </c>
      <c r="F3" s="250" t="s">
        <v>62</v>
      </c>
      <c r="G3" s="251">
        <v>45566.0</v>
      </c>
      <c r="H3" s="251">
        <v>45597.0</v>
      </c>
      <c r="I3" s="251">
        <v>45627.0</v>
      </c>
      <c r="J3" s="251">
        <v>45658.0</v>
      </c>
      <c r="K3" s="251">
        <v>45689.0</v>
      </c>
      <c r="L3" s="251">
        <v>45717.0</v>
      </c>
      <c r="M3" s="251">
        <v>45748.0</v>
      </c>
      <c r="N3" s="251">
        <v>45778.0</v>
      </c>
      <c r="O3" s="250"/>
      <c r="P3" s="250"/>
      <c r="Q3" s="250"/>
      <c r="R3" s="250"/>
      <c r="V3" s="247"/>
      <c r="W3" s="247"/>
      <c r="X3" s="252" t="s">
        <v>63</v>
      </c>
      <c r="Y3" s="253" t="s">
        <v>64</v>
      </c>
      <c r="Z3" s="253" t="s">
        <v>65</v>
      </c>
      <c r="AA3" s="253" t="s">
        <v>66</v>
      </c>
      <c r="AB3" s="253" t="s">
        <v>67</v>
      </c>
      <c r="AC3" s="253" t="s">
        <v>68</v>
      </c>
      <c r="AD3" s="253" t="s">
        <v>69</v>
      </c>
      <c r="AE3" s="253" t="s">
        <v>70</v>
      </c>
      <c r="AF3" s="253" t="s">
        <v>71</v>
      </c>
      <c r="AG3" s="254"/>
      <c r="AH3" s="253" t="s">
        <v>64</v>
      </c>
      <c r="AI3" s="253" t="s">
        <v>65</v>
      </c>
      <c r="AJ3" s="253" t="s">
        <v>66</v>
      </c>
      <c r="AK3" s="253" t="s">
        <v>67</v>
      </c>
      <c r="AL3" s="255" t="s">
        <v>72</v>
      </c>
      <c r="AM3" s="253" t="s">
        <v>68</v>
      </c>
      <c r="AN3" s="253" t="s">
        <v>69</v>
      </c>
      <c r="AO3" s="253" t="s">
        <v>70</v>
      </c>
      <c r="AP3" s="253" t="s">
        <v>71</v>
      </c>
      <c r="AQ3" s="254"/>
      <c r="AR3" s="253" t="s">
        <v>64</v>
      </c>
      <c r="AS3" s="253" t="s">
        <v>65</v>
      </c>
      <c r="AT3" s="253" t="s">
        <v>66</v>
      </c>
      <c r="AU3" s="253" t="s">
        <v>67</v>
      </c>
      <c r="AV3" s="255" t="s">
        <v>72</v>
      </c>
      <c r="AW3" s="253" t="s">
        <v>68</v>
      </c>
      <c r="AX3" s="253" t="s">
        <v>69</v>
      </c>
      <c r="AY3" s="253" t="s">
        <v>70</v>
      </c>
      <c r="AZ3" s="253" t="s">
        <v>71</v>
      </c>
      <c r="BA3" s="254"/>
      <c r="BB3" s="253" t="s">
        <v>64</v>
      </c>
      <c r="BC3" s="253" t="s">
        <v>65</v>
      </c>
      <c r="BD3" s="253" t="s">
        <v>66</v>
      </c>
      <c r="BE3" s="253" t="s">
        <v>67</v>
      </c>
      <c r="BF3" s="255" t="s">
        <v>72</v>
      </c>
      <c r="BG3" s="253" t="s">
        <v>68</v>
      </c>
      <c r="BH3" s="253" t="s">
        <v>69</v>
      </c>
      <c r="BI3" s="253" t="s">
        <v>70</v>
      </c>
      <c r="BJ3" s="253" t="s">
        <v>71</v>
      </c>
      <c r="BK3" s="254"/>
      <c r="BL3" s="253" t="s">
        <v>64</v>
      </c>
      <c r="BM3" s="253" t="s">
        <v>65</v>
      </c>
      <c r="BN3" s="253" t="s">
        <v>66</v>
      </c>
      <c r="BO3" s="253" t="s">
        <v>67</v>
      </c>
      <c r="BP3" s="253" t="s">
        <v>68</v>
      </c>
      <c r="BQ3" s="253" t="s">
        <v>69</v>
      </c>
      <c r="BR3" s="253" t="s">
        <v>70</v>
      </c>
      <c r="BS3" s="253" t="s">
        <v>71</v>
      </c>
      <c r="BT3" s="254"/>
      <c r="BU3" s="253" t="s">
        <v>64</v>
      </c>
      <c r="BV3" s="253" t="s">
        <v>65</v>
      </c>
      <c r="BW3" s="253" t="s">
        <v>66</v>
      </c>
      <c r="BX3" s="253" t="s">
        <v>67</v>
      </c>
      <c r="BY3" s="255" t="s">
        <v>72</v>
      </c>
      <c r="BZ3" s="253" t="s">
        <v>68</v>
      </c>
      <c r="CA3" s="253" t="s">
        <v>69</v>
      </c>
      <c r="CB3" s="253" t="s">
        <v>70</v>
      </c>
      <c r="CC3" s="253" t="s">
        <v>71</v>
      </c>
      <c r="CD3" s="254"/>
      <c r="CE3" s="253" t="s">
        <v>64</v>
      </c>
      <c r="CF3" s="253" t="s">
        <v>65</v>
      </c>
      <c r="CG3" s="253" t="s">
        <v>66</v>
      </c>
      <c r="CH3" s="253" t="s">
        <v>67</v>
      </c>
      <c r="CI3" s="255" t="s">
        <v>72</v>
      </c>
      <c r="CJ3" s="253" t="s">
        <v>68</v>
      </c>
      <c r="CK3" s="253" t="s">
        <v>69</v>
      </c>
      <c r="CL3" s="253" t="s">
        <v>70</v>
      </c>
      <c r="CM3" s="253" t="s">
        <v>71</v>
      </c>
      <c r="CN3" s="254"/>
      <c r="CO3" s="253" t="s">
        <v>64</v>
      </c>
      <c r="CP3" s="253" t="s">
        <v>65</v>
      </c>
      <c r="CQ3" s="253" t="s">
        <v>66</v>
      </c>
      <c r="CR3" s="253" t="s">
        <v>67</v>
      </c>
      <c r="CS3" s="255" t="s">
        <v>72</v>
      </c>
      <c r="CT3" s="253" t="s">
        <v>68</v>
      </c>
      <c r="CU3" s="253" t="s">
        <v>69</v>
      </c>
      <c r="CV3" s="253" t="s">
        <v>70</v>
      </c>
      <c r="CW3" s="253" t="s">
        <v>71</v>
      </c>
      <c r="CX3" s="254"/>
      <c r="CY3" s="253" t="s">
        <v>64</v>
      </c>
      <c r="CZ3" s="253" t="s">
        <v>65</v>
      </c>
      <c r="DA3" s="253" t="s">
        <v>66</v>
      </c>
      <c r="DB3" s="253" t="s">
        <v>67</v>
      </c>
      <c r="DC3" s="253" t="s">
        <v>68</v>
      </c>
      <c r="DD3" s="253" t="s">
        <v>69</v>
      </c>
      <c r="DE3" s="253" t="s">
        <v>70</v>
      </c>
      <c r="DF3" s="253" t="s">
        <v>71</v>
      </c>
      <c r="DG3" s="254"/>
      <c r="DH3" s="253" t="s">
        <v>64</v>
      </c>
      <c r="DI3" s="253" t="s">
        <v>65</v>
      </c>
      <c r="DJ3" s="253" t="s">
        <v>66</v>
      </c>
      <c r="DK3" s="253" t="s">
        <v>67</v>
      </c>
      <c r="DL3" s="255" t="s">
        <v>72</v>
      </c>
      <c r="DM3" s="253" t="s">
        <v>68</v>
      </c>
      <c r="DN3" s="253" t="s">
        <v>69</v>
      </c>
      <c r="DO3" s="253" t="s">
        <v>70</v>
      </c>
      <c r="DP3" s="253" t="s">
        <v>71</v>
      </c>
      <c r="DQ3" s="254"/>
      <c r="DR3" s="253" t="s">
        <v>64</v>
      </c>
      <c r="DS3" s="253" t="s">
        <v>65</v>
      </c>
      <c r="DT3" s="253" t="s">
        <v>66</v>
      </c>
      <c r="DU3" s="253" t="s">
        <v>67</v>
      </c>
      <c r="DV3" s="255" t="s">
        <v>72</v>
      </c>
      <c r="DW3" s="253" t="s">
        <v>68</v>
      </c>
      <c r="DX3" s="253" t="s">
        <v>69</v>
      </c>
      <c r="DY3" s="253" t="s">
        <v>70</v>
      </c>
      <c r="DZ3" s="253" t="s">
        <v>71</v>
      </c>
    </row>
    <row r="4" ht="15.75" customHeight="1">
      <c r="B4" s="256" t="s">
        <v>73</v>
      </c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8">
        <f>'Mg St Colaba'!D6</f>
        <v>5434</v>
      </c>
      <c r="N4" s="258" t="str">
        <f>'Mg St Colaba'!#REF!</f>
        <v>#ERROR!</v>
      </c>
      <c r="O4" s="257"/>
      <c r="P4" s="257"/>
      <c r="Q4" s="257"/>
      <c r="R4" s="257"/>
      <c r="V4" s="247"/>
      <c r="W4" s="259"/>
      <c r="X4" s="260">
        <v>45444.0</v>
      </c>
      <c r="Y4" s="261">
        <v>4.061045226E7</v>
      </c>
      <c r="Z4" s="261">
        <v>3.261215775E7</v>
      </c>
      <c r="AA4" s="261">
        <v>6289412.4</v>
      </c>
      <c r="AB4" s="262">
        <v>1708882.11</v>
      </c>
      <c r="AC4" s="261">
        <v>20552.0</v>
      </c>
      <c r="AD4" s="262">
        <v>1587.81</v>
      </c>
      <c r="AE4" s="261">
        <v>7595.0</v>
      </c>
      <c r="AF4" s="261">
        <v>1110.22</v>
      </c>
      <c r="AG4" s="263"/>
      <c r="AH4" s="263" t="s">
        <v>74</v>
      </c>
      <c r="AI4" s="263" t="s">
        <v>75</v>
      </c>
      <c r="AJ4" s="263" t="s">
        <v>76</v>
      </c>
      <c r="AK4" s="263" t="s">
        <v>77</v>
      </c>
      <c r="AL4" s="264">
        <v>1.146578075E7</v>
      </c>
      <c r="AM4" s="263" t="s">
        <v>78</v>
      </c>
      <c r="AN4" s="263" t="s">
        <v>79</v>
      </c>
      <c r="AO4" s="261">
        <v>1229.0</v>
      </c>
      <c r="AP4" s="261">
        <v>1376.2</v>
      </c>
      <c r="AQ4" s="261"/>
      <c r="AR4" s="261">
        <v>1.025203875E7</v>
      </c>
      <c r="AS4" s="261">
        <v>8727909.0</v>
      </c>
      <c r="AT4" s="262">
        <v>1207380.0</v>
      </c>
      <c r="AU4" s="261">
        <v>316749.75</v>
      </c>
      <c r="AV4" s="265">
        <v>9044658.75</v>
      </c>
      <c r="AW4" s="261">
        <v>5928.0</v>
      </c>
      <c r="AX4" s="261">
        <v>1473.32</v>
      </c>
      <c r="AY4" s="261">
        <v>1135.0</v>
      </c>
      <c r="AZ4" s="261">
        <v>1427.16</v>
      </c>
      <c r="BA4" s="261"/>
      <c r="BB4" s="261">
        <v>5954008.5</v>
      </c>
      <c r="BC4" s="262">
        <v>3474309.0</v>
      </c>
      <c r="BD4" s="261">
        <v>2001483.0</v>
      </c>
      <c r="BE4" s="262">
        <v>478216.5</v>
      </c>
      <c r="BF4" s="261">
        <v>3952525.5</v>
      </c>
      <c r="BG4" s="261">
        <v>3802.0</v>
      </c>
      <c r="BH4" s="261">
        <v>914.81</v>
      </c>
      <c r="BI4" s="261">
        <v>2046.0</v>
      </c>
      <c r="BJ4" s="261">
        <v>1477.11</v>
      </c>
      <c r="BK4" s="261"/>
      <c r="BL4" s="261">
        <v>206749.36</v>
      </c>
      <c r="BM4" s="261">
        <v>0.0</v>
      </c>
      <c r="BN4" s="261">
        <v>206749.36</v>
      </c>
      <c r="BO4" s="261">
        <v>0.0</v>
      </c>
      <c r="BP4" s="261">
        <v>0.0</v>
      </c>
      <c r="BQ4" s="261">
        <v>0.0</v>
      </c>
      <c r="BR4" s="261">
        <v>394.0</v>
      </c>
      <c r="BS4" s="261">
        <v>524.74</v>
      </c>
      <c r="BT4" s="261"/>
      <c r="BU4" s="261">
        <v>334731.54</v>
      </c>
      <c r="BV4" s="261">
        <v>0.0</v>
      </c>
      <c r="BW4" s="261">
        <v>181825.04</v>
      </c>
      <c r="BX4" s="261">
        <v>152906.5</v>
      </c>
      <c r="BY4" s="261">
        <v>152906.5</v>
      </c>
      <c r="BZ4" s="261">
        <v>0.0</v>
      </c>
      <c r="CA4" s="261">
        <v>0.0</v>
      </c>
      <c r="CB4" s="261">
        <v>334.0</v>
      </c>
      <c r="CC4" s="261">
        <v>629.15</v>
      </c>
      <c r="CD4" s="261"/>
      <c r="CE4" s="261">
        <v>725851.86</v>
      </c>
      <c r="CF4" s="262">
        <v>0.0</v>
      </c>
      <c r="CG4" s="261">
        <v>351691.0</v>
      </c>
      <c r="CH4" s="261">
        <v>374160.86</v>
      </c>
      <c r="CI4" s="261">
        <v>374160.86</v>
      </c>
      <c r="CJ4" s="261">
        <v>0.0</v>
      </c>
      <c r="CK4" s="261">
        <v>0.0</v>
      </c>
      <c r="CL4" s="261">
        <v>1174.0</v>
      </c>
      <c r="CM4" s="261">
        <v>575.6</v>
      </c>
      <c r="CN4" s="261"/>
      <c r="CO4" s="261">
        <v>445738.0</v>
      </c>
      <c r="CP4" s="261">
        <v>0.0</v>
      </c>
      <c r="CQ4" s="261">
        <v>442013.0</v>
      </c>
      <c r="CR4" s="261">
        <v>3725.0</v>
      </c>
      <c r="CS4" s="261">
        <v>3725.0</v>
      </c>
      <c r="CT4" s="261">
        <v>0.0</v>
      </c>
      <c r="CU4" s="261">
        <v>0.0</v>
      </c>
      <c r="CV4" s="261">
        <v>806.0</v>
      </c>
      <c r="CW4" s="261">
        <v>550.45</v>
      </c>
      <c r="CX4" s="261"/>
      <c r="CY4" s="266"/>
      <c r="CZ4" s="266"/>
      <c r="DA4" s="266"/>
      <c r="DB4" s="266"/>
      <c r="DC4" s="266"/>
      <c r="DD4" s="266"/>
      <c r="DE4" s="267"/>
      <c r="DF4" s="266"/>
      <c r="DG4" s="261"/>
      <c r="DH4" s="261">
        <v>9707698.5</v>
      </c>
      <c r="DI4" s="261">
        <v>9191555.0</v>
      </c>
      <c r="DJ4" s="261">
        <v>408771.0</v>
      </c>
      <c r="DK4" s="261">
        <v>107372.5</v>
      </c>
      <c r="DL4" s="261">
        <v>9298927.5</v>
      </c>
      <c r="DM4" s="261">
        <v>3296.0</v>
      </c>
      <c r="DN4" s="261">
        <v>2789.7</v>
      </c>
      <c r="DO4" s="261">
        <v>322.0</v>
      </c>
      <c r="DP4" s="261">
        <v>1497.33</v>
      </c>
      <c r="DQ4" s="261"/>
      <c r="DR4" s="261">
        <v>203585.0</v>
      </c>
      <c r="DS4" s="261">
        <v>0.0</v>
      </c>
      <c r="DT4" s="261">
        <v>175230.0</v>
      </c>
      <c r="DU4" s="261">
        <v>28355.0</v>
      </c>
      <c r="DV4" s="261">
        <v>28355.0</v>
      </c>
      <c r="DW4" s="261">
        <v>0.0</v>
      </c>
      <c r="DX4" s="261">
        <v>0.0</v>
      </c>
      <c r="DY4" s="261">
        <v>155.0</v>
      </c>
      <c r="DZ4" s="261">
        <v>1260.65</v>
      </c>
    </row>
    <row r="5" ht="15.75" customHeight="1">
      <c r="B5" s="256" t="s">
        <v>80</v>
      </c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8">
        <f>'Mg St Colaba'!D7</f>
        <v>1706</v>
      </c>
      <c r="N5" s="258" t="str">
        <f>'Mg St Colaba'!#REF!</f>
        <v>#ERROR!</v>
      </c>
      <c r="O5" s="257"/>
      <c r="P5" s="257"/>
      <c r="Q5" s="257"/>
      <c r="R5" s="257"/>
      <c r="V5" s="247"/>
      <c r="W5" s="259"/>
      <c r="X5" s="260">
        <v>45474.0</v>
      </c>
      <c r="Y5" s="261">
        <v>4.203608797E7</v>
      </c>
      <c r="Z5" s="261">
        <v>3.336990547E7</v>
      </c>
      <c r="AA5" s="261">
        <v>6715473.72</v>
      </c>
      <c r="AB5" s="262">
        <v>1936843.78</v>
      </c>
      <c r="AC5" s="261">
        <v>20849.0</v>
      </c>
      <c r="AD5" s="262">
        <v>1601.55</v>
      </c>
      <c r="AE5" s="261">
        <v>8085.0</v>
      </c>
      <c r="AF5" s="261">
        <v>1132.46</v>
      </c>
      <c r="AG5" s="263"/>
      <c r="AH5" s="263" t="s">
        <v>81</v>
      </c>
      <c r="AI5" s="263" t="s">
        <v>82</v>
      </c>
      <c r="AJ5" s="263" t="s">
        <v>83</v>
      </c>
      <c r="AK5" s="263" t="s">
        <v>84</v>
      </c>
      <c r="AL5" s="264">
        <v>1.08495985E7</v>
      </c>
      <c r="AM5" s="263" t="s">
        <v>85</v>
      </c>
      <c r="AN5" s="263" t="s">
        <v>86</v>
      </c>
      <c r="AO5" s="261">
        <v>1332.0</v>
      </c>
      <c r="AP5" s="261">
        <v>1385.36</v>
      </c>
      <c r="AQ5" s="261"/>
      <c r="AR5" s="261">
        <v>1.072027275E7</v>
      </c>
      <c r="AS5" s="261">
        <v>8903963.75</v>
      </c>
      <c r="AT5" s="262">
        <v>1458400.0</v>
      </c>
      <c r="AU5" s="261">
        <v>357909.0</v>
      </c>
      <c r="AV5" s="265">
        <v>9261872.75</v>
      </c>
      <c r="AW5" s="261">
        <v>6066.0</v>
      </c>
      <c r="AX5" s="261">
        <v>1468.85</v>
      </c>
      <c r="AY5" s="261">
        <v>1305.0</v>
      </c>
      <c r="AZ5" s="261">
        <v>1438.26</v>
      </c>
      <c r="BA5" s="261"/>
      <c r="BB5" s="261">
        <v>6271416.0</v>
      </c>
      <c r="BC5" s="262">
        <v>3649913.5</v>
      </c>
      <c r="BD5" s="261">
        <v>1984457.0</v>
      </c>
      <c r="BE5" s="262">
        <v>637045.5</v>
      </c>
      <c r="BF5" s="261">
        <v>4286959.0</v>
      </c>
      <c r="BG5" s="261">
        <v>4112.0</v>
      </c>
      <c r="BH5" s="261">
        <v>888.62</v>
      </c>
      <c r="BI5" s="261">
        <v>2162.0</v>
      </c>
      <c r="BJ5" s="261">
        <v>1513.7</v>
      </c>
      <c r="BK5" s="261"/>
      <c r="BL5" s="261">
        <v>214714.22</v>
      </c>
      <c r="BM5" s="261">
        <v>0.0</v>
      </c>
      <c r="BN5" s="261">
        <v>214714.22</v>
      </c>
      <c r="BO5" s="261">
        <v>0.0</v>
      </c>
      <c r="BP5" s="261">
        <v>0.0</v>
      </c>
      <c r="BQ5" s="261">
        <v>0.0</v>
      </c>
      <c r="BR5" s="261">
        <v>390.0</v>
      </c>
      <c r="BS5" s="261">
        <v>550.55</v>
      </c>
      <c r="BT5" s="261"/>
      <c r="BU5" s="261">
        <v>389232.0</v>
      </c>
      <c r="BV5" s="261">
        <v>0.0</v>
      </c>
      <c r="BW5" s="261">
        <v>230855.5</v>
      </c>
      <c r="BX5" s="261">
        <v>158376.5</v>
      </c>
      <c r="BY5" s="261">
        <v>158376.5</v>
      </c>
      <c r="BZ5" s="261">
        <v>0.0</v>
      </c>
      <c r="CA5" s="261">
        <v>0.0</v>
      </c>
      <c r="CB5" s="261">
        <v>373.0</v>
      </c>
      <c r="CC5" s="261">
        <v>708.15</v>
      </c>
      <c r="CD5" s="261"/>
      <c r="CE5" s="261">
        <v>762792.28</v>
      </c>
      <c r="CF5" s="262">
        <v>0.0</v>
      </c>
      <c r="CG5" s="261">
        <v>389437.0</v>
      </c>
      <c r="CH5" s="261">
        <v>373355.28</v>
      </c>
      <c r="CI5" s="261">
        <v>373355.28</v>
      </c>
      <c r="CJ5" s="261">
        <v>0.0</v>
      </c>
      <c r="CK5" s="261">
        <v>0.0</v>
      </c>
      <c r="CL5" s="261">
        <v>1265.0</v>
      </c>
      <c r="CM5" s="261">
        <v>569.35</v>
      </c>
      <c r="CN5" s="261"/>
      <c r="CO5" s="261">
        <v>399988.0</v>
      </c>
      <c r="CP5" s="261">
        <v>0.0</v>
      </c>
      <c r="CQ5" s="261">
        <v>398588.0</v>
      </c>
      <c r="CR5" s="261">
        <v>1400.0</v>
      </c>
      <c r="CS5" s="261">
        <v>1400.0</v>
      </c>
      <c r="CT5" s="261">
        <v>0.0</v>
      </c>
      <c r="CU5" s="261">
        <v>0.0</v>
      </c>
      <c r="CV5" s="261">
        <v>766.0</v>
      </c>
      <c r="CW5" s="261">
        <v>521.03</v>
      </c>
      <c r="CX5" s="261"/>
      <c r="CY5" s="266"/>
      <c r="CZ5" s="266"/>
      <c r="DA5" s="266"/>
      <c r="DB5" s="266"/>
      <c r="DC5" s="266"/>
      <c r="DD5" s="266"/>
      <c r="DE5" s="267"/>
      <c r="DF5" s="266"/>
      <c r="DG5" s="261"/>
      <c r="DH5" s="261">
        <v>1.079563822E7</v>
      </c>
      <c r="DI5" s="261">
        <v>1.020506622E7</v>
      </c>
      <c r="DJ5" s="261">
        <v>427246.0</v>
      </c>
      <c r="DK5" s="261">
        <v>149461.0</v>
      </c>
      <c r="DL5" s="261">
        <v>1.035452722E7</v>
      </c>
      <c r="DM5" s="261">
        <v>3527.0</v>
      </c>
      <c r="DN5" s="261">
        <v>2894.41</v>
      </c>
      <c r="DO5" s="261">
        <v>324.0</v>
      </c>
      <c r="DP5" s="261">
        <v>1702.18</v>
      </c>
      <c r="DQ5" s="261"/>
      <c r="DR5" s="261">
        <v>201360.0</v>
      </c>
      <c r="DS5" s="261">
        <v>0.0</v>
      </c>
      <c r="DT5" s="261">
        <v>180700.0</v>
      </c>
      <c r="DU5" s="261">
        <v>20660.0</v>
      </c>
      <c r="DV5" s="261">
        <v>20660.0</v>
      </c>
      <c r="DW5" s="261">
        <v>0.0</v>
      </c>
      <c r="DX5" s="261">
        <v>0.0</v>
      </c>
      <c r="DY5" s="261">
        <v>168.0</v>
      </c>
      <c r="DZ5" s="261">
        <v>1158.33</v>
      </c>
    </row>
    <row r="6" ht="15.75" customHeight="1">
      <c r="B6" s="256" t="s">
        <v>87</v>
      </c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8">
        <f>'Mg St Colaba'!D8</f>
        <v>8713619.25</v>
      </c>
      <c r="N6" s="258" t="str">
        <f>'Mg St Colaba'!#REF!</f>
        <v>#ERROR!</v>
      </c>
      <c r="O6" s="257"/>
      <c r="P6" s="257"/>
      <c r="Q6" s="257"/>
      <c r="R6" s="257"/>
      <c r="V6" s="247"/>
      <c r="W6" s="259"/>
      <c r="X6" s="260">
        <v>45505.0</v>
      </c>
      <c r="Y6" s="261">
        <v>4.677713301E7</v>
      </c>
      <c r="Z6" s="261">
        <v>3.705463385E7</v>
      </c>
      <c r="AA6" s="261">
        <v>7413990.41</v>
      </c>
      <c r="AB6" s="262">
        <v>2296488.75</v>
      </c>
      <c r="AC6" s="261">
        <v>22678.0</v>
      </c>
      <c r="AD6" s="262">
        <v>1634.95</v>
      </c>
      <c r="AE6" s="261">
        <v>8551.0</v>
      </c>
      <c r="AF6" s="261">
        <v>1177.2</v>
      </c>
      <c r="AG6" s="263"/>
      <c r="AH6" s="263" t="s">
        <v>88</v>
      </c>
      <c r="AI6" s="263" t="s">
        <v>89</v>
      </c>
      <c r="AJ6" s="263" t="s">
        <v>90</v>
      </c>
      <c r="AK6" s="263" t="s">
        <v>91</v>
      </c>
      <c r="AL6" s="264">
        <v>1.232067425E7</v>
      </c>
      <c r="AM6" s="263" t="s">
        <v>92</v>
      </c>
      <c r="AN6" s="263" t="s">
        <v>93</v>
      </c>
      <c r="AO6" s="261">
        <v>1601.0</v>
      </c>
      <c r="AP6" s="261">
        <v>1367.76</v>
      </c>
      <c r="AQ6" s="261"/>
      <c r="AR6" s="261">
        <v>1.213288075E7</v>
      </c>
      <c r="AS6" s="261">
        <v>1.016822475E7</v>
      </c>
      <c r="AT6" s="262">
        <v>1517171.0</v>
      </c>
      <c r="AU6" s="261">
        <v>447485.0</v>
      </c>
      <c r="AV6" s="265">
        <v>1.061570975E7</v>
      </c>
      <c r="AW6" s="261">
        <v>6698.0</v>
      </c>
      <c r="AX6" s="261">
        <v>1519.1</v>
      </c>
      <c r="AY6" s="261">
        <v>1372.0</v>
      </c>
      <c r="AZ6" s="261">
        <v>1436.71</v>
      </c>
      <c r="BA6" s="261"/>
      <c r="BB6" s="261">
        <v>6848079.25</v>
      </c>
      <c r="BC6" s="262">
        <v>3841861.75</v>
      </c>
      <c r="BD6" s="261">
        <v>2334118.0</v>
      </c>
      <c r="BE6" s="262">
        <v>672099.5</v>
      </c>
      <c r="BF6" s="261">
        <v>4513961.25</v>
      </c>
      <c r="BG6" s="261">
        <v>4354.0</v>
      </c>
      <c r="BH6" s="261">
        <v>883.38</v>
      </c>
      <c r="BI6" s="261">
        <v>2328.0</v>
      </c>
      <c r="BJ6" s="261">
        <v>1543.73</v>
      </c>
      <c r="BK6" s="261"/>
      <c r="BL6" s="261">
        <v>218895.16</v>
      </c>
      <c r="BM6" s="261">
        <v>0.0</v>
      </c>
      <c r="BN6" s="261">
        <v>218895.16</v>
      </c>
      <c r="BO6" s="261">
        <v>0.0</v>
      </c>
      <c r="BP6" s="261">
        <v>0.0</v>
      </c>
      <c r="BQ6" s="261">
        <v>0.0</v>
      </c>
      <c r="BR6" s="261">
        <v>366.0</v>
      </c>
      <c r="BS6" s="261">
        <v>598.07</v>
      </c>
      <c r="BT6" s="261"/>
      <c r="BU6" s="261">
        <v>401656.0</v>
      </c>
      <c r="BV6" s="261">
        <v>0.0</v>
      </c>
      <c r="BW6" s="261">
        <v>221497.25</v>
      </c>
      <c r="BX6" s="261">
        <v>180158.75</v>
      </c>
      <c r="BY6" s="261">
        <v>180158.75</v>
      </c>
      <c r="BZ6" s="261">
        <v>0.0</v>
      </c>
      <c r="CA6" s="261">
        <v>0.0</v>
      </c>
      <c r="CB6" s="261">
        <v>372.0</v>
      </c>
      <c r="CC6" s="261">
        <v>721.49</v>
      </c>
      <c r="CD6" s="261"/>
      <c r="CE6" s="261">
        <v>795599.5</v>
      </c>
      <c r="CF6" s="262">
        <v>0.0</v>
      </c>
      <c r="CG6" s="261">
        <v>378039.0</v>
      </c>
      <c r="CH6" s="261">
        <v>417560.5</v>
      </c>
      <c r="CI6" s="261">
        <v>417560.5</v>
      </c>
      <c r="CJ6" s="261">
        <v>0.0</v>
      </c>
      <c r="CK6" s="261">
        <v>0.0</v>
      </c>
      <c r="CL6" s="261">
        <v>1237.0</v>
      </c>
      <c r="CM6" s="261">
        <v>584.3</v>
      </c>
      <c r="CN6" s="261"/>
      <c r="CO6" s="261">
        <v>421281.0</v>
      </c>
      <c r="CP6" s="261">
        <v>0.0</v>
      </c>
      <c r="CQ6" s="261">
        <v>420681.0</v>
      </c>
      <c r="CR6" s="261">
        <v>600.0</v>
      </c>
      <c r="CS6" s="261">
        <v>600.0</v>
      </c>
      <c r="CT6" s="261">
        <v>0.0</v>
      </c>
      <c r="CU6" s="261">
        <v>0.0</v>
      </c>
      <c r="CV6" s="261">
        <v>763.0</v>
      </c>
      <c r="CW6" s="261">
        <v>552.8</v>
      </c>
      <c r="CX6" s="261"/>
      <c r="CY6" s="261"/>
      <c r="CZ6" s="261"/>
      <c r="DA6" s="261"/>
      <c r="DB6" s="261"/>
      <c r="DC6" s="261"/>
      <c r="DD6" s="261"/>
      <c r="DE6" s="262"/>
      <c r="DF6" s="261"/>
      <c r="DG6" s="261"/>
      <c r="DH6" s="261">
        <v>1.17382181E7</v>
      </c>
      <c r="DI6" s="261">
        <v>1.11496126E7</v>
      </c>
      <c r="DJ6" s="261">
        <v>457315.0</v>
      </c>
      <c r="DK6" s="261">
        <v>119270.5</v>
      </c>
      <c r="DL6" s="261">
        <v>1.12688831E7</v>
      </c>
      <c r="DM6" s="261">
        <v>3992.0</v>
      </c>
      <c r="DN6" s="261">
        <v>2793.99</v>
      </c>
      <c r="DO6" s="261">
        <v>321.0</v>
      </c>
      <c r="DP6" s="261">
        <v>1719.23</v>
      </c>
      <c r="DQ6" s="261"/>
      <c r="DR6" s="261">
        <v>254435.0</v>
      </c>
      <c r="DS6" s="261">
        <v>0.0</v>
      </c>
      <c r="DT6" s="261">
        <v>220860.0</v>
      </c>
      <c r="DU6" s="261">
        <v>33575.0</v>
      </c>
      <c r="DV6" s="261">
        <v>33575.0</v>
      </c>
      <c r="DW6" s="261">
        <v>0.0</v>
      </c>
      <c r="DX6" s="261">
        <v>0.0</v>
      </c>
      <c r="DY6" s="261">
        <v>191.0</v>
      </c>
      <c r="DZ6" s="261">
        <v>1227.0</v>
      </c>
    </row>
    <row r="7" ht="15.75" customHeight="1">
      <c r="B7" s="256" t="s">
        <v>94</v>
      </c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8">
        <f>'Mg St Colaba'!D9</f>
        <v>4467129.24</v>
      </c>
      <c r="N7" s="258" t="str">
        <f>'Mg St Colaba'!#REF!</f>
        <v>#ERROR!</v>
      </c>
      <c r="O7" s="257"/>
      <c r="P7" s="257"/>
      <c r="Q7" s="257"/>
      <c r="R7" s="257"/>
      <c r="V7" s="247"/>
      <c r="W7" s="259"/>
      <c r="X7" s="260">
        <v>45536.0</v>
      </c>
      <c r="Y7" s="261">
        <v>4.346088541E7</v>
      </c>
      <c r="Z7" s="261">
        <v>3.355210323E7</v>
      </c>
      <c r="AA7" s="261">
        <v>7701230.4</v>
      </c>
      <c r="AB7" s="262">
        <v>2199476.78</v>
      </c>
      <c r="AC7" s="261">
        <v>19717.0</v>
      </c>
      <c r="AD7" s="262">
        <v>1702.68</v>
      </c>
      <c r="AE7" s="261">
        <v>8928.0</v>
      </c>
      <c r="AF7" s="261">
        <v>1160.17</v>
      </c>
      <c r="AG7" s="263"/>
      <c r="AH7" s="263" t="s">
        <v>95</v>
      </c>
      <c r="AI7" s="263" t="s">
        <v>96</v>
      </c>
      <c r="AJ7" s="263" t="s">
        <v>97</v>
      </c>
      <c r="AK7" s="263" t="s">
        <v>98</v>
      </c>
      <c r="AL7" s="264">
        <v>1.145224E7</v>
      </c>
      <c r="AM7" s="263" t="s">
        <v>99</v>
      </c>
      <c r="AN7" s="263" t="s">
        <v>100</v>
      </c>
      <c r="AO7" s="261">
        <v>1772.0</v>
      </c>
      <c r="AP7" s="261">
        <v>1365.33</v>
      </c>
      <c r="AQ7" s="261"/>
      <c r="AR7" s="261">
        <v>1.0133146E7</v>
      </c>
      <c r="AS7" s="261">
        <v>8189301.75</v>
      </c>
      <c r="AT7" s="262">
        <v>1619433.0</v>
      </c>
      <c r="AU7" s="261">
        <v>324411.25</v>
      </c>
      <c r="AV7" s="265">
        <v>8513713.0</v>
      </c>
      <c r="AW7" s="261">
        <v>5533.0</v>
      </c>
      <c r="AX7" s="261">
        <v>1481.08</v>
      </c>
      <c r="AY7" s="261">
        <v>1461.0</v>
      </c>
      <c r="AZ7" s="261">
        <v>1403.32</v>
      </c>
      <c r="BA7" s="261"/>
      <c r="BB7" s="261">
        <v>6474856.0</v>
      </c>
      <c r="BC7" s="262">
        <v>3479957.75</v>
      </c>
      <c r="BD7" s="261">
        <v>2290823.0</v>
      </c>
      <c r="BE7" s="262">
        <v>704075.25</v>
      </c>
      <c r="BF7" s="261">
        <v>4184033.0</v>
      </c>
      <c r="BG7" s="261">
        <v>3855.0</v>
      </c>
      <c r="BH7" s="261">
        <v>903.71</v>
      </c>
      <c r="BI7" s="261">
        <v>2426.0</v>
      </c>
      <c r="BJ7" s="261">
        <v>1473.2</v>
      </c>
      <c r="BK7" s="261"/>
      <c r="BL7" s="261">
        <v>182875.0</v>
      </c>
      <c r="BM7" s="261">
        <v>0.0</v>
      </c>
      <c r="BN7" s="261">
        <v>182875.0</v>
      </c>
      <c r="BO7" s="261">
        <v>0.0</v>
      </c>
      <c r="BP7" s="261">
        <v>0.0</v>
      </c>
      <c r="BQ7" s="261">
        <v>0.0</v>
      </c>
      <c r="BR7" s="261">
        <v>325.0</v>
      </c>
      <c r="BS7" s="261">
        <v>562.69</v>
      </c>
      <c r="BT7" s="261"/>
      <c r="BU7" s="261">
        <v>440123.5</v>
      </c>
      <c r="BV7" s="261">
        <v>200.0</v>
      </c>
      <c r="BW7" s="261">
        <v>139654.0</v>
      </c>
      <c r="BX7" s="261">
        <v>300269.5</v>
      </c>
      <c r="BY7" s="261">
        <v>300469.5</v>
      </c>
      <c r="BZ7" s="261">
        <v>0.0</v>
      </c>
      <c r="CA7" s="261">
        <v>0.0</v>
      </c>
      <c r="CB7" s="261">
        <v>433.0</v>
      </c>
      <c r="CC7" s="261">
        <v>623.46</v>
      </c>
      <c r="CD7" s="261"/>
      <c r="CE7" s="261">
        <v>703701.7</v>
      </c>
      <c r="CF7" s="262">
        <v>0.0</v>
      </c>
      <c r="CG7" s="261">
        <v>373227.42</v>
      </c>
      <c r="CH7" s="261">
        <v>330474.28</v>
      </c>
      <c r="CI7" s="261">
        <v>330474.28</v>
      </c>
      <c r="CJ7" s="261">
        <v>0.0</v>
      </c>
      <c r="CK7" s="261">
        <v>0.0</v>
      </c>
      <c r="CL7" s="261">
        <v>1182.0</v>
      </c>
      <c r="CM7" s="261">
        <v>544.86</v>
      </c>
      <c r="CN7" s="261"/>
      <c r="CO7" s="261">
        <v>412044.98</v>
      </c>
      <c r="CP7" s="261">
        <v>0.0</v>
      </c>
      <c r="CQ7" s="261">
        <v>410094.98</v>
      </c>
      <c r="CR7" s="261">
        <v>1950.0</v>
      </c>
      <c r="CS7" s="261">
        <v>1950.0</v>
      </c>
      <c r="CT7" s="261">
        <v>0.0</v>
      </c>
      <c r="CU7" s="261">
        <v>0.0</v>
      </c>
      <c r="CV7" s="261">
        <v>765.0</v>
      </c>
      <c r="CW7" s="261">
        <v>537.48</v>
      </c>
      <c r="CX7" s="261"/>
      <c r="CY7" s="261"/>
      <c r="CZ7" s="261"/>
      <c r="DA7" s="261"/>
      <c r="DB7" s="261"/>
      <c r="DC7" s="261"/>
      <c r="DD7" s="261"/>
      <c r="DE7" s="262"/>
      <c r="DF7" s="261"/>
      <c r="DG7" s="261"/>
      <c r="DH7" s="261">
        <v>1.130690823E7</v>
      </c>
      <c r="DI7" s="261">
        <v>1.071847473E7</v>
      </c>
      <c r="DJ7" s="261">
        <v>426088.0</v>
      </c>
      <c r="DK7" s="261">
        <v>154270.5</v>
      </c>
      <c r="DL7" s="261">
        <v>1.087274523E7</v>
      </c>
      <c r="DM7" s="261">
        <v>3721.0</v>
      </c>
      <c r="DN7" s="261">
        <v>2881.54</v>
      </c>
      <c r="DO7" s="261">
        <v>341.0</v>
      </c>
      <c r="DP7" s="261">
        <v>1505.61</v>
      </c>
      <c r="DQ7" s="261"/>
      <c r="DR7" s="261">
        <v>377990.0</v>
      </c>
      <c r="DS7" s="261">
        <v>0.0</v>
      </c>
      <c r="DT7" s="261">
        <v>282035.0</v>
      </c>
      <c r="DU7" s="261">
        <v>95955.0</v>
      </c>
      <c r="DV7" s="261">
        <v>95955.0</v>
      </c>
      <c r="DW7" s="261">
        <v>0.0</v>
      </c>
      <c r="DX7" s="261">
        <v>0.0</v>
      </c>
      <c r="DY7" s="261">
        <v>223.0</v>
      </c>
      <c r="DZ7" s="261">
        <v>1403.16</v>
      </c>
    </row>
    <row r="8" ht="15.75" customHeight="1">
      <c r="B8" s="256" t="s">
        <v>101</v>
      </c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8">
        <f>'Mg St Colaba'!D10</f>
        <v>0</v>
      </c>
      <c r="N8" s="258" t="str">
        <f>'Mg St Colaba'!#REF!</f>
        <v>#ERROR!</v>
      </c>
      <c r="O8" s="257"/>
      <c r="P8" s="257"/>
      <c r="Q8" s="257"/>
      <c r="R8" s="257"/>
      <c r="V8" s="247"/>
      <c r="W8" s="259"/>
      <c r="X8" s="260">
        <v>45566.0</v>
      </c>
      <c r="Y8" s="261">
        <v>4.639748985E7</v>
      </c>
      <c r="Z8" s="261">
        <v>3.565977117E7</v>
      </c>
      <c r="AA8" s="261">
        <v>8250709.82</v>
      </c>
      <c r="AB8" s="262">
        <v>2475063.86</v>
      </c>
      <c r="AC8" s="261">
        <v>20654.0</v>
      </c>
      <c r="AD8" s="262">
        <v>1727.53</v>
      </c>
      <c r="AE8" s="261">
        <v>9745.0</v>
      </c>
      <c r="AF8" s="261">
        <v>1100.24</v>
      </c>
      <c r="AG8" s="263"/>
      <c r="AH8" s="263" t="s">
        <v>102</v>
      </c>
      <c r="AI8" s="263" t="s">
        <v>103</v>
      </c>
      <c r="AJ8" s="263" t="s">
        <v>104</v>
      </c>
      <c r="AK8" s="263" t="s">
        <v>105</v>
      </c>
      <c r="AL8" s="264">
        <v>1.15120215E7</v>
      </c>
      <c r="AM8" s="263" t="s">
        <v>106</v>
      </c>
      <c r="AN8" s="263" t="s">
        <v>107</v>
      </c>
      <c r="AO8" s="261">
        <v>1837.0</v>
      </c>
      <c r="AP8" s="261">
        <v>1308.31</v>
      </c>
      <c r="AQ8" s="261"/>
      <c r="AR8" s="261">
        <v>1.05753046E7</v>
      </c>
      <c r="AS8" s="261">
        <v>8537077.0</v>
      </c>
      <c r="AT8" s="262">
        <v>1654242.6</v>
      </c>
      <c r="AU8" s="261">
        <v>383985.0</v>
      </c>
      <c r="AV8" s="265">
        <v>8921062.0</v>
      </c>
      <c r="AW8" s="261">
        <v>5658.0</v>
      </c>
      <c r="AX8" s="261">
        <v>1509.85</v>
      </c>
      <c r="AY8" s="261">
        <v>1589.0</v>
      </c>
      <c r="AZ8" s="261">
        <v>1288.35</v>
      </c>
      <c r="BA8" s="261"/>
      <c r="BB8" s="261">
        <v>7186494.25</v>
      </c>
      <c r="BC8" s="262">
        <v>3907337.75</v>
      </c>
      <c r="BD8" s="261">
        <v>2474846.5</v>
      </c>
      <c r="BE8" s="262">
        <v>804310.0</v>
      </c>
      <c r="BF8" s="261">
        <v>4711647.75</v>
      </c>
      <c r="BG8" s="261">
        <v>4251.0</v>
      </c>
      <c r="BH8" s="261">
        <v>920.16</v>
      </c>
      <c r="BI8" s="261">
        <v>2755.0</v>
      </c>
      <c r="BJ8" s="261">
        <v>1408.56</v>
      </c>
      <c r="BK8" s="261"/>
      <c r="BL8" s="261">
        <v>219060.0</v>
      </c>
      <c r="BM8" s="261">
        <v>0.0</v>
      </c>
      <c r="BN8" s="261">
        <v>219060.0</v>
      </c>
      <c r="BO8" s="261">
        <v>0.0</v>
      </c>
      <c r="BP8" s="261">
        <v>0.0</v>
      </c>
      <c r="BQ8" s="261">
        <v>0.0</v>
      </c>
      <c r="BR8" s="261">
        <v>388.0</v>
      </c>
      <c r="BS8" s="261">
        <v>564.59</v>
      </c>
      <c r="BT8" s="261"/>
      <c r="BU8" s="261">
        <v>457678.25</v>
      </c>
      <c r="BV8" s="261">
        <v>0.0</v>
      </c>
      <c r="BW8" s="261">
        <v>116902.0</v>
      </c>
      <c r="BX8" s="261">
        <v>340776.25</v>
      </c>
      <c r="BY8" s="261">
        <v>340776.25</v>
      </c>
      <c r="BZ8" s="261">
        <v>0.0</v>
      </c>
      <c r="CA8" s="261">
        <v>0.0</v>
      </c>
      <c r="CB8" s="261">
        <v>273.0</v>
      </c>
      <c r="CC8" s="261">
        <v>524.22</v>
      </c>
      <c r="CD8" s="261"/>
      <c r="CE8" s="261">
        <v>678692.11</v>
      </c>
      <c r="CF8" s="262">
        <v>0.0</v>
      </c>
      <c r="CG8" s="261">
        <v>367754.0</v>
      </c>
      <c r="CH8" s="261">
        <v>310938.11</v>
      </c>
      <c r="CI8" s="261">
        <v>310938.11</v>
      </c>
      <c r="CJ8" s="261">
        <v>0.0</v>
      </c>
      <c r="CK8" s="261">
        <v>0.0</v>
      </c>
      <c r="CL8" s="261">
        <v>1158.0</v>
      </c>
      <c r="CM8" s="261">
        <v>537.65</v>
      </c>
      <c r="CN8" s="261"/>
      <c r="CO8" s="261">
        <v>504642.0</v>
      </c>
      <c r="CP8" s="261">
        <v>0.0</v>
      </c>
      <c r="CQ8" s="261">
        <v>500942.0</v>
      </c>
      <c r="CR8" s="261">
        <v>3700.0</v>
      </c>
      <c r="CS8" s="261">
        <v>3700.0</v>
      </c>
      <c r="CT8" s="261">
        <v>0.0</v>
      </c>
      <c r="CU8" s="261">
        <v>0.0</v>
      </c>
      <c r="CV8" s="261">
        <v>944.0</v>
      </c>
      <c r="CW8" s="261">
        <v>531.22</v>
      </c>
      <c r="CX8" s="261"/>
      <c r="CY8" s="261"/>
      <c r="CZ8" s="261"/>
      <c r="DA8" s="261"/>
      <c r="DB8" s="261"/>
      <c r="DC8" s="261"/>
      <c r="DD8" s="261"/>
      <c r="DE8" s="262"/>
      <c r="DF8" s="261"/>
      <c r="DG8" s="261"/>
      <c r="DH8" s="261">
        <v>1.260598492E7</v>
      </c>
      <c r="DI8" s="261">
        <v>1.198714092E7</v>
      </c>
      <c r="DJ8" s="261">
        <v>470347.0</v>
      </c>
      <c r="DK8" s="261">
        <v>136552.0</v>
      </c>
      <c r="DL8" s="261">
        <v>1.212369292E7</v>
      </c>
      <c r="DM8" s="261">
        <v>4112.0</v>
      </c>
      <c r="DN8" s="261">
        <v>2916.16</v>
      </c>
      <c r="DO8" s="261">
        <v>386.0</v>
      </c>
      <c r="DP8" s="261">
        <v>1451.69</v>
      </c>
      <c r="DQ8" s="261"/>
      <c r="DR8" s="261">
        <v>672905.1</v>
      </c>
      <c r="DS8" s="261">
        <v>0.0</v>
      </c>
      <c r="DT8" s="261">
        <v>461908.6</v>
      </c>
      <c r="DU8" s="261">
        <v>210996.5</v>
      </c>
      <c r="DV8" s="261">
        <v>210996.5</v>
      </c>
      <c r="DW8" s="261">
        <v>0.0</v>
      </c>
      <c r="DX8" s="261">
        <v>0.0</v>
      </c>
      <c r="DY8" s="261">
        <v>415.0</v>
      </c>
      <c r="DZ8" s="261">
        <v>1218.76</v>
      </c>
    </row>
    <row r="9" ht="15.75" customHeight="1">
      <c r="B9" s="256" t="s">
        <v>108</v>
      </c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8">
        <f>'Mg St Colaba'!D11</f>
        <v>1603.536851</v>
      </c>
      <c r="N9" s="258" t="str">
        <f>'Mg St Colaba'!#REF!</f>
        <v>#ERROR!</v>
      </c>
      <c r="O9" s="257"/>
      <c r="P9" s="257"/>
      <c r="Q9" s="257"/>
      <c r="R9" s="257"/>
      <c r="V9" s="247"/>
      <c r="W9" s="259"/>
      <c r="X9" s="260">
        <v>45597.0</v>
      </c>
      <c r="Y9" s="261">
        <v>4.863303399E7</v>
      </c>
      <c r="Z9" s="261">
        <v>3.7563824E7</v>
      </c>
      <c r="AA9" s="261">
        <v>8692990.02</v>
      </c>
      <c r="AB9" s="262">
        <v>2285459.97</v>
      </c>
      <c r="AC9" s="261">
        <v>21027.0</v>
      </c>
      <c r="AD9" s="262">
        <v>1787.46</v>
      </c>
      <c r="AE9" s="261">
        <v>10086.0</v>
      </c>
      <c r="AF9" s="261">
        <v>1098.57</v>
      </c>
      <c r="AG9" s="263"/>
      <c r="AH9" s="263" t="s">
        <v>109</v>
      </c>
      <c r="AI9" s="263" t="s">
        <v>110</v>
      </c>
      <c r="AJ9" s="263" t="s">
        <v>111</v>
      </c>
      <c r="AK9" s="263" t="s">
        <v>112</v>
      </c>
      <c r="AL9" s="264">
        <v>1.10224485E7</v>
      </c>
      <c r="AM9" s="263" t="s">
        <v>113</v>
      </c>
      <c r="AN9" s="263" t="s">
        <v>114</v>
      </c>
      <c r="AO9" s="261">
        <v>1962.0</v>
      </c>
      <c r="AP9" s="261">
        <v>1251.11</v>
      </c>
      <c r="AQ9" s="261"/>
      <c r="AR9" s="261">
        <v>1.051815518E7</v>
      </c>
      <c r="AS9" s="261">
        <v>8476917.0</v>
      </c>
      <c r="AT9" s="262">
        <v>1751339.93</v>
      </c>
      <c r="AU9" s="261">
        <v>289898.25</v>
      </c>
      <c r="AV9" s="265">
        <v>8766815.25</v>
      </c>
      <c r="AW9" s="261">
        <v>5680.0</v>
      </c>
      <c r="AX9" s="261">
        <v>1493.41</v>
      </c>
      <c r="AY9" s="261">
        <v>1498.0</v>
      </c>
      <c r="AZ9" s="261">
        <v>1399.95</v>
      </c>
      <c r="BA9" s="261"/>
      <c r="BB9" s="261">
        <v>6803685.62</v>
      </c>
      <c r="BC9" s="262">
        <v>3364524.5</v>
      </c>
      <c r="BD9" s="261">
        <v>2672539.62</v>
      </c>
      <c r="BE9" s="262">
        <v>766621.5</v>
      </c>
      <c r="BF9" s="261">
        <v>4131146.0</v>
      </c>
      <c r="BG9" s="261">
        <v>3669.0</v>
      </c>
      <c r="BH9" s="261">
        <v>918.01</v>
      </c>
      <c r="BI9" s="261">
        <v>2872.0</v>
      </c>
      <c r="BJ9" s="261">
        <v>1394.13</v>
      </c>
      <c r="BK9" s="261"/>
      <c r="BL9" s="261">
        <v>223299.14</v>
      </c>
      <c r="BM9" s="261">
        <v>0.0</v>
      </c>
      <c r="BN9" s="261">
        <v>223299.14</v>
      </c>
      <c r="BO9" s="261">
        <v>0.0</v>
      </c>
      <c r="BP9" s="261">
        <v>0.0</v>
      </c>
      <c r="BQ9" s="261">
        <v>0.0</v>
      </c>
      <c r="BR9" s="261">
        <v>428.0</v>
      </c>
      <c r="BS9" s="261">
        <v>521.73</v>
      </c>
      <c r="BT9" s="261"/>
      <c r="BU9" s="261">
        <v>429357.52</v>
      </c>
      <c r="BV9" s="261">
        <v>0.0</v>
      </c>
      <c r="BW9" s="261">
        <v>100377.02</v>
      </c>
      <c r="BX9" s="261">
        <v>328980.5</v>
      </c>
      <c r="BY9" s="261">
        <v>328980.5</v>
      </c>
      <c r="BZ9" s="261">
        <v>0.0</v>
      </c>
      <c r="CA9" s="261">
        <v>0.0</v>
      </c>
      <c r="CB9" s="261">
        <v>216.0</v>
      </c>
      <c r="CC9" s="261">
        <v>563.92</v>
      </c>
      <c r="CD9" s="261"/>
      <c r="CE9" s="261">
        <v>793248.87</v>
      </c>
      <c r="CF9" s="262">
        <v>0.0</v>
      </c>
      <c r="CG9" s="261">
        <v>409549.65</v>
      </c>
      <c r="CH9" s="261">
        <v>383699.22</v>
      </c>
      <c r="CI9" s="261">
        <v>383699.22</v>
      </c>
      <c r="CJ9" s="261">
        <v>0.0</v>
      </c>
      <c r="CK9" s="261">
        <v>0.0</v>
      </c>
      <c r="CL9" s="261">
        <v>1260.0</v>
      </c>
      <c r="CM9" s="261">
        <v>557.21</v>
      </c>
      <c r="CN9" s="261"/>
      <c r="CO9" s="262">
        <v>601704.75</v>
      </c>
      <c r="CP9" s="261">
        <v>0.0</v>
      </c>
      <c r="CQ9" s="261">
        <v>598654.75</v>
      </c>
      <c r="CR9" s="261">
        <v>3050.0</v>
      </c>
      <c r="CS9" s="261">
        <v>3050.0</v>
      </c>
      <c r="CT9" s="261">
        <v>0.0</v>
      </c>
      <c r="CU9" s="261">
        <v>0.0</v>
      </c>
      <c r="CV9" s="261">
        <v>1104.0</v>
      </c>
      <c r="CW9" s="261">
        <v>543.24</v>
      </c>
      <c r="CX9" s="261"/>
      <c r="CY9" s="261"/>
      <c r="CZ9" s="261"/>
      <c r="DA9" s="261"/>
      <c r="DB9" s="261"/>
      <c r="DC9" s="261"/>
      <c r="DD9" s="261"/>
      <c r="DE9" s="262"/>
      <c r="DF9" s="261"/>
      <c r="DG9" s="261"/>
      <c r="DH9" s="261">
        <v>1.570693E7</v>
      </c>
      <c r="DI9" s="261">
        <v>1.5002377E7</v>
      </c>
      <c r="DJ9" s="261">
        <v>482688.0</v>
      </c>
      <c r="DK9" s="261">
        <v>131105.0</v>
      </c>
      <c r="DL9" s="261">
        <v>1.5133482E7</v>
      </c>
      <c r="DM9" s="261">
        <v>5220.0</v>
      </c>
      <c r="DN9" s="261">
        <v>2875.02</v>
      </c>
      <c r="DO9" s="261">
        <v>356.0</v>
      </c>
      <c r="DP9" s="261">
        <v>1587.79</v>
      </c>
      <c r="DQ9" s="261"/>
      <c r="DR9" s="261">
        <v>494897.46</v>
      </c>
      <c r="DS9" s="261">
        <v>0.0</v>
      </c>
      <c r="DT9" s="261">
        <v>415234.96</v>
      </c>
      <c r="DU9" s="261">
        <v>79662.5</v>
      </c>
      <c r="DV9" s="261">
        <v>79662.5</v>
      </c>
      <c r="DW9" s="261">
        <v>0.0</v>
      </c>
      <c r="DX9" s="261">
        <v>0.0</v>
      </c>
      <c r="DY9" s="261">
        <v>390.0</v>
      </c>
      <c r="DZ9" s="261">
        <v>1128.36</v>
      </c>
    </row>
    <row r="10" ht="15.75" customHeight="1">
      <c r="B10" s="256" t="s">
        <v>115</v>
      </c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8">
        <f>'Mg St Colaba'!D12</f>
        <v>2618.481383</v>
      </c>
      <c r="N10" s="258" t="str">
        <f>'Mg St Colaba'!#REF!</f>
        <v>#ERROR!</v>
      </c>
      <c r="O10" s="257"/>
      <c r="P10" s="257"/>
      <c r="Q10" s="257"/>
      <c r="R10" s="257"/>
      <c r="V10" s="247"/>
      <c r="W10" s="259"/>
      <c r="X10" s="260">
        <v>45627.0</v>
      </c>
      <c r="Y10" s="261">
        <v>5.685897042E7</v>
      </c>
      <c r="Z10" s="261">
        <v>4.511936695E7</v>
      </c>
      <c r="AA10" s="261">
        <v>9313599.99</v>
      </c>
      <c r="AB10" s="262">
        <v>2414308.48</v>
      </c>
      <c r="AC10" s="261">
        <v>24520.0</v>
      </c>
      <c r="AD10" s="262">
        <v>1841.1</v>
      </c>
      <c r="AE10" s="261">
        <v>10856.0</v>
      </c>
      <c r="AF10" s="261">
        <v>1081.09</v>
      </c>
      <c r="AG10" s="263"/>
      <c r="AH10" s="263" t="s">
        <v>116</v>
      </c>
      <c r="AI10" s="263" t="s">
        <v>117</v>
      </c>
      <c r="AJ10" s="263" t="s">
        <v>118</v>
      </c>
      <c r="AK10" s="263" t="s">
        <v>119</v>
      </c>
      <c r="AL10" s="264">
        <v>1.2872772E7</v>
      </c>
      <c r="AM10" s="263" t="s">
        <v>120</v>
      </c>
      <c r="AN10" s="263" t="s">
        <v>121</v>
      </c>
      <c r="AO10" s="261">
        <v>2057.0</v>
      </c>
      <c r="AP10" s="261">
        <v>1264.3</v>
      </c>
      <c r="AQ10" s="261"/>
      <c r="AR10" s="261">
        <v>1.337958519E7</v>
      </c>
      <c r="AS10" s="261">
        <v>1.1118964E7</v>
      </c>
      <c r="AT10" s="262">
        <v>1938796.69</v>
      </c>
      <c r="AU10" s="261">
        <v>321824.5</v>
      </c>
      <c r="AV10" s="265">
        <v>1.14407885E7</v>
      </c>
      <c r="AW10" s="261">
        <v>7200.0</v>
      </c>
      <c r="AX10" s="261">
        <v>1545.3</v>
      </c>
      <c r="AY10" s="261">
        <v>1732.0</v>
      </c>
      <c r="AZ10" s="261">
        <v>1348.26</v>
      </c>
      <c r="BA10" s="261"/>
      <c r="BB10" s="261">
        <v>7225322.63</v>
      </c>
      <c r="BC10" s="262">
        <v>3710635.5</v>
      </c>
      <c r="BD10" s="261">
        <v>2787430.63</v>
      </c>
      <c r="BE10" s="262">
        <v>727256.5</v>
      </c>
      <c r="BF10" s="261">
        <v>4437892.0</v>
      </c>
      <c r="BG10" s="261">
        <v>4010.0</v>
      </c>
      <c r="BH10" s="261">
        <v>926.35</v>
      </c>
      <c r="BI10" s="261">
        <v>2887.0</v>
      </c>
      <c r="BJ10" s="261">
        <v>1359.72</v>
      </c>
      <c r="BK10" s="261"/>
      <c r="BL10" s="261">
        <v>312053.11</v>
      </c>
      <c r="BM10" s="261">
        <v>0.0</v>
      </c>
      <c r="BN10" s="261">
        <v>312053.11</v>
      </c>
      <c r="BO10" s="261">
        <v>0.0</v>
      </c>
      <c r="BP10" s="261">
        <v>0.0</v>
      </c>
      <c r="BQ10" s="261">
        <v>0.0</v>
      </c>
      <c r="BR10" s="261">
        <v>599.0</v>
      </c>
      <c r="BS10" s="261">
        <v>520.96</v>
      </c>
      <c r="BT10" s="261"/>
      <c r="BU10" s="261">
        <v>452140.06</v>
      </c>
      <c r="BV10" s="261">
        <v>0.0</v>
      </c>
      <c r="BW10" s="261">
        <v>83230.56</v>
      </c>
      <c r="BX10" s="261">
        <v>368909.5</v>
      </c>
      <c r="BY10" s="261">
        <v>368909.5</v>
      </c>
      <c r="BZ10" s="261">
        <v>0.0</v>
      </c>
      <c r="CA10" s="261">
        <v>0.0</v>
      </c>
      <c r="CB10" s="261">
        <v>201.0</v>
      </c>
      <c r="CC10" s="261">
        <v>547.57</v>
      </c>
      <c r="CD10" s="261"/>
      <c r="CE10" s="261">
        <v>932418.4</v>
      </c>
      <c r="CF10" s="262">
        <v>0.0</v>
      </c>
      <c r="CG10" s="261">
        <v>478284.42</v>
      </c>
      <c r="CH10" s="261">
        <v>454133.98</v>
      </c>
      <c r="CI10" s="261">
        <v>454133.98</v>
      </c>
      <c r="CJ10" s="261">
        <v>0.0</v>
      </c>
      <c r="CK10" s="261">
        <v>0.0</v>
      </c>
      <c r="CL10" s="261">
        <v>1437.0</v>
      </c>
      <c r="CM10" s="261">
        <v>593.4</v>
      </c>
      <c r="CN10" s="261"/>
      <c r="CO10" s="262">
        <v>653261.79</v>
      </c>
      <c r="CP10" s="261">
        <v>0.0</v>
      </c>
      <c r="CQ10" s="261">
        <v>647911.79</v>
      </c>
      <c r="CR10" s="261">
        <v>5350.0</v>
      </c>
      <c r="CS10" s="261">
        <v>5350.0</v>
      </c>
      <c r="CT10" s="261">
        <v>0.0</v>
      </c>
      <c r="CU10" s="261">
        <v>0.0</v>
      </c>
      <c r="CV10" s="261">
        <v>1193.0</v>
      </c>
      <c r="CW10" s="261">
        <v>544.01</v>
      </c>
      <c r="CX10" s="261"/>
      <c r="CY10" s="261"/>
      <c r="CZ10" s="261"/>
      <c r="DA10" s="261"/>
      <c r="DB10" s="261"/>
      <c r="DC10" s="261"/>
      <c r="DD10" s="261"/>
      <c r="DE10" s="262"/>
      <c r="DF10" s="261"/>
      <c r="DG10" s="261"/>
      <c r="DH10" s="261">
        <v>1.833684995E7</v>
      </c>
      <c r="DI10" s="261">
        <v>1.773760295E7</v>
      </c>
      <c r="DJ10" s="261">
        <v>442208.0</v>
      </c>
      <c r="DK10" s="261">
        <v>145344.0</v>
      </c>
      <c r="DL10" s="261">
        <v>1.788294695E7</v>
      </c>
      <c r="DM10" s="261">
        <v>5940.0</v>
      </c>
      <c r="DN10" s="261">
        <v>2987.13</v>
      </c>
      <c r="DO10" s="261">
        <v>321.0</v>
      </c>
      <c r="DP10" s="261">
        <v>1625.76</v>
      </c>
      <c r="DQ10" s="261"/>
      <c r="DR10" s="261">
        <v>542726.6</v>
      </c>
      <c r="DS10" s="261">
        <v>0.0</v>
      </c>
      <c r="DT10" s="261">
        <v>471844.1</v>
      </c>
      <c r="DU10" s="261">
        <v>70882.5</v>
      </c>
      <c r="DV10" s="261">
        <v>70882.5</v>
      </c>
      <c r="DW10" s="261">
        <v>0.0</v>
      </c>
      <c r="DX10" s="261">
        <v>0.0</v>
      </c>
      <c r="DY10" s="261">
        <v>429.0</v>
      </c>
      <c r="DZ10" s="261">
        <v>1165.05</v>
      </c>
    </row>
    <row r="11" ht="15.75" customHeight="1">
      <c r="V11" s="247"/>
      <c r="W11" s="259"/>
      <c r="X11" s="260">
        <v>45658.0</v>
      </c>
      <c r="Y11" s="261">
        <v>5.280303811E7</v>
      </c>
      <c r="Z11" s="261">
        <v>4.194052775E7</v>
      </c>
      <c r="AA11" s="261">
        <v>8779763.17</v>
      </c>
      <c r="AB11" s="262">
        <v>2082747.19</v>
      </c>
      <c r="AC11" s="261">
        <v>23354.0</v>
      </c>
      <c r="AD11" s="262">
        <v>1796.86</v>
      </c>
      <c r="AE11" s="261">
        <v>10495.0</v>
      </c>
      <c r="AF11" s="261">
        <v>1053.87</v>
      </c>
      <c r="AG11" s="263"/>
      <c r="AH11" s="263" t="s">
        <v>122</v>
      </c>
      <c r="AI11" s="263" t="s">
        <v>123</v>
      </c>
      <c r="AJ11" s="263" t="s">
        <v>124</v>
      </c>
      <c r="AK11" s="263" t="s">
        <v>125</v>
      </c>
      <c r="AL11" s="264">
        <v>1.14433195E7</v>
      </c>
      <c r="AM11" s="263" t="s">
        <v>126</v>
      </c>
      <c r="AN11" s="263" t="s">
        <v>127</v>
      </c>
      <c r="AO11" s="261">
        <v>1952.0</v>
      </c>
      <c r="AP11" s="261">
        <v>1273.43</v>
      </c>
      <c r="AQ11" s="261"/>
      <c r="AR11" s="261">
        <v>1.276780132E7</v>
      </c>
      <c r="AS11" s="261">
        <v>1.059390675E7</v>
      </c>
      <c r="AT11" s="262">
        <v>1837355.32</v>
      </c>
      <c r="AU11" s="261">
        <v>336539.25</v>
      </c>
      <c r="AV11" s="265">
        <v>1.0930446E7</v>
      </c>
      <c r="AW11" s="261">
        <v>6947.0</v>
      </c>
      <c r="AX11" s="261">
        <v>1525.96</v>
      </c>
      <c r="AY11" s="261">
        <v>1667.0</v>
      </c>
      <c r="AZ11" s="261">
        <v>1318.05</v>
      </c>
      <c r="BA11" s="261"/>
      <c r="BB11" s="261">
        <v>7176728.87</v>
      </c>
      <c r="BC11" s="262">
        <v>3850240.5</v>
      </c>
      <c r="BD11" s="261">
        <v>2649011.37</v>
      </c>
      <c r="BE11" s="262">
        <v>677477.0</v>
      </c>
      <c r="BF11" s="261">
        <v>4527717.5</v>
      </c>
      <c r="BG11" s="261">
        <v>4392.0</v>
      </c>
      <c r="BH11" s="261">
        <v>877.65</v>
      </c>
      <c r="BI11" s="261">
        <v>2934.0</v>
      </c>
      <c r="BJ11" s="261">
        <v>1328.49</v>
      </c>
      <c r="BK11" s="261"/>
      <c r="BL11" s="261">
        <v>272329.93</v>
      </c>
      <c r="BM11" s="261">
        <v>0.0</v>
      </c>
      <c r="BN11" s="261">
        <v>272329.93</v>
      </c>
      <c r="BO11" s="261">
        <v>0.0</v>
      </c>
      <c r="BP11" s="261">
        <v>0.0</v>
      </c>
      <c r="BQ11" s="261">
        <v>0.0</v>
      </c>
      <c r="BR11" s="261">
        <v>524.0</v>
      </c>
      <c r="BS11" s="261">
        <v>519.71</v>
      </c>
      <c r="BT11" s="261"/>
      <c r="BU11" s="261">
        <v>426947.01</v>
      </c>
      <c r="BV11" s="261">
        <v>0.0</v>
      </c>
      <c r="BW11" s="261">
        <v>92114.13</v>
      </c>
      <c r="BX11" s="261">
        <v>334832.88</v>
      </c>
      <c r="BY11" s="261">
        <v>334832.88</v>
      </c>
      <c r="BZ11" s="261">
        <v>0.0</v>
      </c>
      <c r="CA11" s="261">
        <v>0.0</v>
      </c>
      <c r="CB11" s="261">
        <v>199.0</v>
      </c>
      <c r="CC11" s="261">
        <v>561.67</v>
      </c>
      <c r="CD11" s="261"/>
      <c r="CE11" s="261">
        <v>724488.44</v>
      </c>
      <c r="CF11" s="262">
        <v>0.0</v>
      </c>
      <c r="CG11" s="261">
        <v>397378.38</v>
      </c>
      <c r="CH11" s="261">
        <v>327110.06</v>
      </c>
      <c r="CI11" s="261">
        <v>327110.06</v>
      </c>
      <c r="CJ11" s="261">
        <v>0.0</v>
      </c>
      <c r="CK11" s="261">
        <v>0.0</v>
      </c>
      <c r="CL11" s="261">
        <v>1233.0</v>
      </c>
      <c r="CM11" s="261">
        <v>542.87</v>
      </c>
      <c r="CN11" s="261"/>
      <c r="CO11" s="262">
        <v>632911.21</v>
      </c>
      <c r="CP11" s="261">
        <v>0.0</v>
      </c>
      <c r="CQ11" s="261">
        <v>632911.21</v>
      </c>
      <c r="CR11" s="261">
        <v>0.0</v>
      </c>
      <c r="CS11" s="261">
        <v>0.0</v>
      </c>
      <c r="CT11" s="261">
        <v>0.0</v>
      </c>
      <c r="CU11" s="261">
        <v>0.0</v>
      </c>
      <c r="CV11" s="261">
        <v>1223.0</v>
      </c>
      <c r="CW11" s="261">
        <v>517.51</v>
      </c>
      <c r="CX11" s="261"/>
      <c r="CY11" s="261"/>
      <c r="CZ11" s="261"/>
      <c r="DA11" s="261"/>
      <c r="DB11" s="261"/>
      <c r="DC11" s="261"/>
      <c r="DD11" s="261"/>
      <c r="DE11" s="262"/>
      <c r="DF11" s="261"/>
      <c r="DG11" s="261"/>
      <c r="DH11" s="261">
        <v>1.690031E7</v>
      </c>
      <c r="DI11" s="261">
        <v>1.6323094E7</v>
      </c>
      <c r="DJ11" s="261">
        <v>463151.0</v>
      </c>
      <c r="DK11" s="261">
        <v>114065.0</v>
      </c>
      <c r="DL11" s="261">
        <v>1.6437159E7</v>
      </c>
      <c r="DM11" s="261">
        <v>5464.0</v>
      </c>
      <c r="DN11" s="261">
        <v>2988.39</v>
      </c>
      <c r="DO11" s="261">
        <v>361.0</v>
      </c>
      <c r="DP11" s="261">
        <v>1538.71</v>
      </c>
      <c r="DQ11" s="261"/>
      <c r="DR11" s="261">
        <v>401609.25</v>
      </c>
      <c r="DS11" s="261">
        <v>0.0</v>
      </c>
      <c r="DT11" s="261">
        <v>378919.25</v>
      </c>
      <c r="DU11" s="261">
        <v>22690.0</v>
      </c>
      <c r="DV11" s="261">
        <v>22690.0</v>
      </c>
      <c r="DW11" s="261">
        <v>0.0</v>
      </c>
      <c r="DX11" s="261">
        <v>0.0</v>
      </c>
      <c r="DY11" s="261">
        <v>402.0</v>
      </c>
      <c r="DZ11" s="261">
        <v>986.77</v>
      </c>
    </row>
    <row r="12" ht="15.75" customHeight="1">
      <c r="B12" s="250" t="s">
        <v>128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>
        <v>45748.0</v>
      </c>
      <c r="N12" s="251">
        <v>45778.0</v>
      </c>
      <c r="O12" s="250"/>
      <c r="P12" s="250"/>
      <c r="Q12" s="250"/>
      <c r="R12" s="250"/>
      <c r="V12" s="247"/>
      <c r="W12" s="259"/>
      <c r="X12" s="260">
        <v>45689.0</v>
      </c>
      <c r="Y12" s="261">
        <v>4.686737918E7</v>
      </c>
      <c r="Z12" s="261">
        <v>3.615406625E7</v>
      </c>
      <c r="AA12" s="261">
        <v>8878440.76</v>
      </c>
      <c r="AB12" s="262">
        <v>1834872.17</v>
      </c>
      <c r="AC12" s="261">
        <v>20011.0</v>
      </c>
      <c r="AD12" s="262">
        <v>1807.71</v>
      </c>
      <c r="AE12" s="261">
        <v>10204.0</v>
      </c>
      <c r="AF12" s="261">
        <v>1064.82</v>
      </c>
      <c r="AG12" s="263"/>
      <c r="AH12" s="263" t="s">
        <v>129</v>
      </c>
      <c r="AI12" s="263" t="s">
        <v>130</v>
      </c>
      <c r="AJ12" s="263" t="s">
        <v>131</v>
      </c>
      <c r="AK12" s="263" t="s">
        <v>132</v>
      </c>
      <c r="AL12" s="264">
        <v>9878764.0</v>
      </c>
      <c r="AM12" s="263" t="s">
        <v>133</v>
      </c>
      <c r="AN12" s="263" t="s">
        <v>134</v>
      </c>
      <c r="AO12" s="261">
        <v>2116.0</v>
      </c>
      <c r="AP12" s="261">
        <v>1207.49</v>
      </c>
      <c r="AQ12" s="261"/>
      <c r="AR12" s="261">
        <v>1.058975149E7</v>
      </c>
      <c r="AS12" s="261">
        <v>8554300.0</v>
      </c>
      <c r="AT12" s="262">
        <v>1836480.49</v>
      </c>
      <c r="AU12" s="261">
        <v>198971.0</v>
      </c>
      <c r="AV12" s="265">
        <v>8753271.0</v>
      </c>
      <c r="AW12" s="261">
        <v>5556.0</v>
      </c>
      <c r="AX12" s="261">
        <v>1540.65</v>
      </c>
      <c r="AY12" s="261">
        <v>1615.0</v>
      </c>
      <c r="AZ12" s="261">
        <v>1307.1</v>
      </c>
      <c r="BA12" s="261"/>
      <c r="BB12" s="261">
        <v>6592019.92</v>
      </c>
      <c r="BC12" s="262">
        <v>3214963.75</v>
      </c>
      <c r="BD12" s="261">
        <v>2758945.17</v>
      </c>
      <c r="BE12" s="262">
        <v>618111.0</v>
      </c>
      <c r="BF12" s="261">
        <v>3833074.75</v>
      </c>
      <c r="BG12" s="261">
        <v>3752.0</v>
      </c>
      <c r="BH12" s="261">
        <v>857.87</v>
      </c>
      <c r="BI12" s="261">
        <v>2934.0</v>
      </c>
      <c r="BJ12" s="261">
        <v>1313.16</v>
      </c>
      <c r="BK12" s="261"/>
      <c r="BL12" s="261">
        <v>269505.12</v>
      </c>
      <c r="BM12" s="261">
        <v>0.0</v>
      </c>
      <c r="BN12" s="261">
        <v>269505.12</v>
      </c>
      <c r="BO12" s="261">
        <v>0.0</v>
      </c>
      <c r="BP12" s="261">
        <v>0.0</v>
      </c>
      <c r="BQ12" s="261">
        <v>0.0</v>
      </c>
      <c r="BR12" s="261">
        <v>512.0</v>
      </c>
      <c r="BS12" s="261">
        <v>526.38</v>
      </c>
      <c r="BT12" s="261"/>
      <c r="BU12" s="261">
        <v>331673.28</v>
      </c>
      <c r="BV12" s="261">
        <v>875.0</v>
      </c>
      <c r="BW12" s="261">
        <v>99092.53</v>
      </c>
      <c r="BX12" s="261">
        <v>231705.75</v>
      </c>
      <c r="BY12" s="261">
        <v>232580.75</v>
      </c>
      <c r="BZ12" s="261">
        <v>0.0</v>
      </c>
      <c r="CA12" s="261">
        <v>0.0</v>
      </c>
      <c r="CB12" s="261">
        <v>172.0</v>
      </c>
      <c r="CC12" s="261">
        <v>647.66</v>
      </c>
      <c r="CD12" s="261"/>
      <c r="CE12" s="261">
        <v>639315.59</v>
      </c>
      <c r="CF12" s="262">
        <v>0.0</v>
      </c>
      <c r="CG12" s="261">
        <v>362322.67</v>
      </c>
      <c r="CH12" s="261">
        <v>276992.92</v>
      </c>
      <c r="CI12" s="261">
        <v>276992.92</v>
      </c>
      <c r="CJ12" s="261">
        <v>0.0</v>
      </c>
      <c r="CK12" s="261">
        <v>0.0</v>
      </c>
      <c r="CL12" s="261">
        <v>1054.0</v>
      </c>
      <c r="CM12" s="261">
        <v>557.42</v>
      </c>
      <c r="CN12" s="261"/>
      <c r="CO12" s="262">
        <v>574735.73</v>
      </c>
      <c r="CP12" s="261">
        <v>0.0</v>
      </c>
      <c r="CQ12" s="261">
        <v>574735.73</v>
      </c>
      <c r="CR12" s="261">
        <v>0.0</v>
      </c>
      <c r="CS12" s="261">
        <v>0.0</v>
      </c>
      <c r="CT12" s="261">
        <v>0.0</v>
      </c>
      <c r="CU12" s="261">
        <v>0.0</v>
      </c>
      <c r="CV12" s="261">
        <v>1065.0</v>
      </c>
      <c r="CW12" s="261">
        <v>539.66</v>
      </c>
      <c r="CX12" s="261"/>
      <c r="CY12" s="261"/>
      <c r="CZ12" s="261"/>
      <c r="DA12" s="261"/>
      <c r="DB12" s="261"/>
      <c r="DC12" s="261"/>
      <c r="DD12" s="261"/>
      <c r="DE12" s="262"/>
      <c r="DF12" s="261"/>
      <c r="DG12" s="261"/>
      <c r="DH12" s="261">
        <v>1.5413399E7</v>
      </c>
      <c r="DI12" s="261">
        <v>1.483605E7</v>
      </c>
      <c r="DJ12" s="261">
        <v>432879.0</v>
      </c>
      <c r="DK12" s="261">
        <v>144470.0</v>
      </c>
      <c r="DL12" s="261">
        <v>1.498052E7</v>
      </c>
      <c r="DM12" s="261">
        <v>4880.0</v>
      </c>
      <c r="DN12" s="261">
        <v>3041.17</v>
      </c>
      <c r="DO12" s="261">
        <v>328.0</v>
      </c>
      <c r="DP12" s="261">
        <v>1621.27</v>
      </c>
      <c r="DQ12" s="261"/>
      <c r="DR12" s="261">
        <v>414393.84</v>
      </c>
      <c r="DS12" s="261">
        <v>0.0</v>
      </c>
      <c r="DT12" s="261">
        <v>380658.84</v>
      </c>
      <c r="DU12" s="261">
        <v>33735.0</v>
      </c>
      <c r="DV12" s="261">
        <v>33735.0</v>
      </c>
      <c r="DW12" s="261">
        <v>0.0</v>
      </c>
      <c r="DX12" s="261">
        <v>0.0</v>
      </c>
      <c r="DY12" s="261">
        <v>408.0</v>
      </c>
      <c r="DZ12" s="261">
        <v>968.6</v>
      </c>
    </row>
    <row r="13" ht="15.75" customHeight="1">
      <c r="B13" s="256" t="s">
        <v>73</v>
      </c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8">
        <f>'Mg St LP'!D6</f>
        <v>4432</v>
      </c>
      <c r="N13" s="258" t="str">
        <f>'Mg St LP'!#REF!</f>
        <v>#ERROR!</v>
      </c>
      <c r="O13" s="257"/>
      <c r="P13" s="257"/>
      <c r="Q13" s="257"/>
      <c r="R13" s="257"/>
      <c r="V13" s="247"/>
      <c r="W13" s="259"/>
      <c r="X13" s="260">
        <v>45717.0</v>
      </c>
      <c r="Y13" s="261">
        <v>5.206536137E7</v>
      </c>
      <c r="Z13" s="261">
        <v>3.96680708E7</v>
      </c>
      <c r="AA13" s="261">
        <v>1.036686729E7</v>
      </c>
      <c r="AB13" s="262">
        <v>2030423.28</v>
      </c>
      <c r="AC13" s="261">
        <v>22339.0</v>
      </c>
      <c r="AD13" s="262">
        <v>1776.73</v>
      </c>
      <c r="AE13" s="261">
        <v>11503.0</v>
      </c>
      <c r="AF13" s="261">
        <v>1089.99</v>
      </c>
      <c r="AG13" s="263"/>
      <c r="AH13" s="263" t="s">
        <v>135</v>
      </c>
      <c r="AI13" s="263" t="s">
        <v>136</v>
      </c>
      <c r="AJ13" s="263" t="s">
        <v>137</v>
      </c>
      <c r="AK13" s="263" t="s">
        <v>138</v>
      </c>
      <c r="AL13" s="264">
        <v>1.1175554E7</v>
      </c>
      <c r="AM13" s="263" t="s">
        <v>139</v>
      </c>
      <c r="AN13" s="263" t="s">
        <v>140</v>
      </c>
      <c r="AO13" s="261">
        <v>2436.0</v>
      </c>
      <c r="AP13" s="261">
        <v>1243.69</v>
      </c>
      <c r="AQ13" s="261"/>
      <c r="AR13" s="261">
        <v>1.152719277E7</v>
      </c>
      <c r="AS13" s="261">
        <v>9107859.5</v>
      </c>
      <c r="AT13" s="262">
        <v>2136801.27</v>
      </c>
      <c r="AU13" s="261">
        <v>282532.0</v>
      </c>
      <c r="AV13" s="265">
        <v>9390391.5</v>
      </c>
      <c r="AW13" s="261">
        <v>5839.0</v>
      </c>
      <c r="AX13" s="261">
        <v>1560.83</v>
      </c>
      <c r="AY13" s="261">
        <v>1862.0</v>
      </c>
      <c r="AZ13" s="261">
        <v>1313.34</v>
      </c>
      <c r="BA13" s="261"/>
      <c r="BB13" s="261">
        <v>8007527.53</v>
      </c>
      <c r="BC13" s="262">
        <v>4084209.5</v>
      </c>
      <c r="BD13" s="261">
        <v>3200802.53</v>
      </c>
      <c r="BE13" s="262">
        <v>722515.5</v>
      </c>
      <c r="BF13" s="261">
        <v>4806725.0</v>
      </c>
      <c r="BG13" s="261">
        <v>4566.0</v>
      </c>
      <c r="BH13" s="261">
        <v>895.48</v>
      </c>
      <c r="BI13" s="261">
        <v>3335.0</v>
      </c>
      <c r="BJ13" s="261">
        <v>1329.79</v>
      </c>
      <c r="BK13" s="261"/>
      <c r="BL13" s="261">
        <v>236942.03</v>
      </c>
      <c r="BM13" s="261">
        <v>0.0</v>
      </c>
      <c r="BN13" s="261">
        <v>236942.03</v>
      </c>
      <c r="BO13" s="261">
        <v>0.0</v>
      </c>
      <c r="BP13" s="261">
        <v>0.0</v>
      </c>
      <c r="BQ13" s="261">
        <v>0.0</v>
      </c>
      <c r="BR13" s="261">
        <v>466.0</v>
      </c>
      <c r="BS13" s="261">
        <v>508.46</v>
      </c>
      <c r="BT13" s="261"/>
      <c r="BU13" s="261">
        <v>349931.53</v>
      </c>
      <c r="BV13" s="261">
        <v>0.0</v>
      </c>
      <c r="BW13" s="261">
        <v>71962.53</v>
      </c>
      <c r="BX13" s="261">
        <v>277969.0</v>
      </c>
      <c r="BY13" s="261">
        <v>277969.0</v>
      </c>
      <c r="BZ13" s="261">
        <v>0.0</v>
      </c>
      <c r="CA13" s="261">
        <v>0.0</v>
      </c>
      <c r="CB13" s="261">
        <v>166.0</v>
      </c>
      <c r="CC13" s="261">
        <v>525.27</v>
      </c>
      <c r="CD13" s="261"/>
      <c r="CE13" s="261">
        <v>640732.34</v>
      </c>
      <c r="CF13" s="262">
        <v>0.0</v>
      </c>
      <c r="CG13" s="261">
        <v>335894.56</v>
      </c>
      <c r="CH13" s="261">
        <v>304837.78</v>
      </c>
      <c r="CI13" s="261">
        <v>304837.78</v>
      </c>
      <c r="CJ13" s="261">
        <v>0.0</v>
      </c>
      <c r="CK13" s="261">
        <v>0.0</v>
      </c>
      <c r="CL13" s="261">
        <v>1074.0</v>
      </c>
      <c r="CM13" s="261">
        <v>515.18</v>
      </c>
      <c r="CN13" s="261"/>
      <c r="CO13" s="262">
        <v>629526.63</v>
      </c>
      <c r="CP13" s="261">
        <v>0.0</v>
      </c>
      <c r="CQ13" s="261">
        <v>629526.63</v>
      </c>
      <c r="CR13" s="261">
        <v>0.0</v>
      </c>
      <c r="CS13" s="261">
        <v>0.0</v>
      </c>
      <c r="CT13" s="261">
        <v>0.0</v>
      </c>
      <c r="CU13" s="261">
        <v>0.0</v>
      </c>
      <c r="CV13" s="261">
        <v>1194.0</v>
      </c>
      <c r="CW13" s="261">
        <v>527.24</v>
      </c>
      <c r="CX13" s="261"/>
      <c r="CY13" s="261"/>
      <c r="CZ13" s="261"/>
      <c r="DA13" s="261"/>
      <c r="DB13" s="261"/>
      <c r="DC13" s="261"/>
      <c r="DD13" s="261"/>
      <c r="DE13" s="262"/>
      <c r="DF13" s="261"/>
      <c r="DG13" s="261"/>
      <c r="DH13" s="261">
        <v>1.61418983E7</v>
      </c>
      <c r="DI13" s="261">
        <v>1.55628443E7</v>
      </c>
      <c r="DJ13" s="261">
        <v>461254.0</v>
      </c>
      <c r="DK13" s="261">
        <v>117800.0</v>
      </c>
      <c r="DL13" s="261">
        <v>1.56806443E7</v>
      </c>
      <c r="DM13" s="261">
        <v>5420.0</v>
      </c>
      <c r="DN13" s="261">
        <v>2872.37</v>
      </c>
      <c r="DO13" s="261">
        <v>338.0</v>
      </c>
      <c r="DP13" s="261">
        <v>1574.25</v>
      </c>
      <c r="DQ13" s="261"/>
      <c r="DR13" s="261">
        <v>703266.32</v>
      </c>
      <c r="DS13" s="261">
        <v>0.0</v>
      </c>
      <c r="DT13" s="261">
        <v>640893.82</v>
      </c>
      <c r="DU13" s="261">
        <v>62372.5</v>
      </c>
      <c r="DV13" s="261">
        <v>62372.5</v>
      </c>
      <c r="DW13" s="261">
        <v>0.0</v>
      </c>
      <c r="DX13" s="261">
        <v>0.0</v>
      </c>
      <c r="DY13" s="261">
        <v>632.0</v>
      </c>
      <c r="DZ13" s="261">
        <v>1064.61</v>
      </c>
    </row>
    <row r="14" ht="15.75" customHeight="1">
      <c r="B14" s="256" t="s">
        <v>80</v>
      </c>
      <c r="C14" s="257"/>
      <c r="D14" s="257"/>
      <c r="E14" s="257"/>
      <c r="F14" s="257"/>
      <c r="G14" s="257"/>
      <c r="H14" s="257"/>
      <c r="I14" s="257"/>
      <c r="J14" s="257"/>
      <c r="K14" s="257"/>
      <c r="L14" s="257"/>
      <c r="M14" s="258">
        <f>'Mg St LP'!D7</f>
        <v>2983</v>
      </c>
      <c r="N14" s="258" t="str">
        <f>'Mg St LP'!#REF!</f>
        <v>#ERROR!</v>
      </c>
      <c r="O14" s="257"/>
      <c r="P14" s="257"/>
      <c r="Q14" s="257"/>
      <c r="R14" s="257"/>
      <c r="V14" s="247"/>
      <c r="W14" s="259"/>
      <c r="X14" s="260">
        <v>45748.0</v>
      </c>
      <c r="Y14" s="261">
        <v>5.209594124E7</v>
      </c>
      <c r="Z14" s="261">
        <v>4.06311447E7</v>
      </c>
      <c r="AA14" s="261">
        <v>9610200.48</v>
      </c>
      <c r="AB14" s="262">
        <v>1854596.06</v>
      </c>
      <c r="AC14" s="261">
        <v>21929.0</v>
      </c>
      <c r="AD14" s="262">
        <v>1853.85</v>
      </c>
      <c r="AE14" s="261">
        <v>10600.0</v>
      </c>
      <c r="AF14" s="261">
        <v>1108.19</v>
      </c>
      <c r="AG14" s="263"/>
      <c r="AH14" s="263" t="s">
        <v>141</v>
      </c>
      <c r="AI14" s="263" t="s">
        <v>142</v>
      </c>
      <c r="AJ14" s="263" t="s">
        <v>143</v>
      </c>
      <c r="AK14" s="263" t="s">
        <v>144</v>
      </c>
      <c r="AL14" s="264">
        <v>1.286432E7</v>
      </c>
      <c r="AM14" s="263" t="s">
        <v>145</v>
      </c>
      <c r="AN14" s="263" t="s">
        <v>146</v>
      </c>
      <c r="AO14" s="261">
        <v>2241.0</v>
      </c>
      <c r="AP14" s="261">
        <v>1284.96</v>
      </c>
      <c r="AQ14" s="261"/>
      <c r="AR14" s="261">
        <v>1.127455453E7</v>
      </c>
      <c r="AS14" s="261">
        <v>9021174.25</v>
      </c>
      <c r="AT14" s="262">
        <v>2026403.28</v>
      </c>
      <c r="AU14" s="261">
        <v>226977.0</v>
      </c>
      <c r="AV14" s="265">
        <v>9248151.25</v>
      </c>
      <c r="AW14" s="261">
        <v>5434.0</v>
      </c>
      <c r="AX14" s="261">
        <v>1661.14</v>
      </c>
      <c r="AY14" s="261">
        <v>1706.0</v>
      </c>
      <c r="AZ14" s="261">
        <v>1323.58</v>
      </c>
      <c r="BA14" s="261"/>
      <c r="BB14" s="261">
        <v>7799625.92</v>
      </c>
      <c r="BC14" s="262">
        <v>4119225.0</v>
      </c>
      <c r="BD14" s="261">
        <v>3003393.42</v>
      </c>
      <c r="BE14" s="262">
        <v>677007.5</v>
      </c>
      <c r="BF14" s="261">
        <v>4796232.5</v>
      </c>
      <c r="BG14" s="261">
        <v>4432.0</v>
      </c>
      <c r="BH14" s="261">
        <v>930.43</v>
      </c>
      <c r="BI14" s="261">
        <v>2983.0</v>
      </c>
      <c r="BJ14" s="261">
        <v>1408.06</v>
      </c>
      <c r="BK14" s="261"/>
      <c r="BL14" s="261">
        <v>210736.64</v>
      </c>
      <c r="BM14" s="261">
        <v>0.0</v>
      </c>
      <c r="BN14" s="261">
        <v>210736.64</v>
      </c>
      <c r="BO14" s="261">
        <v>0.0</v>
      </c>
      <c r="BP14" s="261">
        <v>0.0</v>
      </c>
      <c r="BQ14" s="261">
        <v>0.0</v>
      </c>
      <c r="BR14" s="261">
        <v>419.0</v>
      </c>
      <c r="BS14" s="261">
        <v>502.95</v>
      </c>
      <c r="BT14" s="261"/>
      <c r="BU14" s="261">
        <v>285064.01</v>
      </c>
      <c r="BV14" s="261">
        <v>0.0</v>
      </c>
      <c r="BW14" s="261">
        <v>68163.01</v>
      </c>
      <c r="BX14" s="261">
        <v>216901.0</v>
      </c>
      <c r="BY14" s="261">
        <v>216901.0</v>
      </c>
      <c r="BZ14" s="261">
        <v>0.0</v>
      </c>
      <c r="CA14" s="261">
        <v>0.0</v>
      </c>
      <c r="CB14" s="261">
        <v>159.0</v>
      </c>
      <c r="CC14" s="261">
        <v>532.52</v>
      </c>
      <c r="CD14" s="261"/>
      <c r="CE14" s="261">
        <v>671198.18</v>
      </c>
      <c r="CF14" s="262">
        <v>0.0</v>
      </c>
      <c r="CG14" s="261">
        <v>343309.62</v>
      </c>
      <c r="CH14" s="261">
        <v>327888.56</v>
      </c>
      <c r="CI14" s="261">
        <v>327888.56</v>
      </c>
      <c r="CJ14" s="261">
        <v>0.0</v>
      </c>
      <c r="CK14" s="261">
        <v>0.0</v>
      </c>
      <c r="CL14" s="261">
        <v>1147.0</v>
      </c>
      <c r="CM14" s="261">
        <v>533.92</v>
      </c>
      <c r="CN14" s="261"/>
      <c r="CO14" s="262">
        <v>521785.14</v>
      </c>
      <c r="CP14" s="261">
        <v>0.0</v>
      </c>
      <c r="CQ14" s="261">
        <v>521785.14</v>
      </c>
      <c r="CR14" s="261">
        <v>0.0</v>
      </c>
      <c r="CS14" s="261">
        <v>0.0</v>
      </c>
      <c r="CT14" s="261">
        <v>0.0</v>
      </c>
      <c r="CU14" s="261">
        <v>0.0</v>
      </c>
      <c r="CV14" s="261">
        <v>1015.0</v>
      </c>
      <c r="CW14" s="261">
        <v>514.07</v>
      </c>
      <c r="CX14" s="261"/>
      <c r="CY14" s="261">
        <v>44479.59</v>
      </c>
      <c r="CZ14" s="261">
        <v>0.0</v>
      </c>
      <c r="DA14" s="261">
        <v>44479.59</v>
      </c>
      <c r="DB14" s="261">
        <v>0.0</v>
      </c>
      <c r="DC14" s="261">
        <v>0.0</v>
      </c>
      <c r="DD14" s="261">
        <v>0.0</v>
      </c>
      <c r="DE14" s="262">
        <v>83.0</v>
      </c>
      <c r="DF14" s="261">
        <v>535.9</v>
      </c>
      <c r="DG14" s="261"/>
      <c r="DH14" s="261">
        <v>1.549488045E7</v>
      </c>
      <c r="DI14" s="261">
        <v>1.490983745E7</v>
      </c>
      <c r="DJ14" s="261">
        <v>486848.0</v>
      </c>
      <c r="DK14" s="261">
        <v>98195.0</v>
      </c>
      <c r="DL14" s="261">
        <v>1.500803245E7</v>
      </c>
      <c r="DM14" s="261">
        <v>4700.0</v>
      </c>
      <c r="DN14" s="261">
        <v>3173.31</v>
      </c>
      <c r="DO14" s="261">
        <v>348.0</v>
      </c>
      <c r="DP14" s="261">
        <v>1606.76</v>
      </c>
      <c r="DQ14" s="261"/>
      <c r="DR14" s="261">
        <v>432613.72</v>
      </c>
      <c r="DS14" s="261">
        <v>0.0</v>
      </c>
      <c r="DT14" s="261">
        <v>408398.72</v>
      </c>
      <c r="DU14" s="261">
        <v>24215.0</v>
      </c>
      <c r="DV14" s="261">
        <v>24215.0</v>
      </c>
      <c r="DW14" s="261">
        <v>0.0</v>
      </c>
      <c r="DX14" s="261">
        <v>0.0</v>
      </c>
      <c r="DY14" s="261">
        <v>499.0</v>
      </c>
      <c r="DZ14" s="261">
        <v>861.6</v>
      </c>
    </row>
    <row r="15" ht="15.75" customHeight="1">
      <c r="B15" s="256" t="s">
        <v>87</v>
      </c>
      <c r="C15" s="257"/>
      <c r="D15" s="257"/>
      <c r="E15" s="257"/>
      <c r="F15" s="257"/>
      <c r="G15" s="257"/>
      <c r="H15" s="257"/>
      <c r="I15" s="257"/>
      <c r="J15" s="257"/>
      <c r="K15" s="257"/>
      <c r="L15" s="257"/>
      <c r="M15" s="258">
        <f>'Mg St LP'!D8</f>
        <v>4144195.05</v>
      </c>
      <c r="N15" s="258" t="str">
        <f>'Mg St LP'!#REF!</f>
        <v>#ERROR!</v>
      </c>
      <c r="O15" s="257"/>
      <c r="P15" s="257"/>
      <c r="Q15" s="257"/>
      <c r="R15" s="257"/>
      <c r="V15" s="247"/>
      <c r="W15" s="259"/>
      <c r="X15" s="260">
        <v>45778.0</v>
      </c>
      <c r="Y15" s="261">
        <v>5.48729403E7</v>
      </c>
      <c r="Z15" s="261">
        <v>4.150214825E7</v>
      </c>
      <c r="AA15" s="261">
        <v>1.155251543E7</v>
      </c>
      <c r="AB15" s="262">
        <v>1818276.62</v>
      </c>
      <c r="AC15" s="261">
        <v>22639.0</v>
      </c>
      <c r="AD15" s="262">
        <v>1834.21</v>
      </c>
      <c r="AE15" s="261">
        <v>13029.0</v>
      </c>
      <c r="AF15" s="261">
        <v>1030.46</v>
      </c>
      <c r="AG15" s="263"/>
      <c r="AH15" s="263" t="s">
        <v>147</v>
      </c>
      <c r="AI15" s="263" t="s">
        <v>148</v>
      </c>
      <c r="AJ15" s="263" t="s">
        <v>149</v>
      </c>
      <c r="AK15" s="263" t="s">
        <v>150</v>
      </c>
      <c r="AL15" s="264">
        <v>1.3069572E7</v>
      </c>
      <c r="AM15" s="263" t="s">
        <v>151</v>
      </c>
      <c r="AN15" s="263" t="s">
        <v>152</v>
      </c>
      <c r="AO15" s="261">
        <v>2613.0</v>
      </c>
      <c r="AP15" s="261">
        <v>1303.56</v>
      </c>
      <c r="AQ15" s="261"/>
      <c r="AR15" s="261">
        <v>1.193111727E7</v>
      </c>
      <c r="AS15" s="261">
        <v>9415520.25</v>
      </c>
      <c r="AT15" s="262">
        <v>2359371.02</v>
      </c>
      <c r="AU15" s="261">
        <v>156226.0</v>
      </c>
      <c r="AV15" s="265">
        <v>9571746.25</v>
      </c>
      <c r="AW15" s="261">
        <v>5738.0</v>
      </c>
      <c r="AX15" s="261">
        <v>1641.91</v>
      </c>
      <c r="AY15" s="261">
        <v>1956.0</v>
      </c>
      <c r="AZ15" s="261">
        <v>1297.07</v>
      </c>
      <c r="BA15" s="261"/>
      <c r="BB15" s="261">
        <v>8814733.83</v>
      </c>
      <c r="BC15" s="262">
        <v>4677508.0</v>
      </c>
      <c r="BD15" s="261">
        <v>3496559.83</v>
      </c>
      <c r="BE15" s="262">
        <v>640666.0</v>
      </c>
      <c r="BF15" s="261">
        <v>5318174.0</v>
      </c>
      <c r="BG15" s="261">
        <v>4850.0</v>
      </c>
      <c r="BH15" s="261">
        <v>965.43</v>
      </c>
      <c r="BI15" s="261">
        <v>3547.0</v>
      </c>
      <c r="BJ15" s="261">
        <v>1303.71</v>
      </c>
      <c r="BK15" s="261"/>
      <c r="BL15" s="261">
        <v>269945.41</v>
      </c>
      <c r="BM15" s="261">
        <v>0.0</v>
      </c>
      <c r="BN15" s="261">
        <v>269945.41</v>
      </c>
      <c r="BO15" s="261">
        <v>0.0</v>
      </c>
      <c r="BP15" s="261">
        <v>0.0</v>
      </c>
      <c r="BQ15" s="261">
        <v>0.0</v>
      </c>
      <c r="BR15" s="261">
        <v>599.0</v>
      </c>
      <c r="BS15" s="261">
        <v>450.66</v>
      </c>
      <c r="BT15" s="261"/>
      <c r="BU15" s="261">
        <v>333501.82</v>
      </c>
      <c r="BV15" s="261">
        <v>0.0</v>
      </c>
      <c r="BW15" s="261">
        <v>103864.57</v>
      </c>
      <c r="BX15" s="261">
        <v>229637.25</v>
      </c>
      <c r="BY15" s="261">
        <v>229637.25</v>
      </c>
      <c r="BZ15" s="261">
        <v>0.0</v>
      </c>
      <c r="CA15" s="261">
        <v>0.0</v>
      </c>
      <c r="CB15" s="261">
        <v>248.0</v>
      </c>
      <c r="CC15" s="261">
        <v>487.63</v>
      </c>
      <c r="CD15" s="261"/>
      <c r="CE15" s="261">
        <v>670011.57</v>
      </c>
      <c r="CF15" s="262">
        <v>0.0</v>
      </c>
      <c r="CG15" s="261">
        <v>401899.2</v>
      </c>
      <c r="CH15" s="261">
        <v>268112.37</v>
      </c>
      <c r="CI15" s="261">
        <v>268112.37</v>
      </c>
      <c r="CJ15" s="261">
        <v>0.0</v>
      </c>
      <c r="CK15" s="261">
        <v>0.0</v>
      </c>
      <c r="CL15" s="261">
        <v>1154.0</v>
      </c>
      <c r="CM15" s="261">
        <v>521.27</v>
      </c>
      <c r="CN15" s="261"/>
      <c r="CO15" s="262">
        <v>610855.05</v>
      </c>
      <c r="CP15" s="261">
        <v>0.0</v>
      </c>
      <c r="CQ15" s="261">
        <v>610855.05</v>
      </c>
      <c r="CR15" s="261">
        <v>0.0</v>
      </c>
      <c r="CS15" s="261">
        <v>0.0</v>
      </c>
      <c r="CT15" s="261">
        <v>0.0</v>
      </c>
      <c r="CU15" s="261">
        <v>0.0</v>
      </c>
      <c r="CV15" s="261">
        <v>1203.0</v>
      </c>
      <c r="CW15" s="261">
        <v>507.78</v>
      </c>
      <c r="CX15" s="261"/>
      <c r="CY15" s="261">
        <v>404859.4</v>
      </c>
      <c r="CZ15" s="261">
        <v>0.0</v>
      </c>
      <c r="DA15" s="261">
        <v>404859.4</v>
      </c>
      <c r="DB15" s="261">
        <v>0.0</v>
      </c>
      <c r="DC15" s="261">
        <v>0.0</v>
      </c>
      <c r="DD15" s="261">
        <v>0.0</v>
      </c>
      <c r="DE15" s="262">
        <v>859.0</v>
      </c>
      <c r="DF15" s="261">
        <v>471.31</v>
      </c>
      <c r="DG15" s="261"/>
      <c r="DH15" s="261">
        <v>1.5236383E7</v>
      </c>
      <c r="DI15" s="261">
        <v>1.4660248E7</v>
      </c>
      <c r="DJ15" s="261">
        <v>444905.0</v>
      </c>
      <c r="DK15" s="261">
        <v>131230.0</v>
      </c>
      <c r="DL15" s="261">
        <v>1.4791478E7</v>
      </c>
      <c r="DM15" s="261">
        <v>4719.0</v>
      </c>
      <c r="DN15" s="261">
        <v>3107.64</v>
      </c>
      <c r="DO15" s="261">
        <v>349.0</v>
      </c>
      <c r="DP15" s="261">
        <v>1508.15</v>
      </c>
      <c r="DQ15" s="261"/>
      <c r="DR15" s="261">
        <v>541603.11</v>
      </c>
      <c r="DS15" s="261">
        <v>0.0</v>
      </c>
      <c r="DT15" s="261">
        <v>469898.11</v>
      </c>
      <c r="DU15" s="261">
        <v>71705.0</v>
      </c>
      <c r="DV15" s="261">
        <v>71705.0</v>
      </c>
      <c r="DW15" s="261">
        <v>0.0</v>
      </c>
      <c r="DX15" s="261">
        <v>0.0</v>
      </c>
      <c r="DY15" s="261">
        <v>501.0</v>
      </c>
      <c r="DZ15" s="261">
        <v>987.18</v>
      </c>
    </row>
    <row r="16" ht="15.75" customHeight="1">
      <c r="B16" s="256" t="s">
        <v>94</v>
      </c>
      <c r="C16" s="257"/>
      <c r="D16" s="257"/>
      <c r="E16" s="257"/>
      <c r="F16" s="257"/>
      <c r="G16" s="257"/>
      <c r="H16" s="257"/>
      <c r="I16" s="257"/>
      <c r="J16" s="257"/>
      <c r="K16" s="257"/>
      <c r="L16" s="257"/>
      <c r="M16" s="258">
        <f>'Mg St LP'!D9</f>
        <v>6260438.9</v>
      </c>
      <c r="N16" s="258" t="str">
        <f>'Mg St LP'!#REF!</f>
        <v>#ERROR!</v>
      </c>
      <c r="O16" s="257"/>
      <c r="P16" s="257"/>
      <c r="Q16" s="257"/>
      <c r="R16" s="257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</row>
    <row r="17" ht="15.75" customHeight="1">
      <c r="B17" s="256" t="s">
        <v>101</v>
      </c>
      <c r="C17" s="257"/>
      <c r="D17" s="257"/>
      <c r="E17" s="257"/>
      <c r="F17" s="257"/>
      <c r="G17" s="257"/>
      <c r="H17" s="257"/>
      <c r="I17" s="257"/>
      <c r="J17" s="257"/>
      <c r="K17" s="257"/>
      <c r="L17" s="257"/>
      <c r="M17" s="258">
        <f>'Mg St LP'!D10</f>
        <v>-0.000000001862645149</v>
      </c>
      <c r="N17" s="258" t="str">
        <f>'Mg St LP'!#REF!</f>
        <v>#ERROR!</v>
      </c>
      <c r="O17" s="257"/>
      <c r="P17" s="257"/>
      <c r="Q17" s="257"/>
      <c r="R17" s="257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  <c r="AH17" s="3"/>
      <c r="AI17" s="3"/>
      <c r="AJ17" s="3"/>
      <c r="AK17" s="2"/>
      <c r="AL17" s="2"/>
      <c r="AM17" s="2"/>
      <c r="AN17" s="268">
        <f>(AN15-AN4)/AN4</f>
        <v>0.1663828589</v>
      </c>
      <c r="AO17" s="2"/>
      <c r="AP17" s="268">
        <f>(AP15-AP4)/AP4</f>
        <v>-0.05278302572</v>
      </c>
      <c r="AQ17" s="3"/>
      <c r="AR17" s="3"/>
      <c r="AS17" s="3"/>
      <c r="AT17" s="2"/>
      <c r="AU17" s="2"/>
      <c r="AV17" s="2"/>
      <c r="AW17" s="2"/>
      <c r="AX17" s="268">
        <f>(AX15-AX4)/AX4</f>
        <v>0.1144286374</v>
      </c>
      <c r="AY17" s="2"/>
      <c r="AZ17" s="268">
        <f>(AZ15-AZ4)/AZ4</f>
        <v>-0.09115305922</v>
      </c>
      <c r="BA17" s="3"/>
      <c r="BB17" s="3"/>
      <c r="BC17" s="2"/>
      <c r="BD17" s="2"/>
      <c r="BE17" s="2"/>
      <c r="BF17" s="2"/>
      <c r="BG17" s="2"/>
      <c r="BH17" s="268">
        <f>(BH15-BH4)/BH4</f>
        <v>0.05533389447</v>
      </c>
      <c r="BI17" s="2"/>
      <c r="BJ17" s="268">
        <f>(BJ15-BJ4)/BJ4</f>
        <v>-0.1173913927</v>
      </c>
      <c r="BK17" s="3"/>
      <c r="BL17" s="2"/>
      <c r="BM17" s="2"/>
      <c r="BN17" s="2"/>
      <c r="BO17" s="2"/>
      <c r="BP17" s="2"/>
      <c r="BQ17" s="3"/>
      <c r="BR17" s="3"/>
      <c r="BS17" s="3"/>
      <c r="BT17" s="3"/>
      <c r="BU17" s="2"/>
      <c r="BV17" s="2"/>
      <c r="BW17" s="2"/>
      <c r="BX17" s="2"/>
      <c r="BY17" s="2"/>
      <c r="BZ17" s="3"/>
      <c r="CA17" s="3"/>
      <c r="CB17" s="3"/>
      <c r="CC17" s="3"/>
      <c r="CD17" s="2"/>
      <c r="CE17" s="2"/>
      <c r="CF17" s="2"/>
      <c r="CG17" s="2"/>
      <c r="CH17" s="2"/>
      <c r="CI17" s="3"/>
      <c r="CJ17" s="3"/>
      <c r="CK17" s="3"/>
      <c r="CL17" s="3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3"/>
      <c r="DB17" s="3"/>
      <c r="DC17" s="3"/>
      <c r="DD17" s="3"/>
      <c r="DE17" s="2"/>
      <c r="DF17" s="2"/>
      <c r="DG17" s="2"/>
      <c r="DH17" s="2"/>
      <c r="DI17" s="2"/>
      <c r="DJ17" s="3"/>
      <c r="DK17" s="3"/>
      <c r="DL17" s="3"/>
      <c r="DM17" s="3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</row>
    <row r="18" ht="15.75" customHeight="1">
      <c r="B18" s="256" t="s">
        <v>108</v>
      </c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8">
        <f>'Mg St LP'!D11</f>
        <v>935.06206</v>
      </c>
      <c r="N18" s="258" t="str">
        <f>'Mg St LP'!#REF!</f>
        <v>#ERROR!</v>
      </c>
      <c r="O18" s="257"/>
      <c r="P18" s="257"/>
      <c r="Q18" s="257"/>
      <c r="R18" s="257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69"/>
      <c r="AH18" s="247"/>
      <c r="AI18" s="247"/>
      <c r="AJ18" s="247"/>
      <c r="AK18" s="2"/>
      <c r="AL18" s="2"/>
      <c r="AM18" s="2"/>
      <c r="AN18" s="2"/>
      <c r="AO18" s="2"/>
      <c r="AP18" s="269"/>
      <c r="AQ18" s="247"/>
      <c r="AR18" s="247"/>
      <c r="AS18" s="247"/>
      <c r="AT18" s="2"/>
      <c r="AV18" s="2"/>
      <c r="AW18" s="2"/>
      <c r="AX18" s="2"/>
      <c r="AY18" s="269"/>
      <c r="AZ18" s="247"/>
      <c r="BA18" s="247"/>
      <c r="BB18" s="247"/>
      <c r="BC18" s="2"/>
      <c r="BE18" s="2"/>
      <c r="BF18" s="2"/>
      <c r="BG18" s="2"/>
      <c r="BH18" s="269"/>
      <c r="BI18" s="247"/>
      <c r="BJ18" s="247"/>
      <c r="BK18" s="247"/>
      <c r="BL18" s="2"/>
      <c r="BM18" s="2"/>
      <c r="BN18" s="2"/>
      <c r="BO18" s="2"/>
      <c r="BP18" s="2"/>
      <c r="BQ18" s="269"/>
      <c r="BR18" s="247"/>
      <c r="BS18" s="247"/>
      <c r="BT18" s="247"/>
      <c r="BU18" s="2"/>
      <c r="BW18" s="2"/>
      <c r="BX18" s="2"/>
      <c r="BY18" s="2"/>
      <c r="BZ18" s="269"/>
      <c r="CA18" s="247"/>
      <c r="CB18" s="247"/>
      <c r="CC18" s="247"/>
      <c r="CD18" s="2"/>
      <c r="CE18" s="2"/>
      <c r="CF18" s="2"/>
      <c r="CG18" s="2"/>
      <c r="CH18" s="2"/>
      <c r="CI18" s="269"/>
      <c r="CJ18" s="247"/>
      <c r="CK18" s="247"/>
      <c r="CL18" s="247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69"/>
      <c r="DB18" s="247"/>
      <c r="DC18" s="247"/>
      <c r="DD18" s="247"/>
      <c r="DE18" s="2"/>
      <c r="DF18" s="2"/>
      <c r="DG18" s="2"/>
      <c r="DH18" s="2"/>
      <c r="DI18" s="2"/>
      <c r="DJ18" s="269"/>
      <c r="DK18" s="247"/>
      <c r="DL18" s="247"/>
      <c r="DM18" s="247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</row>
    <row r="19" ht="15.75" customHeight="1">
      <c r="B19" s="256" t="s">
        <v>115</v>
      </c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8">
        <f>'Mg St LP'!D12</f>
        <v>2098.705632</v>
      </c>
      <c r="N19" s="258" t="str">
        <f>'Mg St LP'!#REF!</f>
        <v>#ERROR!</v>
      </c>
      <c r="O19" s="257"/>
      <c r="P19" s="257"/>
      <c r="Q19" s="257"/>
      <c r="R19" s="257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69"/>
      <c r="AH19" s="269"/>
      <c r="AI19" s="269"/>
      <c r="AJ19" s="269"/>
      <c r="AK19" s="2"/>
      <c r="AL19" s="2"/>
      <c r="AM19" s="2"/>
      <c r="AN19" s="2"/>
      <c r="AO19" s="2"/>
      <c r="AP19" s="269"/>
      <c r="AQ19" s="269"/>
      <c r="AR19" s="269"/>
      <c r="AS19" s="269"/>
      <c r="AT19" s="2"/>
      <c r="AU19" s="2"/>
      <c r="AV19" s="2"/>
      <c r="AW19" s="2"/>
      <c r="AX19" s="2"/>
      <c r="AY19" s="269"/>
      <c r="AZ19" s="269"/>
      <c r="BA19" s="269"/>
      <c r="BB19" s="269"/>
      <c r="BC19" s="2"/>
      <c r="BD19" s="2"/>
      <c r="BE19" s="2"/>
      <c r="BF19" s="2"/>
      <c r="BG19" s="2"/>
      <c r="BH19" s="269"/>
      <c r="BI19" s="269"/>
      <c r="BJ19" s="269"/>
      <c r="BK19" s="269"/>
      <c r="BL19" s="2"/>
      <c r="BM19" s="2"/>
      <c r="BN19" s="2"/>
      <c r="BO19" s="2"/>
      <c r="BP19" s="2"/>
      <c r="BQ19" s="269"/>
      <c r="BR19" s="269"/>
      <c r="BS19" s="269"/>
      <c r="BT19" s="269"/>
      <c r="BU19" s="2"/>
      <c r="BV19" s="2"/>
      <c r="BW19" s="2"/>
      <c r="BX19" s="2"/>
      <c r="BY19" s="2"/>
      <c r="BZ19" s="269"/>
      <c r="CA19" s="269"/>
      <c r="CB19" s="269"/>
      <c r="CC19" s="269"/>
      <c r="CD19" s="2"/>
      <c r="CE19" s="2"/>
      <c r="CF19" s="2"/>
      <c r="CG19" s="2"/>
      <c r="CH19" s="2"/>
      <c r="CI19" s="269"/>
      <c r="CJ19" s="269"/>
      <c r="CK19" s="269"/>
      <c r="CL19" s="269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69"/>
      <c r="DB19" s="269"/>
      <c r="DC19" s="269"/>
      <c r="DD19" s="269"/>
      <c r="DE19" s="2"/>
      <c r="DF19" s="2"/>
      <c r="DG19" s="2"/>
      <c r="DH19" s="2"/>
      <c r="DI19" s="2"/>
      <c r="DJ19" s="269"/>
      <c r="DK19" s="269"/>
      <c r="DL19" s="269"/>
      <c r="DM19" s="269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</row>
    <row r="20" ht="15.75" customHeight="1"/>
    <row r="21" ht="15.75" customHeight="1">
      <c r="B21" s="250" t="s">
        <v>153</v>
      </c>
      <c r="C21" s="251">
        <v>45444.0</v>
      </c>
      <c r="D21" s="251">
        <v>45474.0</v>
      </c>
      <c r="E21" s="251">
        <v>45505.0</v>
      </c>
      <c r="F21" s="250" t="s">
        <v>62</v>
      </c>
      <c r="G21" s="251">
        <v>45566.0</v>
      </c>
      <c r="H21" s="251">
        <v>45597.0</v>
      </c>
      <c r="I21" s="251">
        <v>45627.0</v>
      </c>
      <c r="J21" s="251">
        <v>45658.0</v>
      </c>
      <c r="K21" s="251">
        <v>45689.0</v>
      </c>
      <c r="L21" s="251">
        <v>45717.0</v>
      </c>
      <c r="M21" s="251">
        <v>45748.0</v>
      </c>
      <c r="N21" s="251">
        <v>45778.0</v>
      </c>
      <c r="O21" s="250"/>
      <c r="P21" s="250"/>
      <c r="Q21" s="250"/>
      <c r="R21" s="250"/>
    </row>
    <row r="22" ht="15.75" customHeight="1">
      <c r="B22" s="256" t="s">
        <v>73</v>
      </c>
      <c r="C22" s="258">
        <v>7526.0</v>
      </c>
      <c r="D22" s="258">
        <v>7144.0</v>
      </c>
      <c r="E22" s="258">
        <v>7634.0</v>
      </c>
      <c r="F22" s="258">
        <v>6608.0</v>
      </c>
      <c r="G22" s="258">
        <v>6633.0</v>
      </c>
      <c r="H22" s="258">
        <v>6458.0</v>
      </c>
      <c r="I22" s="258">
        <v>7370.0</v>
      </c>
      <c r="J22" s="258">
        <v>6551.0</v>
      </c>
      <c r="K22" s="258">
        <v>5823.0</v>
      </c>
      <c r="L22" s="258">
        <v>6514.0</v>
      </c>
      <c r="M22" s="258">
        <f>'Mg St Bandra'!D6</f>
        <v>7363</v>
      </c>
      <c r="N22" s="258" t="str">
        <f>'Mg St Bandra'!#REF!</f>
        <v>#ERROR!</v>
      </c>
      <c r="O22" s="257"/>
      <c r="P22" s="257"/>
      <c r="Q22" s="257"/>
      <c r="R22" s="257"/>
    </row>
    <row r="23" ht="15.75" customHeight="1">
      <c r="B23" s="256" t="s">
        <v>80</v>
      </c>
      <c r="C23" s="258">
        <v>1229.0</v>
      </c>
      <c r="D23" s="258">
        <v>1332.0</v>
      </c>
      <c r="E23" s="258">
        <v>1601.0</v>
      </c>
      <c r="F23" s="258">
        <v>1772.0</v>
      </c>
      <c r="G23" s="258">
        <v>1837.0</v>
      </c>
      <c r="H23" s="258">
        <v>1962.0</v>
      </c>
      <c r="I23" s="258">
        <v>2057.0</v>
      </c>
      <c r="J23" s="258">
        <v>1952.0</v>
      </c>
      <c r="K23" s="258">
        <v>2116.0</v>
      </c>
      <c r="L23" s="258">
        <v>2436.0</v>
      </c>
      <c r="M23" s="258">
        <f>'Mg St Bandra'!D7</f>
        <v>2241</v>
      </c>
      <c r="N23" s="258" t="str">
        <f>'Mg St Bandra'!#REF!</f>
        <v>#ERROR!</v>
      </c>
      <c r="O23" s="257"/>
      <c r="P23" s="257"/>
      <c r="Q23" s="257"/>
      <c r="R23" s="257"/>
    </row>
    <row r="24" ht="15.75" customHeight="1">
      <c r="B24" s="256" t="s">
        <v>87</v>
      </c>
      <c r="C24" s="258">
        <v>1.146578075E7</v>
      </c>
      <c r="D24" s="270">
        <v>1.08495985E7</v>
      </c>
      <c r="E24" s="270">
        <v>1.232067425E7</v>
      </c>
      <c r="F24" s="270">
        <v>1.145224E7</v>
      </c>
      <c r="G24" s="270">
        <v>1.15120215E7</v>
      </c>
      <c r="H24" s="270">
        <v>1.10224485E7</v>
      </c>
      <c r="I24" s="270">
        <v>1.2872772E7</v>
      </c>
      <c r="J24" s="270">
        <v>1.14433195E7</v>
      </c>
      <c r="K24" s="270">
        <v>9878764.0</v>
      </c>
      <c r="L24" s="270">
        <v>1.1175554E7</v>
      </c>
      <c r="M24" s="270">
        <v>1.286432E7</v>
      </c>
      <c r="N24" s="270">
        <v>1.3069572E7</v>
      </c>
      <c r="O24" s="257"/>
      <c r="P24" s="257"/>
      <c r="Q24" s="257"/>
      <c r="R24" s="257"/>
    </row>
    <row r="25" ht="15.75" customHeight="1">
      <c r="B25" s="256" t="s">
        <v>94</v>
      </c>
      <c r="C25" s="258">
        <v>1314270.0</v>
      </c>
      <c r="D25" s="270">
        <v>1431076.0</v>
      </c>
      <c r="E25" s="270">
        <v>1645414.0</v>
      </c>
      <c r="F25" s="270">
        <v>1977000.0</v>
      </c>
      <c r="G25" s="270">
        <v>1984707.12</v>
      </c>
      <c r="H25" s="270">
        <v>2039306.95</v>
      </c>
      <c r="I25" s="270">
        <v>2151840.69</v>
      </c>
      <c r="J25" s="270">
        <v>2056592.58</v>
      </c>
      <c r="K25" s="270">
        <v>2163821.21</v>
      </c>
      <c r="L25" s="270">
        <v>2652789.92</v>
      </c>
      <c r="M25" s="270">
        <v>2496683.06</v>
      </c>
      <c r="N25" s="270">
        <v>2990357.84</v>
      </c>
      <c r="O25" s="257"/>
      <c r="P25" s="257"/>
      <c r="Q25" s="257"/>
      <c r="R25" s="257"/>
    </row>
    <row r="26" ht="15.75" customHeight="1">
      <c r="B26" s="256" t="s">
        <v>101</v>
      </c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>
        <f>'Mg St Bandra'!D10</f>
        <v>0</v>
      </c>
      <c r="N26" s="258" t="str">
        <f>'Mg St Bandra'!#REF!</f>
        <v>#ERROR!</v>
      </c>
      <c r="O26" s="257"/>
      <c r="P26" s="257"/>
      <c r="Q26" s="257"/>
      <c r="R26" s="257"/>
    </row>
    <row r="27" ht="15.75" customHeight="1">
      <c r="B27" s="256" t="s">
        <v>108</v>
      </c>
      <c r="C27" s="258">
        <f t="shared" ref="C27:L27" si="1">C24/C22</f>
        <v>1523.489337</v>
      </c>
      <c r="D27" s="258">
        <f t="shared" si="1"/>
        <v>1518.700798</v>
      </c>
      <c r="E27" s="258">
        <f t="shared" si="1"/>
        <v>1613.921175</v>
      </c>
      <c r="F27" s="258">
        <f t="shared" si="1"/>
        <v>1733.087167</v>
      </c>
      <c r="G27" s="258">
        <f t="shared" si="1"/>
        <v>1735.567843</v>
      </c>
      <c r="H27" s="258">
        <f t="shared" si="1"/>
        <v>1706.789796</v>
      </c>
      <c r="I27" s="258">
        <f t="shared" si="1"/>
        <v>1746.644776</v>
      </c>
      <c r="J27" s="258">
        <f t="shared" si="1"/>
        <v>1746.804992</v>
      </c>
      <c r="K27" s="258">
        <f t="shared" si="1"/>
        <v>1696.507642</v>
      </c>
      <c r="L27" s="258">
        <f t="shared" si="1"/>
        <v>1715.620817</v>
      </c>
      <c r="M27" s="258">
        <f>'Mg St Bandra'!D11</f>
        <v>1689.752547</v>
      </c>
      <c r="N27" s="258" t="str">
        <f>'Mg St Bandra'!#REF!</f>
        <v>#ERROR!</v>
      </c>
      <c r="O27" s="257"/>
      <c r="P27" s="257"/>
      <c r="Q27" s="257"/>
      <c r="R27" s="257"/>
    </row>
    <row r="28" ht="15.75" customHeight="1">
      <c r="B28" s="256" t="s">
        <v>115</v>
      </c>
      <c r="C28" s="258">
        <f t="shared" ref="C28:L28" si="2">C25/C23</f>
        <v>1069.381611</v>
      </c>
      <c r="D28" s="258">
        <f t="shared" si="2"/>
        <v>1074.381381</v>
      </c>
      <c r="E28" s="258">
        <f t="shared" si="2"/>
        <v>1027.741412</v>
      </c>
      <c r="F28" s="258">
        <f t="shared" si="2"/>
        <v>1115.688488</v>
      </c>
      <c r="G28" s="258">
        <f t="shared" si="2"/>
        <v>1080.406707</v>
      </c>
      <c r="H28" s="258">
        <f t="shared" si="2"/>
        <v>1039.402115</v>
      </c>
      <c r="I28" s="258">
        <f t="shared" si="2"/>
        <v>1046.106315</v>
      </c>
      <c r="J28" s="258">
        <f t="shared" si="2"/>
        <v>1053.582264</v>
      </c>
      <c r="K28" s="258">
        <f t="shared" si="2"/>
        <v>1022.599816</v>
      </c>
      <c r="L28" s="258">
        <f t="shared" si="2"/>
        <v>1088.99422</v>
      </c>
      <c r="M28" s="258">
        <f>'Mg St Bandra'!D12</f>
        <v>2188.537818</v>
      </c>
      <c r="N28" s="258" t="str">
        <f>'Mg St Bandra'!#REF!</f>
        <v>#ERROR!</v>
      </c>
      <c r="O28" s="257"/>
      <c r="P28" s="257"/>
      <c r="Q28" s="257"/>
      <c r="R28" s="257"/>
    </row>
    <row r="29" ht="15.75" customHeight="1"/>
    <row r="30" ht="15.75" customHeight="1">
      <c r="B30" s="250" t="s">
        <v>154</v>
      </c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>
        <v>45748.0</v>
      </c>
      <c r="N30" s="251">
        <v>45778.0</v>
      </c>
      <c r="O30" s="250"/>
      <c r="P30" s="250"/>
      <c r="Q30" s="250"/>
      <c r="R30" s="250"/>
    </row>
    <row r="31" ht="15.75" customHeight="1">
      <c r="B31" s="256" t="s">
        <v>73</v>
      </c>
      <c r="C31" s="257"/>
      <c r="D31" s="257"/>
      <c r="E31" s="257"/>
      <c r="F31" s="257"/>
      <c r="G31" s="257"/>
      <c r="H31" s="257"/>
      <c r="I31" s="257"/>
      <c r="J31" s="257"/>
      <c r="K31" s="257"/>
      <c r="L31" s="257"/>
      <c r="M31" s="258">
        <f>'The Table'!D6</f>
        <v>4700</v>
      </c>
      <c r="N31" s="258" t="str">
        <f>'The Table'!#REF!</f>
        <v>#ERROR!</v>
      </c>
      <c r="O31" s="257"/>
      <c r="P31" s="257"/>
      <c r="Q31" s="257"/>
      <c r="R31" s="257"/>
    </row>
    <row r="32" ht="15.75" customHeight="1">
      <c r="B32" s="256" t="s">
        <v>80</v>
      </c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8">
        <f>'The Table'!D7</f>
        <v>348</v>
      </c>
      <c r="N32" s="258" t="str">
        <f>'The Table'!#REF!</f>
        <v>#ERROR!</v>
      </c>
      <c r="O32" s="257"/>
      <c r="P32" s="257"/>
      <c r="Q32" s="257"/>
      <c r="R32" s="257"/>
    </row>
    <row r="33" ht="15.75" customHeight="1">
      <c r="B33" s="256" t="s">
        <v>87</v>
      </c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8">
        <f>'The Table'!D8</f>
        <v>19734167.61</v>
      </c>
      <c r="N33" s="258" t="str">
        <f>'The Table'!#REF!</f>
        <v>#ERROR!</v>
      </c>
      <c r="O33" s="257"/>
      <c r="P33" s="257"/>
      <c r="Q33" s="257"/>
      <c r="R33" s="257"/>
    </row>
    <row r="34" ht="15.75" customHeight="1">
      <c r="B34" s="256" t="s">
        <v>94</v>
      </c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8">
        <f>'The Table'!D9</f>
        <v>792545.26</v>
      </c>
      <c r="N34" s="258" t="str">
        <f>'The Table'!#REF!</f>
        <v>#ERROR!</v>
      </c>
      <c r="O34" s="257"/>
      <c r="P34" s="257"/>
      <c r="Q34" s="257"/>
      <c r="R34" s="257"/>
    </row>
    <row r="35" ht="15.75" customHeight="1">
      <c r="B35" s="256" t="s">
        <v>101</v>
      </c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8">
        <f>'The Table'!D10</f>
        <v>-45600</v>
      </c>
      <c r="N35" s="258" t="str">
        <f>'The Table'!#REF!</f>
        <v>#ERROR!</v>
      </c>
      <c r="O35" s="257"/>
      <c r="P35" s="257"/>
      <c r="Q35" s="257"/>
      <c r="R35" s="257"/>
    </row>
    <row r="36" ht="15.75" customHeight="1">
      <c r="B36" s="256" t="s">
        <v>155</v>
      </c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8">
        <f>'The Table'!D11</f>
        <v>4198.759066</v>
      </c>
      <c r="N36" s="258" t="str">
        <f>'The Table'!#REF!</f>
        <v>#ERROR!</v>
      </c>
      <c r="O36" s="257"/>
      <c r="P36" s="257"/>
      <c r="Q36" s="257"/>
      <c r="R36" s="257"/>
    </row>
    <row r="37" ht="15.75" customHeight="1">
      <c r="B37" s="256" t="s">
        <v>115</v>
      </c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8">
        <f>'The Table'!D12</f>
        <v>2277.428908</v>
      </c>
      <c r="N37" s="258" t="str">
        <f>'The Table'!#REF!</f>
        <v>#ERROR!</v>
      </c>
      <c r="O37" s="257"/>
      <c r="P37" s="257"/>
      <c r="Q37" s="257"/>
      <c r="R37" s="257"/>
    </row>
    <row r="38" ht="15.75" customHeight="1"/>
    <row r="39" ht="15.75" customHeight="1"/>
    <row r="40" ht="15.75" customHeight="1">
      <c r="N40" s="271" t="str">
        <f>6%*(N33+N34)</f>
        <v>#ERROR!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</sheetData>
  <mergeCells count="12">
    <mergeCell ref="CY2:CZ2"/>
    <mergeCell ref="DH2:DI2"/>
    <mergeCell ref="AT18:AU18"/>
    <mergeCell ref="BC18:BD18"/>
    <mergeCell ref="BU18:BV18"/>
    <mergeCell ref="AH2:AI2"/>
    <mergeCell ref="AR2:AS2"/>
    <mergeCell ref="BB2:BC2"/>
    <mergeCell ref="BL2:BM2"/>
    <mergeCell ref="BU2:BV2"/>
    <mergeCell ref="CE2:CF2"/>
    <mergeCell ref="CO2:CQ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6" width="12.63"/>
    <col customWidth="1" min="7" max="7" width="13.63"/>
  </cols>
  <sheetData>
    <row r="1" ht="15.75" customHeight="1">
      <c r="A1" s="272" t="s">
        <v>0</v>
      </c>
      <c r="O1" s="151"/>
      <c r="S1" s="151"/>
      <c r="W1" s="151"/>
      <c r="AA1" s="151"/>
      <c r="AE1" s="151">
        <f>AE12/$K$12</f>
        <v>0.2234098894</v>
      </c>
      <c r="BC1" s="151" t="s">
        <v>156</v>
      </c>
      <c r="BG1" s="151" t="s">
        <v>156</v>
      </c>
    </row>
    <row r="2" ht="15.75" customHeight="1">
      <c r="A2" s="151" t="s">
        <v>157</v>
      </c>
    </row>
    <row r="3" ht="15.75" customHeight="1">
      <c r="B3" s="4"/>
      <c r="C3" s="158" t="s">
        <v>46</v>
      </c>
      <c r="D3" s="10"/>
      <c r="E3" s="10"/>
      <c r="F3" s="13"/>
      <c r="G3" s="158" t="s">
        <v>3</v>
      </c>
      <c r="H3" s="10"/>
      <c r="I3" s="10"/>
      <c r="J3" s="13"/>
      <c r="K3" s="158" t="s">
        <v>4</v>
      </c>
      <c r="L3" s="10"/>
      <c r="M3" s="10"/>
      <c r="N3" s="13"/>
      <c r="O3" s="158" t="s">
        <v>5</v>
      </c>
      <c r="P3" s="10"/>
      <c r="Q3" s="10"/>
      <c r="R3" s="13"/>
      <c r="S3" s="158" t="s">
        <v>6</v>
      </c>
      <c r="T3" s="10"/>
      <c r="U3" s="10"/>
      <c r="V3" s="13"/>
      <c r="W3" s="158" t="s">
        <v>7</v>
      </c>
      <c r="X3" s="10"/>
      <c r="Y3" s="10"/>
      <c r="Z3" s="13"/>
      <c r="AA3" s="158" t="s">
        <v>8</v>
      </c>
      <c r="AB3" s="10"/>
      <c r="AC3" s="10"/>
      <c r="AD3" s="13"/>
      <c r="AE3" s="158" t="s">
        <v>9</v>
      </c>
      <c r="AF3" s="10"/>
      <c r="AG3" s="10"/>
      <c r="AH3" s="13"/>
      <c r="AI3" s="158" t="s">
        <v>10</v>
      </c>
      <c r="AJ3" s="10"/>
      <c r="AK3" s="10"/>
      <c r="AL3" s="13"/>
      <c r="AM3" s="158" t="s">
        <v>11</v>
      </c>
      <c r="AN3" s="10"/>
      <c r="AO3" s="10"/>
      <c r="AP3" s="13"/>
      <c r="AQ3" s="158" t="s">
        <v>12</v>
      </c>
      <c r="AR3" s="10"/>
      <c r="AS3" s="10"/>
      <c r="AT3" s="13"/>
      <c r="AU3" s="158" t="s">
        <v>13</v>
      </c>
      <c r="AV3" s="10"/>
      <c r="AW3" s="10"/>
      <c r="AX3" s="13"/>
      <c r="AY3" s="158" t="s">
        <v>14</v>
      </c>
      <c r="AZ3" s="10"/>
      <c r="BA3" s="10"/>
      <c r="BB3" s="13"/>
      <c r="BC3" s="158" t="s">
        <v>158</v>
      </c>
      <c r="BD3" s="10"/>
      <c r="BE3" s="10"/>
      <c r="BF3" s="13"/>
      <c r="BG3" s="158" t="s">
        <v>47</v>
      </c>
      <c r="BH3" s="10"/>
      <c r="BI3" s="10"/>
      <c r="BJ3" s="13"/>
    </row>
    <row r="4" ht="15.75" customHeight="1">
      <c r="A4" s="273"/>
      <c r="B4" s="15"/>
      <c r="C4" s="274" t="s">
        <v>20</v>
      </c>
      <c r="D4" s="274" t="s">
        <v>18</v>
      </c>
      <c r="E4" s="274" t="s">
        <v>19</v>
      </c>
      <c r="F4" s="274" t="s">
        <v>18</v>
      </c>
      <c r="G4" s="274" t="s">
        <v>20</v>
      </c>
      <c r="H4" s="274" t="s">
        <v>18</v>
      </c>
      <c r="I4" s="274" t="s">
        <v>19</v>
      </c>
      <c r="J4" s="274" t="s">
        <v>18</v>
      </c>
      <c r="K4" s="274" t="s">
        <v>20</v>
      </c>
      <c r="L4" s="274" t="s">
        <v>18</v>
      </c>
      <c r="M4" s="274" t="s">
        <v>19</v>
      </c>
      <c r="N4" s="274" t="s">
        <v>18</v>
      </c>
      <c r="O4" s="274" t="s">
        <v>20</v>
      </c>
      <c r="P4" s="274" t="s">
        <v>18</v>
      </c>
      <c r="Q4" s="274" t="s">
        <v>19</v>
      </c>
      <c r="R4" s="274" t="s">
        <v>18</v>
      </c>
      <c r="S4" s="274" t="s">
        <v>20</v>
      </c>
      <c r="T4" s="274" t="s">
        <v>18</v>
      </c>
      <c r="U4" s="274" t="s">
        <v>19</v>
      </c>
      <c r="V4" s="274" t="s">
        <v>18</v>
      </c>
      <c r="W4" s="274" t="s">
        <v>20</v>
      </c>
      <c r="X4" s="274" t="s">
        <v>18</v>
      </c>
      <c r="Y4" s="274" t="s">
        <v>19</v>
      </c>
      <c r="Z4" s="274" t="s">
        <v>18</v>
      </c>
      <c r="AA4" s="274" t="s">
        <v>20</v>
      </c>
      <c r="AB4" s="274" t="s">
        <v>18</v>
      </c>
      <c r="AC4" s="274" t="s">
        <v>19</v>
      </c>
      <c r="AD4" s="274" t="s">
        <v>18</v>
      </c>
      <c r="AE4" s="274" t="s">
        <v>20</v>
      </c>
      <c r="AF4" s="274" t="s">
        <v>18</v>
      </c>
      <c r="AG4" s="274" t="s">
        <v>19</v>
      </c>
      <c r="AH4" s="274" t="s">
        <v>18</v>
      </c>
      <c r="AI4" s="274" t="s">
        <v>20</v>
      </c>
      <c r="AJ4" s="274" t="s">
        <v>18</v>
      </c>
      <c r="AK4" s="274" t="s">
        <v>19</v>
      </c>
      <c r="AL4" s="274" t="s">
        <v>18</v>
      </c>
      <c r="AM4" s="274" t="s">
        <v>20</v>
      </c>
      <c r="AN4" s="274" t="s">
        <v>18</v>
      </c>
      <c r="AO4" s="274" t="s">
        <v>19</v>
      </c>
      <c r="AP4" s="274" t="s">
        <v>18</v>
      </c>
      <c r="AQ4" s="274" t="s">
        <v>20</v>
      </c>
      <c r="AR4" s="274" t="s">
        <v>18</v>
      </c>
      <c r="AS4" s="274" t="s">
        <v>19</v>
      </c>
      <c r="AT4" s="274" t="s">
        <v>18</v>
      </c>
      <c r="AU4" s="274" t="s">
        <v>17</v>
      </c>
      <c r="AV4" s="274" t="s">
        <v>18</v>
      </c>
      <c r="AW4" s="274" t="s">
        <v>19</v>
      </c>
      <c r="AX4" s="274" t="s">
        <v>18</v>
      </c>
      <c r="AY4" s="274" t="s">
        <v>17</v>
      </c>
      <c r="AZ4" s="274" t="s">
        <v>18</v>
      </c>
      <c r="BA4" s="274" t="s">
        <v>19</v>
      </c>
      <c r="BB4" s="274" t="s">
        <v>18</v>
      </c>
      <c r="BC4" s="274" t="s">
        <v>17</v>
      </c>
      <c r="BD4" s="274" t="s">
        <v>18</v>
      </c>
      <c r="BE4" s="274" t="s">
        <v>19</v>
      </c>
      <c r="BF4" s="274" t="s">
        <v>18</v>
      </c>
      <c r="BG4" s="274" t="s">
        <v>17</v>
      </c>
      <c r="BH4" s="274" t="s">
        <v>18</v>
      </c>
      <c r="BI4" s="274" t="s">
        <v>19</v>
      </c>
      <c r="BJ4" s="274" t="s">
        <v>18</v>
      </c>
    </row>
    <row r="5" ht="15.75" customHeight="1">
      <c r="B5" s="275" t="s">
        <v>21</v>
      </c>
      <c r="C5" s="276">
        <f t="shared" ref="C5:C9" si="1">G5+K5</f>
        <v>5463464</v>
      </c>
      <c r="D5" s="277">
        <f t="shared" ref="D5:D10" si="2">C5/C$10</f>
        <v>0.07753133274</v>
      </c>
      <c r="E5" s="278">
        <f t="shared" ref="E5:E9" si="3">I5+M5</f>
        <v>0</v>
      </c>
      <c r="F5" s="279" t="str">
        <f t="shared" ref="F5:F10" si="4">E5/E$10</f>
        <v>#DIV/0!</v>
      </c>
      <c r="G5" s="280">
        <f>HO!P14</f>
        <v>0</v>
      </c>
      <c r="H5" s="281"/>
      <c r="I5" s="282" t="str">
        <f>HO!R14</f>
        <v/>
      </c>
      <c r="J5" s="283"/>
      <c r="K5" s="284">
        <f t="shared" ref="K5:K9" si="5">O5+S5+W5+AA5+AE5+AI5+AM5+AQ5+AU5+AY5+BC5+BG5</f>
        <v>5463464</v>
      </c>
      <c r="L5" s="277">
        <f t="shared" ref="L5:L10" si="6">K5/K$10</f>
        <v>0.07753133274</v>
      </c>
      <c r="M5" s="278">
        <f t="shared" ref="M5:M9" si="7">Q5+U5+Y5+AC5+AG5+AK5+AO5+AS5+AW5+BA5+BE5+BI5</f>
        <v>0</v>
      </c>
      <c r="N5" s="279" t="str">
        <f t="shared" ref="N5:N10" si="8">M5/M$10</f>
        <v>#DIV/0!</v>
      </c>
      <c r="O5" s="285">
        <f>'The Table'!P24</f>
        <v>1116385</v>
      </c>
      <c r="P5" s="286">
        <f t="shared" ref="P5:P8" si="9">O5/O$10</f>
        <v>0.05656113125</v>
      </c>
      <c r="Q5" s="287" t="str">
        <f>'The Table'!R24</f>
        <v/>
      </c>
      <c r="R5" s="288" t="str">
        <f t="shared" ref="R5:R8" si="10">Q5/Q$10</f>
        <v>#DIV/0!</v>
      </c>
      <c r="S5" s="285">
        <f>Iktara!P24</f>
        <v>0</v>
      </c>
      <c r="T5" s="286">
        <f t="shared" ref="T5:T8" si="11">S5/S$10</f>
        <v>0</v>
      </c>
      <c r="U5" s="287" t="str">
        <f>Iktara!R24</f>
        <v/>
      </c>
      <c r="V5" s="288" t="str">
        <f t="shared" ref="V5:V8" si="12">U5/U$10</f>
        <v>#DIV/0!</v>
      </c>
      <c r="W5" s="285">
        <f>'Mg St Colaba'!P24</f>
        <v>1154300</v>
      </c>
      <c r="X5" s="286">
        <f t="shared" ref="X5:X8" si="13">W5/W$10</f>
        <v>0.07885324982</v>
      </c>
      <c r="Y5" s="287" t="str">
        <f>'Mg St Colaba'!R24</f>
        <v/>
      </c>
      <c r="Z5" s="288" t="str">
        <f t="shared" ref="Z5:Z8" si="14">Y5/Y$10</f>
        <v>#DIV/0!</v>
      </c>
      <c r="AA5" s="285">
        <f>'Mg St LP'!P24</f>
        <v>1307976</v>
      </c>
      <c r="AB5" s="286">
        <f t="shared" ref="AB5:AB8" si="15">AA5/AA$10</f>
        <v>0.1476927663</v>
      </c>
      <c r="AC5" s="287" t="str">
        <f>'Mg St LP'!R24</f>
        <v/>
      </c>
      <c r="AD5" s="288" t="str">
        <f t="shared" ref="AD5:AD8" si="16">AC5/AC$10</f>
        <v>#DIV/0!</v>
      </c>
      <c r="AE5" s="285">
        <f>'Mg St Bandra'!P24</f>
        <v>1556928</v>
      </c>
      <c r="AF5" s="286">
        <f t="shared" ref="AF5:AF8" si="17">AE5/AE$10</f>
        <v>0.09273440852</v>
      </c>
      <c r="AG5" s="287" t="str">
        <f>'Mg St Bandra'!R24</f>
        <v/>
      </c>
      <c r="AH5" s="289" t="str">
        <f t="shared" ref="AH5:AH8" si="18">AG5/AG$10</f>
        <v>#DIV/0!</v>
      </c>
      <c r="AI5" s="290">
        <f>'MSK Events'!P24</f>
        <v>0</v>
      </c>
      <c r="AJ5" s="286">
        <f t="shared" ref="AJ5:AJ8" si="19">AI5/AI$10</f>
        <v>0</v>
      </c>
      <c r="AK5" s="287" t="str">
        <f>'MSK Events'!R24</f>
        <v/>
      </c>
      <c r="AL5" s="283"/>
      <c r="AM5" s="285">
        <f>MSBC!P24</f>
        <v>0</v>
      </c>
      <c r="AN5" s="286">
        <f t="shared" ref="AN5:AN8" si="20">AM5/AM$10</f>
        <v>0</v>
      </c>
      <c r="AO5" s="287">
        <f>MSBC!R24</f>
        <v>0</v>
      </c>
      <c r="AP5" s="288" t="str">
        <f t="shared" ref="AP5:AP8" si="21">AO5/AO$10</f>
        <v>#DIV/0!</v>
      </c>
      <c r="AQ5" s="285">
        <f>Kaspers!P24</f>
        <v>327875</v>
      </c>
      <c r="AR5" s="286"/>
      <c r="AS5" s="287" t="str">
        <f>Kaspers!R24</f>
        <v/>
      </c>
      <c r="AT5" s="283"/>
      <c r="AU5" s="285">
        <f>'MSBC Andheri'!P24</f>
        <v>0</v>
      </c>
      <c r="AV5" s="281"/>
      <c r="AW5" s="287" t="str">
        <f>'MSBC Andheri'!R24</f>
        <v/>
      </c>
      <c r="AX5" s="283"/>
      <c r="AY5" s="285">
        <f>'MSBC Dahisar'!P22</f>
        <v>0</v>
      </c>
      <c r="AZ5" s="281"/>
      <c r="BA5" s="287" t="str">
        <f>'MSBC Dahisar'!R22</f>
        <v/>
      </c>
      <c r="BB5" s="283"/>
      <c r="BC5" s="285" t="str">
        <f>'MSBC Juhu  Goregoan'!P22</f>
        <v/>
      </c>
      <c r="BD5" s="281"/>
      <c r="BE5" s="287">
        <f>'MSBC Juhu  Goregoan'!R22</f>
        <v>0</v>
      </c>
      <c r="BF5" s="283"/>
      <c r="BG5" s="285">
        <f>'LOUD MOUTH'!P24</f>
        <v>0</v>
      </c>
      <c r="BH5" s="281"/>
      <c r="BI5" s="287" t="str">
        <f>'LOUD MOUTH'!R24</f>
        <v/>
      </c>
      <c r="BJ5" s="283"/>
    </row>
    <row r="6" ht="15.75" customHeight="1">
      <c r="B6" s="291" t="s">
        <v>22</v>
      </c>
      <c r="C6" s="292">
        <f t="shared" si="1"/>
        <v>9479568</v>
      </c>
      <c r="D6" s="293">
        <f t="shared" si="2"/>
        <v>0.1345233612</v>
      </c>
      <c r="E6" s="294">
        <f t="shared" si="3"/>
        <v>0</v>
      </c>
      <c r="F6" s="295" t="str">
        <f t="shared" si="4"/>
        <v>#DIV/0!</v>
      </c>
      <c r="G6" s="296">
        <f>HO!P15</f>
        <v>0</v>
      </c>
      <c r="H6" s="257"/>
      <c r="I6" s="297" t="str">
        <f>HO!R15</f>
        <v/>
      </c>
      <c r="J6" s="298"/>
      <c r="K6" s="299">
        <f t="shared" si="5"/>
        <v>9479568</v>
      </c>
      <c r="L6" s="293">
        <f t="shared" si="6"/>
        <v>0.1345233612</v>
      </c>
      <c r="M6" s="294">
        <f t="shared" si="7"/>
        <v>0</v>
      </c>
      <c r="N6" s="295" t="str">
        <f t="shared" si="8"/>
        <v>#DIV/0!</v>
      </c>
      <c r="O6" s="300">
        <f>'The Table'!P25</f>
        <v>3932015</v>
      </c>
      <c r="P6" s="301">
        <f t="shared" si="9"/>
        <v>0.1992137269</v>
      </c>
      <c r="Q6" s="258" t="str">
        <f>'The Table'!R25</f>
        <v/>
      </c>
      <c r="R6" s="302" t="str">
        <f t="shared" si="10"/>
        <v>#DIV/0!</v>
      </c>
      <c r="S6" s="300">
        <f>Iktara!P25</f>
        <v>0</v>
      </c>
      <c r="T6" s="301">
        <f t="shared" si="11"/>
        <v>0</v>
      </c>
      <c r="U6" s="258" t="str">
        <f>Iktara!R25</f>
        <v/>
      </c>
      <c r="V6" s="302" t="str">
        <f t="shared" si="12"/>
        <v>#DIV/0!</v>
      </c>
      <c r="W6" s="300">
        <f>'Mg St Colaba'!P25</f>
        <v>825000</v>
      </c>
      <c r="X6" s="301">
        <f t="shared" si="13"/>
        <v>0.05635790618</v>
      </c>
      <c r="Y6" s="258" t="str">
        <f>'Mg St Colaba'!R25</f>
        <v/>
      </c>
      <c r="Z6" s="302" t="str">
        <f t="shared" si="14"/>
        <v>#DIV/0!</v>
      </c>
      <c r="AA6" s="300">
        <f>'Mg St LP'!P25</f>
        <v>0</v>
      </c>
      <c r="AB6" s="301">
        <f t="shared" si="15"/>
        <v>0</v>
      </c>
      <c r="AC6" s="258" t="str">
        <f>'Mg St LP'!R25</f>
        <v/>
      </c>
      <c r="AD6" s="302" t="str">
        <f t="shared" si="16"/>
        <v>#DIV/0!</v>
      </c>
      <c r="AE6" s="300">
        <f>'Mg St Bandra'!P25</f>
        <v>1862183</v>
      </c>
      <c r="AF6" s="301">
        <f t="shared" si="17"/>
        <v>0.1109161368</v>
      </c>
      <c r="AG6" s="258" t="str">
        <f>'Mg St Bandra'!R25</f>
        <v/>
      </c>
      <c r="AH6" s="303" t="str">
        <f t="shared" si="18"/>
        <v>#DIV/0!</v>
      </c>
      <c r="AI6" s="304">
        <f>'MSK Events'!P25</f>
        <v>0</v>
      </c>
      <c r="AJ6" s="301">
        <f t="shared" si="19"/>
        <v>0</v>
      </c>
      <c r="AK6" s="258" t="str">
        <f>'MSK Events'!R25</f>
        <v/>
      </c>
      <c r="AL6" s="298"/>
      <c r="AM6" s="300">
        <f>MSBC!P25</f>
        <v>0</v>
      </c>
      <c r="AN6" s="301">
        <f t="shared" si="20"/>
        <v>0</v>
      </c>
      <c r="AO6" s="258">
        <f>MSBC!R25</f>
        <v>0</v>
      </c>
      <c r="AP6" s="302" t="str">
        <f t="shared" si="21"/>
        <v>#DIV/0!</v>
      </c>
      <c r="AQ6" s="300">
        <f>Kaspers!P25</f>
        <v>2860370</v>
      </c>
      <c r="AR6" s="301"/>
      <c r="AS6" s="258" t="str">
        <f>Kaspers!R25</f>
        <v/>
      </c>
      <c r="AT6" s="298"/>
      <c r="AU6" s="300">
        <f>'MSBC Andheri'!P25</f>
        <v>0</v>
      </c>
      <c r="AV6" s="257"/>
      <c r="AW6" s="258" t="str">
        <f>'MSBC Andheri'!R25</f>
        <v/>
      </c>
      <c r="AX6" s="298"/>
      <c r="AY6" s="300">
        <f>'MSBC Dahisar'!P23</f>
        <v>0</v>
      </c>
      <c r="AZ6" s="257"/>
      <c r="BA6" s="258" t="str">
        <f>'MSBC Dahisar'!R23</f>
        <v/>
      </c>
      <c r="BB6" s="298"/>
      <c r="BC6" s="300" t="str">
        <f>'MSBC Juhu  Goregoan'!P23</f>
        <v/>
      </c>
      <c r="BD6" s="257"/>
      <c r="BE6" s="258">
        <f>'MSBC Juhu  Goregoan'!R23</f>
        <v>0</v>
      </c>
      <c r="BF6" s="298"/>
      <c r="BG6" s="300">
        <f>'LOUD MOUTH'!P25</f>
        <v>0</v>
      </c>
      <c r="BH6" s="257"/>
      <c r="BI6" s="258" t="str">
        <f>'LOUD MOUTH'!R25</f>
        <v/>
      </c>
      <c r="BJ6" s="298"/>
    </row>
    <row r="7" ht="15.75" customHeight="1">
      <c r="B7" s="291" t="s">
        <v>23</v>
      </c>
      <c r="C7" s="292">
        <f t="shared" si="1"/>
        <v>51921441</v>
      </c>
      <c r="D7" s="293">
        <f t="shared" si="2"/>
        <v>0.7368106605</v>
      </c>
      <c r="E7" s="294">
        <f t="shared" si="3"/>
        <v>0</v>
      </c>
      <c r="F7" s="295" t="str">
        <f t="shared" si="4"/>
        <v>#DIV/0!</v>
      </c>
      <c r="G7" s="296">
        <f>HO!P16</f>
        <v>0</v>
      </c>
      <c r="H7" s="257"/>
      <c r="I7" s="297" t="str">
        <f>HO!R16</f>
        <v/>
      </c>
      <c r="J7" s="298"/>
      <c r="K7" s="299">
        <f t="shared" si="5"/>
        <v>51921441</v>
      </c>
      <c r="L7" s="293">
        <f t="shared" si="6"/>
        <v>0.7368106605</v>
      </c>
      <c r="M7" s="294">
        <f t="shared" si="7"/>
        <v>0</v>
      </c>
      <c r="N7" s="295" t="str">
        <f t="shared" si="8"/>
        <v>#DIV/0!</v>
      </c>
      <c r="O7" s="300">
        <f>'The Table'!P26</f>
        <v>13158747</v>
      </c>
      <c r="P7" s="301">
        <f t="shared" si="9"/>
        <v>0.6666818491</v>
      </c>
      <c r="Q7" s="258" t="str">
        <f>'The Table'!R26</f>
        <v/>
      </c>
      <c r="R7" s="302" t="str">
        <f t="shared" si="10"/>
        <v>#DIV/0!</v>
      </c>
      <c r="S7" s="300">
        <f>Iktara!P26</f>
        <v>1144491</v>
      </c>
      <c r="T7" s="301">
        <f t="shared" si="11"/>
        <v>1</v>
      </c>
      <c r="U7" s="258" t="str">
        <f>Iktara!R26</f>
        <v/>
      </c>
      <c r="V7" s="302" t="str">
        <f t="shared" si="12"/>
        <v>#DIV/0!</v>
      </c>
      <c r="W7" s="300">
        <f>'Mg St Colaba'!P26</f>
        <v>12642710</v>
      </c>
      <c r="X7" s="301">
        <f t="shared" si="13"/>
        <v>0.8636565624</v>
      </c>
      <c r="Y7" s="258" t="str">
        <f>'Mg St Colaba'!R26</f>
        <v/>
      </c>
      <c r="Z7" s="302" t="str">
        <f t="shared" si="14"/>
        <v>#DIV/0!</v>
      </c>
      <c r="AA7" s="300">
        <f>'Mg St LP'!P26</f>
        <v>7193571</v>
      </c>
      <c r="AB7" s="301">
        <f t="shared" si="15"/>
        <v>0.8122766783</v>
      </c>
      <c r="AC7" s="258" t="str">
        <f>'Mg St LP'!R26</f>
        <v/>
      </c>
      <c r="AD7" s="302" t="str">
        <f t="shared" si="16"/>
        <v>#DIV/0!</v>
      </c>
      <c r="AE7" s="300">
        <f>'Mg St Bandra'!P26</f>
        <v>12355766</v>
      </c>
      <c r="AF7" s="301">
        <f t="shared" si="17"/>
        <v>0.7359393959</v>
      </c>
      <c r="AG7" s="258" t="str">
        <f>'Mg St Bandra'!R26</f>
        <v/>
      </c>
      <c r="AH7" s="303" t="str">
        <f t="shared" si="18"/>
        <v>#DIV/0!</v>
      </c>
      <c r="AI7" s="304">
        <f>'MSK Events'!P26</f>
        <v>510003</v>
      </c>
      <c r="AJ7" s="301">
        <f t="shared" si="19"/>
        <v>1</v>
      </c>
      <c r="AK7" s="258" t="str">
        <f>'MSK Events'!R26</f>
        <v/>
      </c>
      <c r="AL7" s="298"/>
      <c r="AM7" s="300">
        <f>MSBC!P26</f>
        <v>326383</v>
      </c>
      <c r="AN7" s="301">
        <f t="shared" si="20"/>
        <v>1</v>
      </c>
      <c r="AO7" s="258">
        <f>MSBC!R26</f>
        <v>0</v>
      </c>
      <c r="AP7" s="302" t="str">
        <f t="shared" si="21"/>
        <v>#DIV/0!</v>
      </c>
      <c r="AQ7" s="300">
        <f>Kaspers!P26</f>
        <v>3744730</v>
      </c>
      <c r="AR7" s="301"/>
      <c r="AS7" s="258">
        <f>Kaspers!R26</f>
        <v>0</v>
      </c>
      <c r="AT7" s="298"/>
      <c r="AU7" s="300">
        <f>'MSBC Andheri'!P26</f>
        <v>305888</v>
      </c>
      <c r="AV7" s="257"/>
      <c r="AW7" s="258" t="str">
        <f>'MSBC Andheri'!R26</f>
        <v/>
      </c>
      <c r="AX7" s="298"/>
      <c r="AY7" s="300">
        <f>'MSBC Dahisar'!P24</f>
        <v>0</v>
      </c>
      <c r="AZ7" s="257"/>
      <c r="BA7" s="258" t="str">
        <f>'MSBC Dahisar'!R24</f>
        <v/>
      </c>
      <c r="BB7" s="298"/>
      <c r="BC7" s="300" t="str">
        <f>'MSBC Juhu  Goregoan'!P24</f>
        <v/>
      </c>
      <c r="BD7" s="257"/>
      <c r="BE7" s="258">
        <f>'MSBC Juhu  Goregoan'!R24</f>
        <v>0</v>
      </c>
      <c r="BF7" s="298"/>
      <c r="BG7" s="300">
        <f>'LOUD MOUTH'!P26</f>
        <v>539152</v>
      </c>
      <c r="BH7" s="257"/>
      <c r="BI7" s="258" t="str">
        <f>'LOUD MOUTH'!R26</f>
        <v/>
      </c>
      <c r="BJ7" s="298"/>
    </row>
    <row r="8" ht="15.75" customHeight="1">
      <c r="B8" s="291" t="s">
        <v>24</v>
      </c>
      <c r="C8" s="292">
        <f t="shared" si="1"/>
        <v>3522172</v>
      </c>
      <c r="D8" s="293">
        <f t="shared" si="2"/>
        <v>0.04998270132</v>
      </c>
      <c r="E8" s="294">
        <f t="shared" si="3"/>
        <v>0</v>
      </c>
      <c r="F8" s="295" t="str">
        <f t="shared" si="4"/>
        <v>#DIV/0!</v>
      </c>
      <c r="G8" s="296">
        <f>HO!P18</f>
        <v>0</v>
      </c>
      <c r="H8" s="257"/>
      <c r="I8" s="297" t="str">
        <f>HO!R18</f>
        <v/>
      </c>
      <c r="J8" s="298"/>
      <c r="K8" s="299">
        <f t="shared" si="5"/>
        <v>3522172</v>
      </c>
      <c r="L8" s="293">
        <f t="shared" si="6"/>
        <v>0.04998270132</v>
      </c>
      <c r="M8" s="294">
        <f t="shared" si="7"/>
        <v>0</v>
      </c>
      <c r="N8" s="295" t="str">
        <f t="shared" si="8"/>
        <v>#DIV/0!</v>
      </c>
      <c r="O8" s="300">
        <f>'The Table'!P28</f>
        <v>1507574</v>
      </c>
      <c r="P8" s="301">
        <f t="shared" si="9"/>
        <v>0.07638054155</v>
      </c>
      <c r="Q8" s="258" t="str">
        <f>'The Table'!R28</f>
        <v/>
      </c>
      <c r="R8" s="302" t="str">
        <f t="shared" si="10"/>
        <v>#DIV/0!</v>
      </c>
      <c r="S8" s="296" t="str">
        <f>Iktara!P28</f>
        <v/>
      </c>
      <c r="T8" s="301">
        <f t="shared" si="11"/>
        <v>0</v>
      </c>
      <c r="U8" s="297">
        <f>Iktara!R28</f>
        <v>0</v>
      </c>
      <c r="V8" s="302" t="str">
        <f t="shared" si="12"/>
        <v>#DIV/0!</v>
      </c>
      <c r="W8" s="300" t="str">
        <f>'Mg St Colaba'!P27</f>
        <v/>
      </c>
      <c r="X8" s="301">
        <f t="shared" si="13"/>
        <v>0</v>
      </c>
      <c r="Y8" s="258" t="str">
        <f>'Mg St Colaba'!R27</f>
        <v/>
      </c>
      <c r="Z8" s="302" t="str">
        <f t="shared" si="14"/>
        <v>#DIV/0!</v>
      </c>
      <c r="AA8" s="300">
        <f>'Mg St LP'!P28</f>
        <v>344513</v>
      </c>
      <c r="AB8" s="301">
        <f t="shared" si="15"/>
        <v>0.03890138504</v>
      </c>
      <c r="AC8" s="258" t="str">
        <f>'Mg St LP'!R28</f>
        <v/>
      </c>
      <c r="AD8" s="302" t="str">
        <f t="shared" si="16"/>
        <v>#DIV/0!</v>
      </c>
      <c r="AE8" s="300">
        <f>'Mg St Bandra'!P28</f>
        <v>997431</v>
      </c>
      <c r="AF8" s="301">
        <f t="shared" si="17"/>
        <v>0.05940940996</v>
      </c>
      <c r="AG8" s="258">
        <f>'Mg St Bandra'!R28</f>
        <v>0</v>
      </c>
      <c r="AH8" s="303" t="str">
        <f t="shared" si="18"/>
        <v>#DIV/0!</v>
      </c>
      <c r="AI8" s="305" t="str">
        <f>'MSK Events'!P28</f>
        <v/>
      </c>
      <c r="AJ8" s="301">
        <f t="shared" si="19"/>
        <v>0</v>
      </c>
      <c r="AK8" s="297" t="str">
        <f>'MSK Events'!R28</f>
        <v/>
      </c>
      <c r="AL8" s="298"/>
      <c r="AM8" s="300" t="str">
        <f>MSBC!P28</f>
        <v/>
      </c>
      <c r="AN8" s="301">
        <f t="shared" si="20"/>
        <v>0</v>
      </c>
      <c r="AO8" s="258" t="str">
        <f>MSBC!R28</f>
        <v/>
      </c>
      <c r="AP8" s="302" t="str">
        <f t="shared" si="21"/>
        <v>#DIV/0!</v>
      </c>
      <c r="AQ8" s="300">
        <f>Kaspers!P28</f>
        <v>672654</v>
      </c>
      <c r="AR8" s="301"/>
      <c r="AS8" s="258" t="str">
        <f>Kaspers!R28</f>
        <v/>
      </c>
      <c r="AT8" s="298"/>
      <c r="AU8" s="300">
        <f>'MSBC Andheri'!P28</f>
        <v>0</v>
      </c>
      <c r="AV8" s="257"/>
      <c r="AW8" s="258" t="str">
        <f>'MSBC Andheri'!R28</f>
        <v/>
      </c>
      <c r="AX8" s="298"/>
      <c r="AY8" s="300" t="str">
        <f>'MSBC Dahisar'!P25</f>
        <v/>
      </c>
      <c r="AZ8" s="257"/>
      <c r="BA8" s="258"/>
      <c r="BB8" s="298"/>
      <c r="BC8" s="300"/>
      <c r="BD8" s="257"/>
      <c r="BE8" s="258"/>
      <c r="BF8" s="298"/>
      <c r="BG8" s="300" t="str">
        <f>'LOUD MOUTH'!P28</f>
        <v/>
      </c>
      <c r="BH8" s="257"/>
      <c r="BI8" s="258" t="str">
        <f>'LOUD MOUTH'!R28</f>
        <v/>
      </c>
      <c r="BJ8" s="298"/>
    </row>
    <row r="9" ht="15.75" customHeight="1">
      <c r="B9" s="306" t="s">
        <v>159</v>
      </c>
      <c r="C9" s="307">
        <f t="shared" si="1"/>
        <v>81175</v>
      </c>
      <c r="D9" s="308">
        <f t="shared" si="2"/>
        <v>0.001151944249</v>
      </c>
      <c r="E9" s="309">
        <f t="shared" si="3"/>
        <v>0</v>
      </c>
      <c r="F9" s="310" t="str">
        <f t="shared" si="4"/>
        <v>#DIV/0!</v>
      </c>
      <c r="G9" s="311"/>
      <c r="H9" s="257"/>
      <c r="I9" s="257"/>
      <c r="J9" s="298"/>
      <c r="K9" s="299">
        <f t="shared" si="5"/>
        <v>81175</v>
      </c>
      <c r="L9" s="308">
        <f t="shared" si="6"/>
        <v>0.001151944249</v>
      </c>
      <c r="M9" s="294">
        <f t="shared" si="7"/>
        <v>0</v>
      </c>
      <c r="N9" s="310" t="str">
        <f t="shared" si="8"/>
        <v>#DIV/0!</v>
      </c>
      <c r="O9" s="300">
        <f>'The Table'!P22</f>
        <v>22950</v>
      </c>
      <c r="P9" s="312"/>
      <c r="Q9" s="258" t="str">
        <f>'The Table'!R22</f>
        <v/>
      </c>
      <c r="R9" s="313"/>
      <c r="S9" s="296" t="str">
        <f>Iktara!P22</f>
        <v/>
      </c>
      <c r="T9" s="312"/>
      <c r="U9" s="297" t="str">
        <f>Iktara!R22</f>
        <v/>
      </c>
      <c r="V9" s="313"/>
      <c r="W9" s="300">
        <f>'Mg St Colaba'!P22</f>
        <v>16575</v>
      </c>
      <c r="X9" s="312"/>
      <c r="Y9" s="258" t="str">
        <f>'Mg St Colaba'!R22</f>
        <v/>
      </c>
      <c r="Z9" s="313"/>
      <c r="AA9" s="314">
        <f>'Mg St LP'!P22</f>
        <v>10000</v>
      </c>
      <c r="AB9" s="312"/>
      <c r="AC9" s="312" t="str">
        <f>'Mg St LP'!R22</f>
        <v/>
      </c>
      <c r="AD9" s="313"/>
      <c r="AE9" s="314">
        <f>'Mg St Bandra'!P22</f>
        <v>16800</v>
      </c>
      <c r="AF9" s="312"/>
      <c r="AG9" s="312" t="str">
        <f>'Mg St Bandra'!R22</f>
        <v/>
      </c>
      <c r="AH9" s="315"/>
      <c r="AI9" s="305">
        <f>'MSK Events'!P22</f>
        <v>0</v>
      </c>
      <c r="AJ9" s="312"/>
      <c r="AK9" s="297" t="str">
        <f>'MSK Events'!R22</f>
        <v/>
      </c>
      <c r="AL9" s="313"/>
      <c r="AM9" s="300" t="str">
        <f>MSBC!P22</f>
        <v/>
      </c>
      <c r="AN9" s="312"/>
      <c r="AO9" s="258" t="str">
        <f>MSBC!R22</f>
        <v/>
      </c>
      <c r="AP9" s="313"/>
      <c r="AQ9" s="314">
        <f>Kaspers!P22</f>
        <v>14850</v>
      </c>
      <c r="AR9" s="312"/>
      <c r="AS9" s="312" t="str">
        <f>Kaspers!R22</f>
        <v/>
      </c>
      <c r="AT9" s="313"/>
      <c r="AU9" s="300">
        <f>'MSBC Andheri'!P22</f>
        <v>0</v>
      </c>
      <c r="AV9" s="312"/>
      <c r="AW9" s="258" t="str">
        <f>'MSBC Andheri'!R22</f>
        <v/>
      </c>
      <c r="AX9" s="313"/>
      <c r="AY9" s="300" t="str">
        <f>'MSBC Dahisar'!P20</f>
        <v/>
      </c>
      <c r="AZ9" s="312"/>
      <c r="BA9" s="258" t="str">
        <f>'MSBC Dahisar'!R20</f>
        <v/>
      </c>
      <c r="BB9" s="313"/>
      <c r="BC9" s="300" t="str">
        <f>'MSBC Juhu  Goregoan'!P20</f>
        <v/>
      </c>
      <c r="BD9" s="312"/>
      <c r="BE9" s="258" t="str">
        <f>'MSBC Juhu  Goregoan'!R20</f>
        <v/>
      </c>
      <c r="BF9" s="313"/>
      <c r="BG9" s="300">
        <f>'LOUD MOUTH'!P22</f>
        <v>0</v>
      </c>
      <c r="BH9" s="312"/>
      <c r="BI9" s="258" t="str">
        <f>'LOUD MOUTH'!R22</f>
        <v/>
      </c>
      <c r="BJ9" s="313"/>
    </row>
    <row r="10" ht="15.75" customHeight="1">
      <c r="B10" s="316" t="s">
        <v>26</v>
      </c>
      <c r="C10" s="190">
        <f>SUM(C5:C9)</f>
        <v>70467820</v>
      </c>
      <c r="D10" s="317">
        <f t="shared" si="2"/>
        <v>1</v>
      </c>
      <c r="E10" s="187">
        <f>SUM(E5:E9)</f>
        <v>0</v>
      </c>
      <c r="F10" s="318" t="str">
        <f t="shared" si="4"/>
        <v>#DIV/0!</v>
      </c>
      <c r="G10" s="319">
        <f>SUM(G5:G9)</f>
        <v>0</v>
      </c>
      <c r="H10" s="320"/>
      <c r="I10" s="187">
        <f>SUM(I5:I9)</f>
        <v>0</v>
      </c>
      <c r="J10" s="321"/>
      <c r="K10" s="319">
        <f>SUM(K5:K9)</f>
        <v>70467820</v>
      </c>
      <c r="L10" s="317">
        <f t="shared" si="6"/>
        <v>1</v>
      </c>
      <c r="M10" s="187">
        <f>SUM(M5:M9)</f>
        <v>0</v>
      </c>
      <c r="N10" s="318" t="str">
        <f t="shared" si="8"/>
        <v>#DIV/0!</v>
      </c>
      <c r="O10" s="319">
        <f>SUM(O5:O9)</f>
        <v>19737671</v>
      </c>
      <c r="P10" s="320"/>
      <c r="Q10" s="187">
        <f>SUM(Q5:Q9)</f>
        <v>0</v>
      </c>
      <c r="R10" s="321"/>
      <c r="S10" s="319">
        <f>SUM(S5:S9)</f>
        <v>1144491</v>
      </c>
      <c r="T10" s="320"/>
      <c r="U10" s="187">
        <f>SUM(U5:U9)</f>
        <v>0</v>
      </c>
      <c r="V10" s="321"/>
      <c r="W10" s="319">
        <f>SUM(W5:W9)</f>
        <v>14638585</v>
      </c>
      <c r="X10" s="320"/>
      <c r="Y10" s="187">
        <f>SUM(Y5:Y9)</f>
        <v>0</v>
      </c>
      <c r="Z10" s="321"/>
      <c r="AA10" s="319">
        <f>SUM(AA5:AA9)</f>
        <v>8856060</v>
      </c>
      <c r="AB10" s="320"/>
      <c r="AC10" s="187">
        <f>SUM(AC5:AC9)</f>
        <v>0</v>
      </c>
      <c r="AD10" s="321"/>
      <c r="AE10" s="319">
        <f>SUM(AE5:AE9)</f>
        <v>16789108</v>
      </c>
      <c r="AF10" s="320"/>
      <c r="AG10" s="187">
        <f>SUM(AG5:AG9)</f>
        <v>0</v>
      </c>
      <c r="AH10" s="322"/>
      <c r="AI10" s="190">
        <f>SUM(AI5:AI9)</f>
        <v>510003</v>
      </c>
      <c r="AJ10" s="320"/>
      <c r="AK10" s="187">
        <f>SUM(AK5:AK9)</f>
        <v>0</v>
      </c>
      <c r="AL10" s="321"/>
      <c r="AM10" s="319">
        <f>SUM(AM5:AM9)</f>
        <v>326383</v>
      </c>
      <c r="AN10" s="320"/>
      <c r="AO10" s="187">
        <f>SUM(AO5:AO9)</f>
        <v>0</v>
      </c>
      <c r="AP10" s="321"/>
      <c r="AQ10" s="319">
        <f>SUM(AQ5:AQ9)</f>
        <v>7620479</v>
      </c>
      <c r="AR10" s="320"/>
      <c r="AS10" s="187">
        <f>SUM(AS5:AS9)</f>
        <v>0</v>
      </c>
      <c r="AT10" s="321"/>
      <c r="AU10" s="319">
        <f>SUM(AU5:AU9)</f>
        <v>305888</v>
      </c>
      <c r="AV10" s="320"/>
      <c r="AW10" s="187">
        <f>SUM(AW5:AW9)</f>
        <v>0</v>
      </c>
      <c r="AX10" s="321"/>
      <c r="AY10" s="319">
        <f>SUM(AY5:AY9)</f>
        <v>0</v>
      </c>
      <c r="AZ10" s="320"/>
      <c r="BA10" s="187">
        <f>SUM(BA5:BA9)</f>
        <v>0</v>
      </c>
      <c r="BB10" s="321"/>
      <c r="BC10" s="319">
        <f>SUM(BC5:BC9)</f>
        <v>0</v>
      </c>
      <c r="BD10" s="320"/>
      <c r="BE10" s="187">
        <f>SUM(BE5:BE9)</f>
        <v>0</v>
      </c>
      <c r="BF10" s="321"/>
      <c r="BG10" s="319">
        <f>SUM(BG5:BG9)</f>
        <v>539152</v>
      </c>
      <c r="BH10" s="320"/>
      <c r="BI10" s="187">
        <f>SUM(BI5:BI9)</f>
        <v>0</v>
      </c>
      <c r="BJ10" s="321"/>
    </row>
    <row r="11" ht="15.75" customHeight="1">
      <c r="B11" s="323"/>
      <c r="C11" s="324"/>
      <c r="D11" s="325"/>
      <c r="E11" s="325"/>
      <c r="F11" s="326"/>
      <c r="G11" s="327"/>
      <c r="H11" s="328"/>
      <c r="I11" s="329"/>
      <c r="J11" s="330"/>
      <c r="K11" s="331"/>
      <c r="L11" s="325"/>
      <c r="M11" s="332"/>
      <c r="N11" s="326"/>
      <c r="O11" s="327"/>
      <c r="P11" s="328"/>
      <c r="Q11" s="328"/>
      <c r="R11" s="330"/>
      <c r="S11" s="327"/>
      <c r="T11" s="328"/>
      <c r="U11" s="328"/>
      <c r="V11" s="330"/>
      <c r="W11" s="327"/>
      <c r="X11" s="328"/>
      <c r="Y11" s="328"/>
      <c r="Z11" s="330"/>
      <c r="AA11" s="327"/>
      <c r="AB11" s="328"/>
      <c r="AC11" s="328"/>
      <c r="AD11" s="330"/>
      <c r="AE11" s="327"/>
      <c r="AF11" s="328"/>
      <c r="AG11" s="328"/>
      <c r="AH11" s="333"/>
      <c r="AI11" s="334"/>
      <c r="AJ11" s="328"/>
      <c r="AK11" s="328"/>
      <c r="AL11" s="330"/>
      <c r="AM11" s="327"/>
      <c r="AN11" s="328"/>
      <c r="AO11" s="328"/>
      <c r="AP11" s="330"/>
      <c r="AQ11" s="327"/>
      <c r="AR11" s="328"/>
      <c r="AS11" s="328"/>
      <c r="AT11" s="330"/>
      <c r="AU11" s="327"/>
      <c r="AV11" s="328"/>
      <c r="AW11" s="328"/>
      <c r="AX11" s="330"/>
      <c r="AY11" s="327"/>
      <c r="AZ11" s="328"/>
      <c r="BA11" s="328"/>
      <c r="BB11" s="330"/>
      <c r="BC11" s="327"/>
      <c r="BD11" s="328"/>
      <c r="BE11" s="328"/>
      <c r="BF11" s="330"/>
      <c r="BG11" s="327"/>
      <c r="BH11" s="328"/>
      <c r="BI11" s="328"/>
      <c r="BJ11" s="330"/>
    </row>
    <row r="12" ht="15.75" customHeight="1">
      <c r="B12" s="316" t="s">
        <v>28</v>
      </c>
      <c r="C12" s="335">
        <f t="shared" ref="C12:C14" si="22">G12+K12</f>
        <v>25262869.6</v>
      </c>
      <c r="D12" s="317">
        <f t="shared" ref="D12:D14" si="23">C12/C$10</f>
        <v>0.3585022157</v>
      </c>
      <c r="E12" s="336">
        <f t="shared" ref="E12:E13" si="24">I12+M12</f>
        <v>0</v>
      </c>
      <c r="F12" s="318" t="str">
        <f t="shared" ref="F12:F13" si="25">E12/E$10</f>
        <v>#DIV/0!</v>
      </c>
      <c r="G12" s="337">
        <f>HO!P32</f>
        <v>0</v>
      </c>
      <c r="H12" s="338"/>
      <c r="I12" s="339" t="str">
        <f>HO!R32</f>
        <v/>
      </c>
      <c r="J12" s="340"/>
      <c r="K12" s="341">
        <f t="shared" ref="K12:K14" si="26">O12+S12+W12+AA12+AE12+AI12+AM12+AQ12+AU12+AY12+BC12+BG12</f>
        <v>25262869.6</v>
      </c>
      <c r="L12" s="317">
        <f t="shared" ref="L12:L13" si="27">K12/K$10</f>
        <v>0.3585022157</v>
      </c>
      <c r="M12" s="336">
        <f t="shared" ref="M12:M14" si="28">Q12+U12+Y12+AC12+AG12+AK12+AO12+AS12+AW12+BA12+BE12+BI12</f>
        <v>0</v>
      </c>
      <c r="N12" s="318" t="str">
        <f t="shared" ref="N12:N13" si="29">M12/M$10</f>
        <v>#DIV/0!</v>
      </c>
      <c r="O12" s="342">
        <f>'The Table'!P39</f>
        <v>6993982.435</v>
      </c>
      <c r="P12" s="343">
        <f t="shared" ref="P12:P13" si="30">O12/O$10</f>
        <v>0.3543468951</v>
      </c>
      <c r="Q12" s="344">
        <f>'The Table'!R39</f>
        <v>0</v>
      </c>
      <c r="R12" s="345" t="str">
        <f t="shared" ref="R12:R13" si="31">Q12/Q$10</f>
        <v>#DIV/0!</v>
      </c>
      <c r="S12" s="342">
        <f>Iktara!P40</f>
        <v>265766.3923</v>
      </c>
      <c r="T12" s="343">
        <f t="shared" ref="T12:T13" si="32">S12/S$10</f>
        <v>0.2322136149</v>
      </c>
      <c r="U12" s="344">
        <f>Iktara!R40</f>
        <v>0</v>
      </c>
      <c r="V12" s="345" t="str">
        <f t="shared" ref="V12:V13" si="33">U12/U$10</f>
        <v>#DIV/0!</v>
      </c>
      <c r="W12" s="342">
        <f>'Mg St Colaba'!P47</f>
        <v>4937741.491</v>
      </c>
      <c r="X12" s="343">
        <f t="shared" ref="X12:X13" si="34">W12/W$10</f>
        <v>0.3373100263</v>
      </c>
      <c r="Y12" s="344" t="str">
        <f>'Mg St Colaba'!R47</f>
        <v/>
      </c>
      <c r="Z12" s="345" t="str">
        <f t="shared" ref="Z12:Z13" si="35">Y12/Y$10</f>
        <v>#DIV/0!</v>
      </c>
      <c r="AA12" s="342">
        <f>'Mg St LP'!P49</f>
        <v>3339880.962</v>
      </c>
      <c r="AB12" s="343">
        <f t="shared" ref="AB12:AB13" si="36">AA12/AA$10</f>
        <v>0.3771294415</v>
      </c>
      <c r="AC12" s="344" t="str">
        <f>'Mg St LP'!R49</f>
        <v/>
      </c>
      <c r="AD12" s="345" t="str">
        <f t="shared" ref="AD12:AD13" si="37">AC12/AC$10</f>
        <v>#DIV/0!</v>
      </c>
      <c r="AE12" s="342">
        <f>'Mg St Bandra'!P47</f>
        <v>5643974.905</v>
      </c>
      <c r="AF12" s="343">
        <f t="shared" ref="AF12:AF13" si="38">AE12/AE$10</f>
        <v>0.3361688367</v>
      </c>
      <c r="AG12" s="344">
        <f>'Mg St Bandra'!R47</f>
        <v>0</v>
      </c>
      <c r="AH12" s="346" t="str">
        <f t="shared" ref="AH12:AH13" si="39">AG12/AG$10</f>
        <v>#DIV/0!</v>
      </c>
      <c r="AI12" s="347">
        <f>'MSK Events'!P47</f>
        <v>132816</v>
      </c>
      <c r="AJ12" s="343">
        <f>AI12/AI$10</f>
        <v>0.2604219975</v>
      </c>
      <c r="AK12" s="339">
        <f>'MSK Events'!R47</f>
        <v>0</v>
      </c>
      <c r="AL12" s="340"/>
      <c r="AM12" s="342">
        <f>MSBC!P47</f>
        <v>250622.2678</v>
      </c>
      <c r="AN12" s="338"/>
      <c r="AO12" s="344">
        <f>MSBC!R47</f>
        <v>0</v>
      </c>
      <c r="AP12" s="340"/>
      <c r="AQ12" s="342">
        <f>Kaspers!P47</f>
        <v>3268305.09</v>
      </c>
      <c r="AR12" s="338"/>
      <c r="AS12" s="344">
        <f>Kaspers!R47</f>
        <v>0</v>
      </c>
      <c r="AT12" s="340"/>
      <c r="AU12" s="342">
        <f>'MSBC Andheri'!P46</f>
        <v>284004.06</v>
      </c>
      <c r="AV12" s="338"/>
      <c r="AW12" s="344">
        <f>'MSBC Andheri'!R46</f>
        <v>0</v>
      </c>
      <c r="AX12" s="340"/>
      <c r="AY12" s="342">
        <f>'MSBC Dahisar'!P44</f>
        <v>0</v>
      </c>
      <c r="AZ12" s="338"/>
      <c r="BA12" s="344">
        <f>'MSBC Dahisar'!R44</f>
        <v>0</v>
      </c>
      <c r="BB12" s="340"/>
      <c r="BC12" s="342" t="str">
        <f>'MSBC Juhu  Goregoan'!P37</f>
        <v/>
      </c>
      <c r="BD12" s="338"/>
      <c r="BE12" s="344">
        <f>'MSBC Juhu  Goregoan'!R37</f>
        <v>0</v>
      </c>
      <c r="BF12" s="340"/>
      <c r="BG12" s="342">
        <f>'LOUD MOUTH'!P39</f>
        <v>145776</v>
      </c>
      <c r="BH12" s="338"/>
      <c r="BI12" s="344" t="str">
        <f>'LOUD MOUTH'!R39</f>
        <v/>
      </c>
      <c r="BJ12" s="340"/>
    </row>
    <row r="13" ht="15.75" customHeight="1">
      <c r="B13" s="316" t="s">
        <v>29</v>
      </c>
      <c r="C13" s="335">
        <f t="shared" si="22"/>
        <v>979834.5</v>
      </c>
      <c r="D13" s="317">
        <f t="shared" si="23"/>
        <v>0.01390470856</v>
      </c>
      <c r="E13" s="336">
        <f t="shared" si="24"/>
        <v>0</v>
      </c>
      <c r="F13" s="318" t="str">
        <f t="shared" si="25"/>
        <v>#DIV/0!</v>
      </c>
      <c r="G13" s="337">
        <f>HO!P33</f>
        <v>1964</v>
      </c>
      <c r="H13" s="338"/>
      <c r="I13" s="348" t="str">
        <f>HO!R33</f>
        <v/>
      </c>
      <c r="J13" s="340"/>
      <c r="K13" s="341">
        <f t="shared" si="26"/>
        <v>977870.5</v>
      </c>
      <c r="L13" s="317">
        <f t="shared" si="27"/>
        <v>0.01387683768</v>
      </c>
      <c r="M13" s="336">
        <f t="shared" si="28"/>
        <v>0</v>
      </c>
      <c r="N13" s="318" t="str">
        <f t="shared" si="29"/>
        <v>#DIV/0!</v>
      </c>
      <c r="O13" s="342">
        <f>'The Table'!P40</f>
        <v>71360</v>
      </c>
      <c r="P13" s="343">
        <f t="shared" si="30"/>
        <v>0.003615421495</v>
      </c>
      <c r="Q13" s="344">
        <f>'The Table'!R40</f>
        <v>0</v>
      </c>
      <c r="R13" s="345" t="str">
        <f t="shared" si="31"/>
        <v>#DIV/0!</v>
      </c>
      <c r="S13" s="342">
        <f>Iktara!P41</f>
        <v>10717</v>
      </c>
      <c r="T13" s="343">
        <f t="shared" si="32"/>
        <v>0.009363988009</v>
      </c>
      <c r="U13" s="344" t="str">
        <f>Iktara!R41</f>
        <v/>
      </c>
      <c r="V13" s="345" t="str">
        <f t="shared" si="33"/>
        <v>#DIV/0!</v>
      </c>
      <c r="W13" s="342">
        <f>'Mg St Colaba'!P48</f>
        <v>230269</v>
      </c>
      <c r="X13" s="343">
        <f t="shared" si="34"/>
        <v>0.01573027721</v>
      </c>
      <c r="Y13" s="344" t="str">
        <f>'Mg St Colaba'!R48</f>
        <v/>
      </c>
      <c r="Z13" s="345" t="str">
        <f t="shared" si="35"/>
        <v>#DIV/0!</v>
      </c>
      <c r="AA13" s="342">
        <f>'Mg St LP'!P50</f>
        <v>199075</v>
      </c>
      <c r="AB13" s="343">
        <f t="shared" si="36"/>
        <v>0.02247895791</v>
      </c>
      <c r="AC13" s="344" t="str">
        <f>'Mg St LP'!R50</f>
        <v/>
      </c>
      <c r="AD13" s="345" t="str">
        <f t="shared" si="37"/>
        <v>#DIV/0!</v>
      </c>
      <c r="AE13" s="342">
        <f>'Mg St Bandra'!P48</f>
        <v>178583</v>
      </c>
      <c r="AF13" s="343">
        <f t="shared" si="38"/>
        <v>0.01063683669</v>
      </c>
      <c r="AG13" s="344" t="str">
        <f>'Mg St Bandra'!R48</f>
        <v/>
      </c>
      <c r="AH13" s="346" t="str">
        <f t="shared" si="39"/>
        <v>#DIV/0!</v>
      </c>
      <c r="AI13" s="347">
        <f>'MSK Events'!P48</f>
        <v>11990</v>
      </c>
      <c r="AJ13" s="338"/>
      <c r="AK13" s="339" t="str">
        <f>'MSK Events'!R48</f>
        <v/>
      </c>
      <c r="AL13" s="340"/>
      <c r="AM13" s="342">
        <f>MSBC!P48</f>
        <v>102488</v>
      </c>
      <c r="AN13" s="338"/>
      <c r="AO13" s="344" t="str">
        <f>MSBC!R48</f>
        <v/>
      </c>
      <c r="AP13" s="340"/>
      <c r="AQ13" s="342">
        <f>Kaspers!P48</f>
        <v>50554</v>
      </c>
      <c r="AR13" s="338"/>
      <c r="AS13" s="344">
        <f>Kaspers!R48</f>
        <v>0</v>
      </c>
      <c r="AT13" s="340"/>
      <c r="AU13" s="342">
        <f>'MSBC Andheri'!P47</f>
        <v>104526.5</v>
      </c>
      <c r="AV13" s="338"/>
      <c r="AW13" s="344" t="str">
        <f>'MSBC Andheri'!R47</f>
        <v/>
      </c>
      <c r="AX13" s="340"/>
      <c r="AY13" s="342">
        <f>'MSBC Dahisar'!P45</f>
        <v>0</v>
      </c>
      <c r="AZ13" s="338"/>
      <c r="BA13" s="344" t="str">
        <f>'MSBC Dahisar'!R45</f>
        <v/>
      </c>
      <c r="BB13" s="340"/>
      <c r="BC13" s="342" t="str">
        <f>'MSBC Juhu  Goregoan'!P38</f>
        <v/>
      </c>
      <c r="BD13" s="338"/>
      <c r="BE13" s="344" t="str">
        <f>'MSBC Juhu  Goregoan'!R38</f>
        <v/>
      </c>
      <c r="BF13" s="340"/>
      <c r="BG13" s="342">
        <f>'LOUD MOUTH'!P40</f>
        <v>18308</v>
      </c>
      <c r="BH13" s="338"/>
      <c r="BI13" s="344" t="str">
        <f>'LOUD MOUTH'!R40</f>
        <v/>
      </c>
      <c r="BJ13" s="340"/>
    </row>
    <row r="14" ht="15.75" customHeight="1">
      <c r="B14" s="316" t="s">
        <v>160</v>
      </c>
      <c r="C14" s="349">
        <f t="shared" si="22"/>
        <v>0</v>
      </c>
      <c r="D14" s="350">
        <f t="shared" si="23"/>
        <v>0</v>
      </c>
      <c r="E14" s="351"/>
      <c r="F14" s="352"/>
      <c r="G14" s="337"/>
      <c r="H14" s="337"/>
      <c r="I14" s="337"/>
      <c r="J14" s="353"/>
      <c r="K14" s="335">
        <f t="shared" si="26"/>
        <v>0</v>
      </c>
      <c r="L14" s="350"/>
      <c r="M14" s="336">
        <f t="shared" si="28"/>
        <v>0</v>
      </c>
      <c r="N14" s="352"/>
      <c r="O14" s="342"/>
      <c r="P14" s="343"/>
      <c r="Q14" s="344"/>
      <c r="R14" s="345"/>
      <c r="S14" s="342"/>
      <c r="T14" s="343"/>
      <c r="U14" s="338"/>
      <c r="V14" s="345"/>
      <c r="W14" s="342"/>
      <c r="X14" s="343"/>
      <c r="Y14" s="338"/>
      <c r="Z14" s="345"/>
      <c r="AA14" s="342"/>
      <c r="AB14" s="343"/>
      <c r="AC14" s="344"/>
      <c r="AD14" s="345"/>
      <c r="AE14" s="342"/>
      <c r="AF14" s="343"/>
      <c r="AG14" s="338"/>
      <c r="AH14" s="346"/>
      <c r="AI14" s="354"/>
      <c r="AJ14" s="338"/>
      <c r="AK14" s="338"/>
      <c r="AL14" s="340"/>
      <c r="AM14" s="342"/>
      <c r="AN14" s="338"/>
      <c r="AO14" s="338"/>
      <c r="AP14" s="340"/>
      <c r="AQ14" s="355"/>
      <c r="AR14" s="338"/>
      <c r="AS14" s="344"/>
      <c r="AT14" s="340"/>
      <c r="AU14" s="356"/>
      <c r="AV14" s="357"/>
      <c r="AW14" s="357"/>
      <c r="AX14" s="358"/>
      <c r="AY14" s="356"/>
      <c r="AZ14" s="357"/>
      <c r="BA14" s="357"/>
      <c r="BB14" s="358"/>
      <c r="BC14" s="356"/>
      <c r="BD14" s="357"/>
      <c r="BE14" s="357"/>
      <c r="BF14" s="358"/>
      <c r="BG14" s="356"/>
      <c r="BH14" s="357"/>
      <c r="BI14" s="357"/>
      <c r="BJ14" s="358"/>
    </row>
    <row r="15" ht="15.75" customHeight="1">
      <c r="B15" s="316" t="s">
        <v>30</v>
      </c>
      <c r="C15" s="190">
        <f t="shared" ref="C15:AM15" si="40">SUM(C12:C14)</f>
        <v>26242704.1</v>
      </c>
      <c r="D15" s="359">
        <f t="shared" si="40"/>
        <v>0.3724069242</v>
      </c>
      <c r="E15" s="187">
        <f t="shared" si="40"/>
        <v>0</v>
      </c>
      <c r="F15" s="360" t="str">
        <f t="shared" si="40"/>
        <v>#DIV/0!</v>
      </c>
      <c r="G15" s="361">
        <f t="shared" si="40"/>
        <v>1964</v>
      </c>
      <c r="H15" s="320">
        <f t="shared" si="40"/>
        <v>0</v>
      </c>
      <c r="I15" s="362">
        <f t="shared" si="40"/>
        <v>0</v>
      </c>
      <c r="J15" s="321">
        <f t="shared" si="40"/>
        <v>0</v>
      </c>
      <c r="K15" s="319">
        <f t="shared" si="40"/>
        <v>26240740.1</v>
      </c>
      <c r="L15" s="359">
        <f t="shared" si="40"/>
        <v>0.3723790533</v>
      </c>
      <c r="M15" s="187">
        <f t="shared" si="40"/>
        <v>0</v>
      </c>
      <c r="N15" s="360" t="str">
        <f t="shared" si="40"/>
        <v>#DIV/0!</v>
      </c>
      <c r="O15" s="319">
        <f t="shared" si="40"/>
        <v>7065342.435</v>
      </c>
      <c r="P15" s="359">
        <f t="shared" si="40"/>
        <v>0.3579623166</v>
      </c>
      <c r="Q15" s="187">
        <f t="shared" si="40"/>
        <v>0</v>
      </c>
      <c r="R15" s="360" t="str">
        <f t="shared" si="40"/>
        <v>#DIV/0!</v>
      </c>
      <c r="S15" s="319">
        <f t="shared" si="40"/>
        <v>276483.3923</v>
      </c>
      <c r="T15" s="359">
        <f t="shared" si="40"/>
        <v>0.2415776029</v>
      </c>
      <c r="U15" s="187">
        <f t="shared" si="40"/>
        <v>0</v>
      </c>
      <c r="V15" s="360" t="str">
        <f t="shared" si="40"/>
        <v>#DIV/0!</v>
      </c>
      <c r="W15" s="319">
        <f t="shared" si="40"/>
        <v>5168010.491</v>
      </c>
      <c r="X15" s="359">
        <f t="shared" si="40"/>
        <v>0.3530403035</v>
      </c>
      <c r="Y15" s="187">
        <f t="shared" si="40"/>
        <v>0</v>
      </c>
      <c r="Z15" s="360" t="str">
        <f t="shared" si="40"/>
        <v>#DIV/0!</v>
      </c>
      <c r="AA15" s="319">
        <f t="shared" si="40"/>
        <v>3538955.962</v>
      </c>
      <c r="AB15" s="359">
        <f t="shared" si="40"/>
        <v>0.3996083994</v>
      </c>
      <c r="AC15" s="187">
        <f t="shared" si="40"/>
        <v>0</v>
      </c>
      <c r="AD15" s="360" t="str">
        <f t="shared" si="40"/>
        <v>#DIV/0!</v>
      </c>
      <c r="AE15" s="319">
        <f t="shared" si="40"/>
        <v>5822557.905</v>
      </c>
      <c r="AF15" s="359">
        <f t="shared" si="40"/>
        <v>0.3468056733</v>
      </c>
      <c r="AG15" s="187">
        <f t="shared" si="40"/>
        <v>0</v>
      </c>
      <c r="AH15" s="363" t="str">
        <f t="shared" si="40"/>
        <v>#DIV/0!</v>
      </c>
      <c r="AI15" s="364">
        <f t="shared" si="40"/>
        <v>144806</v>
      </c>
      <c r="AJ15" s="359">
        <f t="shared" si="40"/>
        <v>0.2604219975</v>
      </c>
      <c r="AK15" s="362">
        <f t="shared" si="40"/>
        <v>0</v>
      </c>
      <c r="AL15" s="321">
        <f t="shared" si="40"/>
        <v>0</v>
      </c>
      <c r="AM15" s="319">
        <f t="shared" si="40"/>
        <v>353110.2678</v>
      </c>
      <c r="AN15" s="320"/>
      <c r="AO15" s="362">
        <f>SUM(AO12:AO14)</f>
        <v>0</v>
      </c>
      <c r="AP15" s="321"/>
      <c r="AQ15" s="319">
        <f>SUM(AQ12:AQ13)</f>
        <v>3318859.09</v>
      </c>
      <c r="AR15" s="320"/>
      <c r="AS15" s="187">
        <f>SUM(AS12:AS14)</f>
        <v>0</v>
      </c>
      <c r="AT15" s="321"/>
      <c r="AU15" s="319">
        <f t="shared" ref="AU15:BJ15" si="41">SUM(AU12:AU14)</f>
        <v>388530.56</v>
      </c>
      <c r="AV15" s="187">
        <f t="shared" si="41"/>
        <v>0</v>
      </c>
      <c r="AW15" s="187">
        <f t="shared" si="41"/>
        <v>0</v>
      </c>
      <c r="AX15" s="365">
        <f t="shared" si="41"/>
        <v>0</v>
      </c>
      <c r="AY15" s="319">
        <f t="shared" si="41"/>
        <v>0</v>
      </c>
      <c r="AZ15" s="187">
        <f t="shared" si="41"/>
        <v>0</v>
      </c>
      <c r="BA15" s="187">
        <f t="shared" si="41"/>
        <v>0</v>
      </c>
      <c r="BB15" s="365">
        <f t="shared" si="41"/>
        <v>0</v>
      </c>
      <c r="BC15" s="319">
        <f t="shared" si="41"/>
        <v>0</v>
      </c>
      <c r="BD15" s="187">
        <f t="shared" si="41"/>
        <v>0</v>
      </c>
      <c r="BE15" s="187">
        <f t="shared" si="41"/>
        <v>0</v>
      </c>
      <c r="BF15" s="365">
        <f t="shared" si="41"/>
        <v>0</v>
      </c>
      <c r="BG15" s="319">
        <f t="shared" si="41"/>
        <v>164084</v>
      </c>
      <c r="BH15" s="187">
        <f t="shared" si="41"/>
        <v>0</v>
      </c>
      <c r="BI15" s="187">
        <f t="shared" si="41"/>
        <v>0</v>
      </c>
      <c r="BJ15" s="365">
        <f t="shared" si="41"/>
        <v>0</v>
      </c>
    </row>
    <row r="16" ht="15.75" customHeight="1">
      <c r="B16" s="366"/>
      <c r="C16" s="367"/>
      <c r="D16" s="368"/>
      <c r="E16" s="368"/>
      <c r="F16" s="369"/>
      <c r="G16" s="327"/>
      <c r="H16" s="328"/>
      <c r="I16" s="329"/>
      <c r="J16" s="330"/>
      <c r="K16" s="370"/>
      <c r="L16" s="368"/>
      <c r="M16" s="371"/>
      <c r="N16" s="369"/>
      <c r="O16" s="327"/>
      <c r="P16" s="328"/>
      <c r="Q16" s="328"/>
      <c r="R16" s="330"/>
      <c r="S16" s="327"/>
      <c r="T16" s="328"/>
      <c r="U16" s="328"/>
      <c r="V16" s="330"/>
      <c r="W16" s="327"/>
      <c r="X16" s="328"/>
      <c r="Y16" s="328"/>
      <c r="Z16" s="330"/>
      <c r="AA16" s="327"/>
      <c r="AB16" s="328"/>
      <c r="AC16" s="328"/>
      <c r="AD16" s="330"/>
      <c r="AE16" s="327"/>
      <c r="AF16" s="328"/>
      <c r="AG16" s="328"/>
      <c r="AH16" s="333"/>
      <c r="AI16" s="334"/>
      <c r="AJ16" s="328"/>
      <c r="AK16" s="328"/>
      <c r="AL16" s="330"/>
      <c r="AM16" s="327"/>
      <c r="AN16" s="328"/>
      <c r="AO16" s="328"/>
      <c r="AP16" s="330"/>
      <c r="AQ16" s="327"/>
      <c r="AR16" s="328"/>
      <c r="AS16" s="328"/>
      <c r="AT16" s="330"/>
      <c r="AU16" s="327"/>
      <c r="AV16" s="328"/>
      <c r="AW16" s="328"/>
      <c r="AX16" s="330"/>
      <c r="AY16" s="327"/>
      <c r="AZ16" s="328"/>
      <c r="BA16" s="328"/>
      <c r="BB16" s="330"/>
      <c r="BC16" s="327"/>
      <c r="BD16" s="328"/>
      <c r="BE16" s="328"/>
      <c r="BF16" s="330"/>
      <c r="BG16" s="327"/>
      <c r="BH16" s="328"/>
      <c r="BI16" s="328"/>
      <c r="BJ16" s="330"/>
    </row>
    <row r="17" ht="15.75" customHeight="1">
      <c r="A17" s="372"/>
      <c r="B17" s="316" t="s">
        <v>32</v>
      </c>
      <c r="C17" s="190">
        <f>C10-C15</f>
        <v>44225115.9</v>
      </c>
      <c r="D17" s="359">
        <f>C17/C$10</f>
        <v>0.6275930758</v>
      </c>
      <c r="E17" s="187">
        <f>E10-E15</f>
        <v>0</v>
      </c>
      <c r="F17" s="360" t="str">
        <f>E17/E$10</f>
        <v>#DIV/0!</v>
      </c>
      <c r="G17" s="319">
        <f>G10-G15</f>
        <v>-1964</v>
      </c>
      <c r="H17" s="320"/>
      <c r="I17" s="187">
        <f>I10-I15</f>
        <v>0</v>
      </c>
      <c r="J17" s="321"/>
      <c r="K17" s="319">
        <f>K10-K15</f>
        <v>44227079.9</v>
      </c>
      <c r="L17" s="359">
        <f>K17/K$10</f>
        <v>0.6276209467</v>
      </c>
      <c r="M17" s="187">
        <f>Q17+U17+Y17+AC17+AG17+AK17+AO17+AS17+AW17+BA17+BE17+BI17</f>
        <v>0</v>
      </c>
      <c r="N17" s="360" t="str">
        <f>M17/M$10</f>
        <v>#DIV/0!</v>
      </c>
      <c r="O17" s="319">
        <f>O10-O15</f>
        <v>12672328.56</v>
      </c>
      <c r="P17" s="359">
        <f>O17/O$10</f>
        <v>0.6420376834</v>
      </c>
      <c r="Q17" s="187">
        <f>Q10-Q15</f>
        <v>0</v>
      </c>
      <c r="R17" s="360" t="str">
        <f>Q17/Q$10</f>
        <v>#DIV/0!</v>
      </c>
      <c r="S17" s="319">
        <f>S10-S15</f>
        <v>868007.6077</v>
      </c>
      <c r="T17" s="359">
        <f>S17/S$10</f>
        <v>0.7584223971</v>
      </c>
      <c r="U17" s="187">
        <f>U10-U15</f>
        <v>0</v>
      </c>
      <c r="V17" s="360" t="str">
        <f>U17/U$10</f>
        <v>#DIV/0!</v>
      </c>
      <c r="W17" s="319">
        <f>W10-W15</f>
        <v>9470574.509</v>
      </c>
      <c r="X17" s="359">
        <f>W17/W$10</f>
        <v>0.6469596965</v>
      </c>
      <c r="Y17" s="187">
        <f>Y10-Y15</f>
        <v>0</v>
      </c>
      <c r="Z17" s="360" t="str">
        <f>Y17/Y$10</f>
        <v>#DIV/0!</v>
      </c>
      <c r="AA17" s="319">
        <f>AA10-AA15</f>
        <v>5317104.038</v>
      </c>
      <c r="AB17" s="359">
        <f>AA17/AA$10</f>
        <v>0.6003916006</v>
      </c>
      <c r="AC17" s="187">
        <f>AC10-AC15</f>
        <v>0</v>
      </c>
      <c r="AD17" s="360" t="str">
        <f>AC17/AC$10</f>
        <v>#DIV/0!</v>
      </c>
      <c r="AE17" s="319">
        <f>AE10-AE15</f>
        <v>10966550.1</v>
      </c>
      <c r="AF17" s="359">
        <f>AE17/AE$10</f>
        <v>0.6531943267</v>
      </c>
      <c r="AG17" s="187">
        <f>AG10-AG15</f>
        <v>0</v>
      </c>
      <c r="AH17" s="363" t="str">
        <f>AG17/AG$10</f>
        <v>#DIV/0!</v>
      </c>
      <c r="AI17" s="190">
        <f>AI10-AI15</f>
        <v>365197</v>
      </c>
      <c r="AJ17" s="359">
        <f>AI17/AI$10</f>
        <v>0.7160683369</v>
      </c>
      <c r="AK17" s="187">
        <f>AK10-AK15</f>
        <v>0</v>
      </c>
      <c r="AL17" s="321"/>
      <c r="AM17" s="319">
        <f>AM10-AM15</f>
        <v>-26727.26776</v>
      </c>
      <c r="AN17" s="320"/>
      <c r="AO17" s="187">
        <f>AO10-AO15</f>
        <v>0</v>
      </c>
      <c r="AP17" s="321"/>
      <c r="AQ17" s="319">
        <f>AQ10-AQ15</f>
        <v>4301619.91</v>
      </c>
      <c r="AR17" s="320"/>
      <c r="AS17" s="187">
        <f>AS10-AS15</f>
        <v>0</v>
      </c>
      <c r="AT17" s="321"/>
      <c r="AU17" s="319">
        <f t="shared" ref="AU17:BJ17" si="42">AU10-AU15</f>
        <v>-82642.55999</v>
      </c>
      <c r="AV17" s="187">
        <f t="shared" si="42"/>
        <v>0</v>
      </c>
      <c r="AW17" s="187">
        <f t="shared" si="42"/>
        <v>0</v>
      </c>
      <c r="AX17" s="365">
        <f t="shared" si="42"/>
        <v>0</v>
      </c>
      <c r="AY17" s="319">
        <f t="shared" si="42"/>
        <v>0</v>
      </c>
      <c r="AZ17" s="187">
        <f t="shared" si="42"/>
        <v>0</v>
      </c>
      <c r="BA17" s="187">
        <f t="shared" si="42"/>
        <v>0</v>
      </c>
      <c r="BB17" s="365">
        <f t="shared" si="42"/>
        <v>0</v>
      </c>
      <c r="BC17" s="319">
        <f t="shared" si="42"/>
        <v>0</v>
      </c>
      <c r="BD17" s="187">
        <f t="shared" si="42"/>
        <v>0</v>
      </c>
      <c r="BE17" s="187">
        <f t="shared" si="42"/>
        <v>0</v>
      </c>
      <c r="BF17" s="365">
        <f t="shared" si="42"/>
        <v>0</v>
      </c>
      <c r="BG17" s="319">
        <f t="shared" si="42"/>
        <v>375068</v>
      </c>
      <c r="BH17" s="187">
        <f t="shared" si="42"/>
        <v>0</v>
      </c>
      <c r="BI17" s="187">
        <f t="shared" si="42"/>
        <v>0</v>
      </c>
      <c r="BJ17" s="365">
        <f t="shared" si="42"/>
        <v>0</v>
      </c>
    </row>
    <row r="18" ht="15.75" customHeight="1">
      <c r="B18" s="373"/>
      <c r="C18" s="374"/>
      <c r="D18" s="375"/>
      <c r="E18" s="375"/>
      <c r="F18" s="376"/>
      <c r="G18" s="377"/>
      <c r="H18" s="281"/>
      <c r="I18" s="287"/>
      <c r="J18" s="283"/>
      <c r="K18" s="378"/>
      <c r="L18" s="375"/>
      <c r="M18" s="379"/>
      <c r="N18" s="376"/>
      <c r="O18" s="285"/>
      <c r="P18" s="281"/>
      <c r="Q18" s="281"/>
      <c r="R18" s="283"/>
      <c r="S18" s="377"/>
      <c r="T18" s="281"/>
      <c r="U18" s="281"/>
      <c r="V18" s="283"/>
      <c r="W18" s="377"/>
      <c r="X18" s="281"/>
      <c r="Y18" s="281"/>
      <c r="Z18" s="283"/>
      <c r="AA18" s="377"/>
      <c r="AB18" s="281"/>
      <c r="AC18" s="281"/>
      <c r="AD18" s="283"/>
      <c r="AE18" s="377"/>
      <c r="AF18" s="281"/>
      <c r="AG18" s="281"/>
      <c r="AH18" s="380"/>
      <c r="AI18" s="381"/>
      <c r="AJ18" s="281"/>
      <c r="AK18" s="281"/>
      <c r="AL18" s="283"/>
      <c r="AM18" s="285"/>
      <c r="AN18" s="281"/>
      <c r="AO18" s="281"/>
      <c r="AP18" s="283"/>
      <c r="AQ18" s="377"/>
      <c r="AR18" s="281"/>
      <c r="AS18" s="281"/>
      <c r="AT18" s="283"/>
      <c r="AU18" s="377"/>
      <c r="AV18" s="281"/>
      <c r="AW18" s="281"/>
      <c r="AX18" s="283"/>
      <c r="AY18" s="377"/>
      <c r="AZ18" s="281"/>
      <c r="BA18" s="281"/>
      <c r="BB18" s="283"/>
      <c r="BC18" s="377"/>
      <c r="BD18" s="281"/>
      <c r="BE18" s="281"/>
      <c r="BF18" s="283"/>
      <c r="BG18" s="377"/>
      <c r="BH18" s="281"/>
      <c r="BI18" s="281"/>
      <c r="BJ18" s="283"/>
    </row>
    <row r="19" ht="15.75" customHeight="1">
      <c r="B19" s="291" t="s">
        <v>33</v>
      </c>
      <c r="C19" s="292">
        <f t="shared" ref="C19:C28" si="43">G19+K19</f>
        <v>2036408.9</v>
      </c>
      <c r="D19" s="293">
        <f t="shared" ref="D19:D29" si="44">C19/C$10</f>
        <v>0.02889842342</v>
      </c>
      <c r="E19" s="294">
        <f t="shared" ref="E19:E29" si="45">I19+M19</f>
        <v>0</v>
      </c>
      <c r="F19" s="295" t="str">
        <f t="shared" ref="F19:F29" si="46">E19/E$10</f>
        <v>#DIV/0!</v>
      </c>
      <c r="G19" s="300">
        <f>HO!P43</f>
        <v>49594</v>
      </c>
      <c r="H19" s="257"/>
      <c r="I19" s="258" t="str">
        <f>HO!R43</f>
        <v/>
      </c>
      <c r="J19" s="298"/>
      <c r="K19" s="299">
        <f t="shared" ref="K19:K28" si="47">O19+S19+W19+AA19+AE19+AI19+AM19+AQ19+AU19+AY19+BC19+BG19</f>
        <v>1986814.9</v>
      </c>
      <c r="L19" s="293">
        <f t="shared" ref="L19:L29" si="48">K19/K$10</f>
        <v>0.02819464119</v>
      </c>
      <c r="M19" s="294">
        <f t="shared" ref="M19:M28" si="49">Q19+U19+Y19+AC19+AG19+AK19+AO19+AS19+AW19+BA19+BE19+BI19</f>
        <v>0</v>
      </c>
      <c r="N19" s="295" t="str">
        <f t="shared" ref="N19:N29" si="50">M19/M$10</f>
        <v>#DIV/0!</v>
      </c>
      <c r="O19" s="300">
        <f>'The Table'!P51</f>
        <v>492876</v>
      </c>
      <c r="P19" s="301">
        <f t="shared" ref="P19:P29" si="51">O19/O$10</f>
        <v>0.02497133527</v>
      </c>
      <c r="Q19" s="258">
        <f>'The Table'!R51</f>
        <v>0</v>
      </c>
      <c r="R19" s="302" t="str">
        <f t="shared" ref="R19:R29" si="52">Q19/Q$10</f>
        <v>#DIV/0!</v>
      </c>
      <c r="S19" s="300">
        <f>Iktara!P52</f>
        <v>73781</v>
      </c>
      <c r="T19" s="301">
        <f t="shared" ref="T19:T29" si="53">S19/S$10</f>
        <v>0.06446621249</v>
      </c>
      <c r="U19" s="258">
        <f>Iktara!R52</f>
        <v>0</v>
      </c>
      <c r="V19" s="302" t="str">
        <f t="shared" ref="V19:V29" si="54">U19/U$10</f>
        <v>#DIV/0!</v>
      </c>
      <c r="W19" s="300">
        <f>'Mg St Colaba'!P60</f>
        <v>421532</v>
      </c>
      <c r="X19" s="301">
        <f t="shared" ref="X19:X29" si="55">W19/W$10</f>
        <v>0.02879595261</v>
      </c>
      <c r="Y19" s="258">
        <f>'Mg St Colaba'!R60</f>
        <v>0</v>
      </c>
      <c r="Z19" s="302" t="str">
        <f t="shared" ref="Z19:Z29" si="56">Y19/Y$10</f>
        <v>#DIV/0!</v>
      </c>
      <c r="AA19" s="300">
        <f>'Mg St LP'!P61</f>
        <v>269833</v>
      </c>
      <c r="AB19" s="301">
        <f t="shared" ref="AB19:AB29" si="57">AA19/AA$10</f>
        <v>0.03046874118</v>
      </c>
      <c r="AC19" s="258">
        <f>'Mg St LP'!R61</f>
        <v>0</v>
      </c>
      <c r="AD19" s="302" t="str">
        <f t="shared" ref="AD19:AD29" si="58">AC19/AC$10</f>
        <v>#DIV/0!</v>
      </c>
      <c r="AE19" s="300">
        <f>'Mg St Bandra'!P58</f>
        <v>344770</v>
      </c>
      <c r="AF19" s="301">
        <f t="shared" ref="AF19:AF29" si="59">AE19/AE$10</f>
        <v>0.02053533755</v>
      </c>
      <c r="AG19" s="258">
        <f>'Mg St Bandra'!R58</f>
        <v>0</v>
      </c>
      <c r="AH19" s="303" t="str">
        <f t="shared" ref="AH19:AH29" si="60">AG19/AG$10</f>
        <v>#DIV/0!</v>
      </c>
      <c r="AI19" s="304">
        <f>'MSK Events'!P59</f>
        <v>44211</v>
      </c>
      <c r="AJ19" s="301">
        <f t="shared" ref="AJ19:AJ28" si="61">AI19/AI$10</f>
        <v>0.08668772537</v>
      </c>
      <c r="AK19" s="258">
        <f>'MSK Events'!R59</f>
        <v>0</v>
      </c>
      <c r="AL19" s="302" t="str">
        <f t="shared" ref="AL19:AL28" si="62">AK19/AK$10</f>
        <v>#DIV/0!</v>
      </c>
      <c r="AM19" s="300">
        <f>MSBC!P59</f>
        <v>39407</v>
      </c>
      <c r="AN19" s="301">
        <f t="shared" ref="AN19:AN29" si="63">AM19/AM$10</f>
        <v>0.1207385189</v>
      </c>
      <c r="AO19" s="258">
        <f>MSBC!R59</f>
        <v>0</v>
      </c>
      <c r="AP19" s="302" t="str">
        <f t="shared" ref="AP19:AP29" si="64">AO19/AO$10</f>
        <v>#DIV/0!</v>
      </c>
      <c r="AQ19" s="300">
        <f>Kaspers!P62</f>
        <v>257745</v>
      </c>
      <c r="AR19" s="257"/>
      <c r="AS19" s="258">
        <f>Kaspers!R62</f>
        <v>0</v>
      </c>
      <c r="AT19" s="298"/>
      <c r="AU19" s="300">
        <f>'MSBC Andheri'!P58</f>
        <v>39406.9</v>
      </c>
      <c r="AV19" s="257"/>
      <c r="AW19" s="258">
        <f>'MSBC Andheri'!R58</f>
        <v>0</v>
      </c>
      <c r="AX19" s="298"/>
      <c r="AY19" s="300">
        <f>'MSBC Dahisar'!P55</f>
        <v>0</v>
      </c>
      <c r="AZ19" s="257"/>
      <c r="BA19" s="258">
        <f>'MSBC Dahisar'!R55</f>
        <v>0</v>
      </c>
      <c r="BB19" s="298"/>
      <c r="BC19" s="300">
        <f>'MSBC Juhu  Goregoan'!P60</f>
        <v>0</v>
      </c>
      <c r="BD19" s="257"/>
      <c r="BE19" s="258">
        <f>'MSBC Juhu  Goregoan'!R60</f>
        <v>0</v>
      </c>
      <c r="BF19" s="298"/>
      <c r="BG19" s="300">
        <f>'LOUD MOUTH'!P51</f>
        <v>3253</v>
      </c>
      <c r="BH19" s="257"/>
      <c r="BI19" s="258">
        <f>'LOUD MOUTH'!R51</f>
        <v>0</v>
      </c>
      <c r="BJ19" s="298"/>
    </row>
    <row r="20" ht="15.75" customHeight="1">
      <c r="B20" s="291" t="s">
        <v>34</v>
      </c>
      <c r="C20" s="292">
        <f t="shared" si="43"/>
        <v>720790.64</v>
      </c>
      <c r="D20" s="293">
        <f t="shared" si="44"/>
        <v>0.01022864962</v>
      </c>
      <c r="E20" s="294">
        <f t="shared" si="45"/>
        <v>0</v>
      </c>
      <c r="F20" s="295" t="str">
        <f t="shared" si="46"/>
        <v>#DIV/0!</v>
      </c>
      <c r="G20" s="300">
        <f>HO!P52</f>
        <v>53100</v>
      </c>
      <c r="H20" s="257"/>
      <c r="I20" s="258">
        <f>HO!R52</f>
        <v>0</v>
      </c>
      <c r="J20" s="298"/>
      <c r="K20" s="299">
        <f t="shared" si="47"/>
        <v>667690.64</v>
      </c>
      <c r="L20" s="293">
        <f t="shared" si="48"/>
        <v>0.009475114173</v>
      </c>
      <c r="M20" s="294">
        <f t="shared" si="49"/>
        <v>0</v>
      </c>
      <c r="N20" s="295" t="str">
        <f t="shared" si="50"/>
        <v>#DIV/0!</v>
      </c>
      <c r="O20" s="300">
        <f>'The Table'!P60</f>
        <v>0</v>
      </c>
      <c r="P20" s="301">
        <f t="shared" si="51"/>
        <v>0</v>
      </c>
      <c r="Q20" s="258">
        <f>'The Table'!R60</f>
        <v>0</v>
      </c>
      <c r="R20" s="302" t="str">
        <f t="shared" si="52"/>
        <v>#DIV/0!</v>
      </c>
      <c r="S20" s="300">
        <f>Iktara!P54</f>
        <v>87846</v>
      </c>
      <c r="T20" s="301">
        <f t="shared" si="53"/>
        <v>0.07675551839</v>
      </c>
      <c r="U20" s="258">
        <f>Iktara!R54</f>
        <v>0</v>
      </c>
      <c r="V20" s="302" t="str">
        <f t="shared" si="54"/>
        <v>#DIV/0!</v>
      </c>
      <c r="W20" s="300">
        <f>'Mg St Colaba'!P69</f>
        <v>202371</v>
      </c>
      <c r="X20" s="301">
        <f t="shared" si="55"/>
        <v>0.01382449192</v>
      </c>
      <c r="Y20" s="258">
        <f>'Mg St Colaba'!R69</f>
        <v>0</v>
      </c>
      <c r="Z20" s="302" t="str">
        <f t="shared" si="56"/>
        <v>#DIV/0!</v>
      </c>
      <c r="AA20" s="300">
        <f>'Mg St LP'!P63</f>
        <v>97750</v>
      </c>
      <c r="AB20" s="301">
        <f t="shared" si="57"/>
        <v>0.01103763976</v>
      </c>
      <c r="AC20" s="258">
        <f>'Mg St LP'!R63</f>
        <v>0</v>
      </c>
      <c r="AD20" s="302" t="str">
        <f t="shared" si="58"/>
        <v>#DIV/0!</v>
      </c>
      <c r="AE20" s="300">
        <f>'Mg St Bandra'!P70</f>
        <v>103111</v>
      </c>
      <c r="AF20" s="301">
        <f t="shared" si="59"/>
        <v>0.00614154129</v>
      </c>
      <c r="AG20" s="258">
        <f>'Mg St Bandra'!R70</f>
        <v>0</v>
      </c>
      <c r="AH20" s="303" t="str">
        <f t="shared" si="60"/>
        <v>#DIV/0!</v>
      </c>
      <c r="AI20" s="304">
        <f>'MSK Events'!P70</f>
        <v>0</v>
      </c>
      <c r="AJ20" s="301">
        <f t="shared" si="61"/>
        <v>0</v>
      </c>
      <c r="AK20" s="258">
        <f>'MSK Events'!R70</f>
        <v>0</v>
      </c>
      <c r="AL20" s="302" t="str">
        <f t="shared" si="62"/>
        <v>#DIV/0!</v>
      </c>
      <c r="AM20" s="300">
        <f>MSBC!P61</f>
        <v>42165</v>
      </c>
      <c r="AN20" s="301">
        <f t="shared" si="63"/>
        <v>0.1291887139</v>
      </c>
      <c r="AO20" s="258">
        <f>MSBC!R61</f>
        <v>0</v>
      </c>
      <c r="AP20" s="302" t="str">
        <f t="shared" si="64"/>
        <v>#DIV/0!</v>
      </c>
      <c r="AQ20" s="300">
        <f>Kaspers!P65</f>
        <v>0</v>
      </c>
      <c r="AR20" s="257"/>
      <c r="AS20" s="258">
        <f>Kaspers!R65</f>
        <v>0</v>
      </c>
      <c r="AT20" s="298"/>
      <c r="AU20" s="300">
        <f>'MSBC Andheri'!P70</f>
        <v>67967.64</v>
      </c>
      <c r="AV20" s="257"/>
      <c r="AW20" s="258">
        <f>'MSBC Andheri'!R70</f>
        <v>0</v>
      </c>
      <c r="AX20" s="298"/>
      <c r="AY20" s="300">
        <f>'MSBC Dahisar'!P57</f>
        <v>0</v>
      </c>
      <c r="AZ20" s="257"/>
      <c r="BA20" s="258">
        <f>'MSBC Dahisar'!R57</f>
        <v>0</v>
      </c>
      <c r="BB20" s="298"/>
      <c r="BC20" s="300">
        <f>'MSBC Juhu  Goregoan'!P72</f>
        <v>0</v>
      </c>
      <c r="BD20" s="257"/>
      <c r="BE20" s="258">
        <f>'MSBC Juhu  Goregoan'!R72</f>
        <v>0</v>
      </c>
      <c r="BF20" s="298"/>
      <c r="BG20" s="300">
        <f>'LOUD MOUTH'!P54</f>
        <v>66480</v>
      </c>
      <c r="BH20" s="257"/>
      <c r="BI20" s="258">
        <f>'LOUD MOUTH'!R54</f>
        <v>0</v>
      </c>
      <c r="BJ20" s="298"/>
    </row>
    <row r="21" ht="15.75" customHeight="1">
      <c r="B21" s="291" t="s">
        <v>35</v>
      </c>
      <c r="C21" s="292">
        <f t="shared" si="43"/>
        <v>1936133.85</v>
      </c>
      <c r="D21" s="293">
        <f t="shared" si="44"/>
        <v>0.02747543276</v>
      </c>
      <c r="E21" s="294" t="str">
        <f t="shared" si="45"/>
        <v>#REF!</v>
      </c>
      <c r="F21" s="295" t="str">
        <f t="shared" si="46"/>
        <v>#REF!</v>
      </c>
      <c r="G21" s="300">
        <f>HO!P63</f>
        <v>0</v>
      </c>
      <c r="H21" s="257"/>
      <c r="I21" s="258">
        <f>HO!R63</f>
        <v>0</v>
      </c>
      <c r="J21" s="298"/>
      <c r="K21" s="299">
        <f t="shared" si="47"/>
        <v>1936133.85</v>
      </c>
      <c r="L21" s="293">
        <f t="shared" si="48"/>
        <v>0.02747543276</v>
      </c>
      <c r="M21" s="294" t="str">
        <f t="shared" si="49"/>
        <v>#REF!</v>
      </c>
      <c r="N21" s="295" t="str">
        <f t="shared" si="50"/>
        <v>#REF!</v>
      </c>
      <c r="O21" s="300">
        <f>'The Table'!P69</f>
        <v>79188</v>
      </c>
      <c r="P21" s="301">
        <f t="shared" si="51"/>
        <v>0.004012023506</v>
      </c>
      <c r="Q21" s="258">
        <f>'The Table'!R69</f>
        <v>0</v>
      </c>
      <c r="R21" s="302" t="str">
        <f t="shared" si="52"/>
        <v>#DIV/0!</v>
      </c>
      <c r="S21" s="300">
        <f>Iktara!P64</f>
        <v>91952</v>
      </c>
      <c r="T21" s="301">
        <f t="shared" si="53"/>
        <v>0.08034313944</v>
      </c>
      <c r="U21" s="258" t="str">
        <f>Iktara!R64</f>
        <v/>
      </c>
      <c r="V21" s="302" t="str">
        <f t="shared" si="54"/>
        <v>#DIV/0!</v>
      </c>
      <c r="W21" s="300">
        <f>'Mg St Colaba'!P81</f>
        <v>421948</v>
      </c>
      <c r="X21" s="301">
        <f t="shared" si="55"/>
        <v>0.02882437066</v>
      </c>
      <c r="Y21" s="258" t="str">
        <f>'Mg St Colaba'!R81</f>
        <v>#REF!</v>
      </c>
      <c r="Z21" s="302" t="str">
        <f t="shared" si="56"/>
        <v>#REF!</v>
      </c>
      <c r="AA21" s="300">
        <f>'Mg St LP'!P76</f>
        <v>601258</v>
      </c>
      <c r="AB21" s="301">
        <f t="shared" si="57"/>
        <v>0.06789226812</v>
      </c>
      <c r="AC21" s="258">
        <f>'Mg St LP'!R76</f>
        <v>0</v>
      </c>
      <c r="AD21" s="302" t="str">
        <f t="shared" si="58"/>
        <v>#DIV/0!</v>
      </c>
      <c r="AE21" s="300">
        <f>'Mg St Bandra'!P81</f>
        <v>573147</v>
      </c>
      <c r="AF21" s="301">
        <f t="shared" si="59"/>
        <v>0.03413802568</v>
      </c>
      <c r="AG21" s="258">
        <f>'Mg St Bandra'!R81</f>
        <v>0</v>
      </c>
      <c r="AH21" s="303" t="str">
        <f t="shared" si="60"/>
        <v>#DIV/0!</v>
      </c>
      <c r="AI21" s="304">
        <f>'MSK Events'!P77</f>
        <v>0</v>
      </c>
      <c r="AJ21" s="301">
        <f t="shared" si="61"/>
        <v>0</v>
      </c>
      <c r="AK21" s="258">
        <f>'MSK Events'!R77</f>
        <v>0</v>
      </c>
      <c r="AL21" s="302" t="str">
        <f t="shared" si="62"/>
        <v>#DIV/0!</v>
      </c>
      <c r="AM21" s="300">
        <f>MSBC!P69</f>
        <v>25860</v>
      </c>
      <c r="AN21" s="301">
        <f t="shared" si="63"/>
        <v>0.07923206785</v>
      </c>
      <c r="AO21" s="258">
        <f>MSBC!R69</f>
        <v>0</v>
      </c>
      <c r="AP21" s="302" t="str">
        <f t="shared" si="64"/>
        <v>#DIV/0!</v>
      </c>
      <c r="AQ21" s="300">
        <f>Kaspers!P73</f>
        <v>0</v>
      </c>
      <c r="AR21" s="257"/>
      <c r="AS21" s="258">
        <f>Kaspers!R73</f>
        <v>0</v>
      </c>
      <c r="AT21" s="298"/>
      <c r="AU21" s="300">
        <f>'MSBC Andheri'!P78</f>
        <v>81074.85</v>
      </c>
      <c r="AV21" s="257"/>
      <c r="AW21" s="258">
        <f>'MSBC Andheri'!R78</f>
        <v>0</v>
      </c>
      <c r="AX21" s="298"/>
      <c r="AY21" s="300">
        <f>'MSBC Dahisar'!P65</f>
        <v>0</v>
      </c>
      <c r="AZ21" s="257"/>
      <c r="BA21" s="258">
        <f>'MSBC Dahisar'!R65</f>
        <v>0</v>
      </c>
      <c r="BB21" s="298"/>
      <c r="BC21" s="300">
        <f>'MSBC Juhu  Goregoan'!P80</f>
        <v>0</v>
      </c>
      <c r="BD21" s="257"/>
      <c r="BE21" s="258">
        <f>'MSBC Juhu  Goregoan'!R80</f>
        <v>0</v>
      </c>
      <c r="BF21" s="298"/>
      <c r="BG21" s="300">
        <f>'LOUD MOUTH'!P63</f>
        <v>61706</v>
      </c>
      <c r="BH21" s="257"/>
      <c r="BI21" s="258">
        <f>'LOUD MOUTH'!R63</f>
        <v>0</v>
      </c>
      <c r="BJ21" s="298"/>
    </row>
    <row r="22" ht="15.75" customHeight="1">
      <c r="B22" s="291" t="s">
        <v>36</v>
      </c>
      <c r="C22" s="292">
        <f t="shared" si="43"/>
        <v>9224053</v>
      </c>
      <c r="D22" s="293">
        <f t="shared" si="44"/>
        <v>0.1308973798</v>
      </c>
      <c r="E22" s="294">
        <f t="shared" si="45"/>
        <v>0</v>
      </c>
      <c r="F22" s="295" t="str">
        <f t="shared" si="46"/>
        <v>#DIV/0!</v>
      </c>
      <c r="G22" s="300">
        <f>HO!P70</f>
        <v>857475</v>
      </c>
      <c r="H22" s="257"/>
      <c r="I22" s="258">
        <f>HO!R70</f>
        <v>0</v>
      </c>
      <c r="J22" s="298"/>
      <c r="K22" s="299">
        <f t="shared" si="47"/>
        <v>8366578</v>
      </c>
      <c r="L22" s="293">
        <f t="shared" si="48"/>
        <v>0.1187290596</v>
      </c>
      <c r="M22" s="294">
        <f t="shared" si="49"/>
        <v>0</v>
      </c>
      <c r="N22" s="295" t="str">
        <f t="shared" si="50"/>
        <v>#DIV/0!</v>
      </c>
      <c r="O22" s="300">
        <f>'The Table'!P75</f>
        <v>2107105</v>
      </c>
      <c r="P22" s="301">
        <f t="shared" si="51"/>
        <v>0.1067555032</v>
      </c>
      <c r="Q22" s="258">
        <f>'The Table'!R75</f>
        <v>0</v>
      </c>
      <c r="R22" s="302" t="str">
        <f t="shared" si="52"/>
        <v>#DIV/0!</v>
      </c>
      <c r="S22" s="300">
        <f>Iktara!P70</f>
        <v>87170</v>
      </c>
      <c r="T22" s="301">
        <f t="shared" si="53"/>
        <v>0.07616486281</v>
      </c>
      <c r="U22" s="258" t="str">
        <f>Iktara!R70</f>
        <v/>
      </c>
      <c r="V22" s="302" t="str">
        <f t="shared" si="54"/>
        <v>#DIV/0!</v>
      </c>
      <c r="W22" s="300">
        <f>'Mg St Colaba'!P88</f>
        <v>1975241</v>
      </c>
      <c r="X22" s="301">
        <f t="shared" si="55"/>
        <v>0.1349338751</v>
      </c>
      <c r="Y22" s="258">
        <f>'Mg St Colaba'!R88</f>
        <v>0</v>
      </c>
      <c r="Z22" s="302" t="str">
        <f t="shared" si="56"/>
        <v>#DIV/0!</v>
      </c>
      <c r="AA22" s="300">
        <f>'Mg St LP'!P83</f>
        <v>1073951</v>
      </c>
      <c r="AB22" s="301">
        <f t="shared" si="57"/>
        <v>0.1212673582</v>
      </c>
      <c r="AC22" s="258">
        <f>'Mg St LP'!R83</f>
        <v>0</v>
      </c>
      <c r="AD22" s="302" t="str">
        <f t="shared" si="58"/>
        <v>#DIV/0!</v>
      </c>
      <c r="AE22" s="300">
        <f>'Mg St Bandra'!P88</f>
        <v>1737153</v>
      </c>
      <c r="AF22" s="301">
        <f t="shared" si="59"/>
        <v>0.1034690467</v>
      </c>
      <c r="AG22" s="258">
        <f>'Mg St Bandra'!R88</f>
        <v>0</v>
      </c>
      <c r="AH22" s="303" t="str">
        <f t="shared" si="60"/>
        <v>#DIV/0!</v>
      </c>
      <c r="AI22" s="304">
        <f>'MSK Events'!P84</f>
        <v>252141</v>
      </c>
      <c r="AJ22" s="301">
        <f t="shared" si="61"/>
        <v>0.4943912095</v>
      </c>
      <c r="AK22" s="258">
        <f>'MSK Events'!R84</f>
        <v>0</v>
      </c>
      <c r="AL22" s="302" t="str">
        <f t="shared" si="62"/>
        <v>#DIV/0!</v>
      </c>
      <c r="AM22" s="300">
        <f>MSBC!P75</f>
        <v>223658</v>
      </c>
      <c r="AN22" s="301">
        <f t="shared" si="63"/>
        <v>0.6852624064</v>
      </c>
      <c r="AO22" s="258">
        <f>MSBC!R75</f>
        <v>0</v>
      </c>
      <c r="AP22" s="302" t="str">
        <f t="shared" si="64"/>
        <v>#DIV/0!</v>
      </c>
      <c r="AQ22" s="300">
        <f>Kaspers!P80</f>
        <v>910159</v>
      </c>
      <c r="AR22" s="257"/>
      <c r="AS22" s="258">
        <f>Kaspers!R80</f>
        <v>0</v>
      </c>
      <c r="AT22" s="298"/>
      <c r="AU22" s="300">
        <f>'MSBC Andheri'!P87</f>
        <v>0</v>
      </c>
      <c r="AV22" s="257"/>
      <c r="AW22" s="258">
        <f>'MSBC Andheri'!R87</f>
        <v>0</v>
      </c>
      <c r="AX22" s="298"/>
      <c r="AY22" s="300">
        <f>'MSBC Dahisar'!P74</f>
        <v>0</v>
      </c>
      <c r="AZ22" s="257"/>
      <c r="BA22" s="258">
        <f>'MSBC Dahisar'!R74</f>
        <v>0</v>
      </c>
      <c r="BB22" s="298"/>
      <c r="BC22" s="300">
        <f>'MSBC Juhu  Goregoan'!P87</f>
        <v>0</v>
      </c>
      <c r="BD22" s="257"/>
      <c r="BE22" s="258">
        <v>0.0</v>
      </c>
      <c r="BF22" s="298"/>
      <c r="BG22" s="300">
        <f>'LOUD MOUTH'!P70</f>
        <v>0</v>
      </c>
      <c r="BH22" s="257"/>
      <c r="BI22" s="258">
        <f>'LOUD MOUTH'!R70</f>
        <v>0</v>
      </c>
      <c r="BJ22" s="298"/>
    </row>
    <row r="23" ht="15.75" customHeight="1">
      <c r="B23" s="291" t="s">
        <v>37</v>
      </c>
      <c r="C23" s="292">
        <f t="shared" si="43"/>
        <v>23211349.35</v>
      </c>
      <c r="D23" s="293">
        <f t="shared" si="44"/>
        <v>0.3293893489</v>
      </c>
      <c r="E23" s="294">
        <f t="shared" si="45"/>
        <v>0</v>
      </c>
      <c r="F23" s="295" t="str">
        <f t="shared" si="46"/>
        <v>#DIV/0!</v>
      </c>
      <c r="G23" s="300">
        <f>HO!P76</f>
        <v>4055310.08</v>
      </c>
      <c r="H23" s="257"/>
      <c r="I23" s="258">
        <f>HO!R76</f>
        <v>0</v>
      </c>
      <c r="J23" s="298"/>
      <c r="K23" s="299">
        <f t="shared" si="47"/>
        <v>19156039.27</v>
      </c>
      <c r="L23" s="293">
        <f t="shared" si="48"/>
        <v>0.2718409519</v>
      </c>
      <c r="M23" s="294">
        <f t="shared" si="49"/>
        <v>0</v>
      </c>
      <c r="N23" s="295" t="str">
        <f t="shared" si="50"/>
        <v>#DIV/0!</v>
      </c>
      <c r="O23" s="300">
        <f>'The Table'!P81</f>
        <v>4827862.27</v>
      </c>
      <c r="P23" s="301">
        <f t="shared" si="51"/>
        <v>0.2446014157</v>
      </c>
      <c r="Q23" s="258">
        <f>'The Table'!R81</f>
        <v>0</v>
      </c>
      <c r="R23" s="302" t="str">
        <f t="shared" si="52"/>
        <v>#DIV/0!</v>
      </c>
      <c r="S23" s="300">
        <f>Iktara!P76</f>
        <v>404871</v>
      </c>
      <c r="T23" s="301">
        <f t="shared" si="53"/>
        <v>0.353756386</v>
      </c>
      <c r="U23" s="258">
        <f>Iktara!R76</f>
        <v>0</v>
      </c>
      <c r="V23" s="302" t="str">
        <f t="shared" si="54"/>
        <v>#DIV/0!</v>
      </c>
      <c r="W23" s="300">
        <f>'Mg St Colaba'!P94</f>
        <v>3306182</v>
      </c>
      <c r="X23" s="301">
        <f t="shared" si="55"/>
        <v>0.2258539333</v>
      </c>
      <c r="Y23" s="258">
        <f>'Mg St Colaba'!R94</f>
        <v>0</v>
      </c>
      <c r="Z23" s="302" t="str">
        <f t="shared" si="56"/>
        <v>#DIV/0!</v>
      </c>
      <c r="AA23" s="300">
        <f>'Mg St LP'!P90</f>
        <v>1736769</v>
      </c>
      <c r="AB23" s="301">
        <f t="shared" si="57"/>
        <v>0.1961107987</v>
      </c>
      <c r="AC23" s="258">
        <f>'Mg St LP'!R90</f>
        <v>0</v>
      </c>
      <c r="AD23" s="302" t="str">
        <f t="shared" si="58"/>
        <v>#DIV/0!</v>
      </c>
      <c r="AE23" s="300">
        <f>'Mg St Bandra'!P96</f>
        <v>3735702</v>
      </c>
      <c r="AF23" s="301">
        <f t="shared" si="59"/>
        <v>0.2225074733</v>
      </c>
      <c r="AG23" s="258">
        <f>'Mg St Bandra'!R96</f>
        <v>0</v>
      </c>
      <c r="AH23" s="303" t="str">
        <f t="shared" si="60"/>
        <v>#DIV/0!</v>
      </c>
      <c r="AI23" s="304">
        <f>'MSK Events'!P90</f>
        <v>188320</v>
      </c>
      <c r="AJ23" s="301">
        <f t="shared" si="61"/>
        <v>0.3692527299</v>
      </c>
      <c r="AK23" s="258">
        <f>'MSK Events'!R90</f>
        <v>0</v>
      </c>
      <c r="AL23" s="302" t="str">
        <f t="shared" si="62"/>
        <v>#DIV/0!</v>
      </c>
      <c r="AM23" s="300">
        <f>MSBC!P81</f>
        <v>1364586</v>
      </c>
      <c r="AN23" s="301">
        <f t="shared" si="63"/>
        <v>4.180934669</v>
      </c>
      <c r="AO23" s="258">
        <f>MSBC!R81</f>
        <v>0</v>
      </c>
      <c r="AP23" s="302" t="str">
        <f t="shared" si="64"/>
        <v>#DIV/0!</v>
      </c>
      <c r="AQ23" s="300">
        <f>Kaspers!P86</f>
        <v>3431039</v>
      </c>
      <c r="AR23" s="257"/>
      <c r="AS23" s="258">
        <f>Kaspers!R86</f>
        <v>0</v>
      </c>
      <c r="AT23" s="298"/>
      <c r="AU23" s="300">
        <f>'MSBC Andheri'!P93</f>
        <v>0</v>
      </c>
      <c r="AV23" s="257"/>
      <c r="AW23" s="258">
        <f>'MSBC Andheri'!R93</f>
        <v>0</v>
      </c>
      <c r="AX23" s="298"/>
      <c r="AY23" s="300">
        <f>'MSBC Dahisar'!P80</f>
        <v>0</v>
      </c>
      <c r="AZ23" s="257"/>
      <c r="BA23" s="258">
        <f>'MSBC Dahisar'!R80</f>
        <v>0</v>
      </c>
      <c r="BB23" s="298"/>
      <c r="BC23" s="300">
        <f>'MSBC Juhu  Goregoan'!P93</f>
        <v>0</v>
      </c>
      <c r="BD23" s="257"/>
      <c r="BE23" s="258">
        <v>0.0</v>
      </c>
      <c r="BF23" s="298"/>
      <c r="BG23" s="300">
        <f>'LOUD MOUTH'!P77</f>
        <v>160708</v>
      </c>
      <c r="BH23" s="257"/>
      <c r="BI23" s="258">
        <f>'LOUD MOUTH'!R77</f>
        <v>0</v>
      </c>
      <c r="BJ23" s="298"/>
    </row>
    <row r="24" ht="15.75" customHeight="1">
      <c r="B24" s="291" t="s">
        <v>38</v>
      </c>
      <c r="C24" s="292">
        <f t="shared" si="43"/>
        <v>886536</v>
      </c>
      <c r="D24" s="293">
        <f t="shared" si="44"/>
        <v>0.01258072124</v>
      </c>
      <c r="E24" s="294">
        <f t="shared" si="45"/>
        <v>0</v>
      </c>
      <c r="F24" s="295" t="str">
        <f t="shared" si="46"/>
        <v>#DIV/0!</v>
      </c>
      <c r="G24" s="300">
        <f>HO!P87</f>
        <v>371750</v>
      </c>
      <c r="H24" s="257"/>
      <c r="I24" s="258">
        <f>HO!R87</f>
        <v>0</v>
      </c>
      <c r="J24" s="298"/>
      <c r="K24" s="299">
        <f t="shared" si="47"/>
        <v>514786</v>
      </c>
      <c r="L24" s="293">
        <f t="shared" si="48"/>
        <v>0.007305263594</v>
      </c>
      <c r="M24" s="294">
        <f t="shared" si="49"/>
        <v>0</v>
      </c>
      <c r="N24" s="295" t="str">
        <f t="shared" si="50"/>
        <v>#DIV/0!</v>
      </c>
      <c r="O24" s="300">
        <f>'The Table'!P92</f>
        <v>419155</v>
      </c>
      <c r="P24" s="301">
        <f t="shared" si="51"/>
        <v>0.0212362948</v>
      </c>
      <c r="Q24" s="258">
        <f>'The Table'!R92</f>
        <v>0</v>
      </c>
      <c r="R24" s="302" t="str">
        <f t="shared" si="52"/>
        <v>#DIV/0!</v>
      </c>
      <c r="S24" s="300">
        <f>Iktara!P86</f>
        <v>0</v>
      </c>
      <c r="T24" s="301">
        <f t="shared" si="53"/>
        <v>0</v>
      </c>
      <c r="U24" s="258">
        <f>Iktara!R86</f>
        <v>0</v>
      </c>
      <c r="V24" s="302" t="str">
        <f t="shared" si="54"/>
        <v>#DIV/0!</v>
      </c>
      <c r="W24" s="300">
        <f>'Mg St Colaba'!P105</f>
        <v>25075</v>
      </c>
      <c r="X24" s="301">
        <f t="shared" si="55"/>
        <v>0.001712938785</v>
      </c>
      <c r="Y24" s="258">
        <f>'Mg St Colaba'!R105</f>
        <v>0</v>
      </c>
      <c r="Z24" s="302" t="str">
        <f t="shared" si="56"/>
        <v>#DIV/0!</v>
      </c>
      <c r="AA24" s="300">
        <f>'Mg St LP'!P101</f>
        <v>13958</v>
      </c>
      <c r="AB24" s="301">
        <f t="shared" si="57"/>
        <v>0.001576095916</v>
      </c>
      <c r="AC24" s="258">
        <f>'Mg St LP'!R101</f>
        <v>0</v>
      </c>
      <c r="AD24" s="302" t="str">
        <f t="shared" si="58"/>
        <v>#DIV/0!</v>
      </c>
      <c r="AE24" s="300">
        <f>'Mg St Bandra'!P109</f>
        <v>20647</v>
      </c>
      <c r="AF24" s="301">
        <f t="shared" si="59"/>
        <v>0.001229785406</v>
      </c>
      <c r="AG24" s="258">
        <f>'Mg St Bandra'!R109</f>
        <v>0</v>
      </c>
      <c r="AH24" s="303" t="str">
        <f t="shared" si="60"/>
        <v>#DIV/0!</v>
      </c>
      <c r="AI24" s="304">
        <f>'MSK Events'!P100</f>
        <v>0</v>
      </c>
      <c r="AJ24" s="301">
        <f t="shared" si="61"/>
        <v>0</v>
      </c>
      <c r="AK24" s="258">
        <f>'MSK Events'!R100</f>
        <v>0</v>
      </c>
      <c r="AL24" s="302" t="str">
        <f t="shared" si="62"/>
        <v>#DIV/0!</v>
      </c>
      <c r="AM24" s="300">
        <f>MSBC!P92</f>
        <v>3233</v>
      </c>
      <c r="AN24" s="301">
        <f t="shared" si="63"/>
        <v>0.009905540423</v>
      </c>
      <c r="AO24" s="258">
        <f>MSBC!R92</f>
        <v>0</v>
      </c>
      <c r="AP24" s="302" t="str">
        <f t="shared" si="64"/>
        <v>#DIV/0!</v>
      </c>
      <c r="AQ24" s="300">
        <f>Kaspers!P100</f>
        <v>32718</v>
      </c>
      <c r="AR24" s="257"/>
      <c r="AS24" s="258">
        <f>Kaspers!R100</f>
        <v>0</v>
      </c>
      <c r="AT24" s="298"/>
      <c r="AU24" s="300">
        <f>'MSBC Andheri'!P103</f>
        <v>0</v>
      </c>
      <c r="AV24" s="257"/>
      <c r="AW24" s="258">
        <f>'MSBC Andheri'!R103</f>
        <v>0</v>
      </c>
      <c r="AX24" s="298"/>
      <c r="AY24" s="300">
        <f>'MSBC Dahisar'!P90</f>
        <v>0</v>
      </c>
      <c r="AZ24" s="257"/>
      <c r="BA24" s="258">
        <f>'MSBC Dahisar'!R90</f>
        <v>0</v>
      </c>
      <c r="BB24" s="298"/>
      <c r="BC24" s="300">
        <f>'MSBC Juhu  Goregoan'!P103</f>
        <v>0</v>
      </c>
      <c r="BD24" s="257"/>
      <c r="BE24" s="258">
        <f>'MSBC Juhu  Goregoan'!R103</f>
        <v>0</v>
      </c>
      <c r="BF24" s="298"/>
      <c r="BG24" s="300">
        <f>'LOUD MOUTH'!P88</f>
        <v>0</v>
      </c>
      <c r="BH24" s="257"/>
      <c r="BI24" s="258">
        <f>'LOUD MOUTH'!R88</f>
        <v>0</v>
      </c>
      <c r="BJ24" s="298"/>
    </row>
    <row r="25" ht="15.75" customHeight="1">
      <c r="B25" s="291" t="s">
        <v>39</v>
      </c>
      <c r="C25" s="292">
        <f t="shared" si="43"/>
        <v>420241.9167</v>
      </c>
      <c r="D25" s="293">
        <f t="shared" si="44"/>
        <v>0.005963600359</v>
      </c>
      <c r="E25" s="294">
        <f t="shared" si="45"/>
        <v>0</v>
      </c>
      <c r="F25" s="295" t="str">
        <f t="shared" si="46"/>
        <v>#DIV/0!</v>
      </c>
      <c r="G25" s="300">
        <f>HO!P94</f>
        <v>93519</v>
      </c>
      <c r="H25" s="257"/>
      <c r="I25" s="258">
        <f>HO!R94</f>
        <v>0</v>
      </c>
      <c r="J25" s="298"/>
      <c r="K25" s="299">
        <f t="shared" si="47"/>
        <v>326722.9167</v>
      </c>
      <c r="L25" s="293">
        <f t="shared" si="48"/>
        <v>0.004636483953</v>
      </c>
      <c r="M25" s="294">
        <f t="shared" si="49"/>
        <v>0</v>
      </c>
      <c r="N25" s="295" t="str">
        <f t="shared" si="50"/>
        <v>#DIV/0!</v>
      </c>
      <c r="O25" s="300">
        <f>'The Table'!P95</f>
        <v>25722</v>
      </c>
      <c r="P25" s="301">
        <f t="shared" si="51"/>
        <v>0.001303193269</v>
      </c>
      <c r="Q25" s="258">
        <f>'The Table'!R95</f>
        <v>0</v>
      </c>
      <c r="R25" s="302" t="str">
        <f t="shared" si="52"/>
        <v>#DIV/0!</v>
      </c>
      <c r="S25" s="300">
        <f>Iktara!P89</f>
        <v>14550</v>
      </c>
      <c r="T25" s="301">
        <f t="shared" si="53"/>
        <v>0.01271307507</v>
      </c>
      <c r="U25" s="258">
        <f>Iktara!R89</f>
        <v>0</v>
      </c>
      <c r="V25" s="302" t="str">
        <f t="shared" si="54"/>
        <v>#DIV/0!</v>
      </c>
      <c r="W25" s="300">
        <f>'Mg St Colaba'!P108</f>
        <v>76151</v>
      </c>
      <c r="X25" s="301">
        <f t="shared" si="55"/>
        <v>0.005202073834</v>
      </c>
      <c r="Y25" s="258" t="str">
        <f>'Mg St Colaba'!R108</f>
        <v/>
      </c>
      <c r="Z25" s="302" t="str">
        <f t="shared" si="56"/>
        <v>#DIV/0!</v>
      </c>
      <c r="AA25" s="300">
        <f>'Mg St LP'!P104</f>
        <v>36904</v>
      </c>
      <c r="AB25" s="301">
        <f t="shared" si="57"/>
        <v>0.004167090106</v>
      </c>
      <c r="AC25" s="258">
        <f>'Mg St LP'!R104</f>
        <v>0</v>
      </c>
      <c r="AD25" s="302" t="str">
        <f t="shared" si="58"/>
        <v>#DIV/0!</v>
      </c>
      <c r="AE25" s="300">
        <f>'Mg St Bandra'!P112</f>
        <v>66430</v>
      </c>
      <c r="AF25" s="301">
        <f t="shared" si="59"/>
        <v>0.003956731948</v>
      </c>
      <c r="AG25" s="258">
        <f>'Mg St Bandra'!R112</f>
        <v>0</v>
      </c>
      <c r="AH25" s="303" t="str">
        <f t="shared" si="60"/>
        <v>#DIV/0!</v>
      </c>
      <c r="AI25" s="304">
        <f>'MSK Events'!P103</f>
        <v>6806.25</v>
      </c>
      <c r="AJ25" s="301">
        <f t="shared" si="61"/>
        <v>0.01334550973</v>
      </c>
      <c r="AK25" s="258">
        <f>'MSK Events'!R103</f>
        <v>0</v>
      </c>
      <c r="AL25" s="302" t="str">
        <f t="shared" si="62"/>
        <v>#DIV/0!</v>
      </c>
      <c r="AM25" s="300">
        <f>MSBC!P95</f>
        <v>73922</v>
      </c>
      <c r="AN25" s="301">
        <f t="shared" si="63"/>
        <v>0.226488512</v>
      </c>
      <c r="AO25" s="258">
        <f>MSBC!R95</f>
        <v>0</v>
      </c>
      <c r="AP25" s="302" t="str">
        <f t="shared" si="64"/>
        <v>#DIV/0!</v>
      </c>
      <c r="AQ25" s="300">
        <f>Kaspers!P103</f>
        <v>3146.666667</v>
      </c>
      <c r="AR25" s="257"/>
      <c r="AS25" s="258">
        <f>Kaspers!R103</f>
        <v>0</v>
      </c>
      <c r="AT25" s="298"/>
      <c r="AU25" s="300">
        <f>'MSBC Andheri'!P106</f>
        <v>23091</v>
      </c>
      <c r="AV25" s="257"/>
      <c r="AW25" s="258">
        <f>'MSBC Andheri'!R106</f>
        <v>0</v>
      </c>
      <c r="AX25" s="298"/>
      <c r="AY25" s="300">
        <f>'MSBC Dahisar'!P93</f>
        <v>0</v>
      </c>
      <c r="AZ25" s="257"/>
      <c r="BA25" s="258">
        <f>'MSBC Dahisar'!R93</f>
        <v>0</v>
      </c>
      <c r="BB25" s="298"/>
      <c r="BC25" s="300">
        <f>'MSBC Juhu  Goregoan'!P106</f>
        <v>0</v>
      </c>
      <c r="BD25" s="257"/>
      <c r="BE25" s="258">
        <f>'MSBC Juhu  Goregoan'!R106</f>
        <v>0</v>
      </c>
      <c r="BF25" s="298"/>
      <c r="BG25" s="300">
        <f>'LOUD MOUTH'!P91</f>
        <v>0</v>
      </c>
      <c r="BH25" s="257"/>
      <c r="BI25" s="258">
        <f>'LOUD MOUTH'!R91</f>
        <v>0</v>
      </c>
      <c r="BJ25" s="298"/>
    </row>
    <row r="26" ht="15.75" customHeight="1">
      <c r="B26" s="291" t="s">
        <v>40</v>
      </c>
      <c r="C26" s="292">
        <f t="shared" si="43"/>
        <v>3674210.25</v>
      </c>
      <c r="D26" s="293">
        <f t="shared" si="44"/>
        <v>0.05214025707</v>
      </c>
      <c r="E26" s="294">
        <f t="shared" si="45"/>
        <v>0</v>
      </c>
      <c r="F26" s="295" t="str">
        <f t="shared" si="46"/>
        <v>#DIV/0!</v>
      </c>
      <c r="G26" s="300">
        <f>HO!P98</f>
        <v>307783.5</v>
      </c>
      <c r="H26" s="257"/>
      <c r="I26" s="258">
        <f>HO!R98</f>
        <v>0</v>
      </c>
      <c r="J26" s="298"/>
      <c r="K26" s="299">
        <f t="shared" si="47"/>
        <v>3366426.75</v>
      </c>
      <c r="L26" s="293">
        <f t="shared" si="48"/>
        <v>0.04777254</v>
      </c>
      <c r="M26" s="294">
        <f t="shared" si="49"/>
        <v>0</v>
      </c>
      <c r="N26" s="295" t="str">
        <f t="shared" si="50"/>
        <v>#DIV/0!</v>
      </c>
      <c r="O26" s="300">
        <f>'The Table'!P99+'The Table'!P106+'The Table'!P112+'The Table'!P114+'The Table'!P116+'The Table'!P118+'The Table'!P120</f>
        <v>676203.75</v>
      </c>
      <c r="P26" s="301">
        <f t="shared" si="51"/>
        <v>0.03425955119</v>
      </c>
      <c r="Q26" s="258">
        <f>'The Table'!R99+'The Table'!R106+'The Table'!R112+'The Table'!R114+'The Table'!R116+'The Table'!R118+'The Table'!R120</f>
        <v>0</v>
      </c>
      <c r="R26" s="302" t="str">
        <f t="shared" si="52"/>
        <v>#DIV/0!</v>
      </c>
      <c r="S26" s="300">
        <f>Iktara!P93</f>
        <v>10803</v>
      </c>
      <c r="T26" s="301">
        <f t="shared" si="53"/>
        <v>0.009439130583</v>
      </c>
      <c r="U26" s="258">
        <f>Iktara!R93</f>
        <v>0</v>
      </c>
      <c r="V26" s="302" t="str">
        <f t="shared" si="54"/>
        <v>#DIV/0!</v>
      </c>
      <c r="W26" s="300">
        <f>'Mg St Colaba'!P112</f>
        <v>602257</v>
      </c>
      <c r="X26" s="301">
        <f t="shared" si="55"/>
        <v>0.0411417497</v>
      </c>
      <c r="Y26" s="258" t="str">
        <f>'Mg St Colaba'!R112</f>
        <v/>
      </c>
      <c r="Z26" s="302" t="str">
        <f t="shared" si="56"/>
        <v>#DIV/0!</v>
      </c>
      <c r="AA26" s="300">
        <f>'Mg St LP'!P108</f>
        <v>70885</v>
      </c>
      <c r="AB26" s="301">
        <f t="shared" si="57"/>
        <v>0.00800412373</v>
      </c>
      <c r="AC26" s="258">
        <f>'Mg St LP'!R108</f>
        <v>0</v>
      </c>
      <c r="AD26" s="302" t="str">
        <f t="shared" si="58"/>
        <v>#DIV/0!</v>
      </c>
      <c r="AE26" s="300">
        <f>'Mg St Bandra'!P116</f>
        <v>446195</v>
      </c>
      <c r="AF26" s="301">
        <f t="shared" si="59"/>
        <v>0.02657645659</v>
      </c>
      <c r="AG26" s="258">
        <f>'Mg St Bandra'!R116</f>
        <v>0</v>
      </c>
      <c r="AH26" s="303" t="str">
        <f t="shared" si="60"/>
        <v>#DIV/0!</v>
      </c>
      <c r="AI26" s="304">
        <f>'MSK Events'!P107</f>
        <v>897116</v>
      </c>
      <c r="AJ26" s="301">
        <f t="shared" si="61"/>
        <v>1.759040633</v>
      </c>
      <c r="AK26" s="258">
        <f>'MSK Events'!R107</f>
        <v>0</v>
      </c>
      <c r="AL26" s="302" t="str">
        <f t="shared" si="62"/>
        <v>#DIV/0!</v>
      </c>
      <c r="AM26" s="300">
        <f>MSBC!P99</f>
        <v>197888</v>
      </c>
      <c r="AN26" s="301">
        <f t="shared" si="63"/>
        <v>0.6063060882</v>
      </c>
      <c r="AO26" s="258">
        <f>MSBC!R99</f>
        <v>0</v>
      </c>
      <c r="AP26" s="302" t="str">
        <f t="shared" si="64"/>
        <v>#DIV/0!</v>
      </c>
      <c r="AQ26" s="300">
        <f>Kaspers!P107</f>
        <v>452579</v>
      </c>
      <c r="AR26" s="257"/>
      <c r="AS26" s="258">
        <f>Kaspers!R107</f>
        <v>0</v>
      </c>
      <c r="AT26" s="298"/>
      <c r="AU26" s="300">
        <f>'MSBC Andheri'!P110</f>
        <v>0</v>
      </c>
      <c r="AV26" s="257"/>
      <c r="AW26" s="258">
        <f>'MSBC Andheri'!R110</f>
        <v>0</v>
      </c>
      <c r="AX26" s="298"/>
      <c r="AY26" s="300">
        <f>'MSBC Dahisar'!P97</f>
        <v>0</v>
      </c>
      <c r="AZ26" s="257"/>
      <c r="BA26" s="258">
        <f>'MSBC Dahisar'!R97</f>
        <v>0</v>
      </c>
      <c r="BB26" s="298"/>
      <c r="BC26" s="300">
        <f>'MSBC Juhu  Goregoan'!P110</f>
        <v>0</v>
      </c>
      <c r="BD26" s="257"/>
      <c r="BE26" s="258">
        <f>'MSBC Juhu  Goregoan'!R110</f>
        <v>0</v>
      </c>
      <c r="BF26" s="298"/>
      <c r="BG26" s="300">
        <f>'LOUD MOUTH'!P95</f>
        <v>12500</v>
      </c>
      <c r="BH26" s="257"/>
      <c r="BI26" s="258">
        <f>'LOUD MOUTH'!R95</f>
        <v>0</v>
      </c>
      <c r="BJ26" s="298"/>
    </row>
    <row r="27" ht="15.75" customHeight="1">
      <c r="B27" s="291" t="s">
        <v>41</v>
      </c>
      <c r="C27" s="292">
        <f t="shared" si="43"/>
        <v>224308</v>
      </c>
      <c r="D27" s="293">
        <f t="shared" si="44"/>
        <v>0.003183126709</v>
      </c>
      <c r="E27" s="294">
        <f t="shared" si="45"/>
        <v>0</v>
      </c>
      <c r="F27" s="295" t="str">
        <f t="shared" si="46"/>
        <v>#DIV/0!</v>
      </c>
      <c r="G27" s="300">
        <f>HO!P113</f>
        <v>185073</v>
      </c>
      <c r="H27" s="257"/>
      <c r="I27" s="258">
        <f>HO!R113</f>
        <v>0</v>
      </c>
      <c r="J27" s="298"/>
      <c r="K27" s="299">
        <f t="shared" si="47"/>
        <v>39235</v>
      </c>
      <c r="L27" s="293">
        <f t="shared" si="48"/>
        <v>0.0005567789666</v>
      </c>
      <c r="M27" s="294">
        <f t="shared" si="49"/>
        <v>0</v>
      </c>
      <c r="N27" s="295" t="str">
        <f t="shared" si="50"/>
        <v>#DIV/0!</v>
      </c>
      <c r="O27" s="300">
        <f>'The Table'!P123</f>
        <v>10325</v>
      </c>
      <c r="P27" s="301">
        <f t="shared" si="51"/>
        <v>0.0005231113641</v>
      </c>
      <c r="Q27" s="258">
        <f>'The Table'!R123</f>
        <v>0</v>
      </c>
      <c r="R27" s="302" t="str">
        <f t="shared" si="52"/>
        <v>#DIV/0!</v>
      </c>
      <c r="S27" s="300">
        <f>Iktara!P106</f>
        <v>0</v>
      </c>
      <c r="T27" s="301">
        <f t="shared" si="53"/>
        <v>0</v>
      </c>
      <c r="U27" s="258">
        <f>Iktara!R106</f>
        <v>0</v>
      </c>
      <c r="V27" s="302" t="str">
        <f t="shared" si="54"/>
        <v>#DIV/0!</v>
      </c>
      <c r="W27" s="300">
        <f>'Mg St Colaba'!P128</f>
        <v>10325</v>
      </c>
      <c r="X27" s="301">
        <f t="shared" si="55"/>
        <v>0.0007053277349</v>
      </c>
      <c r="Y27" s="258" t="str">
        <f>'Mg St Colaba'!R128</f>
        <v/>
      </c>
      <c r="Z27" s="302" t="str">
        <f t="shared" si="56"/>
        <v>#DIV/0!</v>
      </c>
      <c r="AA27" s="300">
        <f>'Mg St LP'!P124</f>
        <v>0</v>
      </c>
      <c r="AB27" s="301">
        <f t="shared" si="57"/>
        <v>0</v>
      </c>
      <c r="AC27" s="258">
        <f>'Mg St LP'!R124</f>
        <v>0</v>
      </c>
      <c r="AD27" s="302" t="str">
        <f t="shared" si="58"/>
        <v>#DIV/0!</v>
      </c>
      <c r="AE27" s="300">
        <f>'Mg St Bandra'!P133</f>
        <v>10325</v>
      </c>
      <c r="AF27" s="301">
        <f t="shared" si="59"/>
        <v>0.0006149820467</v>
      </c>
      <c r="AG27" s="258">
        <f>'Mg St Bandra'!R133</f>
        <v>0</v>
      </c>
      <c r="AH27" s="303" t="str">
        <f t="shared" si="60"/>
        <v>#DIV/0!</v>
      </c>
      <c r="AI27" s="304">
        <f>'MSK Events'!P125</f>
        <v>0</v>
      </c>
      <c r="AJ27" s="301">
        <f t="shared" si="61"/>
        <v>0</v>
      </c>
      <c r="AK27" s="258">
        <f>'MSK Events'!R125</f>
        <v>0</v>
      </c>
      <c r="AL27" s="302" t="str">
        <f t="shared" si="62"/>
        <v>#DIV/0!</v>
      </c>
      <c r="AM27" s="300">
        <f>MSBC!P115</f>
        <v>0</v>
      </c>
      <c r="AN27" s="301">
        <f t="shared" si="63"/>
        <v>0</v>
      </c>
      <c r="AO27" s="258">
        <f>MSBC!R115</f>
        <v>0</v>
      </c>
      <c r="AP27" s="302" t="str">
        <f t="shared" si="64"/>
        <v>#DIV/0!</v>
      </c>
      <c r="AQ27" s="300">
        <f>Kaspers!P130</f>
        <v>8260</v>
      </c>
      <c r="AR27" s="257"/>
      <c r="AS27" s="258">
        <f>Kaspers!R130</f>
        <v>0</v>
      </c>
      <c r="AT27" s="298"/>
      <c r="AU27" s="300">
        <f>'MSBC Andheri'!P125</f>
        <v>0</v>
      </c>
      <c r="AV27" s="257"/>
      <c r="AW27" s="258">
        <f>'MSBC Andheri'!R125</f>
        <v>0</v>
      </c>
      <c r="AX27" s="298"/>
      <c r="AY27" s="300">
        <f>'MSBC Dahisar'!P112</f>
        <v>0</v>
      </c>
      <c r="AZ27" s="257"/>
      <c r="BA27" s="258">
        <f>'MSBC Dahisar'!R112</f>
        <v>0</v>
      </c>
      <c r="BB27" s="298"/>
      <c r="BC27" s="300">
        <f>'MSBC Juhu  Goregoan'!P125</f>
        <v>0</v>
      </c>
      <c r="BD27" s="257"/>
      <c r="BE27" s="258">
        <f>'MSBC Juhu  Goregoan'!R125</f>
        <v>0</v>
      </c>
      <c r="BF27" s="298"/>
      <c r="BG27" s="300">
        <f>'LOUD MOUTH'!P109</f>
        <v>0</v>
      </c>
      <c r="BH27" s="257"/>
      <c r="BI27" s="258">
        <f>'LOUD MOUTH'!R109</f>
        <v>0</v>
      </c>
      <c r="BJ27" s="298"/>
    </row>
    <row r="28" ht="15.75" customHeight="1">
      <c r="B28" s="306" t="s">
        <v>42</v>
      </c>
      <c r="C28" s="307">
        <f t="shared" si="43"/>
        <v>-1142737</v>
      </c>
      <c r="D28" s="308">
        <f t="shared" si="44"/>
        <v>-0.01621643752</v>
      </c>
      <c r="E28" s="309">
        <f t="shared" si="45"/>
        <v>0</v>
      </c>
      <c r="F28" s="310" t="str">
        <f t="shared" si="46"/>
        <v>#DIV/0!</v>
      </c>
      <c r="G28" s="314">
        <f>HO!P117</f>
        <v>827982</v>
      </c>
      <c r="H28" s="382"/>
      <c r="I28" s="312">
        <f>HO!R117</f>
        <v>0</v>
      </c>
      <c r="J28" s="383"/>
      <c r="K28" s="299">
        <f t="shared" si="47"/>
        <v>-1970719</v>
      </c>
      <c r="L28" s="308">
        <f t="shared" si="48"/>
        <v>-0.02796622629</v>
      </c>
      <c r="M28" s="294">
        <f t="shared" si="49"/>
        <v>0</v>
      </c>
      <c r="N28" s="310" t="str">
        <f t="shared" si="50"/>
        <v>#DIV/0!</v>
      </c>
      <c r="O28" s="314">
        <f>'The Table'!J127</f>
        <v>0</v>
      </c>
      <c r="P28" s="384">
        <f t="shared" si="51"/>
        <v>0</v>
      </c>
      <c r="Q28" s="312">
        <f>'The Table'!L127</f>
        <v>0</v>
      </c>
      <c r="R28" s="385" t="str">
        <f t="shared" si="52"/>
        <v>#DIV/0!</v>
      </c>
      <c r="S28" s="314">
        <f>Iktara!P110</f>
        <v>0</v>
      </c>
      <c r="T28" s="384">
        <f t="shared" si="53"/>
        <v>0</v>
      </c>
      <c r="U28" s="312">
        <f>Iktara!R110</f>
        <v>0</v>
      </c>
      <c r="V28" s="385" t="str">
        <f t="shared" si="54"/>
        <v>#DIV/0!</v>
      </c>
      <c r="W28" s="314">
        <f>'Mg St Colaba'!P132</f>
        <v>0</v>
      </c>
      <c r="X28" s="384">
        <f t="shared" si="55"/>
        <v>0</v>
      </c>
      <c r="Y28" s="312" t="str">
        <f>'Mg St Colaba'!R132</f>
        <v/>
      </c>
      <c r="Z28" s="385" t="str">
        <f t="shared" si="56"/>
        <v>#DIV/0!</v>
      </c>
      <c r="AA28" s="314">
        <f>'Mg St LP'!P128</f>
        <v>0</v>
      </c>
      <c r="AB28" s="384">
        <f t="shared" si="57"/>
        <v>0</v>
      </c>
      <c r="AC28" s="312">
        <f>'Mg St LP'!R128</f>
        <v>0</v>
      </c>
      <c r="AD28" s="385" t="str">
        <f t="shared" si="58"/>
        <v>#DIV/0!</v>
      </c>
      <c r="AE28" s="314">
        <f>'Mg St Bandra'!P137</f>
        <v>0</v>
      </c>
      <c r="AF28" s="384">
        <f t="shared" si="59"/>
        <v>0</v>
      </c>
      <c r="AG28" s="312">
        <f>'Mg St Bandra'!R137</f>
        <v>0</v>
      </c>
      <c r="AH28" s="386" t="str">
        <f t="shared" si="60"/>
        <v>#DIV/0!</v>
      </c>
      <c r="AI28" s="387">
        <f>'MSK Events'!P129</f>
        <v>0</v>
      </c>
      <c r="AJ28" s="384">
        <f t="shared" si="61"/>
        <v>0</v>
      </c>
      <c r="AK28" s="312">
        <f>'MSK Events'!R129</f>
        <v>0</v>
      </c>
      <c r="AL28" s="385" t="str">
        <f t="shared" si="62"/>
        <v>#DIV/0!</v>
      </c>
      <c r="AM28" s="314">
        <f>MSBC!P119</f>
        <v>-1970719</v>
      </c>
      <c r="AN28" s="384">
        <f t="shared" si="63"/>
        <v>-6.038056516</v>
      </c>
      <c r="AO28" s="312">
        <f>MSBC!R119</f>
        <v>0</v>
      </c>
      <c r="AP28" s="385" t="str">
        <f t="shared" si="64"/>
        <v>#DIV/0!</v>
      </c>
      <c r="AQ28" s="314">
        <f>Kaspers!P134</f>
        <v>0</v>
      </c>
      <c r="AR28" s="382"/>
      <c r="AS28" s="312">
        <f>Kaspers!R134</f>
        <v>0</v>
      </c>
      <c r="AT28" s="383"/>
      <c r="AU28" s="314">
        <f>'MSBC Andheri'!P129</f>
        <v>0</v>
      </c>
      <c r="AV28" s="382"/>
      <c r="AW28" s="312">
        <f>'MSBC Andheri'!R129</f>
        <v>0</v>
      </c>
      <c r="AX28" s="383"/>
      <c r="AY28" s="314">
        <f>'MSBC Dahisar'!P116</f>
        <v>0</v>
      </c>
      <c r="AZ28" s="382"/>
      <c r="BA28" s="312">
        <f>'MSBC Dahisar'!R116</f>
        <v>0</v>
      </c>
      <c r="BB28" s="383"/>
      <c r="BC28" s="314">
        <f>'MSBC Juhu  Goregoan'!P129</f>
        <v>0</v>
      </c>
      <c r="BD28" s="382"/>
      <c r="BE28" s="312">
        <f>'MSBC Juhu  Goregoan'!R129</f>
        <v>0</v>
      </c>
      <c r="BF28" s="383"/>
      <c r="BG28" s="314">
        <f>'LOUD MOUTH'!P114</f>
        <v>0</v>
      </c>
      <c r="BH28" s="382"/>
      <c r="BI28" s="312">
        <f>'LOUD MOUTH'!R114</f>
        <v>0</v>
      </c>
      <c r="BJ28" s="383"/>
    </row>
    <row r="29" ht="15.75" customHeight="1">
      <c r="A29" s="372"/>
      <c r="B29" s="316" t="s">
        <v>43</v>
      </c>
      <c r="C29" s="190">
        <f>SUM(C19:C28)</f>
        <v>41191294.91</v>
      </c>
      <c r="D29" s="359">
        <f t="shared" si="44"/>
        <v>0.5845405024</v>
      </c>
      <c r="E29" s="187" t="str">
        <f t="shared" si="45"/>
        <v>#REF!</v>
      </c>
      <c r="F29" s="360" t="str">
        <f t="shared" si="46"/>
        <v>#REF!</v>
      </c>
      <c r="G29" s="319">
        <f>SUM(G19:G28)</f>
        <v>6801586.58</v>
      </c>
      <c r="H29" s="320"/>
      <c r="I29" s="187">
        <f>SUM(I19:I28)</f>
        <v>0</v>
      </c>
      <c r="J29" s="321"/>
      <c r="K29" s="319">
        <f>SUM(K19:K28)</f>
        <v>34389708.33</v>
      </c>
      <c r="L29" s="359">
        <f t="shared" si="48"/>
        <v>0.4880200399</v>
      </c>
      <c r="M29" s="187" t="str">
        <f>SUM(M19:M28)</f>
        <v>#REF!</v>
      </c>
      <c r="N29" s="360" t="str">
        <f t="shared" si="50"/>
        <v>#REF!</v>
      </c>
      <c r="O29" s="319">
        <f>SUM(O19:O28)</f>
        <v>8638437.02</v>
      </c>
      <c r="P29" s="359">
        <f t="shared" si="51"/>
        <v>0.4376624284</v>
      </c>
      <c r="Q29" s="187">
        <f>SUM(Q19:Q28)</f>
        <v>0</v>
      </c>
      <c r="R29" s="360" t="str">
        <f t="shared" si="52"/>
        <v>#DIV/0!</v>
      </c>
      <c r="S29" s="319">
        <f>SUM(S19:S28)</f>
        <v>770973</v>
      </c>
      <c r="T29" s="359">
        <f t="shared" si="53"/>
        <v>0.6736383248</v>
      </c>
      <c r="U29" s="187">
        <f>SUM(U19:U28)</f>
        <v>0</v>
      </c>
      <c r="V29" s="360" t="str">
        <f t="shared" si="54"/>
        <v>#DIV/0!</v>
      </c>
      <c r="W29" s="319">
        <f>SUM(W19:W28)</f>
        <v>7041082</v>
      </c>
      <c r="X29" s="359">
        <f t="shared" si="55"/>
        <v>0.4809947136</v>
      </c>
      <c r="Y29" s="187" t="str">
        <f>SUM(Y19:Y28)</f>
        <v>#REF!</v>
      </c>
      <c r="Z29" s="360" t="str">
        <f t="shared" si="56"/>
        <v>#REF!</v>
      </c>
      <c r="AA29" s="319">
        <f>SUM(AA19:AA28)</f>
        <v>3901308</v>
      </c>
      <c r="AB29" s="359">
        <f t="shared" si="57"/>
        <v>0.4405241157</v>
      </c>
      <c r="AC29" s="187">
        <f>SUM(AC19:AC28)</f>
        <v>0</v>
      </c>
      <c r="AD29" s="360" t="str">
        <f t="shared" si="58"/>
        <v>#DIV/0!</v>
      </c>
      <c r="AE29" s="319">
        <f>SUM(AE19:AE28)</f>
        <v>7037480</v>
      </c>
      <c r="AF29" s="359">
        <f t="shared" si="59"/>
        <v>0.4191693805</v>
      </c>
      <c r="AG29" s="187">
        <f>SUM(AG19:AG28)</f>
        <v>0</v>
      </c>
      <c r="AH29" s="363" t="str">
        <f t="shared" si="60"/>
        <v>#DIV/0!</v>
      </c>
      <c r="AI29" s="190">
        <f>SUM(AI19:AI28)</f>
        <v>1388594.25</v>
      </c>
      <c r="AJ29" s="320"/>
      <c r="AK29" s="187">
        <f>SUM(AK19:AK28)</f>
        <v>0</v>
      </c>
      <c r="AL29" s="321"/>
      <c r="AM29" s="319">
        <f>SUM(AM19:AM28)</f>
        <v>0</v>
      </c>
      <c r="AN29" s="359">
        <f t="shared" si="63"/>
        <v>0</v>
      </c>
      <c r="AO29" s="187">
        <f>SUM(AO19:AO28)</f>
        <v>0</v>
      </c>
      <c r="AP29" s="360" t="str">
        <f t="shared" si="64"/>
        <v>#DIV/0!</v>
      </c>
      <c r="AQ29" s="319">
        <f>SUM(AQ19:AQ28)</f>
        <v>5095646.667</v>
      </c>
      <c r="AR29" s="320"/>
      <c r="AS29" s="187">
        <f>SUM(AS19:AS28)</f>
        <v>0</v>
      </c>
      <c r="AT29" s="321"/>
      <c r="AU29" s="319">
        <f>SUM(AU19:AU28)</f>
        <v>211540.39</v>
      </c>
      <c r="AV29" s="320"/>
      <c r="AW29" s="187">
        <f>SUM(AW19:AW28)</f>
        <v>0</v>
      </c>
      <c r="AX29" s="321"/>
      <c r="AY29" s="319">
        <f>SUM(AY19:AY28)</f>
        <v>0</v>
      </c>
      <c r="AZ29" s="320"/>
      <c r="BA29" s="187">
        <f>SUM(BA19:BA28)</f>
        <v>0</v>
      </c>
      <c r="BB29" s="321"/>
      <c r="BC29" s="319">
        <f>SUM(BC19:BC28)</f>
        <v>0</v>
      </c>
      <c r="BD29" s="320"/>
      <c r="BE29" s="187">
        <f>SUM(BE19:BE28)</f>
        <v>0</v>
      </c>
      <c r="BF29" s="321"/>
      <c r="BG29" s="319">
        <f>SUM(BG19:BG28)</f>
        <v>304647</v>
      </c>
      <c r="BH29" s="320"/>
      <c r="BI29" s="187">
        <f>SUM(BI19:BI28)</f>
        <v>0</v>
      </c>
      <c r="BJ29" s="321"/>
    </row>
    <row r="30" ht="15.75" customHeight="1">
      <c r="B30" s="388"/>
      <c r="C30" s="389"/>
      <c r="D30" s="390"/>
      <c r="E30" s="390"/>
      <c r="F30" s="391"/>
      <c r="G30" s="327"/>
      <c r="H30" s="328"/>
      <c r="I30" s="329"/>
      <c r="J30" s="330"/>
      <c r="K30" s="392"/>
      <c r="L30" s="390"/>
      <c r="M30" s="393"/>
      <c r="N30" s="391"/>
      <c r="O30" s="327"/>
      <c r="P30" s="328"/>
      <c r="Q30" s="328"/>
      <c r="R30" s="330"/>
      <c r="S30" s="327"/>
      <c r="T30" s="328"/>
      <c r="U30" s="328"/>
      <c r="V30" s="330"/>
      <c r="W30" s="327"/>
      <c r="X30" s="328"/>
      <c r="Y30" s="328"/>
      <c r="Z30" s="330"/>
      <c r="AA30" s="327"/>
      <c r="AB30" s="328"/>
      <c r="AC30" s="328"/>
      <c r="AD30" s="330"/>
      <c r="AE30" s="327"/>
      <c r="AF30" s="328"/>
      <c r="AG30" s="328"/>
      <c r="AH30" s="333"/>
      <c r="AI30" s="334"/>
      <c r="AJ30" s="328"/>
      <c r="AK30" s="328"/>
      <c r="AL30" s="330"/>
      <c r="AM30" s="327"/>
      <c r="AN30" s="328"/>
      <c r="AO30" s="328"/>
      <c r="AP30" s="330"/>
      <c r="AQ30" s="327"/>
      <c r="AR30" s="328"/>
      <c r="AS30" s="328"/>
      <c r="AT30" s="330"/>
      <c r="AU30" s="394"/>
      <c r="AV30" s="395"/>
      <c r="AW30" s="396">
        <f>AW17-AW29</f>
        <v>0</v>
      </c>
      <c r="AX30" s="397"/>
      <c r="AY30" s="394"/>
      <c r="AZ30" s="395"/>
      <c r="BA30" s="396">
        <f>BA17-BA29</f>
        <v>0</v>
      </c>
      <c r="BB30" s="397"/>
      <c r="BC30" s="394"/>
      <c r="BD30" s="395"/>
      <c r="BE30" s="396">
        <f>BE17-BE29</f>
        <v>0</v>
      </c>
      <c r="BF30" s="397"/>
      <c r="BG30" s="394"/>
      <c r="BH30" s="395"/>
      <c r="BI30" s="396">
        <f>BI17-BI29</f>
        <v>0</v>
      </c>
      <c r="BJ30" s="397"/>
    </row>
    <row r="31" ht="15.75" customHeight="1">
      <c r="A31" s="372"/>
      <c r="B31" s="316" t="s">
        <v>44</v>
      </c>
      <c r="C31" s="190">
        <f>C17-C29</f>
        <v>3033820.99</v>
      </c>
      <c r="D31" s="359">
        <f>C31/C$10</f>
        <v>0.04305257336</v>
      </c>
      <c r="E31" s="187" t="str">
        <f>E17-E29</f>
        <v>#REF!</v>
      </c>
      <c r="F31" s="360" t="str">
        <f>E31/E$10</f>
        <v>#REF!</v>
      </c>
      <c r="G31" s="319">
        <f>G17-G29</f>
        <v>-6803550.58</v>
      </c>
      <c r="H31" s="320"/>
      <c r="I31" s="187">
        <f>I17-I29</f>
        <v>0</v>
      </c>
      <c r="J31" s="321"/>
      <c r="K31" s="319">
        <f>K17-K29</f>
        <v>9837371.57</v>
      </c>
      <c r="L31" s="359">
        <f>K31/K$10</f>
        <v>0.1396009068</v>
      </c>
      <c r="M31" s="187" t="str">
        <f>M17-M29</f>
        <v>#REF!</v>
      </c>
      <c r="N31" s="360" t="str">
        <f>M31/M$10</f>
        <v>#REF!</v>
      </c>
      <c r="O31" s="319">
        <f>O17-O29</f>
        <v>4033891.545</v>
      </c>
      <c r="P31" s="359">
        <f>O31/O$10</f>
        <v>0.204375255</v>
      </c>
      <c r="Q31" s="187">
        <f>Q17-Q29</f>
        <v>0</v>
      </c>
      <c r="R31" s="360" t="str">
        <f>Q31/Q$10</f>
        <v>#DIV/0!</v>
      </c>
      <c r="S31" s="319">
        <f>S17-S29</f>
        <v>97034.60773</v>
      </c>
      <c r="T31" s="359">
        <f>S31/S$10</f>
        <v>0.08478407233</v>
      </c>
      <c r="U31" s="187">
        <f>U17-U29</f>
        <v>0</v>
      </c>
      <c r="V31" s="360" t="str">
        <f>U31/U$10</f>
        <v>#DIV/0!</v>
      </c>
      <c r="W31" s="319">
        <f>W17-W29</f>
        <v>2429492.509</v>
      </c>
      <c r="X31" s="359">
        <f>W31/W$10</f>
        <v>0.1659649829</v>
      </c>
      <c r="Y31" s="187" t="str">
        <f>Y17-Y29</f>
        <v>#REF!</v>
      </c>
      <c r="Z31" s="360" t="str">
        <f>Y31/Y$10</f>
        <v>#REF!</v>
      </c>
      <c r="AA31" s="319">
        <f>AA17-AA29</f>
        <v>1415796.038</v>
      </c>
      <c r="AB31" s="359">
        <f>AA31/AA$10</f>
        <v>0.1598674849</v>
      </c>
      <c r="AC31" s="187">
        <f>AC17-AC29</f>
        <v>0</v>
      </c>
      <c r="AD31" s="360" t="str">
        <f>AC31/AC$10</f>
        <v>#DIV/0!</v>
      </c>
      <c r="AE31" s="319">
        <f>AE17-AE29</f>
        <v>3929070.095</v>
      </c>
      <c r="AF31" s="359">
        <f>AE31/AE$10</f>
        <v>0.2340249461</v>
      </c>
      <c r="AG31" s="187">
        <f>AG17-AG29</f>
        <v>0</v>
      </c>
      <c r="AH31" s="363" t="str">
        <f>AG31/AG$10</f>
        <v>#DIV/0!</v>
      </c>
      <c r="AI31" s="190">
        <f>AI17-AI29</f>
        <v>-1023397.25</v>
      </c>
      <c r="AJ31" s="320"/>
      <c r="AK31" s="187">
        <f>AK17-AK29</f>
        <v>0</v>
      </c>
      <c r="AL31" s="321"/>
      <c r="AM31" s="319">
        <f>AM17-AM29</f>
        <v>-26727.26776</v>
      </c>
      <c r="AN31" s="359">
        <f>AM31/AM$10</f>
        <v>-0.0818892766</v>
      </c>
      <c r="AO31" s="187">
        <f>AO17-AO29</f>
        <v>0</v>
      </c>
      <c r="AP31" s="360" t="str">
        <f>AO31/AO$10</f>
        <v>#DIV/0!</v>
      </c>
      <c r="AQ31" s="319">
        <f>AQ17-AQ29</f>
        <v>-794026.7569</v>
      </c>
      <c r="AR31" s="320"/>
      <c r="AS31" s="187">
        <f>AS17-AS29</f>
        <v>0</v>
      </c>
      <c r="AT31" s="321"/>
      <c r="AU31" s="319">
        <f t="shared" ref="AU31:BJ31" si="65">AU17-AU29</f>
        <v>-294182.95</v>
      </c>
      <c r="AV31" s="187">
        <f t="shared" si="65"/>
        <v>0</v>
      </c>
      <c r="AW31" s="187">
        <f t="shared" si="65"/>
        <v>0</v>
      </c>
      <c r="AX31" s="365">
        <f t="shared" si="65"/>
        <v>0</v>
      </c>
      <c r="AY31" s="319">
        <f t="shared" si="65"/>
        <v>0</v>
      </c>
      <c r="AZ31" s="187">
        <f t="shared" si="65"/>
        <v>0</v>
      </c>
      <c r="BA31" s="187">
        <f t="shared" si="65"/>
        <v>0</v>
      </c>
      <c r="BB31" s="365">
        <f t="shared" si="65"/>
        <v>0</v>
      </c>
      <c r="BC31" s="319">
        <f t="shared" si="65"/>
        <v>0</v>
      </c>
      <c r="BD31" s="187">
        <f t="shared" si="65"/>
        <v>0</v>
      </c>
      <c r="BE31" s="187">
        <f t="shared" si="65"/>
        <v>0</v>
      </c>
      <c r="BF31" s="365">
        <f t="shared" si="65"/>
        <v>0</v>
      </c>
      <c r="BG31" s="319">
        <f t="shared" si="65"/>
        <v>70421</v>
      </c>
      <c r="BH31" s="187">
        <f t="shared" si="65"/>
        <v>0</v>
      </c>
      <c r="BI31" s="187">
        <f t="shared" si="65"/>
        <v>0</v>
      </c>
      <c r="BJ31" s="365">
        <f t="shared" si="65"/>
        <v>0</v>
      </c>
    </row>
    <row r="32" ht="15.75" customHeight="1"/>
    <row r="33" ht="15.75" customHeight="1">
      <c r="C33" s="148">
        <f>+G33+K33</f>
        <v>3736263.99</v>
      </c>
      <c r="G33" s="148">
        <f>HO!P123</f>
        <v>-6803550.58</v>
      </c>
      <c r="H33" s="148"/>
      <c r="I33" s="148"/>
      <c r="J33" s="152"/>
      <c r="K33" s="152">
        <f>SUM(O33:BJ33)</f>
        <v>10539814.57</v>
      </c>
      <c r="L33" s="148"/>
      <c r="M33" s="148"/>
      <c r="N33" s="148"/>
      <c r="O33" s="148">
        <f>'The Table'!P133</f>
        <v>4033891.545</v>
      </c>
      <c r="P33" s="148"/>
      <c r="Q33" s="148"/>
      <c r="R33" s="148"/>
      <c r="S33" s="148">
        <f>Iktara!P117</f>
        <v>97034.60773</v>
      </c>
      <c r="T33" s="148"/>
      <c r="U33" s="148"/>
      <c r="V33" s="148"/>
      <c r="W33" s="148">
        <f>'Mg St Colaba'!P138</f>
        <v>3131935.509</v>
      </c>
      <c r="X33" s="148"/>
      <c r="Y33" s="148"/>
      <c r="Z33" s="148"/>
      <c r="AA33" s="148">
        <f>'Mg St LP'!P135</f>
        <v>1415796.038</v>
      </c>
      <c r="AB33" s="148"/>
      <c r="AC33" s="148"/>
      <c r="AD33" s="148"/>
      <c r="AE33" s="148">
        <f>'Mg St Bandra'!P144</f>
        <v>3929070.095</v>
      </c>
      <c r="AF33" s="148"/>
      <c r="AG33" s="148"/>
      <c r="AH33" s="148"/>
      <c r="AI33" s="148">
        <f>'MSK Events'!P136</f>
        <v>-1023397.25</v>
      </c>
      <c r="AJ33" s="148"/>
      <c r="AK33" s="148"/>
      <c r="AL33" s="148"/>
      <c r="AM33" s="148">
        <f>MSBC!P125</f>
        <v>-26727.26776</v>
      </c>
      <c r="AN33" s="148"/>
      <c r="AO33" s="148"/>
      <c r="AP33" s="148"/>
      <c r="AQ33" s="148">
        <f>Kaspers!P141</f>
        <v>-794026.7569</v>
      </c>
      <c r="AR33" s="148"/>
      <c r="AS33" s="148"/>
      <c r="AT33" s="148"/>
      <c r="AU33" s="148">
        <f>'MSBC Andheri'!P136</f>
        <v>-294182.95</v>
      </c>
      <c r="AV33" s="148"/>
      <c r="AW33" s="148"/>
      <c r="AX33" s="148"/>
      <c r="AY33" s="148">
        <f>'MSBC Dahisar'!P123</f>
        <v>0</v>
      </c>
      <c r="AZ33" s="148"/>
      <c r="BA33" s="148"/>
      <c r="BB33" s="148"/>
      <c r="BC33" s="148">
        <f>'MSBC Juhu  Goregoan'!P135</f>
        <v>0</v>
      </c>
      <c r="BD33" s="148"/>
      <c r="BE33" s="148"/>
      <c r="BF33" s="148"/>
      <c r="BG33" s="148">
        <f>'LOUD MOUTH'!P120</f>
        <v>70421</v>
      </c>
      <c r="BH33" s="148"/>
      <c r="BI33" s="148"/>
      <c r="BJ33" s="148"/>
    </row>
    <row r="34" ht="15.75" customHeight="1">
      <c r="C34" s="398">
        <f>+C31-C33</f>
        <v>-702443</v>
      </c>
      <c r="G34" s="148">
        <f>+G31-G33</f>
        <v>0</v>
      </c>
      <c r="H34" s="148"/>
      <c r="I34" s="148"/>
      <c r="J34" s="152"/>
      <c r="K34" s="152">
        <f>+K31-K33</f>
        <v>-702443</v>
      </c>
      <c r="L34" s="148"/>
      <c r="M34" s="148"/>
      <c r="N34" s="148"/>
      <c r="O34" s="148">
        <f>+O31-O33</f>
        <v>0</v>
      </c>
      <c r="P34" s="148"/>
      <c r="Q34" s="148"/>
      <c r="R34" s="148"/>
      <c r="S34" s="148">
        <f>+S31-S33</f>
        <v>0</v>
      </c>
      <c r="T34" s="148"/>
      <c r="U34" s="148"/>
      <c r="V34" s="148"/>
      <c r="W34" s="148">
        <f>+W31-W33</f>
        <v>-702443</v>
      </c>
      <c r="X34" s="148"/>
      <c r="Y34" s="148"/>
      <c r="Z34" s="148"/>
      <c r="AA34" s="148">
        <f>+AA31-AA33</f>
        <v>0</v>
      </c>
      <c r="AB34" s="148"/>
      <c r="AC34" s="148"/>
      <c r="AD34" s="148"/>
      <c r="AE34" s="148">
        <f>+AE31-AE33</f>
        <v>0</v>
      </c>
      <c r="AF34" s="148"/>
      <c r="AG34" s="148"/>
      <c r="AH34" s="148"/>
      <c r="AI34" s="148">
        <f>+AI31-AI33</f>
        <v>0</v>
      </c>
      <c r="AJ34" s="148"/>
      <c r="AK34" s="148"/>
      <c r="AL34" s="148"/>
      <c r="AM34" s="148">
        <f>+AM31-AM33</f>
        <v>0</v>
      </c>
      <c r="AN34" s="148"/>
      <c r="AO34" s="148"/>
      <c r="AP34" s="148"/>
      <c r="AQ34" s="148">
        <f>+AQ31-AQ33</f>
        <v>0</v>
      </c>
      <c r="AR34" s="148"/>
      <c r="AS34" s="148"/>
      <c r="AT34" s="148"/>
      <c r="AU34" s="148">
        <f>+AU31-AU33</f>
        <v>0</v>
      </c>
      <c r="AV34" s="148"/>
      <c r="AW34" s="148"/>
      <c r="AX34" s="148"/>
      <c r="AY34" s="148">
        <f>+AY31-AY33</f>
        <v>0</v>
      </c>
      <c r="AZ34" s="148"/>
      <c r="BA34" s="148"/>
      <c r="BB34" s="148"/>
      <c r="BC34" s="148">
        <f>+BC31-BC33</f>
        <v>0</v>
      </c>
      <c r="BD34" s="148"/>
      <c r="BE34" s="148"/>
      <c r="BF34" s="148"/>
      <c r="BG34" s="148">
        <f>+BG31-BG33</f>
        <v>0</v>
      </c>
      <c r="BH34" s="148"/>
      <c r="BI34" s="148"/>
      <c r="BJ34" s="148"/>
    </row>
    <row r="35" ht="15.75" customHeight="1">
      <c r="J35" s="399"/>
      <c r="K35" s="150"/>
    </row>
    <row r="36" ht="15.75" customHeight="1">
      <c r="J36" s="399"/>
      <c r="K36" s="15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6" width="12.63"/>
    <col customWidth="1" min="7" max="7" width="13.63"/>
  </cols>
  <sheetData>
    <row r="1" ht="15.75" customHeight="1">
      <c r="A1" s="272" t="s">
        <v>0</v>
      </c>
      <c r="O1" s="151"/>
      <c r="S1" s="151"/>
      <c r="W1" s="151"/>
      <c r="AA1" s="151"/>
      <c r="AE1" s="151">
        <f>AE12/$K$12</f>
        <v>0.2234098894</v>
      </c>
      <c r="BC1" s="151" t="s">
        <v>156</v>
      </c>
      <c r="BG1" s="151" t="s">
        <v>156</v>
      </c>
    </row>
    <row r="2" ht="15.75" customHeight="1">
      <c r="A2" s="151" t="s">
        <v>157</v>
      </c>
    </row>
    <row r="3" ht="15.75" customHeight="1">
      <c r="B3" s="4"/>
      <c r="C3" s="158" t="s">
        <v>46</v>
      </c>
      <c r="D3" s="10"/>
      <c r="E3" s="10"/>
      <c r="F3" s="13"/>
      <c r="G3" s="158" t="s">
        <v>3</v>
      </c>
      <c r="H3" s="10"/>
      <c r="I3" s="10"/>
      <c r="J3" s="13"/>
      <c r="K3" s="158" t="s">
        <v>4</v>
      </c>
      <c r="L3" s="10"/>
      <c r="M3" s="10"/>
      <c r="N3" s="13"/>
      <c r="O3" s="400" t="s">
        <v>154</v>
      </c>
      <c r="P3" s="10"/>
      <c r="Q3" s="10"/>
      <c r="R3" s="13"/>
      <c r="S3" s="158" t="s">
        <v>6</v>
      </c>
      <c r="T3" s="10"/>
      <c r="U3" s="10"/>
      <c r="V3" s="13"/>
      <c r="W3" s="158" t="s">
        <v>7</v>
      </c>
      <c r="X3" s="10"/>
      <c r="Y3" s="10"/>
      <c r="Z3" s="13"/>
      <c r="AA3" s="158" t="s">
        <v>8</v>
      </c>
      <c r="AB3" s="10"/>
      <c r="AC3" s="10"/>
      <c r="AD3" s="13"/>
      <c r="AE3" s="158" t="s">
        <v>9</v>
      </c>
      <c r="AF3" s="10"/>
      <c r="AG3" s="10"/>
      <c r="AH3" s="13"/>
      <c r="AI3" s="158" t="s">
        <v>10</v>
      </c>
      <c r="AJ3" s="10"/>
      <c r="AK3" s="10"/>
      <c r="AL3" s="13"/>
      <c r="AM3" s="158" t="s">
        <v>11</v>
      </c>
      <c r="AN3" s="10"/>
      <c r="AO3" s="10"/>
      <c r="AP3" s="13"/>
      <c r="AQ3" s="158" t="s">
        <v>12</v>
      </c>
      <c r="AR3" s="10"/>
      <c r="AS3" s="10"/>
      <c r="AT3" s="13"/>
      <c r="AU3" s="158" t="s">
        <v>13</v>
      </c>
      <c r="AV3" s="10"/>
      <c r="AW3" s="10"/>
      <c r="AX3" s="13"/>
      <c r="AY3" s="158" t="s">
        <v>14</v>
      </c>
      <c r="AZ3" s="10"/>
      <c r="BA3" s="10"/>
      <c r="BB3" s="13"/>
      <c r="BC3" s="158" t="s">
        <v>158</v>
      </c>
      <c r="BD3" s="10"/>
      <c r="BE3" s="10"/>
      <c r="BF3" s="13"/>
      <c r="BG3" s="158" t="s">
        <v>47</v>
      </c>
      <c r="BH3" s="10"/>
      <c r="BI3" s="10"/>
      <c r="BJ3" s="13"/>
    </row>
    <row r="4" ht="15.75" customHeight="1">
      <c r="A4" s="273"/>
      <c r="B4" s="15"/>
      <c r="C4" s="274" t="s">
        <v>20</v>
      </c>
      <c r="D4" s="274" t="s">
        <v>18</v>
      </c>
      <c r="E4" s="274" t="s">
        <v>19</v>
      </c>
      <c r="F4" s="274" t="s">
        <v>18</v>
      </c>
      <c r="G4" s="274" t="s">
        <v>20</v>
      </c>
      <c r="H4" s="274" t="s">
        <v>18</v>
      </c>
      <c r="I4" s="274" t="s">
        <v>19</v>
      </c>
      <c r="J4" s="274" t="s">
        <v>18</v>
      </c>
      <c r="K4" s="274" t="s">
        <v>20</v>
      </c>
      <c r="L4" s="274" t="s">
        <v>18</v>
      </c>
      <c r="M4" s="274" t="s">
        <v>19</v>
      </c>
      <c r="N4" s="274" t="s">
        <v>18</v>
      </c>
      <c r="O4" s="274" t="s">
        <v>20</v>
      </c>
      <c r="P4" s="274" t="s">
        <v>18</v>
      </c>
      <c r="Q4" s="274" t="s">
        <v>19</v>
      </c>
      <c r="R4" s="274" t="s">
        <v>18</v>
      </c>
      <c r="S4" s="274" t="s">
        <v>20</v>
      </c>
      <c r="T4" s="274" t="s">
        <v>18</v>
      </c>
      <c r="U4" s="274" t="s">
        <v>19</v>
      </c>
      <c r="V4" s="274" t="s">
        <v>18</v>
      </c>
      <c r="W4" s="274" t="s">
        <v>20</v>
      </c>
      <c r="X4" s="274" t="s">
        <v>18</v>
      </c>
      <c r="Y4" s="274" t="s">
        <v>19</v>
      </c>
      <c r="Z4" s="274" t="s">
        <v>18</v>
      </c>
      <c r="AA4" s="274" t="s">
        <v>20</v>
      </c>
      <c r="AB4" s="274" t="s">
        <v>18</v>
      </c>
      <c r="AC4" s="274" t="s">
        <v>19</v>
      </c>
      <c r="AD4" s="274" t="s">
        <v>18</v>
      </c>
      <c r="AE4" s="274" t="s">
        <v>20</v>
      </c>
      <c r="AF4" s="274" t="s">
        <v>18</v>
      </c>
      <c r="AG4" s="274" t="s">
        <v>19</v>
      </c>
      <c r="AH4" s="274" t="s">
        <v>18</v>
      </c>
      <c r="AI4" s="274" t="s">
        <v>20</v>
      </c>
      <c r="AJ4" s="274" t="s">
        <v>18</v>
      </c>
      <c r="AK4" s="274" t="s">
        <v>19</v>
      </c>
      <c r="AL4" s="274" t="s">
        <v>18</v>
      </c>
      <c r="AM4" s="274" t="s">
        <v>20</v>
      </c>
      <c r="AN4" s="274" t="s">
        <v>18</v>
      </c>
      <c r="AO4" s="274" t="s">
        <v>19</v>
      </c>
      <c r="AP4" s="274" t="s">
        <v>18</v>
      </c>
      <c r="AQ4" s="274" t="s">
        <v>20</v>
      </c>
      <c r="AR4" s="274" t="s">
        <v>18</v>
      </c>
      <c r="AS4" s="274" t="s">
        <v>19</v>
      </c>
      <c r="AT4" s="274" t="s">
        <v>18</v>
      </c>
      <c r="AU4" s="274" t="s">
        <v>17</v>
      </c>
      <c r="AV4" s="274" t="s">
        <v>18</v>
      </c>
      <c r="AW4" s="274" t="s">
        <v>19</v>
      </c>
      <c r="AX4" s="274" t="s">
        <v>18</v>
      </c>
      <c r="AY4" s="274" t="s">
        <v>17</v>
      </c>
      <c r="AZ4" s="274" t="s">
        <v>18</v>
      </c>
      <c r="BA4" s="274" t="s">
        <v>19</v>
      </c>
      <c r="BB4" s="274" t="s">
        <v>18</v>
      </c>
      <c r="BC4" s="274" t="s">
        <v>17</v>
      </c>
      <c r="BD4" s="274" t="s">
        <v>18</v>
      </c>
      <c r="BE4" s="274" t="s">
        <v>19</v>
      </c>
      <c r="BF4" s="274" t="s">
        <v>18</v>
      </c>
      <c r="BG4" s="274" t="s">
        <v>17</v>
      </c>
      <c r="BH4" s="274" t="s">
        <v>18</v>
      </c>
      <c r="BI4" s="274" t="s">
        <v>19</v>
      </c>
      <c r="BJ4" s="274" t="s">
        <v>18</v>
      </c>
    </row>
    <row r="5" ht="15.75" customHeight="1">
      <c r="B5" s="275" t="s">
        <v>21</v>
      </c>
      <c r="C5" s="276">
        <f t="shared" ref="C5:C9" si="1">G5+K5</f>
        <v>5463464</v>
      </c>
      <c r="D5" s="277">
        <f t="shared" ref="D5:D10" si="2">C5/C$10</f>
        <v>0.07676610665</v>
      </c>
      <c r="E5" s="278">
        <f t="shared" ref="E5:E9" si="3">I5+M5</f>
        <v>0</v>
      </c>
      <c r="F5" s="279" t="str">
        <f t="shared" ref="F5:F10" si="4">E5/E$10</f>
        <v>#DIV/0!</v>
      </c>
      <c r="G5" s="280">
        <f>HO!P14</f>
        <v>0</v>
      </c>
      <c r="H5" s="297" t="str">
        <f t="shared" ref="H5:H10" si="5">G5/G$10</f>
        <v>#DIV/0!</v>
      </c>
      <c r="I5" s="282" t="str">
        <f>HO!R14</f>
        <v/>
      </c>
      <c r="J5" s="283"/>
      <c r="K5" s="284">
        <f t="shared" ref="K5:K9" si="6">O5+S5+W5+AA5+AE5+AI5+AM5+AQ5+AU5+AY5+BC5+BG5</f>
        <v>5463464</v>
      </c>
      <c r="L5" s="277">
        <f t="shared" ref="L5:L10" si="7">K5/K$10</f>
        <v>0.07676610665</v>
      </c>
      <c r="M5" s="278">
        <f t="shared" ref="M5:M9" si="8">Q5+U5+Y5+AC5+AG5+AK5+AO5+AS5+AW5+BA5+BE5+BI5</f>
        <v>0</v>
      </c>
      <c r="N5" s="279" t="str">
        <f t="shared" ref="N5:N10" si="9">M5/M$10</f>
        <v>#DIV/0!</v>
      </c>
      <c r="O5" s="285">
        <f>'The Table'!P24</f>
        <v>1116385</v>
      </c>
      <c r="P5" s="286">
        <f t="shared" ref="P5:P8" si="10">O5/O$10</f>
        <v>0.05656113125</v>
      </c>
      <c r="Q5" s="287" t="str">
        <f>'The Table'!R24</f>
        <v/>
      </c>
      <c r="R5" s="288" t="str">
        <f t="shared" ref="R5:R8" si="11">Q5/Q$10</f>
        <v>#DIV/0!</v>
      </c>
      <c r="S5" s="285">
        <f>Iktara!P24</f>
        <v>0</v>
      </c>
      <c r="T5" s="286">
        <f t="shared" ref="T5:T8" si="12">S5/S$10</f>
        <v>0</v>
      </c>
      <c r="U5" s="287" t="str">
        <f>Iktara!R24</f>
        <v/>
      </c>
      <c r="V5" s="288" t="str">
        <f t="shared" ref="V5:V8" si="13">U5/U$10</f>
        <v>#DIV/0!</v>
      </c>
      <c r="W5" s="285">
        <f>'Mg St Colaba'!P24</f>
        <v>1154300</v>
      </c>
      <c r="X5" s="286">
        <f t="shared" ref="X5:X8" si="14">W5/W$10</f>
        <v>0.07524267604</v>
      </c>
      <c r="Y5" s="287" t="str">
        <f>'Mg St Colaba'!R24</f>
        <v/>
      </c>
      <c r="Z5" s="288" t="str">
        <f t="shared" ref="Z5:Z8" si="15">Y5/Y$10</f>
        <v>#DIV/0!</v>
      </c>
      <c r="AA5" s="285">
        <f>'Mg St LP'!P24</f>
        <v>1307976</v>
      </c>
      <c r="AB5" s="286">
        <f t="shared" ref="AB5:AB8" si="16">AA5/AA$10</f>
        <v>0.1476927663</v>
      </c>
      <c r="AC5" s="287" t="str">
        <f>'Mg St LP'!R24</f>
        <v/>
      </c>
      <c r="AD5" s="288" t="str">
        <f t="shared" ref="AD5:AD8" si="17">AC5/AC$10</f>
        <v>#DIV/0!</v>
      </c>
      <c r="AE5" s="285">
        <f>'Mg St Bandra'!P24</f>
        <v>1556928</v>
      </c>
      <c r="AF5" s="286">
        <f t="shared" ref="AF5:AF8" si="18">AE5/AE$10</f>
        <v>0.09273440852</v>
      </c>
      <c r="AG5" s="287" t="str">
        <f>'Mg St Bandra'!R24</f>
        <v/>
      </c>
      <c r="AH5" s="289" t="str">
        <f t="shared" ref="AH5:AH8" si="19">AG5/AG$10</f>
        <v>#DIV/0!</v>
      </c>
      <c r="AI5" s="290">
        <f>'MSK Events'!P24</f>
        <v>0</v>
      </c>
      <c r="AJ5" s="286">
        <f t="shared" ref="AJ5:AJ8" si="20">AI5/AI$10</f>
        <v>0</v>
      </c>
      <c r="AK5" s="287" t="str">
        <f>'MSK Events'!R24</f>
        <v/>
      </c>
      <c r="AL5" s="283"/>
      <c r="AM5" s="285">
        <f>MSBC!P24</f>
        <v>0</v>
      </c>
      <c r="AN5" s="286">
        <f t="shared" ref="AN5:AN8" si="21">AM5/AM$10</f>
        <v>0</v>
      </c>
      <c r="AO5" s="287">
        <f>MSBC!R24</f>
        <v>0</v>
      </c>
      <c r="AP5" s="288" t="str">
        <f t="shared" ref="AP5:AP8" si="22">AO5/AO$10</f>
        <v>#DIV/0!</v>
      </c>
      <c r="AQ5" s="285">
        <f>Kaspers!P24</f>
        <v>327875</v>
      </c>
      <c r="AR5" s="286"/>
      <c r="AS5" s="287" t="str">
        <f>Kaspers!R24</f>
        <v/>
      </c>
      <c r="AT5" s="283"/>
      <c r="AU5" s="285">
        <f>'MSBC Andheri'!P24</f>
        <v>0</v>
      </c>
      <c r="AV5" s="281"/>
      <c r="AW5" s="287" t="str">
        <f>'MSBC Andheri'!R24</f>
        <v/>
      </c>
      <c r="AX5" s="283"/>
      <c r="AY5" s="285">
        <f>'MSBC Dahisar'!P22</f>
        <v>0</v>
      </c>
      <c r="AZ5" s="281"/>
      <c r="BA5" s="287" t="str">
        <f>'MSBC Dahisar'!R22</f>
        <v/>
      </c>
      <c r="BB5" s="283"/>
      <c r="BC5" s="285" t="str">
        <f>'MSBC Juhu  Goregoan'!P22</f>
        <v/>
      </c>
      <c r="BD5" s="281"/>
      <c r="BE5" s="287">
        <f>'MSBC Juhu  Goregoan'!R22</f>
        <v>0</v>
      </c>
      <c r="BF5" s="283"/>
      <c r="BG5" s="285">
        <f>'LOUD MOUTH'!P24</f>
        <v>0</v>
      </c>
      <c r="BH5" s="281"/>
      <c r="BI5" s="287" t="str">
        <f>'LOUD MOUTH'!R24</f>
        <v/>
      </c>
      <c r="BJ5" s="283"/>
    </row>
    <row r="6" ht="15.75" customHeight="1">
      <c r="B6" s="291" t="s">
        <v>22</v>
      </c>
      <c r="C6" s="292">
        <f t="shared" si="1"/>
        <v>9479568</v>
      </c>
      <c r="D6" s="293">
        <f t="shared" si="2"/>
        <v>0.1331956298</v>
      </c>
      <c r="E6" s="294">
        <f t="shared" si="3"/>
        <v>0</v>
      </c>
      <c r="F6" s="295" t="str">
        <f t="shared" si="4"/>
        <v>#DIV/0!</v>
      </c>
      <c r="G6" s="296">
        <f>HO!P15</f>
        <v>0</v>
      </c>
      <c r="H6" s="297" t="str">
        <f t="shared" si="5"/>
        <v>#DIV/0!</v>
      </c>
      <c r="I6" s="297" t="str">
        <f>HO!R15</f>
        <v/>
      </c>
      <c r="J6" s="298"/>
      <c r="K6" s="299">
        <f t="shared" si="6"/>
        <v>9479568</v>
      </c>
      <c r="L6" s="293">
        <f t="shared" si="7"/>
        <v>0.1331956298</v>
      </c>
      <c r="M6" s="294">
        <f t="shared" si="8"/>
        <v>0</v>
      </c>
      <c r="N6" s="295" t="str">
        <f t="shared" si="9"/>
        <v>#DIV/0!</v>
      </c>
      <c r="O6" s="300">
        <f>'The Table'!P25</f>
        <v>3932015</v>
      </c>
      <c r="P6" s="301">
        <f t="shared" si="10"/>
        <v>0.1992137269</v>
      </c>
      <c r="Q6" s="258" t="str">
        <f>'The Table'!R25</f>
        <v/>
      </c>
      <c r="R6" s="302" t="str">
        <f t="shared" si="11"/>
        <v>#DIV/0!</v>
      </c>
      <c r="S6" s="300">
        <f>Iktara!P25</f>
        <v>0</v>
      </c>
      <c r="T6" s="301">
        <f t="shared" si="12"/>
        <v>0</v>
      </c>
      <c r="U6" s="258" t="str">
        <f>Iktara!R25</f>
        <v/>
      </c>
      <c r="V6" s="302" t="str">
        <f t="shared" si="13"/>
        <v>#DIV/0!</v>
      </c>
      <c r="W6" s="300">
        <f>'Mg St Colaba'!P25</f>
        <v>825000</v>
      </c>
      <c r="X6" s="301">
        <f t="shared" si="14"/>
        <v>0.05377736094</v>
      </c>
      <c r="Y6" s="258" t="str">
        <f>'Mg St Colaba'!R25</f>
        <v/>
      </c>
      <c r="Z6" s="302" t="str">
        <f t="shared" si="15"/>
        <v>#DIV/0!</v>
      </c>
      <c r="AA6" s="300">
        <f>'Mg St LP'!P25</f>
        <v>0</v>
      </c>
      <c r="AB6" s="301">
        <f t="shared" si="16"/>
        <v>0</v>
      </c>
      <c r="AC6" s="258" t="str">
        <f>'Mg St LP'!R25</f>
        <v/>
      </c>
      <c r="AD6" s="302" t="str">
        <f t="shared" si="17"/>
        <v>#DIV/0!</v>
      </c>
      <c r="AE6" s="300">
        <f>'Mg St Bandra'!P25</f>
        <v>1862183</v>
      </c>
      <c r="AF6" s="301">
        <f t="shared" si="18"/>
        <v>0.1109161368</v>
      </c>
      <c r="AG6" s="258" t="str">
        <f>'Mg St Bandra'!R25</f>
        <v/>
      </c>
      <c r="AH6" s="303" t="str">
        <f t="shared" si="19"/>
        <v>#DIV/0!</v>
      </c>
      <c r="AI6" s="304">
        <f>'MSK Events'!P25</f>
        <v>0</v>
      </c>
      <c r="AJ6" s="301">
        <f t="shared" si="20"/>
        <v>0</v>
      </c>
      <c r="AK6" s="258" t="str">
        <f>'MSK Events'!R25</f>
        <v/>
      </c>
      <c r="AL6" s="298"/>
      <c r="AM6" s="300">
        <f>MSBC!P25</f>
        <v>0</v>
      </c>
      <c r="AN6" s="301">
        <f t="shared" si="21"/>
        <v>0</v>
      </c>
      <c r="AO6" s="258">
        <f>MSBC!R25</f>
        <v>0</v>
      </c>
      <c r="AP6" s="302" t="str">
        <f t="shared" si="22"/>
        <v>#DIV/0!</v>
      </c>
      <c r="AQ6" s="300">
        <f>Kaspers!P25</f>
        <v>2860370</v>
      </c>
      <c r="AR6" s="301"/>
      <c r="AS6" s="258" t="str">
        <f>Kaspers!R25</f>
        <v/>
      </c>
      <c r="AT6" s="298"/>
      <c r="AU6" s="300">
        <f>'MSBC Andheri'!P25</f>
        <v>0</v>
      </c>
      <c r="AV6" s="257"/>
      <c r="AW6" s="258" t="str">
        <f>'MSBC Andheri'!R25</f>
        <v/>
      </c>
      <c r="AX6" s="298"/>
      <c r="AY6" s="300">
        <f>'MSBC Dahisar'!P23</f>
        <v>0</v>
      </c>
      <c r="AZ6" s="257"/>
      <c r="BA6" s="258" t="str">
        <f>'MSBC Dahisar'!R23</f>
        <v/>
      </c>
      <c r="BB6" s="298"/>
      <c r="BC6" s="300" t="str">
        <f>'MSBC Juhu  Goregoan'!P23</f>
        <v/>
      </c>
      <c r="BD6" s="257"/>
      <c r="BE6" s="258">
        <f>'MSBC Juhu  Goregoan'!R23</f>
        <v>0</v>
      </c>
      <c r="BF6" s="298"/>
      <c r="BG6" s="300">
        <f>'LOUD MOUTH'!P25</f>
        <v>0</v>
      </c>
      <c r="BH6" s="257"/>
      <c r="BI6" s="258" t="str">
        <f>'LOUD MOUTH'!R25</f>
        <v/>
      </c>
      <c r="BJ6" s="298"/>
    </row>
    <row r="7" ht="15.75" customHeight="1">
      <c r="B7" s="291" t="s">
        <v>23</v>
      </c>
      <c r="C7" s="292">
        <f t="shared" si="1"/>
        <v>51921441</v>
      </c>
      <c r="D7" s="293">
        <f t="shared" si="2"/>
        <v>0.7295384169</v>
      </c>
      <c r="E7" s="294">
        <f t="shared" si="3"/>
        <v>0</v>
      </c>
      <c r="F7" s="295" t="str">
        <f t="shared" si="4"/>
        <v>#DIV/0!</v>
      </c>
      <c r="G7" s="296">
        <f>HO!P16</f>
        <v>0</v>
      </c>
      <c r="H7" s="297" t="str">
        <f t="shared" si="5"/>
        <v>#DIV/0!</v>
      </c>
      <c r="I7" s="297" t="str">
        <f>HO!R16</f>
        <v/>
      </c>
      <c r="J7" s="298"/>
      <c r="K7" s="299">
        <f t="shared" si="6"/>
        <v>51921441</v>
      </c>
      <c r="L7" s="293">
        <f t="shared" si="7"/>
        <v>0.7295384169</v>
      </c>
      <c r="M7" s="294">
        <f t="shared" si="8"/>
        <v>0</v>
      </c>
      <c r="N7" s="295" t="str">
        <f t="shared" si="9"/>
        <v>#DIV/0!</v>
      </c>
      <c r="O7" s="300">
        <f>'The Table'!P26</f>
        <v>13158747</v>
      </c>
      <c r="P7" s="301">
        <f t="shared" si="10"/>
        <v>0.6666818491</v>
      </c>
      <c r="Q7" s="258" t="str">
        <f>'The Table'!R26</f>
        <v/>
      </c>
      <c r="R7" s="302" t="str">
        <f t="shared" si="11"/>
        <v>#DIV/0!</v>
      </c>
      <c r="S7" s="300">
        <f>Iktara!P26</f>
        <v>1144491</v>
      </c>
      <c r="T7" s="301">
        <f t="shared" si="12"/>
        <v>1</v>
      </c>
      <c r="U7" s="258" t="str">
        <f>Iktara!R26</f>
        <v/>
      </c>
      <c r="V7" s="302" t="str">
        <f t="shared" si="13"/>
        <v>#DIV/0!</v>
      </c>
      <c r="W7" s="300">
        <f>'Mg St Colaba'!P26</f>
        <v>12642710</v>
      </c>
      <c r="X7" s="301">
        <f t="shared" si="14"/>
        <v>0.8241110048</v>
      </c>
      <c r="Y7" s="258" t="str">
        <f>'Mg St Colaba'!R26</f>
        <v/>
      </c>
      <c r="Z7" s="302" t="str">
        <f t="shared" si="15"/>
        <v>#DIV/0!</v>
      </c>
      <c r="AA7" s="300">
        <f>'Mg St LP'!P26</f>
        <v>7193571</v>
      </c>
      <c r="AB7" s="301">
        <f t="shared" si="16"/>
        <v>0.8122766783</v>
      </c>
      <c r="AC7" s="258" t="str">
        <f>'Mg St LP'!R26</f>
        <v/>
      </c>
      <c r="AD7" s="302" t="str">
        <f t="shared" si="17"/>
        <v>#DIV/0!</v>
      </c>
      <c r="AE7" s="300">
        <f>'Mg St Bandra'!P26</f>
        <v>12355766</v>
      </c>
      <c r="AF7" s="301">
        <f t="shared" si="18"/>
        <v>0.7359393959</v>
      </c>
      <c r="AG7" s="258" t="str">
        <f>'Mg St Bandra'!R26</f>
        <v/>
      </c>
      <c r="AH7" s="303" t="str">
        <f t="shared" si="19"/>
        <v>#DIV/0!</v>
      </c>
      <c r="AI7" s="304">
        <f>'MSK Events'!P26</f>
        <v>510003</v>
      </c>
      <c r="AJ7" s="301">
        <f t="shared" si="20"/>
        <v>1</v>
      </c>
      <c r="AK7" s="258" t="str">
        <f>'MSK Events'!R26</f>
        <v/>
      </c>
      <c r="AL7" s="298"/>
      <c r="AM7" s="300">
        <f>MSBC!P26</f>
        <v>326383</v>
      </c>
      <c r="AN7" s="301">
        <f t="shared" si="21"/>
        <v>1</v>
      </c>
      <c r="AO7" s="258">
        <f>MSBC!R26</f>
        <v>0</v>
      </c>
      <c r="AP7" s="302" t="str">
        <f t="shared" si="22"/>
        <v>#DIV/0!</v>
      </c>
      <c r="AQ7" s="300">
        <f>Kaspers!P26</f>
        <v>3744730</v>
      </c>
      <c r="AR7" s="301"/>
      <c r="AS7" s="258">
        <f>Kaspers!R26</f>
        <v>0</v>
      </c>
      <c r="AT7" s="298"/>
      <c r="AU7" s="300">
        <f>'MSBC Andheri'!P26</f>
        <v>305888</v>
      </c>
      <c r="AV7" s="257"/>
      <c r="AW7" s="258" t="str">
        <f>'MSBC Andheri'!R26</f>
        <v/>
      </c>
      <c r="AX7" s="298"/>
      <c r="AY7" s="300">
        <f>'MSBC Dahisar'!P24</f>
        <v>0</v>
      </c>
      <c r="AZ7" s="257"/>
      <c r="BA7" s="258" t="str">
        <f>'MSBC Dahisar'!R24</f>
        <v/>
      </c>
      <c r="BB7" s="298"/>
      <c r="BC7" s="300" t="str">
        <f>'MSBC Juhu  Goregoan'!P24</f>
        <v/>
      </c>
      <c r="BD7" s="257"/>
      <c r="BE7" s="258">
        <f>'MSBC Juhu  Goregoan'!R24</f>
        <v>0</v>
      </c>
      <c r="BF7" s="298"/>
      <c r="BG7" s="300">
        <f>'LOUD MOUTH'!P26</f>
        <v>539152</v>
      </c>
      <c r="BH7" s="257"/>
      <c r="BI7" s="258" t="str">
        <f>'LOUD MOUTH'!R26</f>
        <v/>
      </c>
      <c r="BJ7" s="298"/>
    </row>
    <row r="8" ht="15.75" customHeight="1">
      <c r="B8" s="291" t="s">
        <v>24</v>
      </c>
      <c r="C8" s="292">
        <f t="shared" si="1"/>
        <v>4224615</v>
      </c>
      <c r="D8" s="293">
        <f t="shared" si="2"/>
        <v>0.059359272</v>
      </c>
      <c r="E8" s="294">
        <f t="shared" si="3"/>
        <v>0</v>
      </c>
      <c r="F8" s="295" t="str">
        <f t="shared" si="4"/>
        <v>#DIV/0!</v>
      </c>
      <c r="G8" s="296">
        <f>HO!P18</f>
        <v>0</v>
      </c>
      <c r="H8" s="297" t="str">
        <f t="shared" si="5"/>
        <v>#DIV/0!</v>
      </c>
      <c r="I8" s="297" t="str">
        <f>HO!R18</f>
        <v/>
      </c>
      <c r="J8" s="298"/>
      <c r="K8" s="299">
        <f t="shared" si="6"/>
        <v>4224615</v>
      </c>
      <c r="L8" s="293">
        <f t="shared" si="7"/>
        <v>0.059359272</v>
      </c>
      <c r="M8" s="294">
        <f t="shared" si="8"/>
        <v>0</v>
      </c>
      <c r="N8" s="295" t="str">
        <f t="shared" si="9"/>
        <v>#DIV/0!</v>
      </c>
      <c r="O8" s="300">
        <f>'The Table'!P28</f>
        <v>1507574</v>
      </c>
      <c r="P8" s="301">
        <f t="shared" si="10"/>
        <v>0.07638054155</v>
      </c>
      <c r="Q8" s="258" t="str">
        <f>'The Table'!R28</f>
        <v/>
      </c>
      <c r="R8" s="302" t="str">
        <f t="shared" si="11"/>
        <v>#DIV/0!</v>
      </c>
      <c r="S8" s="296" t="str">
        <f>Iktara!P28</f>
        <v/>
      </c>
      <c r="T8" s="301">
        <f t="shared" si="12"/>
        <v>0</v>
      </c>
      <c r="U8" s="297">
        <f>Iktara!R28</f>
        <v>0</v>
      </c>
      <c r="V8" s="302" t="str">
        <f t="shared" si="13"/>
        <v>#DIV/0!</v>
      </c>
      <c r="W8" s="300">
        <f>'Mg St Colaba'!P28</f>
        <v>702443</v>
      </c>
      <c r="X8" s="301">
        <f t="shared" si="14"/>
        <v>0.04578852213</v>
      </c>
      <c r="Y8" s="258" t="str">
        <f>'Mg St Colaba'!R27</f>
        <v/>
      </c>
      <c r="Z8" s="302" t="str">
        <f t="shared" si="15"/>
        <v>#DIV/0!</v>
      </c>
      <c r="AA8" s="300">
        <f>'Mg St LP'!P28</f>
        <v>344513</v>
      </c>
      <c r="AB8" s="301">
        <f t="shared" si="16"/>
        <v>0.03890138504</v>
      </c>
      <c r="AC8" s="258" t="str">
        <f>'Mg St LP'!R28</f>
        <v/>
      </c>
      <c r="AD8" s="302" t="str">
        <f t="shared" si="17"/>
        <v>#DIV/0!</v>
      </c>
      <c r="AE8" s="300">
        <f>'Mg St Bandra'!P28</f>
        <v>997431</v>
      </c>
      <c r="AF8" s="301">
        <f t="shared" si="18"/>
        <v>0.05940940996</v>
      </c>
      <c r="AG8" s="258">
        <f>'Mg St Bandra'!R28</f>
        <v>0</v>
      </c>
      <c r="AH8" s="303" t="str">
        <f t="shared" si="19"/>
        <v>#DIV/0!</v>
      </c>
      <c r="AI8" s="305" t="str">
        <f>'MSK Events'!P28</f>
        <v/>
      </c>
      <c r="AJ8" s="301">
        <f t="shared" si="20"/>
        <v>0</v>
      </c>
      <c r="AK8" s="297" t="str">
        <f>'MSK Events'!R28</f>
        <v/>
      </c>
      <c r="AL8" s="298"/>
      <c r="AM8" s="300" t="str">
        <f>MSBC!P28</f>
        <v/>
      </c>
      <c r="AN8" s="301">
        <f t="shared" si="21"/>
        <v>0</v>
      </c>
      <c r="AO8" s="258" t="str">
        <f>MSBC!R28</f>
        <v/>
      </c>
      <c r="AP8" s="302" t="str">
        <f t="shared" si="22"/>
        <v>#DIV/0!</v>
      </c>
      <c r="AQ8" s="300">
        <f>Kaspers!P28</f>
        <v>672654</v>
      </c>
      <c r="AR8" s="301"/>
      <c r="AS8" s="258" t="str">
        <f>Kaspers!R28</f>
        <v/>
      </c>
      <c r="AT8" s="298"/>
      <c r="AU8" s="300">
        <f>'MSBC Andheri'!P28</f>
        <v>0</v>
      </c>
      <c r="AV8" s="257"/>
      <c r="AW8" s="258" t="str">
        <f>'MSBC Andheri'!R28</f>
        <v/>
      </c>
      <c r="AX8" s="298"/>
      <c r="AY8" s="300" t="str">
        <f>'MSBC Dahisar'!P25</f>
        <v/>
      </c>
      <c r="AZ8" s="257"/>
      <c r="BA8" s="258"/>
      <c r="BB8" s="298"/>
      <c r="BC8" s="300"/>
      <c r="BD8" s="257"/>
      <c r="BE8" s="258"/>
      <c r="BF8" s="298"/>
      <c r="BG8" s="300" t="str">
        <f>'LOUD MOUTH'!P28</f>
        <v/>
      </c>
      <c r="BH8" s="257"/>
      <c r="BI8" s="258" t="str">
        <f>'LOUD MOUTH'!R28</f>
        <v/>
      </c>
      <c r="BJ8" s="298"/>
    </row>
    <row r="9" ht="15.75" customHeight="1">
      <c r="B9" s="306" t="s">
        <v>159</v>
      </c>
      <c r="C9" s="307">
        <f t="shared" si="1"/>
        <v>81175</v>
      </c>
      <c r="D9" s="308">
        <f t="shared" si="2"/>
        <v>0.001140574681</v>
      </c>
      <c r="E9" s="309">
        <f t="shared" si="3"/>
        <v>0</v>
      </c>
      <c r="F9" s="310" t="str">
        <f t="shared" si="4"/>
        <v>#DIV/0!</v>
      </c>
      <c r="G9" s="311"/>
      <c r="H9" s="297" t="str">
        <f t="shared" si="5"/>
        <v>#DIV/0!</v>
      </c>
      <c r="I9" s="257"/>
      <c r="J9" s="298"/>
      <c r="K9" s="299">
        <f t="shared" si="6"/>
        <v>81175</v>
      </c>
      <c r="L9" s="308">
        <f t="shared" si="7"/>
        <v>0.001140574681</v>
      </c>
      <c r="M9" s="294">
        <f t="shared" si="8"/>
        <v>0</v>
      </c>
      <c r="N9" s="310" t="str">
        <f t="shared" si="9"/>
        <v>#DIV/0!</v>
      </c>
      <c r="O9" s="300">
        <f>'The Table'!P22</f>
        <v>22950</v>
      </c>
      <c r="P9" s="312"/>
      <c r="Q9" s="258" t="str">
        <f>'The Table'!R22</f>
        <v/>
      </c>
      <c r="R9" s="313"/>
      <c r="S9" s="296" t="str">
        <f>Iktara!P22</f>
        <v/>
      </c>
      <c r="T9" s="312"/>
      <c r="U9" s="297" t="str">
        <f>Iktara!R22</f>
        <v/>
      </c>
      <c r="V9" s="313"/>
      <c r="W9" s="300">
        <f>'Mg St Colaba'!P22</f>
        <v>16575</v>
      </c>
      <c r="X9" s="312"/>
      <c r="Y9" s="258" t="str">
        <f>'Mg St Colaba'!R22</f>
        <v/>
      </c>
      <c r="Z9" s="313"/>
      <c r="AA9" s="314">
        <f>'Mg St LP'!P22</f>
        <v>10000</v>
      </c>
      <c r="AB9" s="312"/>
      <c r="AC9" s="312" t="str">
        <f>'Mg St LP'!R22</f>
        <v/>
      </c>
      <c r="AD9" s="313"/>
      <c r="AE9" s="314">
        <f>'Mg St Bandra'!P22</f>
        <v>16800</v>
      </c>
      <c r="AF9" s="312"/>
      <c r="AG9" s="312" t="str">
        <f>'Mg St Bandra'!R22</f>
        <v/>
      </c>
      <c r="AH9" s="315"/>
      <c r="AI9" s="305">
        <f>'MSK Events'!P22</f>
        <v>0</v>
      </c>
      <c r="AJ9" s="312"/>
      <c r="AK9" s="297" t="str">
        <f>'MSK Events'!R22</f>
        <v/>
      </c>
      <c r="AL9" s="313"/>
      <c r="AM9" s="300" t="str">
        <f>MSBC!P22</f>
        <v/>
      </c>
      <c r="AN9" s="312"/>
      <c r="AO9" s="258" t="str">
        <f>MSBC!R22</f>
        <v/>
      </c>
      <c r="AP9" s="313"/>
      <c r="AQ9" s="314">
        <f>Kaspers!P22</f>
        <v>14850</v>
      </c>
      <c r="AR9" s="312"/>
      <c r="AS9" s="312" t="str">
        <f>Kaspers!R22</f>
        <v/>
      </c>
      <c r="AT9" s="313"/>
      <c r="AU9" s="300">
        <f>'MSBC Andheri'!P22</f>
        <v>0</v>
      </c>
      <c r="AV9" s="312"/>
      <c r="AW9" s="258" t="str">
        <f>'MSBC Andheri'!R22</f>
        <v/>
      </c>
      <c r="AX9" s="313"/>
      <c r="AY9" s="300" t="str">
        <f>'MSBC Dahisar'!P20</f>
        <v/>
      </c>
      <c r="AZ9" s="312"/>
      <c r="BA9" s="258" t="str">
        <f>'MSBC Dahisar'!R20</f>
        <v/>
      </c>
      <c r="BB9" s="313"/>
      <c r="BC9" s="300" t="str">
        <f>'MSBC Juhu  Goregoan'!P20</f>
        <v/>
      </c>
      <c r="BD9" s="312"/>
      <c r="BE9" s="258" t="str">
        <f>'MSBC Juhu  Goregoan'!R20</f>
        <v/>
      </c>
      <c r="BF9" s="313"/>
      <c r="BG9" s="300">
        <f>'LOUD MOUTH'!P22</f>
        <v>0</v>
      </c>
      <c r="BH9" s="312"/>
      <c r="BI9" s="258" t="str">
        <f>'LOUD MOUTH'!R22</f>
        <v/>
      </c>
      <c r="BJ9" s="313"/>
    </row>
    <row r="10" ht="15.75" customHeight="1">
      <c r="B10" s="316" t="s">
        <v>26</v>
      </c>
      <c r="C10" s="190">
        <f>SUM(C5:C9)</f>
        <v>71170263</v>
      </c>
      <c r="D10" s="317">
        <f t="shared" si="2"/>
        <v>1</v>
      </c>
      <c r="E10" s="187">
        <f>SUM(E5:E9)</f>
        <v>0</v>
      </c>
      <c r="F10" s="318" t="str">
        <f t="shared" si="4"/>
        <v>#DIV/0!</v>
      </c>
      <c r="G10" s="319">
        <f>SUM(G5:G9)</f>
        <v>0</v>
      </c>
      <c r="H10" s="317" t="str">
        <f t="shared" si="5"/>
        <v>#DIV/0!</v>
      </c>
      <c r="I10" s="187">
        <f>SUM(I5:I9)</f>
        <v>0</v>
      </c>
      <c r="J10" s="321"/>
      <c r="K10" s="319">
        <f>SUM(K5:K9)</f>
        <v>71170263</v>
      </c>
      <c r="L10" s="317">
        <f t="shared" si="7"/>
        <v>1</v>
      </c>
      <c r="M10" s="187">
        <f>SUM(M5:M9)</f>
        <v>0</v>
      </c>
      <c r="N10" s="318" t="str">
        <f t="shared" si="9"/>
        <v>#DIV/0!</v>
      </c>
      <c r="O10" s="319">
        <f>SUM(O5:O9)</f>
        <v>19737671</v>
      </c>
      <c r="P10" s="320"/>
      <c r="Q10" s="187">
        <f>SUM(Q5:Q9)</f>
        <v>0</v>
      </c>
      <c r="R10" s="321"/>
      <c r="S10" s="319">
        <f>SUM(S5:S9)</f>
        <v>1144491</v>
      </c>
      <c r="T10" s="320"/>
      <c r="U10" s="187">
        <f>SUM(U5:U9)</f>
        <v>0</v>
      </c>
      <c r="V10" s="321"/>
      <c r="W10" s="319">
        <f>SUM(W5:W9)</f>
        <v>15341028</v>
      </c>
      <c r="X10" s="320"/>
      <c r="Y10" s="187">
        <f>SUM(Y5:Y9)</f>
        <v>0</v>
      </c>
      <c r="Z10" s="321"/>
      <c r="AA10" s="319">
        <f>SUM(AA5:AA9)</f>
        <v>8856060</v>
      </c>
      <c r="AB10" s="320"/>
      <c r="AC10" s="187">
        <f>SUM(AC5:AC9)</f>
        <v>0</v>
      </c>
      <c r="AD10" s="321"/>
      <c r="AE10" s="319">
        <f>SUM(AE5:AE9)</f>
        <v>16789108</v>
      </c>
      <c r="AF10" s="320"/>
      <c r="AG10" s="187">
        <f>SUM(AG5:AG9)</f>
        <v>0</v>
      </c>
      <c r="AH10" s="322"/>
      <c r="AI10" s="190">
        <f>SUM(AI5:AI9)</f>
        <v>510003</v>
      </c>
      <c r="AJ10" s="320"/>
      <c r="AK10" s="187">
        <f>SUM(AK5:AK9)</f>
        <v>0</v>
      </c>
      <c r="AL10" s="321"/>
      <c r="AM10" s="319">
        <f>SUM(AM5:AM9)</f>
        <v>326383</v>
      </c>
      <c r="AN10" s="320"/>
      <c r="AO10" s="187">
        <f>SUM(AO5:AO9)</f>
        <v>0</v>
      </c>
      <c r="AP10" s="321"/>
      <c r="AQ10" s="319">
        <f>SUM(AQ5:AQ9)</f>
        <v>7620479</v>
      </c>
      <c r="AR10" s="320"/>
      <c r="AS10" s="187">
        <f>SUM(AS5:AS9)</f>
        <v>0</v>
      </c>
      <c r="AT10" s="321"/>
      <c r="AU10" s="319">
        <f>SUM(AU5:AU9)</f>
        <v>305888</v>
      </c>
      <c r="AV10" s="320"/>
      <c r="AW10" s="187">
        <f>SUM(AW5:AW9)</f>
        <v>0</v>
      </c>
      <c r="AX10" s="321"/>
      <c r="AY10" s="319">
        <f>SUM(AY5:AY9)</f>
        <v>0</v>
      </c>
      <c r="AZ10" s="320"/>
      <c r="BA10" s="187">
        <f>SUM(BA5:BA9)</f>
        <v>0</v>
      </c>
      <c r="BB10" s="321"/>
      <c r="BC10" s="319">
        <f>SUM(BC5:BC9)</f>
        <v>0</v>
      </c>
      <c r="BD10" s="320"/>
      <c r="BE10" s="187">
        <f>SUM(BE5:BE9)</f>
        <v>0</v>
      </c>
      <c r="BF10" s="321"/>
      <c r="BG10" s="319">
        <f>SUM(BG5:BG9)</f>
        <v>539152</v>
      </c>
      <c r="BH10" s="320"/>
      <c r="BI10" s="187">
        <f>SUM(BI5:BI9)</f>
        <v>0</v>
      </c>
      <c r="BJ10" s="321"/>
    </row>
    <row r="11" ht="15.75" customHeight="1">
      <c r="B11" s="323"/>
      <c r="C11" s="324"/>
      <c r="D11" s="325"/>
      <c r="E11" s="325"/>
      <c r="F11" s="326"/>
      <c r="G11" s="327"/>
      <c r="H11" s="328"/>
      <c r="I11" s="329"/>
      <c r="J11" s="330"/>
      <c r="K11" s="331"/>
      <c r="L11" s="325"/>
      <c r="M11" s="332"/>
      <c r="N11" s="326"/>
      <c r="O11" s="327"/>
      <c r="P11" s="328"/>
      <c r="Q11" s="328"/>
      <c r="R11" s="330"/>
      <c r="S11" s="327"/>
      <c r="T11" s="328"/>
      <c r="U11" s="328"/>
      <c r="V11" s="330"/>
      <c r="W11" s="327"/>
      <c r="X11" s="328"/>
      <c r="Y11" s="328"/>
      <c r="Z11" s="330"/>
      <c r="AA11" s="327"/>
      <c r="AB11" s="328"/>
      <c r="AC11" s="328"/>
      <c r="AD11" s="330"/>
      <c r="AE11" s="327"/>
      <c r="AF11" s="328"/>
      <c r="AG11" s="328"/>
      <c r="AH11" s="333"/>
      <c r="AI11" s="334"/>
      <c r="AJ11" s="328"/>
      <c r="AK11" s="328"/>
      <c r="AL11" s="330"/>
      <c r="AM11" s="327"/>
      <c r="AN11" s="328"/>
      <c r="AO11" s="328"/>
      <c r="AP11" s="330"/>
      <c r="AQ11" s="327"/>
      <c r="AR11" s="328"/>
      <c r="AS11" s="328"/>
      <c r="AT11" s="330"/>
      <c r="AU11" s="327"/>
      <c r="AV11" s="328"/>
      <c r="AW11" s="328"/>
      <c r="AX11" s="330"/>
      <c r="AY11" s="327"/>
      <c r="AZ11" s="328"/>
      <c r="BA11" s="328"/>
      <c r="BB11" s="330"/>
      <c r="BC11" s="327"/>
      <c r="BD11" s="328"/>
      <c r="BE11" s="328"/>
      <c r="BF11" s="330"/>
      <c r="BG11" s="327"/>
      <c r="BH11" s="328"/>
      <c r="BI11" s="328"/>
      <c r="BJ11" s="330"/>
    </row>
    <row r="12" ht="15.75" customHeight="1">
      <c r="B12" s="316" t="s">
        <v>28</v>
      </c>
      <c r="C12" s="335">
        <f t="shared" ref="C12:C14" si="23">G12+K12</f>
        <v>25262869.6</v>
      </c>
      <c r="D12" s="317">
        <f t="shared" ref="D12:D14" si="24">C12/C$10</f>
        <v>0.3549638366</v>
      </c>
      <c r="E12" s="336">
        <f t="shared" ref="E12:E13" si="25">I12+M12</f>
        <v>0</v>
      </c>
      <c r="F12" s="318" t="str">
        <f t="shared" ref="F12:F13" si="26">E12/E$10</f>
        <v>#DIV/0!</v>
      </c>
      <c r="G12" s="337">
        <f>HO!P32</f>
        <v>0</v>
      </c>
      <c r="H12" s="339" t="str">
        <f t="shared" ref="H12:H13" si="27">G12/G$10</f>
        <v>#DIV/0!</v>
      </c>
      <c r="I12" s="339" t="str">
        <f>HO!R32</f>
        <v/>
      </c>
      <c r="J12" s="340"/>
      <c r="K12" s="341">
        <f t="shared" ref="K12:K14" si="28">O12+S12+W12+AA12+AE12+AI12+AM12+AQ12+AU12+AY12+BC12+BG12</f>
        <v>25262869.6</v>
      </c>
      <c r="L12" s="317">
        <f t="shared" ref="L12:L13" si="29">K12/K$10</f>
        <v>0.3549638366</v>
      </c>
      <c r="M12" s="336">
        <f t="shared" ref="M12:M14" si="30">Q12+U12+Y12+AC12+AG12+AK12+AO12+AS12+AW12+BA12+BE12+BI12</f>
        <v>0</v>
      </c>
      <c r="N12" s="318" t="str">
        <f t="shared" ref="N12:N13" si="31">M12/M$10</f>
        <v>#DIV/0!</v>
      </c>
      <c r="O12" s="342">
        <f>'The Table'!P39</f>
        <v>6993982.435</v>
      </c>
      <c r="P12" s="343">
        <f t="shared" ref="P12:P13" si="32">O12/O$10</f>
        <v>0.3543468951</v>
      </c>
      <c r="Q12" s="344">
        <f>'The Table'!R39</f>
        <v>0</v>
      </c>
      <c r="R12" s="345" t="str">
        <f t="shared" ref="R12:R13" si="33">Q12/Q$10</f>
        <v>#DIV/0!</v>
      </c>
      <c r="S12" s="342">
        <f>Iktara!P40</f>
        <v>265766.3923</v>
      </c>
      <c r="T12" s="343">
        <f t="shared" ref="T12:T13" si="34">S12/S$10</f>
        <v>0.2322136149</v>
      </c>
      <c r="U12" s="344">
        <f>Iktara!R40</f>
        <v>0</v>
      </c>
      <c r="V12" s="345" t="str">
        <f t="shared" ref="V12:V13" si="35">U12/U$10</f>
        <v>#DIV/0!</v>
      </c>
      <c r="W12" s="342">
        <f>'Mg St Colaba'!P47</f>
        <v>4937741.491</v>
      </c>
      <c r="X12" s="343">
        <f t="shared" ref="X12:X13" si="36">W12/W$10</f>
        <v>0.3218650987</v>
      </c>
      <c r="Y12" s="344" t="str">
        <f>'Mg St Colaba'!R47</f>
        <v/>
      </c>
      <c r="Z12" s="345" t="str">
        <f t="shared" ref="Z12:Z13" si="37">Y12/Y$10</f>
        <v>#DIV/0!</v>
      </c>
      <c r="AA12" s="342">
        <f>'Mg St LP'!P49</f>
        <v>3339880.962</v>
      </c>
      <c r="AB12" s="343">
        <f t="shared" ref="AB12:AB13" si="38">AA12/AA$10</f>
        <v>0.3771294415</v>
      </c>
      <c r="AC12" s="344" t="str">
        <f>'Mg St LP'!R49</f>
        <v/>
      </c>
      <c r="AD12" s="345" t="str">
        <f t="shared" ref="AD12:AD13" si="39">AC12/AC$10</f>
        <v>#DIV/0!</v>
      </c>
      <c r="AE12" s="342">
        <f>'Mg St Bandra'!P47</f>
        <v>5643974.905</v>
      </c>
      <c r="AF12" s="343">
        <f t="shared" ref="AF12:AF13" si="40">AE12/AE$10</f>
        <v>0.3361688367</v>
      </c>
      <c r="AG12" s="344">
        <f>'Mg St Bandra'!R47</f>
        <v>0</v>
      </c>
      <c r="AH12" s="346" t="str">
        <f t="shared" ref="AH12:AH13" si="41">AG12/AG$10</f>
        <v>#DIV/0!</v>
      </c>
      <c r="AI12" s="347">
        <f>'MSK Events'!P47</f>
        <v>132816</v>
      </c>
      <c r="AJ12" s="343">
        <f>AI12/AI$10</f>
        <v>0.2604219975</v>
      </c>
      <c r="AK12" s="339">
        <f>'MSK Events'!R47</f>
        <v>0</v>
      </c>
      <c r="AL12" s="340"/>
      <c r="AM12" s="342">
        <f>MSBC!P47</f>
        <v>250622.2678</v>
      </c>
      <c r="AN12" s="338"/>
      <c r="AO12" s="344">
        <f>MSBC!R47</f>
        <v>0</v>
      </c>
      <c r="AP12" s="340"/>
      <c r="AQ12" s="342">
        <f>Kaspers!P47</f>
        <v>3268305.09</v>
      </c>
      <c r="AR12" s="338"/>
      <c r="AS12" s="344">
        <f>Kaspers!R47</f>
        <v>0</v>
      </c>
      <c r="AT12" s="340"/>
      <c r="AU12" s="342">
        <f>'MSBC Andheri'!P46</f>
        <v>284004.06</v>
      </c>
      <c r="AV12" s="338"/>
      <c r="AW12" s="344">
        <f>'MSBC Andheri'!R46</f>
        <v>0</v>
      </c>
      <c r="AX12" s="340"/>
      <c r="AY12" s="342">
        <f>'MSBC Dahisar'!P44</f>
        <v>0</v>
      </c>
      <c r="AZ12" s="338"/>
      <c r="BA12" s="344">
        <f>'MSBC Dahisar'!R44</f>
        <v>0</v>
      </c>
      <c r="BB12" s="340"/>
      <c r="BC12" s="342" t="str">
        <f>'MSBC Juhu  Goregoan'!P37</f>
        <v/>
      </c>
      <c r="BD12" s="338"/>
      <c r="BE12" s="344">
        <f>'MSBC Juhu  Goregoan'!R37</f>
        <v>0</v>
      </c>
      <c r="BF12" s="340"/>
      <c r="BG12" s="342">
        <f>'LOUD MOUTH'!P39</f>
        <v>145776</v>
      </c>
      <c r="BH12" s="338"/>
      <c r="BI12" s="344" t="str">
        <f>'LOUD MOUTH'!R39</f>
        <v/>
      </c>
      <c r="BJ12" s="340"/>
    </row>
    <row r="13" ht="15.75" customHeight="1">
      <c r="B13" s="316" t="s">
        <v>29</v>
      </c>
      <c r="C13" s="335">
        <f t="shared" si="23"/>
        <v>979834.5</v>
      </c>
      <c r="D13" s="317">
        <f t="shared" si="24"/>
        <v>0.01376747055</v>
      </c>
      <c r="E13" s="336">
        <f t="shared" si="25"/>
        <v>0</v>
      </c>
      <c r="F13" s="318" t="str">
        <f t="shared" si="26"/>
        <v>#DIV/0!</v>
      </c>
      <c r="G13" s="337">
        <f>HO!P33</f>
        <v>1964</v>
      </c>
      <c r="H13" s="339" t="str">
        <f t="shared" si="27"/>
        <v>#DIV/0!</v>
      </c>
      <c r="I13" s="348" t="str">
        <f>HO!R33</f>
        <v/>
      </c>
      <c r="J13" s="340"/>
      <c r="K13" s="341">
        <f t="shared" si="28"/>
        <v>977870.5</v>
      </c>
      <c r="L13" s="317">
        <f t="shared" si="29"/>
        <v>0.01373987476</v>
      </c>
      <c r="M13" s="336">
        <f t="shared" si="30"/>
        <v>0</v>
      </c>
      <c r="N13" s="318" t="str">
        <f t="shared" si="31"/>
        <v>#DIV/0!</v>
      </c>
      <c r="O13" s="342">
        <f>'The Table'!P40</f>
        <v>71360</v>
      </c>
      <c r="P13" s="343">
        <f t="shared" si="32"/>
        <v>0.003615421495</v>
      </c>
      <c r="Q13" s="344">
        <f>'The Table'!R40</f>
        <v>0</v>
      </c>
      <c r="R13" s="345" t="str">
        <f t="shared" si="33"/>
        <v>#DIV/0!</v>
      </c>
      <c r="S13" s="342">
        <f>Iktara!P41</f>
        <v>10717</v>
      </c>
      <c r="T13" s="343">
        <f t="shared" si="34"/>
        <v>0.009363988009</v>
      </c>
      <c r="U13" s="344" t="str">
        <f>Iktara!R41</f>
        <v/>
      </c>
      <c r="V13" s="345" t="str">
        <f t="shared" si="35"/>
        <v>#DIV/0!</v>
      </c>
      <c r="W13" s="342">
        <f>'Mg St Colaba'!P48</f>
        <v>230269</v>
      </c>
      <c r="X13" s="343">
        <f t="shared" si="36"/>
        <v>0.01501001106</v>
      </c>
      <c r="Y13" s="344" t="str">
        <f>'Mg St Colaba'!R48</f>
        <v/>
      </c>
      <c r="Z13" s="345" t="str">
        <f t="shared" si="37"/>
        <v>#DIV/0!</v>
      </c>
      <c r="AA13" s="342">
        <f>'Mg St LP'!P50</f>
        <v>199075</v>
      </c>
      <c r="AB13" s="343">
        <f t="shared" si="38"/>
        <v>0.02247895791</v>
      </c>
      <c r="AC13" s="344" t="str">
        <f>'Mg St LP'!R50</f>
        <v/>
      </c>
      <c r="AD13" s="345" t="str">
        <f t="shared" si="39"/>
        <v>#DIV/0!</v>
      </c>
      <c r="AE13" s="342">
        <f>'Mg St Bandra'!P48</f>
        <v>178583</v>
      </c>
      <c r="AF13" s="343">
        <f t="shared" si="40"/>
        <v>0.01063683669</v>
      </c>
      <c r="AG13" s="344" t="str">
        <f>'Mg St Bandra'!R48</f>
        <v/>
      </c>
      <c r="AH13" s="346" t="str">
        <f t="shared" si="41"/>
        <v>#DIV/0!</v>
      </c>
      <c r="AI13" s="347">
        <f>'MSK Events'!P48</f>
        <v>11990</v>
      </c>
      <c r="AJ13" s="338"/>
      <c r="AK13" s="339" t="str">
        <f>'MSK Events'!R48</f>
        <v/>
      </c>
      <c r="AL13" s="340"/>
      <c r="AM13" s="342">
        <f>MSBC!P48</f>
        <v>102488</v>
      </c>
      <c r="AN13" s="338"/>
      <c r="AO13" s="344" t="str">
        <f>MSBC!R48</f>
        <v/>
      </c>
      <c r="AP13" s="340"/>
      <c r="AQ13" s="342">
        <f>Kaspers!P48</f>
        <v>50554</v>
      </c>
      <c r="AR13" s="338"/>
      <c r="AS13" s="344">
        <f>Kaspers!R48</f>
        <v>0</v>
      </c>
      <c r="AT13" s="340"/>
      <c r="AU13" s="342">
        <f>'MSBC Andheri'!P47</f>
        <v>104526.5</v>
      </c>
      <c r="AV13" s="338"/>
      <c r="AW13" s="344" t="str">
        <f>'MSBC Andheri'!R47</f>
        <v/>
      </c>
      <c r="AX13" s="340"/>
      <c r="AY13" s="342">
        <f>'MSBC Dahisar'!P45</f>
        <v>0</v>
      </c>
      <c r="AZ13" s="338"/>
      <c r="BA13" s="344" t="str">
        <f>'MSBC Dahisar'!R45</f>
        <v/>
      </c>
      <c r="BB13" s="340"/>
      <c r="BC13" s="342" t="str">
        <f>'MSBC Juhu  Goregoan'!P38</f>
        <v/>
      </c>
      <c r="BD13" s="338"/>
      <c r="BE13" s="344" t="str">
        <f>'MSBC Juhu  Goregoan'!R38</f>
        <v/>
      </c>
      <c r="BF13" s="340"/>
      <c r="BG13" s="342">
        <f>'LOUD MOUTH'!P40</f>
        <v>18308</v>
      </c>
      <c r="BH13" s="338"/>
      <c r="BI13" s="344" t="str">
        <f>'LOUD MOUTH'!R40</f>
        <v/>
      </c>
      <c r="BJ13" s="340"/>
    </row>
    <row r="14" ht="15.75" customHeight="1">
      <c r="B14" s="316" t="s">
        <v>160</v>
      </c>
      <c r="C14" s="349">
        <f t="shared" si="23"/>
        <v>0</v>
      </c>
      <c r="D14" s="350">
        <f t="shared" si="24"/>
        <v>0</v>
      </c>
      <c r="E14" s="351"/>
      <c r="F14" s="352"/>
      <c r="G14" s="337"/>
      <c r="H14" s="337"/>
      <c r="I14" s="337"/>
      <c r="J14" s="353"/>
      <c r="K14" s="335">
        <f t="shared" si="28"/>
        <v>0</v>
      </c>
      <c r="L14" s="350"/>
      <c r="M14" s="336">
        <f t="shared" si="30"/>
        <v>0</v>
      </c>
      <c r="N14" s="352"/>
      <c r="O14" s="342"/>
      <c r="P14" s="343"/>
      <c r="Q14" s="344"/>
      <c r="R14" s="345"/>
      <c r="S14" s="342"/>
      <c r="T14" s="343"/>
      <c r="U14" s="338"/>
      <c r="V14" s="345"/>
      <c r="W14" s="342"/>
      <c r="X14" s="343"/>
      <c r="Y14" s="338"/>
      <c r="Z14" s="345"/>
      <c r="AA14" s="342"/>
      <c r="AB14" s="343"/>
      <c r="AC14" s="344"/>
      <c r="AD14" s="345"/>
      <c r="AE14" s="342"/>
      <c r="AF14" s="343"/>
      <c r="AG14" s="338"/>
      <c r="AH14" s="346"/>
      <c r="AI14" s="354"/>
      <c r="AJ14" s="338"/>
      <c r="AK14" s="338"/>
      <c r="AL14" s="340"/>
      <c r="AM14" s="342"/>
      <c r="AN14" s="338"/>
      <c r="AO14" s="338"/>
      <c r="AP14" s="340"/>
      <c r="AQ14" s="355"/>
      <c r="AR14" s="338"/>
      <c r="AS14" s="344"/>
      <c r="AT14" s="340"/>
      <c r="AU14" s="356"/>
      <c r="AV14" s="357"/>
      <c r="AW14" s="357"/>
      <c r="AX14" s="358"/>
      <c r="AY14" s="356"/>
      <c r="AZ14" s="357"/>
      <c r="BA14" s="357"/>
      <c r="BB14" s="358"/>
      <c r="BC14" s="356"/>
      <c r="BD14" s="357"/>
      <c r="BE14" s="357"/>
      <c r="BF14" s="358"/>
      <c r="BG14" s="356"/>
      <c r="BH14" s="357"/>
      <c r="BI14" s="357"/>
      <c r="BJ14" s="358"/>
    </row>
    <row r="15" ht="15.75" customHeight="1">
      <c r="B15" s="316" t="s">
        <v>30</v>
      </c>
      <c r="C15" s="190">
        <f t="shared" ref="C15:AM15" si="42">SUM(C12:C14)</f>
        <v>26242704.1</v>
      </c>
      <c r="D15" s="359">
        <f t="shared" si="42"/>
        <v>0.3687313071</v>
      </c>
      <c r="E15" s="187">
        <f t="shared" si="42"/>
        <v>0</v>
      </c>
      <c r="F15" s="360" t="str">
        <f t="shared" si="42"/>
        <v>#DIV/0!</v>
      </c>
      <c r="G15" s="361">
        <f t="shared" si="42"/>
        <v>1964</v>
      </c>
      <c r="H15" s="320" t="str">
        <f t="shared" si="42"/>
        <v>#DIV/0!</v>
      </c>
      <c r="I15" s="362">
        <f t="shared" si="42"/>
        <v>0</v>
      </c>
      <c r="J15" s="321">
        <f t="shared" si="42"/>
        <v>0</v>
      </c>
      <c r="K15" s="319">
        <f t="shared" si="42"/>
        <v>26240740.1</v>
      </c>
      <c r="L15" s="359">
        <f t="shared" si="42"/>
        <v>0.3687037113</v>
      </c>
      <c r="M15" s="187">
        <f t="shared" si="42"/>
        <v>0</v>
      </c>
      <c r="N15" s="360" t="str">
        <f t="shared" si="42"/>
        <v>#DIV/0!</v>
      </c>
      <c r="O15" s="319">
        <f t="shared" si="42"/>
        <v>7065342.435</v>
      </c>
      <c r="P15" s="359">
        <f t="shared" si="42"/>
        <v>0.3579623166</v>
      </c>
      <c r="Q15" s="187">
        <f t="shared" si="42"/>
        <v>0</v>
      </c>
      <c r="R15" s="360" t="str">
        <f t="shared" si="42"/>
        <v>#DIV/0!</v>
      </c>
      <c r="S15" s="319">
        <f t="shared" si="42"/>
        <v>276483.3923</v>
      </c>
      <c r="T15" s="359">
        <f t="shared" si="42"/>
        <v>0.2415776029</v>
      </c>
      <c r="U15" s="187">
        <f t="shared" si="42"/>
        <v>0</v>
      </c>
      <c r="V15" s="360" t="str">
        <f t="shared" si="42"/>
        <v>#DIV/0!</v>
      </c>
      <c r="W15" s="319">
        <f t="shared" si="42"/>
        <v>5168010.491</v>
      </c>
      <c r="X15" s="359">
        <f t="shared" si="42"/>
        <v>0.3368751097</v>
      </c>
      <c r="Y15" s="187">
        <f t="shared" si="42"/>
        <v>0</v>
      </c>
      <c r="Z15" s="360" t="str">
        <f t="shared" si="42"/>
        <v>#DIV/0!</v>
      </c>
      <c r="AA15" s="319">
        <f t="shared" si="42"/>
        <v>3538955.962</v>
      </c>
      <c r="AB15" s="359">
        <f t="shared" si="42"/>
        <v>0.3996083994</v>
      </c>
      <c r="AC15" s="187">
        <f t="shared" si="42"/>
        <v>0</v>
      </c>
      <c r="AD15" s="360" t="str">
        <f t="shared" si="42"/>
        <v>#DIV/0!</v>
      </c>
      <c r="AE15" s="319">
        <f t="shared" si="42"/>
        <v>5822557.905</v>
      </c>
      <c r="AF15" s="359">
        <f t="shared" si="42"/>
        <v>0.3468056733</v>
      </c>
      <c r="AG15" s="187">
        <f t="shared" si="42"/>
        <v>0</v>
      </c>
      <c r="AH15" s="363" t="str">
        <f t="shared" si="42"/>
        <v>#DIV/0!</v>
      </c>
      <c r="AI15" s="364">
        <f t="shared" si="42"/>
        <v>144806</v>
      </c>
      <c r="AJ15" s="359">
        <f t="shared" si="42"/>
        <v>0.2604219975</v>
      </c>
      <c r="AK15" s="362">
        <f t="shared" si="42"/>
        <v>0</v>
      </c>
      <c r="AL15" s="321">
        <f t="shared" si="42"/>
        <v>0</v>
      </c>
      <c r="AM15" s="319">
        <f t="shared" si="42"/>
        <v>353110.2678</v>
      </c>
      <c r="AN15" s="320"/>
      <c r="AO15" s="362">
        <f>SUM(AO12:AO14)</f>
        <v>0</v>
      </c>
      <c r="AP15" s="321"/>
      <c r="AQ15" s="319">
        <f>SUM(AQ12:AQ13)</f>
        <v>3318859.09</v>
      </c>
      <c r="AR15" s="320"/>
      <c r="AS15" s="187">
        <f>SUM(AS12:AS14)</f>
        <v>0</v>
      </c>
      <c r="AT15" s="321"/>
      <c r="AU15" s="319">
        <f t="shared" ref="AU15:BJ15" si="43">SUM(AU12:AU14)</f>
        <v>388530.56</v>
      </c>
      <c r="AV15" s="187">
        <f t="shared" si="43"/>
        <v>0</v>
      </c>
      <c r="AW15" s="187">
        <f t="shared" si="43"/>
        <v>0</v>
      </c>
      <c r="AX15" s="365">
        <f t="shared" si="43"/>
        <v>0</v>
      </c>
      <c r="AY15" s="319">
        <f t="shared" si="43"/>
        <v>0</v>
      </c>
      <c r="AZ15" s="187">
        <f t="shared" si="43"/>
        <v>0</v>
      </c>
      <c r="BA15" s="187">
        <f t="shared" si="43"/>
        <v>0</v>
      </c>
      <c r="BB15" s="365">
        <f t="shared" si="43"/>
        <v>0</v>
      </c>
      <c r="BC15" s="319">
        <f t="shared" si="43"/>
        <v>0</v>
      </c>
      <c r="BD15" s="187">
        <f t="shared" si="43"/>
        <v>0</v>
      </c>
      <c r="BE15" s="187">
        <f t="shared" si="43"/>
        <v>0</v>
      </c>
      <c r="BF15" s="365">
        <f t="shared" si="43"/>
        <v>0</v>
      </c>
      <c r="BG15" s="319">
        <f t="shared" si="43"/>
        <v>164084</v>
      </c>
      <c r="BH15" s="187">
        <f t="shared" si="43"/>
        <v>0</v>
      </c>
      <c r="BI15" s="187">
        <f t="shared" si="43"/>
        <v>0</v>
      </c>
      <c r="BJ15" s="365">
        <f t="shared" si="43"/>
        <v>0</v>
      </c>
    </row>
    <row r="16" ht="15.75" customHeight="1">
      <c r="B16" s="366"/>
      <c r="C16" s="367"/>
      <c r="D16" s="368"/>
      <c r="E16" s="368"/>
      <c r="F16" s="369"/>
      <c r="G16" s="327"/>
      <c r="H16" s="328"/>
      <c r="I16" s="329"/>
      <c r="J16" s="330"/>
      <c r="K16" s="370"/>
      <c r="L16" s="368"/>
      <c r="M16" s="371"/>
      <c r="N16" s="369"/>
      <c r="O16" s="327"/>
      <c r="P16" s="328"/>
      <c r="Q16" s="328"/>
      <c r="R16" s="330"/>
      <c r="S16" s="327"/>
      <c r="T16" s="328"/>
      <c r="U16" s="328"/>
      <c r="V16" s="330"/>
      <c r="W16" s="327"/>
      <c r="X16" s="328"/>
      <c r="Y16" s="328"/>
      <c r="Z16" s="330"/>
      <c r="AA16" s="327"/>
      <c r="AB16" s="328"/>
      <c r="AC16" s="328"/>
      <c r="AD16" s="330"/>
      <c r="AE16" s="327"/>
      <c r="AF16" s="328"/>
      <c r="AG16" s="328"/>
      <c r="AH16" s="333"/>
      <c r="AI16" s="334"/>
      <c r="AJ16" s="328"/>
      <c r="AK16" s="328"/>
      <c r="AL16" s="330"/>
      <c r="AM16" s="327"/>
      <c r="AN16" s="328"/>
      <c r="AO16" s="328"/>
      <c r="AP16" s="330"/>
      <c r="AQ16" s="327"/>
      <c r="AR16" s="328"/>
      <c r="AS16" s="328"/>
      <c r="AT16" s="330"/>
      <c r="AU16" s="327"/>
      <c r="AV16" s="328"/>
      <c r="AW16" s="328"/>
      <c r="AX16" s="330"/>
      <c r="AY16" s="327"/>
      <c r="AZ16" s="328"/>
      <c r="BA16" s="328"/>
      <c r="BB16" s="330"/>
      <c r="BC16" s="327"/>
      <c r="BD16" s="328"/>
      <c r="BE16" s="328"/>
      <c r="BF16" s="330"/>
      <c r="BG16" s="327"/>
      <c r="BH16" s="328"/>
      <c r="BI16" s="328"/>
      <c r="BJ16" s="330"/>
    </row>
    <row r="17" ht="15.75" customHeight="1">
      <c r="A17" s="372"/>
      <c r="B17" s="316" t="s">
        <v>32</v>
      </c>
      <c r="C17" s="190">
        <f>C10-C15</f>
        <v>44927558.9</v>
      </c>
      <c r="D17" s="359">
        <f>C17/C$10</f>
        <v>0.6312686929</v>
      </c>
      <c r="E17" s="187">
        <f>E10-E15</f>
        <v>0</v>
      </c>
      <c r="F17" s="360" t="str">
        <f>E17/E$10</f>
        <v>#DIV/0!</v>
      </c>
      <c r="G17" s="319">
        <f>G10-G15</f>
        <v>-1964</v>
      </c>
      <c r="H17" s="359" t="str">
        <f>G17/G$10</f>
        <v>#DIV/0!</v>
      </c>
      <c r="I17" s="187">
        <f>I10-I15</f>
        <v>0</v>
      </c>
      <c r="J17" s="321"/>
      <c r="K17" s="319">
        <f>K10-K15</f>
        <v>44929522.9</v>
      </c>
      <c r="L17" s="359">
        <f>K17/K$10</f>
        <v>0.6312962887</v>
      </c>
      <c r="M17" s="187">
        <f>Q17+U17+Y17+AC17+AG17+AK17+AO17+AS17+AW17+BA17+BE17+BI17</f>
        <v>0</v>
      </c>
      <c r="N17" s="360" t="str">
        <f>M17/M$10</f>
        <v>#DIV/0!</v>
      </c>
      <c r="O17" s="319">
        <f>O10-O15</f>
        <v>12672328.56</v>
      </c>
      <c r="P17" s="359">
        <f>O17/O$10</f>
        <v>0.6420376834</v>
      </c>
      <c r="Q17" s="187">
        <f>Q10-Q15</f>
        <v>0</v>
      </c>
      <c r="R17" s="360" t="str">
        <f>Q17/Q$10</f>
        <v>#DIV/0!</v>
      </c>
      <c r="S17" s="319">
        <f>S10-S15</f>
        <v>868007.6077</v>
      </c>
      <c r="T17" s="359">
        <f>S17/S$10</f>
        <v>0.7584223971</v>
      </c>
      <c r="U17" s="187">
        <f>U10-U15</f>
        <v>0</v>
      </c>
      <c r="V17" s="360" t="str">
        <f>U17/U$10</f>
        <v>#DIV/0!</v>
      </c>
      <c r="W17" s="319">
        <f>W10-W15</f>
        <v>10173017.51</v>
      </c>
      <c r="X17" s="359">
        <f>W17/W$10</f>
        <v>0.6631248903</v>
      </c>
      <c r="Y17" s="187">
        <f>Y10-Y15</f>
        <v>0</v>
      </c>
      <c r="Z17" s="360" t="str">
        <f>Y17/Y$10</f>
        <v>#DIV/0!</v>
      </c>
      <c r="AA17" s="319">
        <f>AA10-AA15</f>
        <v>5317104.038</v>
      </c>
      <c r="AB17" s="359">
        <f>AA17/AA$10</f>
        <v>0.6003916006</v>
      </c>
      <c r="AC17" s="187">
        <f>AC10-AC15</f>
        <v>0</v>
      </c>
      <c r="AD17" s="360" t="str">
        <f>AC17/AC$10</f>
        <v>#DIV/0!</v>
      </c>
      <c r="AE17" s="319">
        <f>AE10-AE15</f>
        <v>10966550.1</v>
      </c>
      <c r="AF17" s="359">
        <f>AE17/AE$10</f>
        <v>0.6531943267</v>
      </c>
      <c r="AG17" s="187">
        <f>AG10-AG15</f>
        <v>0</v>
      </c>
      <c r="AH17" s="363" t="str">
        <f>AG17/AG$10</f>
        <v>#DIV/0!</v>
      </c>
      <c r="AI17" s="190">
        <f>AI10-AI15</f>
        <v>365197</v>
      </c>
      <c r="AJ17" s="359">
        <f>AI17/AI$10</f>
        <v>0.7160683369</v>
      </c>
      <c r="AK17" s="187">
        <f>AK10-AK15</f>
        <v>0</v>
      </c>
      <c r="AL17" s="321"/>
      <c r="AM17" s="319">
        <f>AM10-AM15</f>
        <v>-26727.26776</v>
      </c>
      <c r="AN17" s="320"/>
      <c r="AO17" s="187">
        <f>AO10-AO15</f>
        <v>0</v>
      </c>
      <c r="AP17" s="321"/>
      <c r="AQ17" s="319">
        <f>AQ10-AQ15</f>
        <v>4301619.91</v>
      </c>
      <c r="AR17" s="320"/>
      <c r="AS17" s="187">
        <f>AS10-AS15</f>
        <v>0</v>
      </c>
      <c r="AT17" s="321"/>
      <c r="AU17" s="319">
        <f t="shared" ref="AU17:BJ17" si="44">AU10-AU15</f>
        <v>-82642.55999</v>
      </c>
      <c r="AV17" s="187">
        <f t="shared" si="44"/>
        <v>0</v>
      </c>
      <c r="AW17" s="187">
        <f t="shared" si="44"/>
        <v>0</v>
      </c>
      <c r="AX17" s="365">
        <f t="shared" si="44"/>
        <v>0</v>
      </c>
      <c r="AY17" s="319">
        <f t="shared" si="44"/>
        <v>0</v>
      </c>
      <c r="AZ17" s="187">
        <f t="shared" si="44"/>
        <v>0</v>
      </c>
      <c r="BA17" s="187">
        <f t="shared" si="44"/>
        <v>0</v>
      </c>
      <c r="BB17" s="365">
        <f t="shared" si="44"/>
        <v>0</v>
      </c>
      <c r="BC17" s="319">
        <f t="shared" si="44"/>
        <v>0</v>
      </c>
      <c r="BD17" s="187">
        <f t="shared" si="44"/>
        <v>0</v>
      </c>
      <c r="BE17" s="187">
        <f t="shared" si="44"/>
        <v>0</v>
      </c>
      <c r="BF17" s="365">
        <f t="shared" si="44"/>
        <v>0</v>
      </c>
      <c r="BG17" s="319">
        <f t="shared" si="44"/>
        <v>375068</v>
      </c>
      <c r="BH17" s="187">
        <f t="shared" si="44"/>
        <v>0</v>
      </c>
      <c r="BI17" s="187">
        <f t="shared" si="44"/>
        <v>0</v>
      </c>
      <c r="BJ17" s="365">
        <f t="shared" si="44"/>
        <v>0</v>
      </c>
    </row>
    <row r="18" ht="15.75" customHeight="1">
      <c r="B18" s="373"/>
      <c r="C18" s="374"/>
      <c r="D18" s="375"/>
      <c r="E18" s="375"/>
      <c r="F18" s="376"/>
      <c r="G18" s="377"/>
      <c r="H18" s="281"/>
      <c r="I18" s="287"/>
      <c r="J18" s="283"/>
      <c r="K18" s="378"/>
      <c r="L18" s="375"/>
      <c r="M18" s="379"/>
      <c r="N18" s="376"/>
      <c r="O18" s="285"/>
      <c r="P18" s="281"/>
      <c r="Q18" s="281"/>
      <c r="R18" s="283"/>
      <c r="S18" s="377"/>
      <c r="T18" s="281"/>
      <c r="U18" s="281"/>
      <c r="V18" s="283"/>
      <c r="W18" s="377"/>
      <c r="X18" s="281"/>
      <c r="Y18" s="281"/>
      <c r="Z18" s="283"/>
      <c r="AA18" s="377"/>
      <c r="AB18" s="281"/>
      <c r="AC18" s="281"/>
      <c r="AD18" s="283"/>
      <c r="AE18" s="377"/>
      <c r="AF18" s="281"/>
      <c r="AG18" s="281"/>
      <c r="AH18" s="380"/>
      <c r="AI18" s="381"/>
      <c r="AJ18" s="281"/>
      <c r="AK18" s="281"/>
      <c r="AL18" s="283"/>
      <c r="AM18" s="285"/>
      <c r="AN18" s="281"/>
      <c r="AO18" s="281"/>
      <c r="AP18" s="283"/>
      <c r="AQ18" s="377"/>
      <c r="AR18" s="281"/>
      <c r="AS18" s="281"/>
      <c r="AT18" s="283"/>
      <c r="AU18" s="377"/>
      <c r="AV18" s="281"/>
      <c r="AW18" s="281"/>
      <c r="AX18" s="283"/>
      <c r="AY18" s="377"/>
      <c r="AZ18" s="281"/>
      <c r="BA18" s="281"/>
      <c r="BB18" s="283"/>
      <c r="BC18" s="377"/>
      <c r="BD18" s="281"/>
      <c r="BE18" s="281"/>
      <c r="BF18" s="283"/>
      <c r="BG18" s="377"/>
      <c r="BH18" s="281"/>
      <c r="BI18" s="281"/>
      <c r="BJ18" s="283"/>
    </row>
    <row r="19" ht="15.75" customHeight="1">
      <c r="B19" s="291" t="s">
        <v>33</v>
      </c>
      <c r="C19" s="292">
        <f t="shared" ref="C19:C28" si="45">G19+K19</f>
        <v>2036408.9</v>
      </c>
      <c r="D19" s="293">
        <f t="shared" ref="D19:D29" si="46">C19/C$10</f>
        <v>0.02861319903</v>
      </c>
      <c r="E19" s="294">
        <f t="shared" ref="E19:E29" si="47">I19+M19</f>
        <v>0</v>
      </c>
      <c r="F19" s="295" t="str">
        <f t="shared" ref="F19:F29" si="48">E19/E$10</f>
        <v>#DIV/0!</v>
      </c>
      <c r="G19" s="300">
        <f>HO!P43</f>
        <v>49594</v>
      </c>
      <c r="H19" s="258" t="str">
        <f t="shared" ref="H19:H29" si="49">G19/G$10</f>
        <v>#DIV/0!</v>
      </c>
      <c r="I19" s="258" t="str">
        <f>HO!R43</f>
        <v/>
      </c>
      <c r="J19" s="298"/>
      <c r="K19" s="299">
        <f t="shared" ref="K19:K28" si="50">O19+S19+W19+AA19+AE19+AI19+AM19+AQ19+AU19+AY19+BC19+BG19</f>
        <v>1986814.9</v>
      </c>
      <c r="L19" s="293">
        <f t="shared" ref="L19:L29" si="51">K19/K$10</f>
        <v>0.02791636305</v>
      </c>
      <c r="M19" s="294">
        <f t="shared" ref="M19:M28" si="52">Q19+U19+Y19+AC19+AG19+AK19+AO19+AS19+AW19+BA19+BE19+BI19</f>
        <v>0</v>
      </c>
      <c r="N19" s="295" t="str">
        <f t="shared" ref="N19:N29" si="53">M19/M$10</f>
        <v>#DIV/0!</v>
      </c>
      <c r="O19" s="300">
        <f>'The Table'!P51</f>
        <v>492876</v>
      </c>
      <c r="P19" s="301">
        <f t="shared" ref="P19:P29" si="54">O19/O$10</f>
        <v>0.02497133527</v>
      </c>
      <c r="Q19" s="258">
        <f>'The Table'!R51</f>
        <v>0</v>
      </c>
      <c r="R19" s="302" t="str">
        <f t="shared" ref="R19:R29" si="55">Q19/Q$10</f>
        <v>#DIV/0!</v>
      </c>
      <c r="S19" s="300">
        <f>Iktara!P52</f>
        <v>73781</v>
      </c>
      <c r="T19" s="301">
        <f t="shared" ref="T19:T29" si="56">S19/S$10</f>
        <v>0.06446621249</v>
      </c>
      <c r="U19" s="258">
        <f>Iktara!R52</f>
        <v>0</v>
      </c>
      <c r="V19" s="302" t="str">
        <f t="shared" ref="V19:V29" si="57">U19/U$10</f>
        <v>#DIV/0!</v>
      </c>
      <c r="W19" s="300">
        <f>'Mg St Colaba'!P60</f>
        <v>421532</v>
      </c>
      <c r="X19" s="301">
        <f t="shared" ref="X19:X29" si="58">W19/W$10</f>
        <v>0.0274774285</v>
      </c>
      <c r="Y19" s="258">
        <f>'Mg St Colaba'!R60</f>
        <v>0</v>
      </c>
      <c r="Z19" s="302" t="str">
        <f t="shared" ref="Z19:Z29" si="59">Y19/Y$10</f>
        <v>#DIV/0!</v>
      </c>
      <c r="AA19" s="300">
        <f>'Mg St LP'!P61</f>
        <v>269833</v>
      </c>
      <c r="AB19" s="301">
        <f t="shared" ref="AB19:AB29" si="60">AA19/AA$10</f>
        <v>0.03046874118</v>
      </c>
      <c r="AC19" s="258">
        <f>'Mg St LP'!R61</f>
        <v>0</v>
      </c>
      <c r="AD19" s="302" t="str">
        <f t="shared" ref="AD19:AD29" si="61">AC19/AC$10</f>
        <v>#DIV/0!</v>
      </c>
      <c r="AE19" s="300">
        <f>'Mg St Bandra'!P58</f>
        <v>344770</v>
      </c>
      <c r="AF19" s="301">
        <f t="shared" ref="AF19:AF29" si="62">AE19/AE$10</f>
        <v>0.02053533755</v>
      </c>
      <c r="AG19" s="258">
        <f>'Mg St Bandra'!R58</f>
        <v>0</v>
      </c>
      <c r="AH19" s="303" t="str">
        <f t="shared" ref="AH19:AH29" si="63">AG19/AG$10</f>
        <v>#DIV/0!</v>
      </c>
      <c r="AI19" s="304">
        <f>'MSK Events'!P59</f>
        <v>44211</v>
      </c>
      <c r="AJ19" s="301">
        <f t="shared" ref="AJ19:AJ28" si="64">AI19/AI$10</f>
        <v>0.08668772537</v>
      </c>
      <c r="AK19" s="258">
        <f>'MSK Events'!R59</f>
        <v>0</v>
      </c>
      <c r="AL19" s="302" t="str">
        <f t="shared" ref="AL19:AL28" si="65">AK19/AK$10</f>
        <v>#DIV/0!</v>
      </c>
      <c r="AM19" s="300">
        <f>MSBC!P59</f>
        <v>39407</v>
      </c>
      <c r="AN19" s="301">
        <f t="shared" ref="AN19:AN29" si="66">AM19/AM$10</f>
        <v>0.1207385189</v>
      </c>
      <c r="AO19" s="258">
        <f>MSBC!R59</f>
        <v>0</v>
      </c>
      <c r="AP19" s="302" t="str">
        <f t="shared" ref="AP19:AP29" si="67">AO19/AO$10</f>
        <v>#DIV/0!</v>
      </c>
      <c r="AQ19" s="300">
        <f>Kaspers!P62</f>
        <v>257745</v>
      </c>
      <c r="AR19" s="257"/>
      <c r="AS19" s="258">
        <f>Kaspers!R62</f>
        <v>0</v>
      </c>
      <c r="AT19" s="298"/>
      <c r="AU19" s="300">
        <f>'MSBC Andheri'!P58</f>
        <v>39406.9</v>
      </c>
      <c r="AV19" s="257"/>
      <c r="AW19" s="258">
        <f>'MSBC Andheri'!R58</f>
        <v>0</v>
      </c>
      <c r="AX19" s="298"/>
      <c r="AY19" s="300">
        <f>'MSBC Dahisar'!P55</f>
        <v>0</v>
      </c>
      <c r="AZ19" s="257"/>
      <c r="BA19" s="258">
        <f>'MSBC Dahisar'!R55</f>
        <v>0</v>
      </c>
      <c r="BB19" s="298"/>
      <c r="BC19" s="300">
        <f>'MSBC Juhu  Goregoan'!P60</f>
        <v>0</v>
      </c>
      <c r="BD19" s="257"/>
      <c r="BE19" s="258">
        <f>'MSBC Juhu  Goregoan'!R60</f>
        <v>0</v>
      </c>
      <c r="BF19" s="298"/>
      <c r="BG19" s="300">
        <f>'LOUD MOUTH'!P51</f>
        <v>3253</v>
      </c>
      <c r="BH19" s="257"/>
      <c r="BI19" s="258">
        <f>'LOUD MOUTH'!R51</f>
        <v>0</v>
      </c>
      <c r="BJ19" s="298"/>
    </row>
    <row r="20" ht="15.75" customHeight="1">
      <c r="B20" s="291" t="s">
        <v>34</v>
      </c>
      <c r="C20" s="292">
        <f t="shared" si="45"/>
        <v>720790.64</v>
      </c>
      <c r="D20" s="293">
        <f t="shared" si="46"/>
        <v>0.01012769392</v>
      </c>
      <c r="E20" s="294">
        <f t="shared" si="47"/>
        <v>0</v>
      </c>
      <c r="F20" s="295" t="str">
        <f t="shared" si="48"/>
        <v>#DIV/0!</v>
      </c>
      <c r="G20" s="300">
        <f>HO!P52</f>
        <v>53100</v>
      </c>
      <c r="H20" s="258" t="str">
        <f t="shared" si="49"/>
        <v>#DIV/0!</v>
      </c>
      <c r="I20" s="258">
        <f>HO!R52</f>
        <v>0</v>
      </c>
      <c r="J20" s="298"/>
      <c r="K20" s="299">
        <f t="shared" si="50"/>
        <v>667690.64</v>
      </c>
      <c r="L20" s="293">
        <f t="shared" si="51"/>
        <v>0.009381595794</v>
      </c>
      <c r="M20" s="294">
        <f t="shared" si="52"/>
        <v>0</v>
      </c>
      <c r="N20" s="295" t="str">
        <f t="shared" si="53"/>
        <v>#DIV/0!</v>
      </c>
      <c r="O20" s="300">
        <f>'The Table'!P60</f>
        <v>0</v>
      </c>
      <c r="P20" s="301">
        <f t="shared" si="54"/>
        <v>0</v>
      </c>
      <c r="Q20" s="258">
        <f>'The Table'!R60</f>
        <v>0</v>
      </c>
      <c r="R20" s="302" t="str">
        <f t="shared" si="55"/>
        <v>#DIV/0!</v>
      </c>
      <c r="S20" s="300">
        <f>Iktara!P54</f>
        <v>87846</v>
      </c>
      <c r="T20" s="301">
        <f t="shared" si="56"/>
        <v>0.07675551839</v>
      </c>
      <c r="U20" s="258">
        <f>Iktara!R54</f>
        <v>0</v>
      </c>
      <c r="V20" s="302" t="str">
        <f t="shared" si="57"/>
        <v>#DIV/0!</v>
      </c>
      <c r="W20" s="300">
        <f>'Mg St Colaba'!P69</f>
        <v>202371</v>
      </c>
      <c r="X20" s="301">
        <f t="shared" si="58"/>
        <v>0.01319148886</v>
      </c>
      <c r="Y20" s="258">
        <f>'Mg St Colaba'!R69</f>
        <v>0</v>
      </c>
      <c r="Z20" s="302" t="str">
        <f t="shared" si="59"/>
        <v>#DIV/0!</v>
      </c>
      <c r="AA20" s="300">
        <f>'Mg St LP'!P63</f>
        <v>97750</v>
      </c>
      <c r="AB20" s="301">
        <f t="shared" si="60"/>
        <v>0.01103763976</v>
      </c>
      <c r="AC20" s="258">
        <f>'Mg St LP'!R63</f>
        <v>0</v>
      </c>
      <c r="AD20" s="302" t="str">
        <f t="shared" si="61"/>
        <v>#DIV/0!</v>
      </c>
      <c r="AE20" s="300">
        <f>'Mg St Bandra'!P70</f>
        <v>103111</v>
      </c>
      <c r="AF20" s="301">
        <f t="shared" si="62"/>
        <v>0.00614154129</v>
      </c>
      <c r="AG20" s="258">
        <f>'Mg St Bandra'!R70</f>
        <v>0</v>
      </c>
      <c r="AH20" s="303" t="str">
        <f t="shared" si="63"/>
        <v>#DIV/0!</v>
      </c>
      <c r="AI20" s="304">
        <f>'MSK Events'!P70</f>
        <v>0</v>
      </c>
      <c r="AJ20" s="301">
        <f t="shared" si="64"/>
        <v>0</v>
      </c>
      <c r="AK20" s="258">
        <f>'MSK Events'!R70</f>
        <v>0</v>
      </c>
      <c r="AL20" s="302" t="str">
        <f t="shared" si="65"/>
        <v>#DIV/0!</v>
      </c>
      <c r="AM20" s="300">
        <f>MSBC!P61</f>
        <v>42165</v>
      </c>
      <c r="AN20" s="301">
        <f t="shared" si="66"/>
        <v>0.1291887139</v>
      </c>
      <c r="AO20" s="258">
        <f>MSBC!R61</f>
        <v>0</v>
      </c>
      <c r="AP20" s="302" t="str">
        <f t="shared" si="67"/>
        <v>#DIV/0!</v>
      </c>
      <c r="AQ20" s="300">
        <f>Kaspers!P65</f>
        <v>0</v>
      </c>
      <c r="AR20" s="257"/>
      <c r="AS20" s="258">
        <f>Kaspers!R65</f>
        <v>0</v>
      </c>
      <c r="AT20" s="298"/>
      <c r="AU20" s="300">
        <f>'MSBC Andheri'!P70</f>
        <v>67967.64</v>
      </c>
      <c r="AV20" s="257"/>
      <c r="AW20" s="258">
        <f>'MSBC Andheri'!R70</f>
        <v>0</v>
      </c>
      <c r="AX20" s="298"/>
      <c r="AY20" s="300">
        <f>'MSBC Dahisar'!P57</f>
        <v>0</v>
      </c>
      <c r="AZ20" s="257"/>
      <c r="BA20" s="258">
        <f>'MSBC Dahisar'!R57</f>
        <v>0</v>
      </c>
      <c r="BB20" s="298"/>
      <c r="BC20" s="300">
        <f>'MSBC Juhu  Goregoan'!P72</f>
        <v>0</v>
      </c>
      <c r="BD20" s="257"/>
      <c r="BE20" s="258">
        <f>'MSBC Juhu  Goregoan'!R72</f>
        <v>0</v>
      </c>
      <c r="BF20" s="298"/>
      <c r="BG20" s="300">
        <f>'LOUD MOUTH'!P54</f>
        <v>66480</v>
      </c>
      <c r="BH20" s="257"/>
      <c r="BI20" s="258">
        <f>'LOUD MOUTH'!R54</f>
        <v>0</v>
      </c>
      <c r="BJ20" s="298"/>
    </row>
    <row r="21" ht="15.75" customHeight="1">
      <c r="B21" s="291" t="s">
        <v>35</v>
      </c>
      <c r="C21" s="292">
        <f t="shared" si="45"/>
        <v>1936133.85</v>
      </c>
      <c r="D21" s="293">
        <f t="shared" si="46"/>
        <v>0.02720425313</v>
      </c>
      <c r="E21" s="294" t="str">
        <f t="shared" si="47"/>
        <v>#REF!</v>
      </c>
      <c r="F21" s="295" t="str">
        <f t="shared" si="48"/>
        <v>#REF!</v>
      </c>
      <c r="G21" s="300">
        <f>HO!P63</f>
        <v>0</v>
      </c>
      <c r="H21" s="258" t="str">
        <f t="shared" si="49"/>
        <v>#DIV/0!</v>
      </c>
      <c r="I21" s="258">
        <f>HO!R63</f>
        <v>0</v>
      </c>
      <c r="J21" s="298"/>
      <c r="K21" s="299">
        <f t="shared" si="50"/>
        <v>1936133.85</v>
      </c>
      <c r="L21" s="293">
        <f t="shared" si="51"/>
        <v>0.02720425313</v>
      </c>
      <c r="M21" s="294" t="str">
        <f t="shared" si="52"/>
        <v>#REF!</v>
      </c>
      <c r="N21" s="295" t="str">
        <f t="shared" si="53"/>
        <v>#REF!</v>
      </c>
      <c r="O21" s="300">
        <f>'The Table'!P69</f>
        <v>79188</v>
      </c>
      <c r="P21" s="301">
        <f t="shared" si="54"/>
        <v>0.004012023506</v>
      </c>
      <c r="Q21" s="258">
        <f>'The Table'!R69</f>
        <v>0</v>
      </c>
      <c r="R21" s="302" t="str">
        <f t="shared" si="55"/>
        <v>#DIV/0!</v>
      </c>
      <c r="S21" s="300">
        <f>Iktara!P64</f>
        <v>91952</v>
      </c>
      <c r="T21" s="301">
        <f t="shared" si="56"/>
        <v>0.08034313944</v>
      </c>
      <c r="U21" s="258" t="str">
        <f>Iktara!R64</f>
        <v/>
      </c>
      <c r="V21" s="302" t="str">
        <f t="shared" si="57"/>
        <v>#DIV/0!</v>
      </c>
      <c r="W21" s="300">
        <f>'Mg St Colaba'!P81</f>
        <v>421948</v>
      </c>
      <c r="X21" s="301">
        <f t="shared" si="58"/>
        <v>0.02750454533</v>
      </c>
      <c r="Y21" s="258" t="str">
        <f>'Mg St Colaba'!R81</f>
        <v>#REF!</v>
      </c>
      <c r="Z21" s="302" t="str">
        <f t="shared" si="59"/>
        <v>#REF!</v>
      </c>
      <c r="AA21" s="300">
        <f>'Mg St LP'!P76</f>
        <v>601258</v>
      </c>
      <c r="AB21" s="301">
        <f t="shared" si="60"/>
        <v>0.06789226812</v>
      </c>
      <c r="AC21" s="258">
        <f>'Mg St LP'!R76</f>
        <v>0</v>
      </c>
      <c r="AD21" s="302" t="str">
        <f t="shared" si="61"/>
        <v>#DIV/0!</v>
      </c>
      <c r="AE21" s="300">
        <f>'Mg St Bandra'!P81</f>
        <v>573147</v>
      </c>
      <c r="AF21" s="301">
        <f t="shared" si="62"/>
        <v>0.03413802568</v>
      </c>
      <c r="AG21" s="258">
        <f>'Mg St Bandra'!R81</f>
        <v>0</v>
      </c>
      <c r="AH21" s="303" t="str">
        <f t="shared" si="63"/>
        <v>#DIV/0!</v>
      </c>
      <c r="AI21" s="304">
        <f>'MSK Events'!P77</f>
        <v>0</v>
      </c>
      <c r="AJ21" s="301">
        <f t="shared" si="64"/>
        <v>0</v>
      </c>
      <c r="AK21" s="258">
        <f>'MSK Events'!R77</f>
        <v>0</v>
      </c>
      <c r="AL21" s="302" t="str">
        <f t="shared" si="65"/>
        <v>#DIV/0!</v>
      </c>
      <c r="AM21" s="300">
        <f>MSBC!P69</f>
        <v>25860</v>
      </c>
      <c r="AN21" s="301">
        <f t="shared" si="66"/>
        <v>0.07923206785</v>
      </c>
      <c r="AO21" s="258">
        <f>MSBC!R69</f>
        <v>0</v>
      </c>
      <c r="AP21" s="302" t="str">
        <f t="shared" si="67"/>
        <v>#DIV/0!</v>
      </c>
      <c r="AQ21" s="300">
        <f>Kaspers!P73</f>
        <v>0</v>
      </c>
      <c r="AR21" s="257"/>
      <c r="AS21" s="258">
        <f>Kaspers!R73</f>
        <v>0</v>
      </c>
      <c r="AT21" s="298"/>
      <c r="AU21" s="300">
        <f>'MSBC Andheri'!P78</f>
        <v>81074.85</v>
      </c>
      <c r="AV21" s="257"/>
      <c r="AW21" s="258">
        <f>'MSBC Andheri'!R78</f>
        <v>0</v>
      </c>
      <c r="AX21" s="298"/>
      <c r="AY21" s="300">
        <f>'MSBC Dahisar'!P65</f>
        <v>0</v>
      </c>
      <c r="AZ21" s="257"/>
      <c r="BA21" s="258">
        <f>'MSBC Dahisar'!R65</f>
        <v>0</v>
      </c>
      <c r="BB21" s="298"/>
      <c r="BC21" s="300">
        <f>'MSBC Juhu  Goregoan'!P80</f>
        <v>0</v>
      </c>
      <c r="BD21" s="257"/>
      <c r="BE21" s="258">
        <f>'MSBC Juhu  Goregoan'!R80</f>
        <v>0</v>
      </c>
      <c r="BF21" s="298"/>
      <c r="BG21" s="300">
        <f>'LOUD MOUTH'!P63</f>
        <v>61706</v>
      </c>
      <c r="BH21" s="257"/>
      <c r="BI21" s="258">
        <f>'LOUD MOUTH'!R63</f>
        <v>0</v>
      </c>
      <c r="BJ21" s="298"/>
    </row>
    <row r="22" ht="15.75" customHeight="1">
      <c r="B22" s="291" t="s">
        <v>36</v>
      </c>
      <c r="C22" s="292">
        <f t="shared" si="45"/>
        <v>9224053</v>
      </c>
      <c r="D22" s="293">
        <f t="shared" si="46"/>
        <v>0.1296054365</v>
      </c>
      <c r="E22" s="294">
        <f t="shared" si="47"/>
        <v>0</v>
      </c>
      <c r="F22" s="295" t="str">
        <f t="shared" si="48"/>
        <v>#DIV/0!</v>
      </c>
      <c r="G22" s="300">
        <f>HO!P70</f>
        <v>857475</v>
      </c>
      <c r="H22" s="258" t="str">
        <f t="shared" si="49"/>
        <v>#DIV/0!</v>
      </c>
      <c r="I22" s="258">
        <f>HO!R70</f>
        <v>0</v>
      </c>
      <c r="J22" s="298"/>
      <c r="K22" s="299">
        <f t="shared" si="50"/>
        <v>8366578</v>
      </c>
      <c r="L22" s="293">
        <f t="shared" si="51"/>
        <v>0.1175572163</v>
      </c>
      <c r="M22" s="294">
        <f t="shared" si="52"/>
        <v>0</v>
      </c>
      <c r="N22" s="295" t="str">
        <f t="shared" si="53"/>
        <v>#DIV/0!</v>
      </c>
      <c r="O22" s="300">
        <f>'The Table'!P75</f>
        <v>2107105</v>
      </c>
      <c r="P22" s="301">
        <f t="shared" si="54"/>
        <v>0.1067555032</v>
      </c>
      <c r="Q22" s="258">
        <f>'The Table'!R75</f>
        <v>0</v>
      </c>
      <c r="R22" s="302" t="str">
        <f t="shared" si="55"/>
        <v>#DIV/0!</v>
      </c>
      <c r="S22" s="300">
        <f>Iktara!P70</f>
        <v>87170</v>
      </c>
      <c r="T22" s="301">
        <f t="shared" si="56"/>
        <v>0.07616486281</v>
      </c>
      <c r="U22" s="258" t="str">
        <f>Iktara!R70</f>
        <v/>
      </c>
      <c r="V22" s="302" t="str">
        <f t="shared" si="57"/>
        <v>#DIV/0!</v>
      </c>
      <c r="W22" s="300">
        <f>'Mg St Colaba'!P88</f>
        <v>1975241</v>
      </c>
      <c r="X22" s="301">
        <f t="shared" si="58"/>
        <v>0.1287554524</v>
      </c>
      <c r="Y22" s="258">
        <f>'Mg St Colaba'!R88</f>
        <v>0</v>
      </c>
      <c r="Z22" s="302" t="str">
        <f t="shared" si="59"/>
        <v>#DIV/0!</v>
      </c>
      <c r="AA22" s="300">
        <f>'Mg St LP'!P83</f>
        <v>1073951</v>
      </c>
      <c r="AB22" s="301">
        <f t="shared" si="60"/>
        <v>0.1212673582</v>
      </c>
      <c r="AC22" s="258">
        <f>'Mg St LP'!R83</f>
        <v>0</v>
      </c>
      <c r="AD22" s="302" t="str">
        <f t="shared" si="61"/>
        <v>#DIV/0!</v>
      </c>
      <c r="AE22" s="300">
        <f>'Mg St Bandra'!P88</f>
        <v>1737153</v>
      </c>
      <c r="AF22" s="301">
        <f t="shared" si="62"/>
        <v>0.1034690467</v>
      </c>
      <c r="AG22" s="258">
        <f>'Mg St Bandra'!R88</f>
        <v>0</v>
      </c>
      <c r="AH22" s="303" t="str">
        <f t="shared" si="63"/>
        <v>#DIV/0!</v>
      </c>
      <c r="AI22" s="304">
        <f>'MSK Events'!P84</f>
        <v>252141</v>
      </c>
      <c r="AJ22" s="301">
        <f t="shared" si="64"/>
        <v>0.4943912095</v>
      </c>
      <c r="AK22" s="258">
        <f>'MSK Events'!R84</f>
        <v>0</v>
      </c>
      <c r="AL22" s="302" t="str">
        <f t="shared" si="65"/>
        <v>#DIV/0!</v>
      </c>
      <c r="AM22" s="300">
        <f>MSBC!P75</f>
        <v>223658</v>
      </c>
      <c r="AN22" s="301">
        <f t="shared" si="66"/>
        <v>0.6852624064</v>
      </c>
      <c r="AO22" s="258">
        <f>MSBC!R75</f>
        <v>0</v>
      </c>
      <c r="AP22" s="302" t="str">
        <f t="shared" si="67"/>
        <v>#DIV/0!</v>
      </c>
      <c r="AQ22" s="300">
        <f>Kaspers!P80</f>
        <v>910159</v>
      </c>
      <c r="AR22" s="257"/>
      <c r="AS22" s="258">
        <f>Kaspers!R80</f>
        <v>0</v>
      </c>
      <c r="AT22" s="298"/>
      <c r="AU22" s="300">
        <f>'MSBC Andheri'!P87</f>
        <v>0</v>
      </c>
      <c r="AV22" s="257"/>
      <c r="AW22" s="258">
        <f>'MSBC Andheri'!R87</f>
        <v>0</v>
      </c>
      <c r="AX22" s="298"/>
      <c r="AY22" s="300">
        <f>'MSBC Dahisar'!P74</f>
        <v>0</v>
      </c>
      <c r="AZ22" s="257"/>
      <c r="BA22" s="258">
        <f>'MSBC Dahisar'!R74</f>
        <v>0</v>
      </c>
      <c r="BB22" s="298"/>
      <c r="BC22" s="300">
        <f>'MSBC Juhu  Goregoan'!P87</f>
        <v>0</v>
      </c>
      <c r="BD22" s="257"/>
      <c r="BE22" s="258">
        <v>0.0</v>
      </c>
      <c r="BF22" s="298"/>
      <c r="BG22" s="300">
        <f>'LOUD MOUTH'!P70</f>
        <v>0</v>
      </c>
      <c r="BH22" s="257"/>
      <c r="BI22" s="258">
        <f>'LOUD MOUTH'!R70</f>
        <v>0</v>
      </c>
      <c r="BJ22" s="298"/>
    </row>
    <row r="23" ht="15.75" customHeight="1">
      <c r="B23" s="291" t="s">
        <v>37</v>
      </c>
      <c r="C23" s="292">
        <f t="shared" si="45"/>
        <v>23211349.35</v>
      </c>
      <c r="D23" s="293">
        <f t="shared" si="46"/>
        <v>0.3261383107</v>
      </c>
      <c r="E23" s="294">
        <f t="shared" si="47"/>
        <v>0</v>
      </c>
      <c r="F23" s="295" t="str">
        <f t="shared" si="48"/>
        <v>#DIV/0!</v>
      </c>
      <c r="G23" s="300">
        <f>HO!P76</f>
        <v>4055310.08</v>
      </c>
      <c r="H23" s="258" t="str">
        <f t="shared" si="49"/>
        <v>#DIV/0!</v>
      </c>
      <c r="I23" s="258">
        <f>HO!R76</f>
        <v>0</v>
      </c>
      <c r="J23" s="298"/>
      <c r="K23" s="299">
        <f t="shared" si="50"/>
        <v>19156039.27</v>
      </c>
      <c r="L23" s="293">
        <f t="shared" si="51"/>
        <v>0.2691579104</v>
      </c>
      <c r="M23" s="294">
        <f t="shared" si="52"/>
        <v>0</v>
      </c>
      <c r="N23" s="295" t="str">
        <f t="shared" si="53"/>
        <v>#DIV/0!</v>
      </c>
      <c r="O23" s="300">
        <f>'The Table'!P81</f>
        <v>4827862.27</v>
      </c>
      <c r="P23" s="301">
        <f t="shared" si="54"/>
        <v>0.2446014157</v>
      </c>
      <c r="Q23" s="258">
        <f>'The Table'!R81</f>
        <v>0</v>
      </c>
      <c r="R23" s="302" t="str">
        <f t="shared" si="55"/>
        <v>#DIV/0!</v>
      </c>
      <c r="S23" s="300">
        <f>Iktara!P76</f>
        <v>404871</v>
      </c>
      <c r="T23" s="301">
        <f t="shared" si="56"/>
        <v>0.353756386</v>
      </c>
      <c r="U23" s="258">
        <f>Iktara!R76</f>
        <v>0</v>
      </c>
      <c r="V23" s="302" t="str">
        <f t="shared" si="57"/>
        <v>#DIV/0!</v>
      </c>
      <c r="W23" s="300">
        <f>'Mg St Colaba'!P94</f>
        <v>3306182</v>
      </c>
      <c r="X23" s="301">
        <f t="shared" si="58"/>
        <v>0.2155124155</v>
      </c>
      <c r="Y23" s="258">
        <f>'Mg St Colaba'!R94</f>
        <v>0</v>
      </c>
      <c r="Z23" s="302" t="str">
        <f t="shared" si="59"/>
        <v>#DIV/0!</v>
      </c>
      <c r="AA23" s="300">
        <f>'Mg St LP'!P90</f>
        <v>1736769</v>
      </c>
      <c r="AB23" s="301">
        <f t="shared" si="60"/>
        <v>0.1961107987</v>
      </c>
      <c r="AC23" s="258">
        <f>'Mg St LP'!R90</f>
        <v>0</v>
      </c>
      <c r="AD23" s="302" t="str">
        <f t="shared" si="61"/>
        <v>#DIV/0!</v>
      </c>
      <c r="AE23" s="300">
        <f>'Mg St Bandra'!P96</f>
        <v>3735702</v>
      </c>
      <c r="AF23" s="301">
        <f t="shared" si="62"/>
        <v>0.2225074733</v>
      </c>
      <c r="AG23" s="258">
        <f>'Mg St Bandra'!R96</f>
        <v>0</v>
      </c>
      <c r="AH23" s="303" t="str">
        <f t="shared" si="63"/>
        <v>#DIV/0!</v>
      </c>
      <c r="AI23" s="304">
        <f>'MSK Events'!P90</f>
        <v>188320</v>
      </c>
      <c r="AJ23" s="301">
        <f t="shared" si="64"/>
        <v>0.3692527299</v>
      </c>
      <c r="AK23" s="258">
        <f>'MSK Events'!R90</f>
        <v>0</v>
      </c>
      <c r="AL23" s="302" t="str">
        <f t="shared" si="65"/>
        <v>#DIV/0!</v>
      </c>
      <c r="AM23" s="300">
        <f>MSBC!P81</f>
        <v>1364586</v>
      </c>
      <c r="AN23" s="301">
        <f t="shared" si="66"/>
        <v>4.180934669</v>
      </c>
      <c r="AO23" s="258">
        <f>MSBC!R81</f>
        <v>0</v>
      </c>
      <c r="AP23" s="302" t="str">
        <f t="shared" si="67"/>
        <v>#DIV/0!</v>
      </c>
      <c r="AQ23" s="300">
        <f>Kaspers!P86</f>
        <v>3431039</v>
      </c>
      <c r="AR23" s="257"/>
      <c r="AS23" s="258">
        <f>Kaspers!R86</f>
        <v>0</v>
      </c>
      <c r="AT23" s="298"/>
      <c r="AU23" s="300">
        <f>'MSBC Andheri'!P93</f>
        <v>0</v>
      </c>
      <c r="AV23" s="257"/>
      <c r="AW23" s="258">
        <f>'MSBC Andheri'!R93</f>
        <v>0</v>
      </c>
      <c r="AX23" s="298"/>
      <c r="AY23" s="300">
        <f>'MSBC Dahisar'!P80</f>
        <v>0</v>
      </c>
      <c r="AZ23" s="257"/>
      <c r="BA23" s="258">
        <f>'MSBC Dahisar'!R80</f>
        <v>0</v>
      </c>
      <c r="BB23" s="298"/>
      <c r="BC23" s="300">
        <f>'MSBC Juhu  Goregoan'!P93</f>
        <v>0</v>
      </c>
      <c r="BD23" s="257"/>
      <c r="BE23" s="258">
        <v>0.0</v>
      </c>
      <c r="BF23" s="298"/>
      <c r="BG23" s="300">
        <f>'LOUD MOUTH'!P77</f>
        <v>160708</v>
      </c>
      <c r="BH23" s="257"/>
      <c r="BI23" s="258">
        <f>'LOUD MOUTH'!R77</f>
        <v>0</v>
      </c>
      <c r="BJ23" s="298"/>
    </row>
    <row r="24" ht="15.75" customHeight="1">
      <c r="B24" s="291" t="s">
        <v>38</v>
      </c>
      <c r="C24" s="292">
        <f t="shared" si="45"/>
        <v>886536</v>
      </c>
      <c r="D24" s="293">
        <f t="shared" si="46"/>
        <v>0.01245655085</v>
      </c>
      <c r="E24" s="294">
        <f t="shared" si="47"/>
        <v>0</v>
      </c>
      <c r="F24" s="295" t="str">
        <f t="shared" si="48"/>
        <v>#DIV/0!</v>
      </c>
      <c r="G24" s="300">
        <f>HO!P87</f>
        <v>371750</v>
      </c>
      <c r="H24" s="258" t="str">
        <f t="shared" si="49"/>
        <v>#DIV/0!</v>
      </c>
      <c r="I24" s="258">
        <f>HO!R87</f>
        <v>0</v>
      </c>
      <c r="J24" s="298"/>
      <c r="K24" s="299">
        <f t="shared" si="50"/>
        <v>514786</v>
      </c>
      <c r="L24" s="293">
        <f t="shared" si="51"/>
        <v>0.007233161412</v>
      </c>
      <c r="M24" s="294">
        <f t="shared" si="52"/>
        <v>0</v>
      </c>
      <c r="N24" s="295" t="str">
        <f t="shared" si="53"/>
        <v>#DIV/0!</v>
      </c>
      <c r="O24" s="300">
        <f>'The Table'!P92</f>
        <v>419155</v>
      </c>
      <c r="P24" s="301">
        <f t="shared" si="54"/>
        <v>0.0212362948</v>
      </c>
      <c r="Q24" s="258">
        <f>'The Table'!R92</f>
        <v>0</v>
      </c>
      <c r="R24" s="302" t="str">
        <f t="shared" si="55"/>
        <v>#DIV/0!</v>
      </c>
      <c r="S24" s="300">
        <f>Iktara!P86</f>
        <v>0</v>
      </c>
      <c r="T24" s="301">
        <f t="shared" si="56"/>
        <v>0</v>
      </c>
      <c r="U24" s="258">
        <f>Iktara!R86</f>
        <v>0</v>
      </c>
      <c r="V24" s="302" t="str">
        <f t="shared" si="57"/>
        <v>#DIV/0!</v>
      </c>
      <c r="W24" s="300">
        <f>'Mg St Colaba'!P105</f>
        <v>25075</v>
      </c>
      <c r="X24" s="301">
        <f t="shared" si="58"/>
        <v>0.001634505849</v>
      </c>
      <c r="Y24" s="258">
        <f>'Mg St Colaba'!R105</f>
        <v>0</v>
      </c>
      <c r="Z24" s="302" t="str">
        <f t="shared" si="59"/>
        <v>#DIV/0!</v>
      </c>
      <c r="AA24" s="300">
        <f>'Mg St LP'!P101</f>
        <v>13958</v>
      </c>
      <c r="AB24" s="301">
        <f t="shared" si="60"/>
        <v>0.001576095916</v>
      </c>
      <c r="AC24" s="258">
        <f>'Mg St LP'!R101</f>
        <v>0</v>
      </c>
      <c r="AD24" s="302" t="str">
        <f t="shared" si="61"/>
        <v>#DIV/0!</v>
      </c>
      <c r="AE24" s="300">
        <f>'Mg St Bandra'!P109</f>
        <v>20647</v>
      </c>
      <c r="AF24" s="301">
        <f t="shared" si="62"/>
        <v>0.001229785406</v>
      </c>
      <c r="AG24" s="258">
        <f>'Mg St Bandra'!R109</f>
        <v>0</v>
      </c>
      <c r="AH24" s="303" t="str">
        <f t="shared" si="63"/>
        <v>#DIV/0!</v>
      </c>
      <c r="AI24" s="304">
        <f>'MSK Events'!P100</f>
        <v>0</v>
      </c>
      <c r="AJ24" s="301">
        <f t="shared" si="64"/>
        <v>0</v>
      </c>
      <c r="AK24" s="258">
        <f>'MSK Events'!R100</f>
        <v>0</v>
      </c>
      <c r="AL24" s="302" t="str">
        <f t="shared" si="65"/>
        <v>#DIV/0!</v>
      </c>
      <c r="AM24" s="300">
        <f>MSBC!P92</f>
        <v>3233</v>
      </c>
      <c r="AN24" s="301">
        <f t="shared" si="66"/>
        <v>0.009905540423</v>
      </c>
      <c r="AO24" s="258">
        <f>MSBC!R92</f>
        <v>0</v>
      </c>
      <c r="AP24" s="302" t="str">
        <f t="shared" si="67"/>
        <v>#DIV/0!</v>
      </c>
      <c r="AQ24" s="300">
        <f>Kaspers!P100</f>
        <v>32718</v>
      </c>
      <c r="AR24" s="257"/>
      <c r="AS24" s="258">
        <f>Kaspers!R100</f>
        <v>0</v>
      </c>
      <c r="AT24" s="298"/>
      <c r="AU24" s="300">
        <f>'MSBC Andheri'!P103</f>
        <v>0</v>
      </c>
      <c r="AV24" s="257"/>
      <c r="AW24" s="258">
        <f>'MSBC Andheri'!R103</f>
        <v>0</v>
      </c>
      <c r="AX24" s="298"/>
      <c r="AY24" s="300">
        <f>'MSBC Dahisar'!P90</f>
        <v>0</v>
      </c>
      <c r="AZ24" s="257"/>
      <c r="BA24" s="258">
        <f>'MSBC Dahisar'!R90</f>
        <v>0</v>
      </c>
      <c r="BB24" s="298"/>
      <c r="BC24" s="300">
        <f>'MSBC Juhu  Goregoan'!P103</f>
        <v>0</v>
      </c>
      <c r="BD24" s="257"/>
      <c r="BE24" s="258">
        <f>'MSBC Juhu  Goregoan'!R103</f>
        <v>0</v>
      </c>
      <c r="BF24" s="298"/>
      <c r="BG24" s="300">
        <f>'LOUD MOUTH'!P88</f>
        <v>0</v>
      </c>
      <c r="BH24" s="257"/>
      <c r="BI24" s="258">
        <f>'LOUD MOUTH'!R88</f>
        <v>0</v>
      </c>
      <c r="BJ24" s="298"/>
    </row>
    <row r="25" ht="15.75" customHeight="1">
      <c r="B25" s="291" t="s">
        <v>39</v>
      </c>
      <c r="C25" s="292">
        <f t="shared" si="45"/>
        <v>420241.9167</v>
      </c>
      <c r="D25" s="293">
        <f t="shared" si="46"/>
        <v>0.005904740252</v>
      </c>
      <c r="E25" s="294">
        <f t="shared" si="47"/>
        <v>0</v>
      </c>
      <c r="F25" s="295" t="str">
        <f t="shared" si="48"/>
        <v>#DIV/0!</v>
      </c>
      <c r="G25" s="300">
        <f>HO!P94</f>
        <v>93519</v>
      </c>
      <c r="H25" s="258" t="str">
        <f t="shared" si="49"/>
        <v>#DIV/0!</v>
      </c>
      <c r="I25" s="258">
        <f>HO!R94</f>
        <v>0</v>
      </c>
      <c r="J25" s="298"/>
      <c r="K25" s="299">
        <f t="shared" si="50"/>
        <v>326722.9167</v>
      </c>
      <c r="L25" s="293">
        <f t="shared" si="51"/>
        <v>0.004590722345</v>
      </c>
      <c r="M25" s="294">
        <f t="shared" si="52"/>
        <v>0</v>
      </c>
      <c r="N25" s="295" t="str">
        <f t="shared" si="53"/>
        <v>#DIV/0!</v>
      </c>
      <c r="O25" s="300">
        <f>'The Table'!P95</f>
        <v>25722</v>
      </c>
      <c r="P25" s="301">
        <f t="shared" si="54"/>
        <v>0.001303193269</v>
      </c>
      <c r="Q25" s="258">
        <f>'The Table'!R95</f>
        <v>0</v>
      </c>
      <c r="R25" s="302" t="str">
        <f t="shared" si="55"/>
        <v>#DIV/0!</v>
      </c>
      <c r="S25" s="300">
        <f>Iktara!P89</f>
        <v>14550</v>
      </c>
      <c r="T25" s="301">
        <f t="shared" si="56"/>
        <v>0.01271307507</v>
      </c>
      <c r="U25" s="258">
        <f>Iktara!R89</f>
        <v>0</v>
      </c>
      <c r="V25" s="302" t="str">
        <f t="shared" si="57"/>
        <v>#DIV/0!</v>
      </c>
      <c r="W25" s="300">
        <f>'Mg St Colaba'!P108</f>
        <v>76151</v>
      </c>
      <c r="X25" s="301">
        <f t="shared" si="58"/>
        <v>0.004963878561</v>
      </c>
      <c r="Y25" s="258" t="str">
        <f>'Mg St Colaba'!R108</f>
        <v/>
      </c>
      <c r="Z25" s="302" t="str">
        <f t="shared" si="59"/>
        <v>#DIV/0!</v>
      </c>
      <c r="AA25" s="300">
        <f>'Mg St LP'!P104</f>
        <v>36904</v>
      </c>
      <c r="AB25" s="301">
        <f t="shared" si="60"/>
        <v>0.004167090106</v>
      </c>
      <c r="AC25" s="258">
        <f>'Mg St LP'!R104</f>
        <v>0</v>
      </c>
      <c r="AD25" s="302" t="str">
        <f t="shared" si="61"/>
        <v>#DIV/0!</v>
      </c>
      <c r="AE25" s="300">
        <f>'Mg St Bandra'!P112</f>
        <v>66430</v>
      </c>
      <c r="AF25" s="301">
        <f t="shared" si="62"/>
        <v>0.003956731948</v>
      </c>
      <c r="AG25" s="258">
        <f>'Mg St Bandra'!R112</f>
        <v>0</v>
      </c>
      <c r="AH25" s="303" t="str">
        <f t="shared" si="63"/>
        <v>#DIV/0!</v>
      </c>
      <c r="AI25" s="304">
        <f>'MSK Events'!P103</f>
        <v>6806.25</v>
      </c>
      <c r="AJ25" s="301">
        <f t="shared" si="64"/>
        <v>0.01334550973</v>
      </c>
      <c r="AK25" s="258">
        <f>'MSK Events'!R103</f>
        <v>0</v>
      </c>
      <c r="AL25" s="302" t="str">
        <f t="shared" si="65"/>
        <v>#DIV/0!</v>
      </c>
      <c r="AM25" s="300">
        <f>MSBC!P95</f>
        <v>73922</v>
      </c>
      <c r="AN25" s="301">
        <f t="shared" si="66"/>
        <v>0.226488512</v>
      </c>
      <c r="AO25" s="258">
        <f>MSBC!R95</f>
        <v>0</v>
      </c>
      <c r="AP25" s="302" t="str">
        <f t="shared" si="67"/>
        <v>#DIV/0!</v>
      </c>
      <c r="AQ25" s="300">
        <f>Kaspers!P103</f>
        <v>3146.666667</v>
      </c>
      <c r="AR25" s="257"/>
      <c r="AS25" s="258">
        <f>Kaspers!R103</f>
        <v>0</v>
      </c>
      <c r="AT25" s="298"/>
      <c r="AU25" s="300">
        <f>'MSBC Andheri'!P106</f>
        <v>23091</v>
      </c>
      <c r="AV25" s="257"/>
      <c r="AW25" s="258">
        <f>'MSBC Andheri'!R106</f>
        <v>0</v>
      </c>
      <c r="AX25" s="298"/>
      <c r="AY25" s="300">
        <f>'MSBC Dahisar'!P93</f>
        <v>0</v>
      </c>
      <c r="AZ25" s="257"/>
      <c r="BA25" s="258">
        <f>'MSBC Dahisar'!R93</f>
        <v>0</v>
      </c>
      <c r="BB25" s="298"/>
      <c r="BC25" s="300">
        <f>'MSBC Juhu  Goregoan'!P106</f>
        <v>0</v>
      </c>
      <c r="BD25" s="257"/>
      <c r="BE25" s="258">
        <f>'MSBC Juhu  Goregoan'!R106</f>
        <v>0</v>
      </c>
      <c r="BF25" s="298"/>
      <c r="BG25" s="300">
        <f>'LOUD MOUTH'!P91</f>
        <v>0</v>
      </c>
      <c r="BH25" s="257"/>
      <c r="BI25" s="258">
        <f>'LOUD MOUTH'!R91</f>
        <v>0</v>
      </c>
      <c r="BJ25" s="298"/>
    </row>
    <row r="26" ht="15.75" customHeight="1">
      <c r="B26" s="291" t="s">
        <v>40</v>
      </c>
      <c r="C26" s="292">
        <f t="shared" si="45"/>
        <v>3674210.25</v>
      </c>
      <c r="D26" s="293">
        <f t="shared" si="46"/>
        <v>0.05162563822</v>
      </c>
      <c r="E26" s="294">
        <f t="shared" si="47"/>
        <v>0</v>
      </c>
      <c r="F26" s="295" t="str">
        <f t="shared" si="48"/>
        <v>#DIV/0!</v>
      </c>
      <c r="G26" s="300">
        <f>HO!P98</f>
        <v>307783.5</v>
      </c>
      <c r="H26" s="258" t="str">
        <f t="shared" si="49"/>
        <v>#DIV/0!</v>
      </c>
      <c r="I26" s="258">
        <f>HO!R98</f>
        <v>0</v>
      </c>
      <c r="J26" s="298"/>
      <c r="K26" s="299">
        <f t="shared" si="50"/>
        <v>3366426.75</v>
      </c>
      <c r="L26" s="293">
        <f t="shared" si="51"/>
        <v>0.04730103007</v>
      </c>
      <c r="M26" s="294">
        <f t="shared" si="52"/>
        <v>0</v>
      </c>
      <c r="N26" s="295" t="str">
        <f t="shared" si="53"/>
        <v>#DIV/0!</v>
      </c>
      <c r="O26" s="300">
        <f>'The Table'!P99+'The Table'!P106+'The Table'!P112+'The Table'!P114+'The Table'!P116+'The Table'!P118+'The Table'!P120</f>
        <v>676203.75</v>
      </c>
      <c r="P26" s="301">
        <f t="shared" si="54"/>
        <v>0.03425955119</v>
      </c>
      <c r="Q26" s="258">
        <f>'The Table'!R99+'The Table'!R106+'The Table'!R112+'The Table'!R114+'The Table'!R116+'The Table'!R118+'The Table'!R120</f>
        <v>0</v>
      </c>
      <c r="R26" s="302" t="str">
        <f t="shared" si="55"/>
        <v>#DIV/0!</v>
      </c>
      <c r="S26" s="300">
        <f>Iktara!P93</f>
        <v>10803</v>
      </c>
      <c r="T26" s="301">
        <f t="shared" si="56"/>
        <v>0.009439130583</v>
      </c>
      <c r="U26" s="258">
        <f>Iktara!R93</f>
        <v>0</v>
      </c>
      <c r="V26" s="302" t="str">
        <f t="shared" si="57"/>
        <v>#DIV/0!</v>
      </c>
      <c r="W26" s="300">
        <f>'Mg St Colaba'!P112</f>
        <v>602257</v>
      </c>
      <c r="X26" s="301">
        <f t="shared" si="58"/>
        <v>0.03925792978</v>
      </c>
      <c r="Y26" s="258" t="str">
        <f>'Mg St Colaba'!R112</f>
        <v/>
      </c>
      <c r="Z26" s="302" t="str">
        <f t="shared" si="59"/>
        <v>#DIV/0!</v>
      </c>
      <c r="AA26" s="300">
        <f>'Mg St LP'!P108</f>
        <v>70885</v>
      </c>
      <c r="AB26" s="301">
        <f t="shared" si="60"/>
        <v>0.00800412373</v>
      </c>
      <c r="AC26" s="258">
        <f>'Mg St LP'!R108</f>
        <v>0</v>
      </c>
      <c r="AD26" s="302" t="str">
        <f t="shared" si="61"/>
        <v>#DIV/0!</v>
      </c>
      <c r="AE26" s="300">
        <f>'Mg St Bandra'!P116</f>
        <v>446195</v>
      </c>
      <c r="AF26" s="301">
        <f t="shared" si="62"/>
        <v>0.02657645659</v>
      </c>
      <c r="AG26" s="258">
        <f>'Mg St Bandra'!R116</f>
        <v>0</v>
      </c>
      <c r="AH26" s="303" t="str">
        <f t="shared" si="63"/>
        <v>#DIV/0!</v>
      </c>
      <c r="AI26" s="304">
        <f>'MSK Events'!P107</f>
        <v>897116</v>
      </c>
      <c r="AJ26" s="301">
        <f t="shared" si="64"/>
        <v>1.759040633</v>
      </c>
      <c r="AK26" s="258">
        <f>'MSK Events'!R107</f>
        <v>0</v>
      </c>
      <c r="AL26" s="302" t="str">
        <f t="shared" si="65"/>
        <v>#DIV/0!</v>
      </c>
      <c r="AM26" s="300">
        <f>MSBC!P99</f>
        <v>197888</v>
      </c>
      <c r="AN26" s="301">
        <f t="shared" si="66"/>
        <v>0.6063060882</v>
      </c>
      <c r="AO26" s="258">
        <f>MSBC!R99</f>
        <v>0</v>
      </c>
      <c r="AP26" s="302" t="str">
        <f t="shared" si="67"/>
        <v>#DIV/0!</v>
      </c>
      <c r="AQ26" s="300">
        <f>Kaspers!P107</f>
        <v>452579</v>
      </c>
      <c r="AR26" s="257"/>
      <c r="AS26" s="258">
        <f>Kaspers!R107</f>
        <v>0</v>
      </c>
      <c r="AT26" s="298"/>
      <c r="AU26" s="300">
        <f>'MSBC Andheri'!P110</f>
        <v>0</v>
      </c>
      <c r="AV26" s="257"/>
      <c r="AW26" s="258">
        <f>'MSBC Andheri'!R110</f>
        <v>0</v>
      </c>
      <c r="AX26" s="298"/>
      <c r="AY26" s="300">
        <f>'MSBC Dahisar'!P97</f>
        <v>0</v>
      </c>
      <c r="AZ26" s="257"/>
      <c r="BA26" s="258">
        <f>'MSBC Dahisar'!R97</f>
        <v>0</v>
      </c>
      <c r="BB26" s="298"/>
      <c r="BC26" s="300">
        <f>'MSBC Juhu  Goregoan'!P110</f>
        <v>0</v>
      </c>
      <c r="BD26" s="257"/>
      <c r="BE26" s="258">
        <f>'MSBC Juhu  Goregoan'!R110</f>
        <v>0</v>
      </c>
      <c r="BF26" s="298"/>
      <c r="BG26" s="300">
        <f>'LOUD MOUTH'!P95</f>
        <v>12500</v>
      </c>
      <c r="BH26" s="257"/>
      <c r="BI26" s="258">
        <f>'LOUD MOUTH'!R95</f>
        <v>0</v>
      </c>
      <c r="BJ26" s="298"/>
    </row>
    <row r="27" ht="15.75" customHeight="1">
      <c r="B27" s="291" t="s">
        <v>41</v>
      </c>
      <c r="C27" s="292">
        <f t="shared" si="45"/>
        <v>224308</v>
      </c>
      <c r="D27" s="293">
        <f t="shared" si="46"/>
        <v>0.003151709584</v>
      </c>
      <c r="E27" s="294">
        <f t="shared" si="47"/>
        <v>0</v>
      </c>
      <c r="F27" s="295" t="str">
        <f t="shared" si="48"/>
        <v>#DIV/0!</v>
      </c>
      <c r="G27" s="300">
        <f>HO!P113</f>
        <v>185073</v>
      </c>
      <c r="H27" s="258" t="str">
        <f t="shared" si="49"/>
        <v>#DIV/0!</v>
      </c>
      <c r="I27" s="258">
        <f>HO!R113</f>
        <v>0</v>
      </c>
      <c r="J27" s="298"/>
      <c r="K27" s="299">
        <f t="shared" si="50"/>
        <v>39235</v>
      </c>
      <c r="L27" s="293">
        <f t="shared" si="51"/>
        <v>0.0005512836169</v>
      </c>
      <c r="M27" s="294">
        <f t="shared" si="52"/>
        <v>0</v>
      </c>
      <c r="N27" s="295" t="str">
        <f t="shared" si="53"/>
        <v>#DIV/0!</v>
      </c>
      <c r="O27" s="300">
        <f>'The Table'!P123</f>
        <v>10325</v>
      </c>
      <c r="P27" s="301">
        <f t="shared" si="54"/>
        <v>0.0005231113641</v>
      </c>
      <c r="Q27" s="258">
        <f>'The Table'!R123</f>
        <v>0</v>
      </c>
      <c r="R27" s="302" t="str">
        <f t="shared" si="55"/>
        <v>#DIV/0!</v>
      </c>
      <c r="S27" s="300">
        <f>Iktara!P106</f>
        <v>0</v>
      </c>
      <c r="T27" s="301">
        <f t="shared" si="56"/>
        <v>0</v>
      </c>
      <c r="U27" s="258">
        <f>Iktara!R106</f>
        <v>0</v>
      </c>
      <c r="V27" s="302" t="str">
        <f t="shared" si="57"/>
        <v>#DIV/0!</v>
      </c>
      <c r="W27" s="300">
        <f>'Mg St Colaba'!P128</f>
        <v>10325</v>
      </c>
      <c r="X27" s="301">
        <f t="shared" si="58"/>
        <v>0.0006730318203</v>
      </c>
      <c r="Y27" s="258" t="str">
        <f>'Mg St Colaba'!R128</f>
        <v/>
      </c>
      <c r="Z27" s="302" t="str">
        <f t="shared" si="59"/>
        <v>#DIV/0!</v>
      </c>
      <c r="AA27" s="300">
        <f>'Mg St LP'!P124</f>
        <v>0</v>
      </c>
      <c r="AB27" s="301">
        <f t="shared" si="60"/>
        <v>0</v>
      </c>
      <c r="AC27" s="258">
        <f>'Mg St LP'!R124</f>
        <v>0</v>
      </c>
      <c r="AD27" s="302" t="str">
        <f t="shared" si="61"/>
        <v>#DIV/0!</v>
      </c>
      <c r="AE27" s="300">
        <f>'Mg St Bandra'!P133</f>
        <v>10325</v>
      </c>
      <c r="AF27" s="301">
        <f t="shared" si="62"/>
        <v>0.0006149820467</v>
      </c>
      <c r="AG27" s="258">
        <f>'Mg St Bandra'!R133</f>
        <v>0</v>
      </c>
      <c r="AH27" s="303" t="str">
        <f t="shared" si="63"/>
        <v>#DIV/0!</v>
      </c>
      <c r="AI27" s="304">
        <f>'MSK Events'!P125</f>
        <v>0</v>
      </c>
      <c r="AJ27" s="301">
        <f t="shared" si="64"/>
        <v>0</v>
      </c>
      <c r="AK27" s="258">
        <f>'MSK Events'!R125</f>
        <v>0</v>
      </c>
      <c r="AL27" s="302" t="str">
        <f t="shared" si="65"/>
        <v>#DIV/0!</v>
      </c>
      <c r="AM27" s="300">
        <f>MSBC!P115</f>
        <v>0</v>
      </c>
      <c r="AN27" s="301">
        <f t="shared" si="66"/>
        <v>0</v>
      </c>
      <c r="AO27" s="258">
        <f>MSBC!R115</f>
        <v>0</v>
      </c>
      <c r="AP27" s="302" t="str">
        <f t="shared" si="67"/>
        <v>#DIV/0!</v>
      </c>
      <c r="AQ27" s="300">
        <f>Kaspers!P130</f>
        <v>8260</v>
      </c>
      <c r="AR27" s="257"/>
      <c r="AS27" s="258">
        <f>Kaspers!R130</f>
        <v>0</v>
      </c>
      <c r="AT27" s="298"/>
      <c r="AU27" s="300">
        <f>'MSBC Andheri'!P125</f>
        <v>0</v>
      </c>
      <c r="AV27" s="257"/>
      <c r="AW27" s="258">
        <f>'MSBC Andheri'!R125</f>
        <v>0</v>
      </c>
      <c r="AX27" s="298"/>
      <c r="AY27" s="300">
        <f>'MSBC Dahisar'!P112</f>
        <v>0</v>
      </c>
      <c r="AZ27" s="257"/>
      <c r="BA27" s="258">
        <f>'MSBC Dahisar'!R112</f>
        <v>0</v>
      </c>
      <c r="BB27" s="298"/>
      <c r="BC27" s="300">
        <f>'MSBC Juhu  Goregoan'!P125</f>
        <v>0</v>
      </c>
      <c r="BD27" s="257"/>
      <c r="BE27" s="258">
        <f>'MSBC Juhu  Goregoan'!R125</f>
        <v>0</v>
      </c>
      <c r="BF27" s="298"/>
      <c r="BG27" s="300">
        <f>'LOUD MOUTH'!P109</f>
        <v>0</v>
      </c>
      <c r="BH27" s="257"/>
      <c r="BI27" s="258">
        <f>'LOUD MOUTH'!R109</f>
        <v>0</v>
      </c>
      <c r="BJ27" s="298"/>
    </row>
    <row r="28" ht="15.75" customHeight="1">
      <c r="B28" s="306" t="s">
        <v>42</v>
      </c>
      <c r="C28" s="307">
        <f t="shared" si="45"/>
        <v>-1142737</v>
      </c>
      <c r="D28" s="308">
        <f t="shared" si="46"/>
        <v>-0.01605638299</v>
      </c>
      <c r="E28" s="309">
        <f t="shared" si="47"/>
        <v>0</v>
      </c>
      <c r="F28" s="310" t="str">
        <f t="shared" si="48"/>
        <v>#DIV/0!</v>
      </c>
      <c r="G28" s="314">
        <f>HO!P117</f>
        <v>827982</v>
      </c>
      <c r="H28" s="258" t="str">
        <f t="shared" si="49"/>
        <v>#DIV/0!</v>
      </c>
      <c r="I28" s="312">
        <f>HO!R117</f>
        <v>0</v>
      </c>
      <c r="J28" s="383"/>
      <c r="K28" s="299">
        <f t="shared" si="50"/>
        <v>-1970719</v>
      </c>
      <c r="L28" s="308">
        <f t="shared" si="51"/>
        <v>-0.02769020258</v>
      </c>
      <c r="M28" s="294">
        <f t="shared" si="52"/>
        <v>0</v>
      </c>
      <c r="N28" s="310" t="str">
        <f t="shared" si="53"/>
        <v>#DIV/0!</v>
      </c>
      <c r="O28" s="314">
        <f>'The Table'!J127</f>
        <v>0</v>
      </c>
      <c r="P28" s="384">
        <f t="shared" si="54"/>
        <v>0</v>
      </c>
      <c r="Q28" s="312">
        <f>'The Table'!L127</f>
        <v>0</v>
      </c>
      <c r="R28" s="385" t="str">
        <f t="shared" si="55"/>
        <v>#DIV/0!</v>
      </c>
      <c r="S28" s="314">
        <f>Iktara!P110</f>
        <v>0</v>
      </c>
      <c r="T28" s="384">
        <f t="shared" si="56"/>
        <v>0</v>
      </c>
      <c r="U28" s="312">
        <f>Iktara!R110</f>
        <v>0</v>
      </c>
      <c r="V28" s="385" t="str">
        <f t="shared" si="57"/>
        <v>#DIV/0!</v>
      </c>
      <c r="W28" s="314">
        <f>'Mg St Colaba'!P132</f>
        <v>0</v>
      </c>
      <c r="X28" s="384">
        <f t="shared" si="58"/>
        <v>0</v>
      </c>
      <c r="Y28" s="312" t="str">
        <f>'Mg St Colaba'!R132</f>
        <v/>
      </c>
      <c r="Z28" s="385" t="str">
        <f t="shared" si="59"/>
        <v>#DIV/0!</v>
      </c>
      <c r="AA28" s="314">
        <f>'Mg St LP'!P128</f>
        <v>0</v>
      </c>
      <c r="AB28" s="384">
        <f t="shared" si="60"/>
        <v>0</v>
      </c>
      <c r="AC28" s="312">
        <f>'Mg St LP'!R128</f>
        <v>0</v>
      </c>
      <c r="AD28" s="385" t="str">
        <f t="shared" si="61"/>
        <v>#DIV/0!</v>
      </c>
      <c r="AE28" s="314">
        <f>'Mg St Bandra'!P137</f>
        <v>0</v>
      </c>
      <c r="AF28" s="384">
        <f t="shared" si="62"/>
        <v>0</v>
      </c>
      <c r="AG28" s="312">
        <f>'Mg St Bandra'!R137</f>
        <v>0</v>
      </c>
      <c r="AH28" s="386" t="str">
        <f t="shared" si="63"/>
        <v>#DIV/0!</v>
      </c>
      <c r="AI28" s="387">
        <f>'MSK Events'!P129</f>
        <v>0</v>
      </c>
      <c r="AJ28" s="384">
        <f t="shared" si="64"/>
        <v>0</v>
      </c>
      <c r="AK28" s="312">
        <f>'MSK Events'!R129</f>
        <v>0</v>
      </c>
      <c r="AL28" s="385" t="str">
        <f t="shared" si="65"/>
        <v>#DIV/0!</v>
      </c>
      <c r="AM28" s="314">
        <f>MSBC!P119</f>
        <v>-1970719</v>
      </c>
      <c r="AN28" s="384">
        <f t="shared" si="66"/>
        <v>-6.038056516</v>
      </c>
      <c r="AO28" s="312">
        <f>MSBC!R119</f>
        <v>0</v>
      </c>
      <c r="AP28" s="385" t="str">
        <f t="shared" si="67"/>
        <v>#DIV/0!</v>
      </c>
      <c r="AQ28" s="314">
        <f>Kaspers!P134</f>
        <v>0</v>
      </c>
      <c r="AR28" s="382"/>
      <c r="AS28" s="312">
        <f>Kaspers!R134</f>
        <v>0</v>
      </c>
      <c r="AT28" s="383"/>
      <c r="AU28" s="314">
        <f>'MSBC Andheri'!P129</f>
        <v>0</v>
      </c>
      <c r="AV28" s="382"/>
      <c r="AW28" s="312">
        <f>'MSBC Andheri'!R129</f>
        <v>0</v>
      </c>
      <c r="AX28" s="383"/>
      <c r="AY28" s="314">
        <f>'MSBC Dahisar'!P116</f>
        <v>0</v>
      </c>
      <c r="AZ28" s="382"/>
      <c r="BA28" s="312">
        <f>'MSBC Dahisar'!R116</f>
        <v>0</v>
      </c>
      <c r="BB28" s="383"/>
      <c r="BC28" s="314">
        <f>'MSBC Juhu  Goregoan'!P129</f>
        <v>0</v>
      </c>
      <c r="BD28" s="382"/>
      <c r="BE28" s="312">
        <f>'MSBC Juhu  Goregoan'!R129</f>
        <v>0</v>
      </c>
      <c r="BF28" s="383"/>
      <c r="BG28" s="314">
        <f>'LOUD MOUTH'!P114</f>
        <v>0</v>
      </c>
      <c r="BH28" s="382"/>
      <c r="BI28" s="312">
        <f>'LOUD MOUTH'!R114</f>
        <v>0</v>
      </c>
      <c r="BJ28" s="383"/>
    </row>
    <row r="29" ht="15.75" customHeight="1">
      <c r="A29" s="372"/>
      <c r="B29" s="316" t="s">
        <v>43</v>
      </c>
      <c r="C29" s="190">
        <f>SUM(C19:C28)</f>
        <v>41191294.91</v>
      </c>
      <c r="D29" s="359">
        <f t="shared" si="46"/>
        <v>0.5787711492</v>
      </c>
      <c r="E29" s="187" t="str">
        <f t="shared" si="47"/>
        <v>#REF!</v>
      </c>
      <c r="F29" s="360" t="str">
        <f t="shared" si="48"/>
        <v>#REF!</v>
      </c>
      <c r="G29" s="319">
        <f>SUM(G19:G28)</f>
        <v>6801586.58</v>
      </c>
      <c r="H29" s="359" t="str">
        <f t="shared" si="49"/>
        <v>#DIV/0!</v>
      </c>
      <c r="I29" s="187">
        <f>SUM(I19:I28)</f>
        <v>0</v>
      </c>
      <c r="J29" s="360" t="str">
        <f>I29/I$10</f>
        <v>#DIV/0!</v>
      </c>
      <c r="K29" s="319">
        <f>SUM(K19:K28)</f>
        <v>34389708.33</v>
      </c>
      <c r="L29" s="359">
        <f t="shared" si="51"/>
        <v>0.4832033335</v>
      </c>
      <c r="M29" s="187" t="str">
        <f>SUM(M19:M28)</f>
        <v>#REF!</v>
      </c>
      <c r="N29" s="360" t="str">
        <f t="shared" si="53"/>
        <v>#REF!</v>
      </c>
      <c r="O29" s="319">
        <f>SUM(O19:O28)</f>
        <v>8638437.02</v>
      </c>
      <c r="P29" s="359">
        <f t="shared" si="54"/>
        <v>0.4376624284</v>
      </c>
      <c r="Q29" s="187">
        <f>SUM(Q19:Q28)</f>
        <v>0</v>
      </c>
      <c r="R29" s="360" t="str">
        <f t="shared" si="55"/>
        <v>#DIV/0!</v>
      </c>
      <c r="S29" s="319">
        <f>SUM(S19:S28)</f>
        <v>770973</v>
      </c>
      <c r="T29" s="359">
        <f t="shared" si="56"/>
        <v>0.6736383248</v>
      </c>
      <c r="U29" s="187">
        <f>SUM(U19:U28)</f>
        <v>0</v>
      </c>
      <c r="V29" s="360" t="str">
        <f t="shared" si="57"/>
        <v>#DIV/0!</v>
      </c>
      <c r="W29" s="319">
        <f>SUM(W19:W28)</f>
        <v>7041082</v>
      </c>
      <c r="X29" s="359">
        <f t="shared" si="58"/>
        <v>0.4589706765</v>
      </c>
      <c r="Y29" s="187" t="str">
        <f>SUM(Y19:Y28)</f>
        <v>#REF!</v>
      </c>
      <c r="Z29" s="360" t="str">
        <f t="shared" si="59"/>
        <v>#REF!</v>
      </c>
      <c r="AA29" s="319">
        <f>SUM(AA19:AA28)</f>
        <v>3901308</v>
      </c>
      <c r="AB29" s="359">
        <f t="shared" si="60"/>
        <v>0.4405241157</v>
      </c>
      <c r="AC29" s="187">
        <f>SUM(AC19:AC28)</f>
        <v>0</v>
      </c>
      <c r="AD29" s="360" t="str">
        <f t="shared" si="61"/>
        <v>#DIV/0!</v>
      </c>
      <c r="AE29" s="319">
        <f>SUM(AE19:AE28)</f>
        <v>7037480</v>
      </c>
      <c r="AF29" s="359">
        <f t="shared" si="62"/>
        <v>0.4191693805</v>
      </c>
      <c r="AG29" s="187">
        <f>SUM(AG19:AG28)</f>
        <v>0</v>
      </c>
      <c r="AH29" s="363" t="str">
        <f t="shared" si="63"/>
        <v>#DIV/0!</v>
      </c>
      <c r="AI29" s="190">
        <f>SUM(AI19:AI28)</f>
        <v>1388594.25</v>
      </c>
      <c r="AJ29" s="320"/>
      <c r="AK29" s="187">
        <f>SUM(AK19:AK28)</f>
        <v>0</v>
      </c>
      <c r="AL29" s="321"/>
      <c r="AM29" s="319">
        <f>SUM(AM19:AM28)</f>
        <v>0</v>
      </c>
      <c r="AN29" s="359">
        <f t="shared" si="66"/>
        <v>0</v>
      </c>
      <c r="AO29" s="187">
        <f>SUM(AO19:AO28)</f>
        <v>0</v>
      </c>
      <c r="AP29" s="360" t="str">
        <f t="shared" si="67"/>
        <v>#DIV/0!</v>
      </c>
      <c r="AQ29" s="319">
        <f>SUM(AQ19:AQ28)</f>
        <v>5095646.667</v>
      </c>
      <c r="AR29" s="320"/>
      <c r="AS29" s="187">
        <f>SUM(AS19:AS28)</f>
        <v>0</v>
      </c>
      <c r="AT29" s="321"/>
      <c r="AU29" s="319">
        <f>SUM(AU19:AU28)</f>
        <v>211540.39</v>
      </c>
      <c r="AV29" s="320"/>
      <c r="AW29" s="187">
        <f>SUM(AW19:AW28)</f>
        <v>0</v>
      </c>
      <c r="AX29" s="321"/>
      <c r="AY29" s="319">
        <f>SUM(AY19:AY28)</f>
        <v>0</v>
      </c>
      <c r="AZ29" s="320"/>
      <c r="BA29" s="187">
        <f>SUM(BA19:BA28)</f>
        <v>0</v>
      </c>
      <c r="BB29" s="321"/>
      <c r="BC29" s="319">
        <f>SUM(BC19:BC28)</f>
        <v>0</v>
      </c>
      <c r="BD29" s="320"/>
      <c r="BE29" s="187">
        <f>SUM(BE19:BE28)</f>
        <v>0</v>
      </c>
      <c r="BF29" s="321"/>
      <c r="BG29" s="319">
        <f>SUM(BG19:BG28)</f>
        <v>304647</v>
      </c>
      <c r="BH29" s="320"/>
      <c r="BI29" s="187">
        <f>SUM(BI19:BI28)</f>
        <v>0</v>
      </c>
      <c r="BJ29" s="321"/>
    </row>
    <row r="30" ht="15.75" customHeight="1">
      <c r="B30" s="388"/>
      <c r="C30" s="389"/>
      <c r="D30" s="390"/>
      <c r="E30" s="390"/>
      <c r="F30" s="391"/>
      <c r="G30" s="327"/>
      <c r="H30" s="328"/>
      <c r="I30" s="329"/>
      <c r="J30" s="330"/>
      <c r="K30" s="392"/>
      <c r="L30" s="390"/>
      <c r="M30" s="393"/>
      <c r="N30" s="391"/>
      <c r="O30" s="327"/>
      <c r="P30" s="328"/>
      <c r="Q30" s="328"/>
      <c r="R30" s="330"/>
      <c r="S30" s="327"/>
      <c r="T30" s="328"/>
      <c r="U30" s="328"/>
      <c r="V30" s="330"/>
      <c r="W30" s="327"/>
      <c r="X30" s="328"/>
      <c r="Y30" s="328"/>
      <c r="Z30" s="330"/>
      <c r="AA30" s="327"/>
      <c r="AB30" s="328"/>
      <c r="AC30" s="328"/>
      <c r="AD30" s="330"/>
      <c r="AE30" s="327"/>
      <c r="AF30" s="328"/>
      <c r="AG30" s="328"/>
      <c r="AH30" s="333"/>
      <c r="AI30" s="334"/>
      <c r="AJ30" s="328"/>
      <c r="AK30" s="328"/>
      <c r="AL30" s="330"/>
      <c r="AM30" s="327"/>
      <c r="AN30" s="328"/>
      <c r="AO30" s="328"/>
      <c r="AP30" s="330"/>
      <c r="AQ30" s="327"/>
      <c r="AR30" s="328"/>
      <c r="AS30" s="328"/>
      <c r="AT30" s="330"/>
      <c r="AU30" s="394"/>
      <c r="AV30" s="395"/>
      <c r="AW30" s="396">
        <f>AW17-AW29</f>
        <v>0</v>
      </c>
      <c r="AX30" s="397"/>
      <c r="AY30" s="394"/>
      <c r="AZ30" s="395"/>
      <c r="BA30" s="396">
        <f>BA17-BA29</f>
        <v>0</v>
      </c>
      <c r="BB30" s="397"/>
      <c r="BC30" s="394"/>
      <c r="BD30" s="395"/>
      <c r="BE30" s="396">
        <f>BE17-BE29</f>
        <v>0</v>
      </c>
      <c r="BF30" s="397"/>
      <c r="BG30" s="394"/>
      <c r="BH30" s="395"/>
      <c r="BI30" s="396">
        <f>BI17-BI29</f>
        <v>0</v>
      </c>
      <c r="BJ30" s="397"/>
    </row>
    <row r="31" ht="15.75" customHeight="1">
      <c r="A31" s="372"/>
      <c r="B31" s="316" t="s">
        <v>44</v>
      </c>
      <c r="C31" s="190">
        <f>C17-C29</f>
        <v>3736263.99</v>
      </c>
      <c r="D31" s="359">
        <f>C31/C$10</f>
        <v>0.05249754367</v>
      </c>
      <c r="E31" s="187" t="str">
        <f>E17-E29</f>
        <v>#REF!</v>
      </c>
      <c r="F31" s="360" t="str">
        <f>E31/E$10</f>
        <v>#REF!</v>
      </c>
      <c r="G31" s="319">
        <f>G17-G29</f>
        <v>-6803550.58</v>
      </c>
      <c r="H31" s="359" t="str">
        <f>G31/G$10</f>
        <v>#DIV/0!</v>
      </c>
      <c r="I31" s="187">
        <f>I17-I29</f>
        <v>0</v>
      </c>
      <c r="J31" s="360" t="str">
        <f>I31/I$10</f>
        <v>#DIV/0!</v>
      </c>
      <c r="K31" s="319">
        <f>K17-K29</f>
        <v>10539814.57</v>
      </c>
      <c r="L31" s="359">
        <f>K31/K$10</f>
        <v>0.1480929552</v>
      </c>
      <c r="M31" s="187" t="str">
        <f>M17-M29</f>
        <v>#REF!</v>
      </c>
      <c r="N31" s="360" t="str">
        <f>M31/M$10</f>
        <v>#REF!</v>
      </c>
      <c r="O31" s="319">
        <f>O17-O29</f>
        <v>4033891.545</v>
      </c>
      <c r="P31" s="359">
        <f>O31/O$10</f>
        <v>0.204375255</v>
      </c>
      <c r="Q31" s="187">
        <f>Q17-Q29</f>
        <v>0</v>
      </c>
      <c r="R31" s="360" t="str">
        <f>Q31/Q$10</f>
        <v>#DIV/0!</v>
      </c>
      <c r="S31" s="319">
        <f>S17-S29</f>
        <v>97034.60773</v>
      </c>
      <c r="T31" s="359">
        <f>S31/S$10</f>
        <v>0.08478407233</v>
      </c>
      <c r="U31" s="187">
        <f>U17-U29</f>
        <v>0</v>
      </c>
      <c r="V31" s="360" t="str">
        <f>U31/U$10</f>
        <v>#DIV/0!</v>
      </c>
      <c r="W31" s="319">
        <f>W17-W29</f>
        <v>3131935.509</v>
      </c>
      <c r="X31" s="359">
        <f>W31/W$10</f>
        <v>0.2041542137</v>
      </c>
      <c r="Y31" s="187" t="str">
        <f>Y17-Y29</f>
        <v>#REF!</v>
      </c>
      <c r="Z31" s="360" t="str">
        <f>Y31/Y$10</f>
        <v>#REF!</v>
      </c>
      <c r="AA31" s="319">
        <f>AA17-AA29</f>
        <v>1415796.038</v>
      </c>
      <c r="AB31" s="359">
        <f>AA31/AA$10</f>
        <v>0.1598674849</v>
      </c>
      <c r="AC31" s="187">
        <f>AC17-AC29</f>
        <v>0</v>
      </c>
      <c r="AD31" s="360" t="str">
        <f>AC31/AC$10</f>
        <v>#DIV/0!</v>
      </c>
      <c r="AE31" s="319">
        <f>AE17-AE29</f>
        <v>3929070.095</v>
      </c>
      <c r="AF31" s="359">
        <f>AE31/AE$10</f>
        <v>0.2340249461</v>
      </c>
      <c r="AG31" s="187">
        <f>AG17-AG29</f>
        <v>0</v>
      </c>
      <c r="AH31" s="363" t="str">
        <f>AG31/AG$10</f>
        <v>#DIV/0!</v>
      </c>
      <c r="AI31" s="190">
        <f>AI17-AI29</f>
        <v>-1023397.25</v>
      </c>
      <c r="AJ31" s="320"/>
      <c r="AK31" s="187">
        <f>AK17-AK29</f>
        <v>0</v>
      </c>
      <c r="AL31" s="321"/>
      <c r="AM31" s="319">
        <f>AM17-AM29</f>
        <v>-26727.26776</v>
      </c>
      <c r="AN31" s="359">
        <f>AM31/AM$10</f>
        <v>-0.0818892766</v>
      </c>
      <c r="AO31" s="187">
        <f>AO17-AO29</f>
        <v>0</v>
      </c>
      <c r="AP31" s="360" t="str">
        <f>AO31/AO$10</f>
        <v>#DIV/0!</v>
      </c>
      <c r="AQ31" s="319">
        <f>AQ17-AQ29</f>
        <v>-794026.7569</v>
      </c>
      <c r="AR31" s="320"/>
      <c r="AS31" s="187">
        <f>AS17-AS29</f>
        <v>0</v>
      </c>
      <c r="AT31" s="321"/>
      <c r="AU31" s="319">
        <f t="shared" ref="AU31:BJ31" si="68">AU17-AU29</f>
        <v>-294182.95</v>
      </c>
      <c r="AV31" s="187">
        <f t="shared" si="68"/>
        <v>0</v>
      </c>
      <c r="AW31" s="187">
        <f t="shared" si="68"/>
        <v>0</v>
      </c>
      <c r="AX31" s="365">
        <f t="shared" si="68"/>
        <v>0</v>
      </c>
      <c r="AY31" s="319">
        <f t="shared" si="68"/>
        <v>0</v>
      </c>
      <c r="AZ31" s="187">
        <f t="shared" si="68"/>
        <v>0</v>
      </c>
      <c r="BA31" s="187">
        <f t="shared" si="68"/>
        <v>0</v>
      </c>
      <c r="BB31" s="365">
        <f t="shared" si="68"/>
        <v>0</v>
      </c>
      <c r="BC31" s="319">
        <f t="shared" si="68"/>
        <v>0</v>
      </c>
      <c r="BD31" s="187">
        <f t="shared" si="68"/>
        <v>0</v>
      </c>
      <c r="BE31" s="187">
        <f t="shared" si="68"/>
        <v>0</v>
      </c>
      <c r="BF31" s="365">
        <f t="shared" si="68"/>
        <v>0</v>
      </c>
      <c r="BG31" s="319">
        <f t="shared" si="68"/>
        <v>70421</v>
      </c>
      <c r="BH31" s="187">
        <f t="shared" si="68"/>
        <v>0</v>
      </c>
      <c r="BI31" s="187">
        <f t="shared" si="68"/>
        <v>0</v>
      </c>
      <c r="BJ31" s="365">
        <f t="shared" si="68"/>
        <v>0</v>
      </c>
    </row>
    <row r="32" ht="15.75" customHeight="1"/>
    <row r="33" ht="15.75" customHeight="1">
      <c r="C33" s="148">
        <f>+G33+K33</f>
        <v>3736263.99</v>
      </c>
      <c r="G33" s="148">
        <f>HO!P123</f>
        <v>-6803550.58</v>
      </c>
      <c r="H33" s="148"/>
      <c r="I33" s="148"/>
      <c r="J33" s="152"/>
      <c r="K33" s="152">
        <f>SUM(O33:BJ33)</f>
        <v>10539814.57</v>
      </c>
      <c r="L33" s="148"/>
      <c r="M33" s="148"/>
      <c r="N33" s="148"/>
      <c r="O33" s="148">
        <f>'The Table'!P133</f>
        <v>4033891.545</v>
      </c>
      <c r="P33" s="148"/>
      <c r="Q33" s="148"/>
      <c r="R33" s="148"/>
      <c r="S33" s="148">
        <f>Iktara!P117</f>
        <v>97034.60773</v>
      </c>
      <c r="T33" s="148"/>
      <c r="U33" s="148"/>
      <c r="V33" s="148"/>
      <c r="W33" s="148">
        <f>'Mg St Colaba'!P138</f>
        <v>3131935.509</v>
      </c>
      <c r="X33" s="148"/>
      <c r="Y33" s="148"/>
      <c r="Z33" s="148"/>
      <c r="AA33" s="148">
        <f>'Mg St LP'!P135</f>
        <v>1415796.038</v>
      </c>
      <c r="AB33" s="148"/>
      <c r="AC33" s="148"/>
      <c r="AD33" s="148"/>
      <c r="AE33" s="148">
        <f>'Mg St Bandra'!P144</f>
        <v>3929070.095</v>
      </c>
      <c r="AF33" s="148"/>
      <c r="AG33" s="148"/>
      <c r="AH33" s="148"/>
      <c r="AI33" s="148">
        <f>'MSK Events'!P136</f>
        <v>-1023397.25</v>
      </c>
      <c r="AJ33" s="148"/>
      <c r="AK33" s="148"/>
      <c r="AL33" s="148"/>
      <c r="AM33" s="148">
        <f>MSBC!P125</f>
        <v>-26727.26776</v>
      </c>
      <c r="AN33" s="148"/>
      <c r="AO33" s="148"/>
      <c r="AP33" s="148"/>
      <c r="AQ33" s="148">
        <f>Kaspers!P141</f>
        <v>-794026.7569</v>
      </c>
      <c r="AR33" s="148"/>
      <c r="AS33" s="148"/>
      <c r="AT33" s="148"/>
      <c r="AU33" s="148">
        <f>'MSBC Andheri'!P136</f>
        <v>-294182.95</v>
      </c>
      <c r="AV33" s="148"/>
      <c r="AW33" s="148"/>
      <c r="AX33" s="148"/>
      <c r="AY33" s="148">
        <f>'MSBC Dahisar'!P123</f>
        <v>0</v>
      </c>
      <c r="AZ33" s="148"/>
      <c r="BA33" s="148"/>
      <c r="BB33" s="148"/>
      <c r="BC33" s="148">
        <f>'MSBC Juhu  Goregoan'!P135</f>
        <v>0</v>
      </c>
      <c r="BD33" s="148"/>
      <c r="BE33" s="148"/>
      <c r="BF33" s="148"/>
      <c r="BG33" s="148">
        <f>'LOUD MOUTH'!P120</f>
        <v>70421</v>
      </c>
      <c r="BH33" s="148"/>
      <c r="BI33" s="148"/>
      <c r="BJ33" s="148"/>
    </row>
    <row r="34" ht="15.75" customHeight="1">
      <c r="C34" s="148">
        <f>+C31-C33</f>
        <v>-0.000000001862645149</v>
      </c>
      <c r="G34" s="148">
        <f>+G31-G33</f>
        <v>0</v>
      </c>
      <c r="H34" s="148"/>
      <c r="I34" s="148"/>
      <c r="J34" s="152"/>
      <c r="K34" s="148">
        <f>+K31-K33</f>
        <v>-0.000000003725290298</v>
      </c>
      <c r="L34" s="148"/>
      <c r="M34" s="148"/>
      <c r="N34" s="148"/>
      <c r="O34" s="148">
        <f>+O31-O33</f>
        <v>0</v>
      </c>
      <c r="P34" s="148"/>
      <c r="Q34" s="148"/>
      <c r="R34" s="148"/>
      <c r="S34" s="148">
        <f>+S31-S33</f>
        <v>0</v>
      </c>
      <c r="T34" s="148"/>
      <c r="U34" s="148"/>
      <c r="V34" s="148"/>
      <c r="W34" s="148">
        <f>+W31-W33</f>
        <v>0</v>
      </c>
      <c r="X34" s="148"/>
      <c r="Y34" s="148"/>
      <c r="Z34" s="148"/>
      <c r="AA34" s="148">
        <f>+AA31-AA33</f>
        <v>0</v>
      </c>
      <c r="AB34" s="148"/>
      <c r="AC34" s="148"/>
      <c r="AD34" s="148"/>
      <c r="AE34" s="148">
        <f>+AE31-AE33</f>
        <v>0</v>
      </c>
      <c r="AF34" s="148"/>
      <c r="AG34" s="148"/>
      <c r="AH34" s="148"/>
      <c r="AI34" s="148">
        <f>+AI31-AI33</f>
        <v>0</v>
      </c>
      <c r="AJ34" s="148"/>
      <c r="AK34" s="148"/>
      <c r="AL34" s="148"/>
      <c r="AM34" s="148">
        <f>+AM31-AM33</f>
        <v>0</v>
      </c>
      <c r="AN34" s="148"/>
      <c r="AO34" s="148"/>
      <c r="AP34" s="148"/>
      <c r="AQ34" s="148">
        <f>+AQ31-AQ33</f>
        <v>0</v>
      </c>
      <c r="AR34" s="148"/>
      <c r="AS34" s="148"/>
      <c r="AT34" s="148"/>
      <c r="AU34" s="148">
        <f>+AU31-AU33</f>
        <v>0</v>
      </c>
      <c r="AV34" s="148"/>
      <c r="AW34" s="148"/>
      <c r="AX34" s="148"/>
      <c r="AY34" s="148">
        <f>+AY31-AY33</f>
        <v>0</v>
      </c>
      <c r="AZ34" s="148"/>
      <c r="BA34" s="148"/>
      <c r="BB34" s="148"/>
      <c r="BC34" s="148">
        <f>+BC31-BC33</f>
        <v>0</v>
      </c>
      <c r="BD34" s="148"/>
      <c r="BE34" s="148"/>
      <c r="BF34" s="148"/>
      <c r="BG34" s="148">
        <f>+BG31-BG33</f>
        <v>0</v>
      </c>
      <c r="BH34" s="148"/>
      <c r="BI34" s="148"/>
      <c r="BJ34" s="148"/>
    </row>
    <row r="35" ht="15.75" customHeight="1">
      <c r="J35" s="399"/>
      <c r="K35" s="150"/>
    </row>
    <row r="36" ht="15.75" customHeight="1">
      <c r="J36" s="399"/>
      <c r="K36" s="15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6" width="12.63"/>
    <col customWidth="1" min="7" max="7" width="13.63"/>
  </cols>
  <sheetData>
    <row r="1" ht="15.75" customHeight="1">
      <c r="A1" s="272" t="s">
        <v>0</v>
      </c>
      <c r="O1" s="151"/>
      <c r="S1" s="151"/>
      <c r="W1" s="151"/>
      <c r="AA1" s="151"/>
      <c r="AE1" s="151">
        <f>AE12/$K$12</f>
        <v>0.2029821545</v>
      </c>
      <c r="BC1" s="151"/>
      <c r="BG1" s="151"/>
    </row>
    <row r="2" ht="15.75" customHeight="1">
      <c r="A2" s="151" t="s">
        <v>157</v>
      </c>
    </row>
    <row r="3" ht="15.75" customHeight="1">
      <c r="B3" s="4"/>
      <c r="C3" s="158" t="s">
        <v>46</v>
      </c>
      <c r="D3" s="10"/>
      <c r="E3" s="10"/>
      <c r="F3" s="13"/>
      <c r="G3" s="158" t="s">
        <v>3</v>
      </c>
      <c r="H3" s="10"/>
      <c r="I3" s="10"/>
      <c r="J3" s="13"/>
      <c r="K3" s="158" t="s">
        <v>4</v>
      </c>
      <c r="L3" s="10"/>
      <c r="M3" s="10"/>
      <c r="N3" s="13"/>
      <c r="O3" s="400" t="s">
        <v>154</v>
      </c>
      <c r="P3" s="10"/>
      <c r="Q3" s="10"/>
      <c r="R3" s="13"/>
      <c r="S3" s="158" t="s">
        <v>6</v>
      </c>
      <c r="T3" s="10"/>
      <c r="U3" s="10"/>
      <c r="V3" s="13"/>
      <c r="W3" s="158" t="s">
        <v>7</v>
      </c>
      <c r="X3" s="10"/>
      <c r="Y3" s="10"/>
      <c r="Z3" s="13"/>
      <c r="AA3" s="158" t="s">
        <v>8</v>
      </c>
      <c r="AB3" s="10"/>
      <c r="AC3" s="10"/>
      <c r="AD3" s="13"/>
      <c r="AE3" s="158" t="s">
        <v>9</v>
      </c>
      <c r="AF3" s="10"/>
      <c r="AG3" s="10"/>
      <c r="AH3" s="13"/>
      <c r="AI3" s="158" t="s">
        <v>10</v>
      </c>
      <c r="AJ3" s="10"/>
      <c r="AK3" s="10"/>
      <c r="AL3" s="13"/>
      <c r="AM3" s="158" t="s">
        <v>11</v>
      </c>
      <c r="AN3" s="10"/>
      <c r="AO3" s="10"/>
      <c r="AP3" s="13"/>
      <c r="AQ3" s="158" t="s">
        <v>12</v>
      </c>
      <c r="AR3" s="10"/>
      <c r="AS3" s="10"/>
      <c r="AT3" s="13"/>
      <c r="AU3" s="158" t="s">
        <v>13</v>
      </c>
      <c r="AV3" s="10"/>
      <c r="AW3" s="10"/>
      <c r="AX3" s="13"/>
      <c r="AY3" s="158" t="s">
        <v>14</v>
      </c>
      <c r="AZ3" s="10"/>
      <c r="BA3" s="10"/>
      <c r="BB3" s="13"/>
      <c r="BC3" s="158" t="s">
        <v>158</v>
      </c>
      <c r="BD3" s="10"/>
      <c r="BE3" s="10"/>
      <c r="BF3" s="13"/>
      <c r="BG3" s="158" t="s">
        <v>47</v>
      </c>
      <c r="BH3" s="10"/>
      <c r="BI3" s="10"/>
      <c r="BJ3" s="13"/>
    </row>
    <row r="4" ht="15.75" customHeight="1">
      <c r="A4" s="273"/>
      <c r="B4" s="15"/>
      <c r="C4" s="274" t="s">
        <v>20</v>
      </c>
      <c r="D4" s="274" t="s">
        <v>18</v>
      </c>
      <c r="E4" s="274" t="s">
        <v>19</v>
      </c>
      <c r="F4" s="274" t="s">
        <v>18</v>
      </c>
      <c r="G4" s="274" t="s">
        <v>20</v>
      </c>
      <c r="H4" s="274" t="s">
        <v>18</v>
      </c>
      <c r="I4" s="274" t="s">
        <v>19</v>
      </c>
      <c r="J4" s="274" t="s">
        <v>18</v>
      </c>
      <c r="K4" s="274" t="s">
        <v>20</v>
      </c>
      <c r="L4" s="274" t="s">
        <v>18</v>
      </c>
      <c r="M4" s="274" t="s">
        <v>19</v>
      </c>
      <c r="N4" s="274" t="s">
        <v>18</v>
      </c>
      <c r="O4" s="274" t="s">
        <v>20</v>
      </c>
      <c r="P4" s="274" t="s">
        <v>18</v>
      </c>
      <c r="Q4" s="274" t="s">
        <v>19</v>
      </c>
      <c r="R4" s="274" t="s">
        <v>18</v>
      </c>
      <c r="S4" s="274" t="s">
        <v>20</v>
      </c>
      <c r="T4" s="274" t="s">
        <v>18</v>
      </c>
      <c r="U4" s="274" t="s">
        <v>19</v>
      </c>
      <c r="V4" s="274" t="s">
        <v>18</v>
      </c>
      <c r="W4" s="274" t="s">
        <v>20</v>
      </c>
      <c r="X4" s="274" t="s">
        <v>18</v>
      </c>
      <c r="Y4" s="274" t="s">
        <v>19</v>
      </c>
      <c r="Z4" s="274" t="s">
        <v>18</v>
      </c>
      <c r="AA4" s="274" t="s">
        <v>20</v>
      </c>
      <c r="AB4" s="274" t="s">
        <v>18</v>
      </c>
      <c r="AC4" s="274" t="s">
        <v>19</v>
      </c>
      <c r="AD4" s="274" t="s">
        <v>18</v>
      </c>
      <c r="AE4" s="274" t="s">
        <v>20</v>
      </c>
      <c r="AF4" s="274" t="s">
        <v>18</v>
      </c>
      <c r="AG4" s="274" t="s">
        <v>19</v>
      </c>
      <c r="AH4" s="274" t="s">
        <v>18</v>
      </c>
      <c r="AI4" s="274" t="s">
        <v>20</v>
      </c>
      <c r="AJ4" s="274" t="s">
        <v>18</v>
      </c>
      <c r="AK4" s="274" t="s">
        <v>19</v>
      </c>
      <c r="AL4" s="274" t="s">
        <v>18</v>
      </c>
      <c r="AM4" s="274" t="s">
        <v>20</v>
      </c>
      <c r="AN4" s="274" t="s">
        <v>18</v>
      </c>
      <c r="AO4" s="274" t="s">
        <v>19</v>
      </c>
      <c r="AP4" s="274" t="s">
        <v>18</v>
      </c>
      <c r="AQ4" s="274" t="s">
        <v>20</v>
      </c>
      <c r="AR4" s="274" t="s">
        <v>18</v>
      </c>
      <c r="AS4" s="274" t="s">
        <v>19</v>
      </c>
      <c r="AT4" s="274" t="s">
        <v>18</v>
      </c>
      <c r="AU4" s="274" t="s">
        <v>17</v>
      </c>
      <c r="AV4" s="274" t="s">
        <v>18</v>
      </c>
      <c r="AW4" s="274" t="s">
        <v>19</v>
      </c>
      <c r="AX4" s="274" t="s">
        <v>18</v>
      </c>
      <c r="AY4" s="274" t="s">
        <v>17</v>
      </c>
      <c r="AZ4" s="274" t="s">
        <v>18</v>
      </c>
      <c r="BA4" s="274" t="s">
        <v>19</v>
      </c>
      <c r="BB4" s="274" t="s">
        <v>18</v>
      </c>
      <c r="BC4" s="274" t="s">
        <v>17</v>
      </c>
      <c r="BD4" s="274" t="s">
        <v>18</v>
      </c>
      <c r="BE4" s="274" t="s">
        <v>19</v>
      </c>
      <c r="BF4" s="274" t="s">
        <v>18</v>
      </c>
      <c r="BG4" s="274" t="s">
        <v>17</v>
      </c>
      <c r="BH4" s="274" t="s">
        <v>18</v>
      </c>
      <c r="BI4" s="274" t="s">
        <v>19</v>
      </c>
      <c r="BJ4" s="274" t="s">
        <v>18</v>
      </c>
    </row>
    <row r="5" ht="15.75" customHeight="1">
      <c r="B5" s="401" t="s">
        <v>21</v>
      </c>
      <c r="C5" s="278">
        <f t="shared" ref="C5:C9" si="1">G5+K5</f>
        <v>5897856</v>
      </c>
      <c r="D5" s="277">
        <f t="shared" ref="D5:D10" si="2">C5/C$10</f>
        <v>0.07391836852</v>
      </c>
      <c r="E5" s="278">
        <f t="shared" ref="E5:E9" si="3">I5+M5</f>
        <v>0</v>
      </c>
      <c r="F5" s="402" t="str">
        <f t="shared" ref="F5:F10" si="4">E5/E$10</f>
        <v>#DIV/0!</v>
      </c>
      <c r="G5" s="403">
        <f>HO!J14</f>
        <v>0</v>
      </c>
      <c r="H5" s="281"/>
      <c r="I5" s="282" t="str">
        <f>HO!L14</f>
        <v/>
      </c>
      <c r="J5" s="380"/>
      <c r="K5" s="276">
        <f t="shared" ref="K5:K9" si="5">O5+S5+W5+AA5+AE5+AI5+AM5+AQ5+AU5+AY5+BC5+BG5</f>
        <v>5897856</v>
      </c>
      <c r="L5" s="277">
        <f t="shared" ref="L5:L10" si="6">K5/K$10</f>
        <v>0.07391836852</v>
      </c>
      <c r="M5" s="278">
        <f t="shared" ref="M5:M9" si="7">Q5+U5+Y5+AC5+AG5+AK5+AO5+AS5+AW5+BA5+BE5+BI5</f>
        <v>0</v>
      </c>
      <c r="N5" s="402" t="str">
        <f t="shared" ref="N5:N10" si="8">M5/M$10</f>
        <v>#DIV/0!</v>
      </c>
      <c r="O5" s="290">
        <f>'The Table'!J24</f>
        <v>1235475</v>
      </c>
      <c r="P5" s="286">
        <f t="shared" ref="P5:P8" si="9">O5/O$10</f>
        <v>0.05571647241</v>
      </c>
      <c r="Q5" s="287" t="str">
        <f>'The Table'!L24</f>
        <v/>
      </c>
      <c r="R5" s="288" t="str">
        <f t="shared" ref="R5:R8" si="10">Q5/Q$10</f>
        <v>#DIV/0!</v>
      </c>
      <c r="S5" s="285">
        <f>Iktara!J24</f>
        <v>0</v>
      </c>
      <c r="T5" s="286">
        <f t="shared" ref="T5:T8" si="11">S5/S$10</f>
        <v>0</v>
      </c>
      <c r="U5" s="287" t="str">
        <f>Iktara!L24</f>
        <v/>
      </c>
      <c r="V5" s="288" t="str">
        <f t="shared" ref="V5:V8" si="12">U5/U$10</f>
        <v>#DIV/0!</v>
      </c>
      <c r="W5" s="285">
        <f>'Mg St Colaba'!J24</f>
        <v>1217044</v>
      </c>
      <c r="X5" s="286">
        <f t="shared" ref="X5:X8" si="13">W5/W$10</f>
        <v>0.09020667403</v>
      </c>
      <c r="Y5" s="287"/>
      <c r="Z5" s="288" t="str">
        <f t="shared" ref="Z5:Z8" si="14">Y5/Y$10</f>
        <v>#DIV/0!</v>
      </c>
      <c r="AA5" s="285">
        <f>'Mg St LP'!J24</f>
        <v>1116341</v>
      </c>
      <c r="AB5" s="286">
        <f t="shared" ref="AB5:AB8" si="15">AA5/AA$10</f>
        <v>0.1097755451</v>
      </c>
      <c r="AC5" s="287" t="str">
        <f>'Mg St LP'!L24</f>
        <v/>
      </c>
      <c r="AD5" s="288" t="str">
        <f t="shared" ref="AD5:AD8" si="16">AC5/AC$10</f>
        <v>#DIV/0!</v>
      </c>
      <c r="AE5" s="285">
        <f>'Mg St Bandra'!J24</f>
        <v>1681871</v>
      </c>
      <c r="AF5" s="286">
        <f t="shared" ref="AF5:AF8" si="17">AE5/AE$10</f>
        <v>0.09200416468</v>
      </c>
      <c r="AG5" s="287" t="str">
        <f>'Mg St Bandra'!L24</f>
        <v/>
      </c>
      <c r="AH5" s="288" t="str">
        <f t="shared" ref="AH5:AH8" si="18">AG5/AG$10</f>
        <v>#DIV/0!</v>
      </c>
      <c r="AI5" s="285">
        <f>'MSK Events'!J24</f>
        <v>0</v>
      </c>
      <c r="AJ5" s="286" t="str">
        <f t="shared" ref="AJ5:AJ8" si="19">AI5/AI$10</f>
        <v>#DIV/0!</v>
      </c>
      <c r="AK5" s="287" t="str">
        <f>'MSK Events'!L24</f>
        <v/>
      </c>
      <c r="AL5" s="283"/>
      <c r="AM5" s="285">
        <f>MSBC!J24</f>
        <v>0</v>
      </c>
      <c r="AN5" s="286">
        <f t="shared" ref="AN5:AN8" si="20">AM5/AM$10</f>
        <v>0</v>
      </c>
      <c r="AO5" s="287">
        <f>MSBC!L24</f>
        <v>0</v>
      </c>
      <c r="AP5" s="288" t="str">
        <f t="shared" ref="AP5:AP8" si="21">AO5/AO$10</f>
        <v>#DIV/0!</v>
      </c>
      <c r="AQ5" s="285">
        <f>Kaspers!J24</f>
        <v>647125</v>
      </c>
      <c r="AR5" s="286"/>
      <c r="AS5" s="287" t="str">
        <f>Kaspers!L24</f>
        <v/>
      </c>
      <c r="AT5" s="283"/>
      <c r="AU5" s="285">
        <f>'MSBC Andheri'!J24</f>
        <v>0</v>
      </c>
      <c r="AV5" s="281"/>
      <c r="AW5" s="287" t="str">
        <f>'MSBC Andheri'!L24</f>
        <v/>
      </c>
      <c r="AX5" s="283"/>
      <c r="AY5" s="285">
        <f>'MSBC Dahisar'!J22</f>
        <v>0</v>
      </c>
      <c r="AZ5" s="281"/>
      <c r="BA5" s="287" t="str">
        <f>'MSBC Dahisar'!L22</f>
        <v/>
      </c>
      <c r="BB5" s="283"/>
      <c r="BC5" s="285">
        <f>'MSBC Juhu  Goregoan'!J22</f>
        <v>0</v>
      </c>
      <c r="BD5" s="281"/>
      <c r="BE5" s="287">
        <f>'MSBC Juhu  Goregoan'!L22</f>
        <v>0</v>
      </c>
      <c r="BF5" s="283"/>
      <c r="BG5" s="285">
        <f>'LOUD MOUTH'!J24</f>
        <v>0</v>
      </c>
      <c r="BH5" s="281"/>
      <c r="BI5" s="287" t="str">
        <f>'LOUD MOUTH'!L24</f>
        <v/>
      </c>
      <c r="BJ5" s="283"/>
    </row>
    <row r="6" ht="15.75" customHeight="1">
      <c r="B6" s="404" t="s">
        <v>22</v>
      </c>
      <c r="C6" s="294">
        <f t="shared" si="1"/>
        <v>11792046</v>
      </c>
      <c r="D6" s="293">
        <f t="shared" si="2"/>
        <v>0.1477907907</v>
      </c>
      <c r="E6" s="294">
        <f t="shared" si="3"/>
        <v>0</v>
      </c>
      <c r="F6" s="405" t="str">
        <f t="shared" si="4"/>
        <v>#DIV/0!</v>
      </c>
      <c r="G6" s="305">
        <f>HO!J15</f>
        <v>0</v>
      </c>
      <c r="H6" s="257"/>
      <c r="I6" s="297" t="str">
        <f>HO!L15</f>
        <v/>
      </c>
      <c r="J6" s="406"/>
      <c r="K6" s="292">
        <f t="shared" si="5"/>
        <v>11792046</v>
      </c>
      <c r="L6" s="293">
        <f t="shared" si="6"/>
        <v>0.1477907907</v>
      </c>
      <c r="M6" s="294">
        <f t="shared" si="7"/>
        <v>0</v>
      </c>
      <c r="N6" s="405" t="str">
        <f t="shared" si="8"/>
        <v>#DIV/0!</v>
      </c>
      <c r="O6" s="304">
        <f>'The Table'!J25</f>
        <v>4851470</v>
      </c>
      <c r="P6" s="301">
        <f t="shared" si="9"/>
        <v>0.2187877492</v>
      </c>
      <c r="Q6" s="258" t="str">
        <f>'The Table'!L25</f>
        <v/>
      </c>
      <c r="R6" s="302" t="str">
        <f t="shared" si="10"/>
        <v>#DIV/0!</v>
      </c>
      <c r="S6" s="300">
        <f>Iktara!J25</f>
        <v>0</v>
      </c>
      <c r="T6" s="301">
        <f t="shared" si="11"/>
        <v>0</v>
      </c>
      <c r="U6" s="258" t="str">
        <f>Iktara!L25</f>
        <v/>
      </c>
      <c r="V6" s="302" t="str">
        <f t="shared" si="12"/>
        <v>#DIV/0!</v>
      </c>
      <c r="W6" s="300">
        <f>'Mg St Colaba'!J25</f>
        <v>735380</v>
      </c>
      <c r="X6" s="301">
        <f t="shared" si="13"/>
        <v>0.05450598659</v>
      </c>
      <c r="Y6" s="258"/>
      <c r="Z6" s="302" t="str">
        <f t="shared" si="14"/>
        <v>#DIV/0!</v>
      </c>
      <c r="AA6" s="300">
        <f>'Mg St LP'!J25</f>
        <v>0</v>
      </c>
      <c r="AB6" s="301">
        <f t="shared" si="15"/>
        <v>0</v>
      </c>
      <c r="AC6" s="258" t="str">
        <f>'Mg St LP'!L25</f>
        <v/>
      </c>
      <c r="AD6" s="302" t="str">
        <f t="shared" si="16"/>
        <v>#DIV/0!</v>
      </c>
      <c r="AE6" s="300">
        <f>'Mg St Bandra'!J25</f>
        <v>2074971</v>
      </c>
      <c r="AF6" s="301">
        <f t="shared" si="17"/>
        <v>0.1135080952</v>
      </c>
      <c r="AG6" s="258" t="str">
        <f>'Mg St Bandra'!L25</f>
        <v/>
      </c>
      <c r="AH6" s="302" t="str">
        <f t="shared" si="18"/>
        <v>#DIV/0!</v>
      </c>
      <c r="AI6" s="300">
        <f>'MSK Events'!J25</f>
        <v>0</v>
      </c>
      <c r="AJ6" s="301" t="str">
        <f t="shared" si="19"/>
        <v>#DIV/0!</v>
      </c>
      <c r="AK6" s="258" t="str">
        <f>'MSK Events'!L25</f>
        <v/>
      </c>
      <c r="AL6" s="298"/>
      <c r="AM6" s="300">
        <f>MSBC!J25</f>
        <v>0</v>
      </c>
      <c r="AN6" s="301">
        <f t="shared" si="20"/>
        <v>0</v>
      </c>
      <c r="AO6" s="258">
        <f>MSBC!L25</f>
        <v>0</v>
      </c>
      <c r="AP6" s="302" t="str">
        <f t="shared" si="21"/>
        <v>#DIV/0!</v>
      </c>
      <c r="AQ6" s="300">
        <f>Kaspers!J25</f>
        <v>4130225</v>
      </c>
      <c r="AR6" s="301"/>
      <c r="AS6" s="258" t="str">
        <f>Kaspers!L25</f>
        <v/>
      </c>
      <c r="AT6" s="298"/>
      <c r="AU6" s="300">
        <f>'MSBC Andheri'!J25</f>
        <v>0</v>
      </c>
      <c r="AV6" s="257"/>
      <c r="AW6" s="258" t="str">
        <f>'MSBC Andheri'!L25</f>
        <v/>
      </c>
      <c r="AX6" s="298"/>
      <c r="AY6" s="300">
        <f>'MSBC Dahisar'!J23</f>
        <v>0</v>
      </c>
      <c r="AZ6" s="257"/>
      <c r="BA6" s="258" t="str">
        <f>'MSBC Dahisar'!L23</f>
        <v/>
      </c>
      <c r="BB6" s="298"/>
      <c r="BC6" s="300">
        <f>'MSBC Juhu  Goregoan'!J23</f>
        <v>0</v>
      </c>
      <c r="BD6" s="257"/>
      <c r="BE6" s="258">
        <f>'MSBC Juhu  Goregoan'!L23</f>
        <v>0</v>
      </c>
      <c r="BF6" s="298"/>
      <c r="BG6" s="300">
        <f>'LOUD MOUTH'!J25</f>
        <v>0</v>
      </c>
      <c r="BH6" s="257"/>
      <c r="BI6" s="258" t="str">
        <f>'LOUD MOUTH'!L25</f>
        <v/>
      </c>
      <c r="BJ6" s="298"/>
    </row>
    <row r="7" ht="15.75" customHeight="1">
      <c r="B7" s="404" t="s">
        <v>23</v>
      </c>
      <c r="C7" s="294">
        <f t="shared" si="1"/>
        <v>56948720</v>
      </c>
      <c r="D7" s="293">
        <f t="shared" si="2"/>
        <v>0.7137435148</v>
      </c>
      <c r="E7" s="294">
        <f t="shared" si="3"/>
        <v>0</v>
      </c>
      <c r="F7" s="405" t="str">
        <f t="shared" si="4"/>
        <v>#DIV/0!</v>
      </c>
      <c r="G7" s="305">
        <f>HO!J16</f>
        <v>0</v>
      </c>
      <c r="H7" s="257"/>
      <c r="I7" s="297" t="str">
        <f>HO!L16</f>
        <v/>
      </c>
      <c r="J7" s="406"/>
      <c r="K7" s="292">
        <f t="shared" si="5"/>
        <v>56948720</v>
      </c>
      <c r="L7" s="293">
        <f t="shared" si="6"/>
        <v>0.7137435148</v>
      </c>
      <c r="M7" s="294">
        <f t="shared" si="7"/>
        <v>0</v>
      </c>
      <c r="N7" s="405" t="str">
        <f t="shared" si="8"/>
        <v>#DIV/0!</v>
      </c>
      <c r="O7" s="304">
        <f>'The Table'!J26</f>
        <v>14320634</v>
      </c>
      <c r="P7" s="301">
        <f t="shared" si="9"/>
        <v>0.6458206028</v>
      </c>
      <c r="Q7" s="258" t="str">
        <f>'The Table'!L26</f>
        <v/>
      </c>
      <c r="R7" s="302" t="str">
        <f t="shared" si="10"/>
        <v>#DIV/0!</v>
      </c>
      <c r="S7" s="300">
        <f>Iktara!J26</f>
        <v>807500</v>
      </c>
      <c r="T7" s="301">
        <f t="shared" si="11"/>
        <v>1</v>
      </c>
      <c r="U7" s="258" t="str">
        <f>Iktara!L26</f>
        <v/>
      </c>
      <c r="V7" s="302" t="str">
        <f t="shared" si="12"/>
        <v>#DIV/0!</v>
      </c>
      <c r="W7" s="300">
        <f>'Mg St Colaba'!J26</f>
        <v>10763119</v>
      </c>
      <c r="X7" s="301">
        <f t="shared" si="13"/>
        <v>0.7977568331</v>
      </c>
      <c r="Y7" s="258"/>
      <c r="Z7" s="302" t="str">
        <f t="shared" si="14"/>
        <v>#DIV/0!</v>
      </c>
      <c r="AA7" s="300">
        <f>'Mg St LP'!J26</f>
        <v>8669774</v>
      </c>
      <c r="AB7" s="301">
        <f t="shared" si="15"/>
        <v>0.8525434137</v>
      </c>
      <c r="AC7" s="258">
        <f>'Mg St LP'!L26</f>
        <v>0</v>
      </c>
      <c r="AD7" s="302" t="str">
        <f t="shared" si="16"/>
        <v>#DIV/0!</v>
      </c>
      <c r="AE7" s="300">
        <f>'Mg St Bandra'!J26</f>
        <v>13408656</v>
      </c>
      <c r="AF7" s="301">
        <f t="shared" si="17"/>
        <v>0.7334998908</v>
      </c>
      <c r="AG7" s="258">
        <f>'Mg St Bandra'!L26</f>
        <v>0</v>
      </c>
      <c r="AH7" s="302" t="str">
        <f t="shared" si="18"/>
        <v>#DIV/0!</v>
      </c>
      <c r="AI7" s="300">
        <f>'MSK Events'!J26</f>
        <v>0</v>
      </c>
      <c r="AJ7" s="301" t="str">
        <f t="shared" si="19"/>
        <v>#DIV/0!</v>
      </c>
      <c r="AK7" s="258">
        <f>'MSK Events'!L26</f>
        <v>0</v>
      </c>
      <c r="AL7" s="298"/>
      <c r="AM7" s="300">
        <f>MSBC!J26</f>
        <v>460464</v>
      </c>
      <c r="AN7" s="301">
        <f t="shared" si="20"/>
        <v>1</v>
      </c>
      <c r="AO7" s="258">
        <f>MSBC!L26</f>
        <v>0</v>
      </c>
      <c r="AP7" s="302" t="str">
        <f t="shared" si="21"/>
        <v>#DIV/0!</v>
      </c>
      <c r="AQ7" s="300">
        <f>Kaspers!J26</f>
        <v>7349352</v>
      </c>
      <c r="AR7" s="301"/>
      <c r="AS7" s="258">
        <f>Kaspers!L26</f>
        <v>0</v>
      </c>
      <c r="AT7" s="298"/>
      <c r="AU7" s="300">
        <f>'MSBC Andheri'!J26</f>
        <v>332317</v>
      </c>
      <c r="AV7" s="257"/>
      <c r="AW7" s="258" t="str">
        <f>'MSBC Andheri'!L26</f>
        <v/>
      </c>
      <c r="AX7" s="298"/>
      <c r="AY7" s="300">
        <f>'MSBC Dahisar'!J24</f>
        <v>103369</v>
      </c>
      <c r="AZ7" s="257"/>
      <c r="BA7" s="258" t="str">
        <f>'MSBC Dahisar'!L24</f>
        <v/>
      </c>
      <c r="BB7" s="298"/>
      <c r="BC7" s="300">
        <f>'MSBC Juhu  Goregoan'!J24</f>
        <v>132839</v>
      </c>
      <c r="BD7" s="257"/>
      <c r="BE7" s="258">
        <f>'MSBC Juhu  Goregoan'!L24</f>
        <v>0</v>
      </c>
      <c r="BF7" s="298"/>
      <c r="BG7" s="300">
        <f>'LOUD MOUTH'!J26</f>
        <v>600696</v>
      </c>
      <c r="BH7" s="257"/>
      <c r="BI7" s="258" t="str">
        <f>'LOUD MOUTH'!L26</f>
        <v/>
      </c>
      <c r="BJ7" s="298"/>
    </row>
    <row r="8" ht="15.75" customHeight="1">
      <c r="B8" s="404" t="s">
        <v>24</v>
      </c>
      <c r="C8" s="294">
        <f t="shared" si="1"/>
        <v>5077946</v>
      </c>
      <c r="D8" s="293">
        <f t="shared" si="2"/>
        <v>0.06364236152</v>
      </c>
      <c r="E8" s="294">
        <f t="shared" si="3"/>
        <v>0</v>
      </c>
      <c r="F8" s="405" t="str">
        <f t="shared" si="4"/>
        <v>#DIV/0!</v>
      </c>
      <c r="G8" s="305">
        <f>HO!J18</f>
        <v>0</v>
      </c>
      <c r="H8" s="257"/>
      <c r="I8" s="297" t="str">
        <f>HO!L18</f>
        <v/>
      </c>
      <c r="J8" s="406"/>
      <c r="K8" s="292">
        <f t="shared" si="5"/>
        <v>5077946</v>
      </c>
      <c r="L8" s="293">
        <f t="shared" si="6"/>
        <v>0.06364236152</v>
      </c>
      <c r="M8" s="294">
        <f t="shared" si="7"/>
        <v>0</v>
      </c>
      <c r="N8" s="405" t="str">
        <f t="shared" si="8"/>
        <v>#DIV/0!</v>
      </c>
      <c r="O8" s="304">
        <f>'The Table'!J28</f>
        <v>1746343</v>
      </c>
      <c r="P8" s="301">
        <f t="shared" si="9"/>
        <v>0.07875519261</v>
      </c>
      <c r="Q8" s="258" t="str">
        <f>'The Table'!L28</f>
        <v/>
      </c>
      <c r="R8" s="302" t="str">
        <f t="shared" si="10"/>
        <v>#DIV/0!</v>
      </c>
      <c r="S8" s="296" t="str">
        <f>Iktara!J28</f>
        <v/>
      </c>
      <c r="T8" s="301">
        <f t="shared" si="11"/>
        <v>0</v>
      </c>
      <c r="U8" s="297">
        <f>Iktara!L28</f>
        <v>0</v>
      </c>
      <c r="V8" s="302" t="str">
        <f t="shared" si="12"/>
        <v>#DIV/0!</v>
      </c>
      <c r="W8" s="300">
        <f>'Mg St Colaba'!J28</f>
        <v>759611</v>
      </c>
      <c r="X8" s="301">
        <f t="shared" si="13"/>
        <v>0.05630197583</v>
      </c>
      <c r="Y8" s="258"/>
      <c r="Z8" s="302" t="str">
        <f t="shared" si="14"/>
        <v>#DIV/0!</v>
      </c>
      <c r="AA8" s="300">
        <f>'Mg St LP'!J28</f>
        <v>375190</v>
      </c>
      <c r="AB8" s="301">
        <f t="shared" si="15"/>
        <v>0.03689436004</v>
      </c>
      <c r="AC8" s="258" t="str">
        <f>'Mg St LP'!L28</f>
        <v/>
      </c>
      <c r="AD8" s="302" t="str">
        <f t="shared" si="16"/>
        <v>#DIV/0!</v>
      </c>
      <c r="AE8" s="300">
        <f>'Mg St Bandra'!J28</f>
        <v>1101150</v>
      </c>
      <c r="AF8" s="301">
        <f t="shared" si="17"/>
        <v>0.0602367161</v>
      </c>
      <c r="AG8" s="258">
        <f>'Mg St Bandra'!L28</f>
        <v>0</v>
      </c>
      <c r="AH8" s="302" t="str">
        <f t="shared" si="18"/>
        <v>#DIV/0!</v>
      </c>
      <c r="AI8" s="296" t="str">
        <f>'MSK Events'!J28</f>
        <v/>
      </c>
      <c r="AJ8" s="301" t="str">
        <f t="shared" si="19"/>
        <v>#DIV/0!</v>
      </c>
      <c r="AK8" s="297" t="str">
        <f>'MSK Events'!L28</f>
        <v/>
      </c>
      <c r="AL8" s="298"/>
      <c r="AM8" s="300" t="str">
        <f>MSBC!J28</f>
        <v/>
      </c>
      <c r="AN8" s="301">
        <f t="shared" si="20"/>
        <v>0</v>
      </c>
      <c r="AO8" s="297" t="str">
        <f>MSBC!L28</f>
        <v/>
      </c>
      <c r="AP8" s="302" t="str">
        <f t="shared" si="21"/>
        <v>#DIV/0!</v>
      </c>
      <c r="AQ8" s="300">
        <f>Kaspers!J28</f>
        <v>1095652</v>
      </c>
      <c r="AR8" s="301"/>
      <c r="AS8" s="258" t="str">
        <f>Kaspers!L28</f>
        <v/>
      </c>
      <c r="AT8" s="298"/>
      <c r="AU8" s="300">
        <v>0.0</v>
      </c>
      <c r="AV8" s="257"/>
      <c r="AW8" s="258" t="str">
        <f>'MSBC Andheri'!L28</f>
        <v/>
      </c>
      <c r="AX8" s="298"/>
      <c r="AY8" s="300">
        <v>0.0</v>
      </c>
      <c r="AZ8" s="257"/>
      <c r="BA8" s="258">
        <v>0.0</v>
      </c>
      <c r="BB8" s="298"/>
      <c r="BC8" s="300">
        <v>0.0</v>
      </c>
      <c r="BD8" s="257"/>
      <c r="BE8" s="258">
        <v>0.0</v>
      </c>
      <c r="BF8" s="298"/>
      <c r="BG8" s="300" t="str">
        <f>'LOUD MOUTH'!J28</f>
        <v/>
      </c>
      <c r="BH8" s="257"/>
      <c r="BI8" s="258" t="str">
        <f>'LOUD MOUTH'!L28</f>
        <v/>
      </c>
      <c r="BJ8" s="298"/>
    </row>
    <row r="9" ht="15.75" customHeight="1">
      <c r="B9" s="407" t="s">
        <v>159</v>
      </c>
      <c r="C9" s="309">
        <f t="shared" si="1"/>
        <v>72206</v>
      </c>
      <c r="D9" s="308">
        <f t="shared" si="2"/>
        <v>0.0009049644001</v>
      </c>
      <c r="E9" s="309">
        <f t="shared" si="3"/>
        <v>0</v>
      </c>
      <c r="F9" s="408" t="str">
        <f t="shared" si="4"/>
        <v>#DIV/0!</v>
      </c>
      <c r="G9" s="409"/>
      <c r="H9" s="257"/>
      <c r="I9" s="257"/>
      <c r="J9" s="406"/>
      <c r="K9" s="292">
        <f t="shared" si="5"/>
        <v>72206</v>
      </c>
      <c r="L9" s="308">
        <f t="shared" si="6"/>
        <v>0.0009049644001</v>
      </c>
      <c r="M9" s="294">
        <f t="shared" si="7"/>
        <v>0</v>
      </c>
      <c r="N9" s="408" t="str">
        <f t="shared" si="8"/>
        <v>#DIV/0!</v>
      </c>
      <c r="O9" s="387">
        <f>'The Table'!J22</f>
        <v>20400</v>
      </c>
      <c r="P9" s="312"/>
      <c r="Q9" s="312" t="str">
        <f>'The Table'!L22</f>
        <v/>
      </c>
      <c r="R9" s="313"/>
      <c r="S9" s="314">
        <v>0.0</v>
      </c>
      <c r="T9" s="312"/>
      <c r="U9" s="312">
        <v>0.0</v>
      </c>
      <c r="V9" s="313"/>
      <c r="W9" s="300">
        <f>'Mg St Colaba'!J22</f>
        <v>16575</v>
      </c>
      <c r="X9" s="312"/>
      <c r="Y9" s="312"/>
      <c r="Z9" s="313"/>
      <c r="AA9" s="314">
        <f>'Mg St LP'!J22</f>
        <v>8000</v>
      </c>
      <c r="AB9" s="312"/>
      <c r="AC9" s="312" t="str">
        <f>'Mg St LP'!L22</f>
        <v/>
      </c>
      <c r="AD9" s="313"/>
      <c r="AE9" s="314">
        <f>'Mg St Bandra'!J22</f>
        <v>13731</v>
      </c>
      <c r="AF9" s="312"/>
      <c r="AG9" s="312" t="str">
        <f>'Mg St Bandra'!L22</f>
        <v/>
      </c>
      <c r="AH9" s="313"/>
      <c r="AI9" s="314">
        <v>0.0</v>
      </c>
      <c r="AJ9" s="312"/>
      <c r="AK9" s="312">
        <v>0.0</v>
      </c>
      <c r="AL9" s="313"/>
      <c r="AM9" s="314">
        <v>0.0</v>
      </c>
      <c r="AN9" s="312"/>
      <c r="AO9" s="312">
        <v>0.0</v>
      </c>
      <c r="AP9" s="313"/>
      <c r="AQ9" s="314">
        <f>Kaspers!J22</f>
        <v>13500</v>
      </c>
      <c r="AR9" s="312"/>
      <c r="AS9" s="312" t="str">
        <f>Kaspers!L22</f>
        <v/>
      </c>
      <c r="AT9" s="313"/>
      <c r="AU9" s="314">
        <v>0.0</v>
      </c>
      <c r="AV9" s="312"/>
      <c r="AW9" s="312">
        <v>0.0</v>
      </c>
      <c r="AX9" s="313"/>
      <c r="AY9" s="314">
        <v>0.0</v>
      </c>
      <c r="AZ9" s="312"/>
      <c r="BA9" s="312">
        <v>0.0</v>
      </c>
      <c r="BB9" s="313"/>
      <c r="BC9" s="314">
        <v>0.0</v>
      </c>
      <c r="BD9" s="312"/>
      <c r="BE9" s="312">
        <v>0.0</v>
      </c>
      <c r="BF9" s="313"/>
      <c r="BG9" s="314"/>
      <c r="BH9" s="312"/>
      <c r="BI9" s="312">
        <v>0.0</v>
      </c>
      <c r="BJ9" s="313"/>
    </row>
    <row r="10" ht="15.75" customHeight="1">
      <c r="B10" s="410" t="s">
        <v>26</v>
      </c>
      <c r="C10" s="187">
        <f>SUM(C5:C9)</f>
        <v>79788774</v>
      </c>
      <c r="D10" s="317">
        <f t="shared" si="2"/>
        <v>1</v>
      </c>
      <c r="E10" s="187">
        <f>SUM(E5:E9)</f>
        <v>0</v>
      </c>
      <c r="F10" s="411" t="str">
        <f t="shared" si="4"/>
        <v>#DIV/0!</v>
      </c>
      <c r="G10" s="190">
        <f>SUM(G5:G9)</f>
        <v>0</v>
      </c>
      <c r="H10" s="320"/>
      <c r="I10" s="187">
        <f>SUM(I5:I9)</f>
        <v>0</v>
      </c>
      <c r="J10" s="322"/>
      <c r="K10" s="190">
        <f>SUM(K5:K9)</f>
        <v>79788774</v>
      </c>
      <c r="L10" s="317">
        <f t="shared" si="6"/>
        <v>1</v>
      </c>
      <c r="M10" s="187">
        <f>SUM(M5:M9)</f>
        <v>0</v>
      </c>
      <c r="N10" s="411" t="str">
        <f t="shared" si="8"/>
        <v>#DIV/0!</v>
      </c>
      <c r="O10" s="190">
        <f>SUM(O5:O9)</f>
        <v>22174322</v>
      </c>
      <c r="P10" s="320"/>
      <c r="Q10" s="187">
        <f>SUM(Q5:Q9)</f>
        <v>0</v>
      </c>
      <c r="R10" s="321"/>
      <c r="S10" s="319">
        <f>SUM(S5:S9)</f>
        <v>807500</v>
      </c>
      <c r="T10" s="320"/>
      <c r="U10" s="187">
        <f>SUM(U5:U9)</f>
        <v>0</v>
      </c>
      <c r="V10" s="321"/>
      <c r="W10" s="319">
        <f>SUM(W5:W9)</f>
        <v>13491729</v>
      </c>
      <c r="X10" s="320"/>
      <c r="Y10" s="187">
        <f>SUM(Y5:Y9)</f>
        <v>0</v>
      </c>
      <c r="Z10" s="321"/>
      <c r="AA10" s="319">
        <f>SUM(AA5:AA9)</f>
        <v>10169305</v>
      </c>
      <c r="AB10" s="320"/>
      <c r="AC10" s="187">
        <f>SUM(AC5:AC9)</f>
        <v>0</v>
      </c>
      <c r="AD10" s="321"/>
      <c r="AE10" s="319">
        <f>SUM(AE5:AE9)</f>
        <v>18280379</v>
      </c>
      <c r="AF10" s="320"/>
      <c r="AG10" s="187">
        <f>SUM(AG5:AG9)</f>
        <v>0</v>
      </c>
      <c r="AH10" s="321"/>
      <c r="AI10" s="319">
        <f>SUM(AI5:AI9)</f>
        <v>0</v>
      </c>
      <c r="AJ10" s="320"/>
      <c r="AK10" s="187">
        <f>SUM(AK5:AK9)</f>
        <v>0</v>
      </c>
      <c r="AL10" s="321"/>
      <c r="AM10" s="319">
        <f>SUM(AM5:AM9)</f>
        <v>460464</v>
      </c>
      <c r="AN10" s="320"/>
      <c r="AO10" s="187">
        <f>SUM(AO5:AO9)</f>
        <v>0</v>
      </c>
      <c r="AP10" s="321"/>
      <c r="AQ10" s="319">
        <f>SUM(AQ5:AQ9)</f>
        <v>13235854</v>
      </c>
      <c r="AR10" s="320"/>
      <c r="AS10" s="187">
        <f>SUM(AS5:AS9)</f>
        <v>0</v>
      </c>
      <c r="AT10" s="321"/>
      <c r="AU10" s="319">
        <f>SUM(AU5:AU9)</f>
        <v>332317</v>
      </c>
      <c r="AV10" s="320"/>
      <c r="AW10" s="187">
        <f>SUM(AW5:AW9)</f>
        <v>0</v>
      </c>
      <c r="AX10" s="321"/>
      <c r="AY10" s="319">
        <f>SUM(AY5:AY9)</f>
        <v>103369</v>
      </c>
      <c r="AZ10" s="320"/>
      <c r="BA10" s="187">
        <f>SUM(BA5:BA9)</f>
        <v>0</v>
      </c>
      <c r="BB10" s="321"/>
      <c r="BC10" s="319">
        <f>SUM(BC5:BC9)</f>
        <v>132839</v>
      </c>
      <c r="BD10" s="320"/>
      <c r="BE10" s="187">
        <f>SUM(BE5:BE9)</f>
        <v>0</v>
      </c>
      <c r="BF10" s="321"/>
      <c r="BG10" s="319">
        <f>SUM(BG5:BG9)</f>
        <v>600696</v>
      </c>
      <c r="BH10" s="320"/>
      <c r="BI10" s="187">
        <f>SUM(BI5:BI9)</f>
        <v>0</v>
      </c>
      <c r="BJ10" s="321"/>
    </row>
    <row r="11" ht="15.75" customHeight="1">
      <c r="B11" s="412"/>
      <c r="C11" s="325"/>
      <c r="D11" s="325"/>
      <c r="E11" s="325"/>
      <c r="F11" s="413"/>
      <c r="G11" s="334"/>
      <c r="H11" s="328"/>
      <c r="I11" s="329"/>
      <c r="J11" s="333"/>
      <c r="K11" s="324"/>
      <c r="L11" s="325"/>
      <c r="M11" s="332"/>
      <c r="N11" s="413"/>
      <c r="O11" s="334"/>
      <c r="P11" s="328"/>
      <c r="Q11" s="328"/>
      <c r="R11" s="330"/>
      <c r="S11" s="327"/>
      <c r="T11" s="328"/>
      <c r="U11" s="328"/>
      <c r="V11" s="330"/>
      <c r="W11" s="327"/>
      <c r="X11" s="328"/>
      <c r="Y11" s="328"/>
      <c r="Z11" s="330"/>
      <c r="AA11" s="327"/>
      <c r="AB11" s="328"/>
      <c r="AC11" s="328"/>
      <c r="AD11" s="330"/>
      <c r="AE11" s="327"/>
      <c r="AF11" s="328"/>
      <c r="AG11" s="328"/>
      <c r="AH11" s="330"/>
      <c r="AI11" s="327"/>
      <c r="AJ11" s="328"/>
      <c r="AK11" s="328"/>
      <c r="AL11" s="330"/>
      <c r="AM11" s="327"/>
      <c r="AN11" s="328"/>
      <c r="AO11" s="328"/>
      <c r="AP11" s="330"/>
      <c r="AQ11" s="327"/>
      <c r="AR11" s="328"/>
      <c r="AS11" s="328"/>
      <c r="AT11" s="330"/>
      <c r="AU11" s="327">
        <v>0.0</v>
      </c>
      <c r="AV11" s="328"/>
      <c r="AW11" s="328"/>
      <c r="AX11" s="330"/>
      <c r="AY11" s="327"/>
      <c r="AZ11" s="328"/>
      <c r="BA11" s="328"/>
      <c r="BB11" s="330"/>
      <c r="BC11" s="327"/>
      <c r="BD11" s="328"/>
      <c r="BE11" s="328"/>
      <c r="BF11" s="330"/>
      <c r="BG11" s="327"/>
      <c r="BH11" s="328"/>
      <c r="BI11" s="328">
        <v>0.0</v>
      </c>
      <c r="BJ11" s="330"/>
    </row>
    <row r="12" ht="15.75" customHeight="1">
      <c r="B12" s="410" t="s">
        <v>28</v>
      </c>
      <c r="C12" s="336">
        <f t="shared" ref="C12:C14" si="22">G12+K12</f>
        <v>28636213.56</v>
      </c>
      <c r="D12" s="317">
        <f t="shared" ref="D12:D14" si="23">C12/C$10</f>
        <v>0.3589002828</v>
      </c>
      <c r="E12" s="336" t="str">
        <f t="shared" ref="E12:E13" si="24">I12+M12</f>
        <v>#DIV/0!</v>
      </c>
      <c r="F12" s="411" t="str">
        <f t="shared" ref="F12:F13" si="25">E12/E$10</f>
        <v>#DIV/0!</v>
      </c>
      <c r="G12" s="347">
        <f>HO!J32</f>
        <v>0</v>
      </c>
      <c r="H12" s="338"/>
      <c r="I12" s="348" t="str">
        <f>HO!L32</f>
        <v/>
      </c>
      <c r="J12" s="414"/>
      <c r="K12" s="335">
        <f t="shared" ref="K12:K14" si="26">O12+S12+W12+AA12+AE12+AI12+AM12+AQ12+AU12+AY12+BC12+BG12</f>
        <v>28636213.56</v>
      </c>
      <c r="L12" s="317">
        <f t="shared" ref="L12:L13" si="27">K12/K$10</f>
        <v>0.3589002828</v>
      </c>
      <c r="M12" s="336" t="str">
        <f t="shared" ref="M12:M14" si="28">Q12+U12+Y12+AC12+AG12+AK12+AO12+AS12+AW12+BA12+BE12+BI12</f>
        <v>#DIV/0!</v>
      </c>
      <c r="N12" s="411" t="str">
        <f t="shared" ref="N12:N13" si="29">M12/M$10</f>
        <v>#DIV/0!</v>
      </c>
      <c r="O12" s="415">
        <f>'The Table'!J39</f>
        <v>7219244.588</v>
      </c>
      <c r="P12" s="343">
        <f t="shared" ref="P12:P13" si="30">O12/O$10</f>
        <v>0.3255677711</v>
      </c>
      <c r="Q12" s="344">
        <f>'The Table'!L39</f>
        <v>0</v>
      </c>
      <c r="R12" s="345" t="str">
        <f t="shared" ref="R12:R13" si="31">Q12/Q$10</f>
        <v>#DIV/0!</v>
      </c>
      <c r="S12" s="342">
        <f>Iktara!J40</f>
        <v>284766.0459</v>
      </c>
      <c r="T12" s="343">
        <f t="shared" ref="T12:T13" si="32">S12/S$10</f>
        <v>0.3526514501</v>
      </c>
      <c r="U12" s="344">
        <f>Iktara!L40</f>
        <v>0</v>
      </c>
      <c r="V12" s="345" t="str">
        <f t="shared" ref="V12:V13" si="33">U12/U$10</f>
        <v>#DIV/0!</v>
      </c>
      <c r="W12" s="342">
        <f>'Mg St Colaba'!J47</f>
        <v>5051120.433</v>
      </c>
      <c r="X12" s="343">
        <f t="shared" ref="X12:X13" si="34">W12/W$10</f>
        <v>0.3743864432</v>
      </c>
      <c r="Y12" s="344"/>
      <c r="Z12" s="345" t="str">
        <f t="shared" ref="Z12:Z13" si="35">Y12/Y$10</f>
        <v>#DIV/0!</v>
      </c>
      <c r="AA12" s="342">
        <f>'Mg St LP'!J49</f>
        <v>3646477.811</v>
      </c>
      <c r="AB12" s="343">
        <f t="shared" ref="AB12:AB13" si="36">AA12/AA$10</f>
        <v>0.3585768949</v>
      </c>
      <c r="AC12" s="344" t="str">
        <f>'Mg St LP'!L49</f>
        <v/>
      </c>
      <c r="AD12" s="345" t="str">
        <f t="shared" ref="AD12:AD13" si="37">AC12/AC$10</f>
        <v>#DIV/0!</v>
      </c>
      <c r="AE12" s="342">
        <f>'Mg St Bandra'!J47</f>
        <v>5812640.325</v>
      </c>
      <c r="AF12" s="343">
        <f t="shared" ref="AF12:AF13" si="38">AE12/AE$10</f>
        <v>0.3179715434</v>
      </c>
      <c r="AG12" s="344" t="str">
        <f>'Mg St Bandra'!L47</f>
        <v>#DIV/0!</v>
      </c>
      <c r="AH12" s="345" t="str">
        <f t="shared" ref="AH12:AH13" si="39">AG12/AG$10</f>
        <v>#DIV/0!</v>
      </c>
      <c r="AI12" s="337">
        <f>'MSK Events'!J47</f>
        <v>0</v>
      </c>
      <c r="AJ12" s="343" t="str">
        <f>AI12/AI$10</f>
        <v>#DIV/0!</v>
      </c>
      <c r="AK12" s="339">
        <f>'MSK Events'!L47</f>
        <v>0</v>
      </c>
      <c r="AL12" s="340"/>
      <c r="AM12" s="342">
        <f>MSBC!J47</f>
        <v>917627.5406</v>
      </c>
      <c r="AN12" s="338"/>
      <c r="AO12" s="339">
        <f>MSBC!L47</f>
        <v>0</v>
      </c>
      <c r="AP12" s="340"/>
      <c r="AQ12" s="342">
        <f>Kaspers!J47</f>
        <v>4755603.821</v>
      </c>
      <c r="AR12" s="338"/>
      <c r="AS12" s="344">
        <f>Kaspers!L47</f>
        <v>0</v>
      </c>
      <c r="AT12" s="340"/>
      <c r="AU12" s="342">
        <f>'MSBC Andheri'!J46</f>
        <v>318872.0942</v>
      </c>
      <c r="AV12" s="338"/>
      <c r="AW12" s="344">
        <f>'MSBC Andheri'!L46</f>
        <v>0</v>
      </c>
      <c r="AX12" s="340"/>
      <c r="AY12" s="342">
        <f>'MSBC Dahisar'!J44</f>
        <v>188134.6038</v>
      </c>
      <c r="AZ12" s="338"/>
      <c r="BA12" s="344">
        <f>'MSBC Dahisar'!L44</f>
        <v>0</v>
      </c>
      <c r="BB12" s="340"/>
      <c r="BC12" s="342">
        <f>'MSBC Juhu  Goregoan'!J37</f>
        <v>228663.7141</v>
      </c>
      <c r="BD12" s="338"/>
      <c r="BE12" s="344">
        <f>'MSBC Juhu  Goregoan'!L37</f>
        <v>0</v>
      </c>
      <c r="BF12" s="340"/>
      <c r="BG12" s="342">
        <f>'LOUD MOUTH'!J39</f>
        <v>213062.58</v>
      </c>
      <c r="BH12" s="338"/>
      <c r="BI12" s="344" t="str">
        <f>'LOUD MOUTH'!L39</f>
        <v/>
      </c>
      <c r="BJ12" s="340"/>
    </row>
    <row r="13" ht="15.75" customHeight="1">
      <c r="B13" s="410" t="s">
        <v>29</v>
      </c>
      <c r="C13" s="336">
        <f t="shared" si="22"/>
        <v>984001.25</v>
      </c>
      <c r="D13" s="317">
        <f t="shared" si="23"/>
        <v>0.01233257764</v>
      </c>
      <c r="E13" s="336">
        <f t="shared" si="24"/>
        <v>0</v>
      </c>
      <c r="F13" s="411" t="str">
        <f t="shared" si="25"/>
        <v>#DIV/0!</v>
      </c>
      <c r="G13" s="347" t="str">
        <f>HO!J33</f>
        <v/>
      </c>
      <c r="H13" s="338"/>
      <c r="I13" s="339" t="str">
        <f>HO!L33</f>
        <v/>
      </c>
      <c r="J13" s="414"/>
      <c r="K13" s="335">
        <f t="shared" si="26"/>
        <v>984001.25</v>
      </c>
      <c r="L13" s="317">
        <f t="shared" si="27"/>
        <v>0.01233257764</v>
      </c>
      <c r="M13" s="336">
        <f t="shared" si="28"/>
        <v>0</v>
      </c>
      <c r="N13" s="411" t="str">
        <f t="shared" si="29"/>
        <v>#DIV/0!</v>
      </c>
      <c r="O13" s="415">
        <f>'The Table'!J40</f>
        <v>58949.25</v>
      </c>
      <c r="P13" s="343">
        <f t="shared" si="30"/>
        <v>0.002658446558</v>
      </c>
      <c r="Q13" s="344">
        <f>'The Table'!L40</f>
        <v>0</v>
      </c>
      <c r="R13" s="345" t="str">
        <f t="shared" si="31"/>
        <v>#DIV/0!</v>
      </c>
      <c r="S13" s="342">
        <f>Iktara!J41</f>
        <v>29560</v>
      </c>
      <c r="T13" s="343">
        <f t="shared" si="32"/>
        <v>0.03660681115</v>
      </c>
      <c r="U13" s="344" t="str">
        <f>Iktara!L41</f>
        <v/>
      </c>
      <c r="V13" s="345" t="str">
        <f t="shared" si="33"/>
        <v>#DIV/0!</v>
      </c>
      <c r="W13" s="342">
        <f>'Mg St Colaba'!J48</f>
        <v>179370</v>
      </c>
      <c r="X13" s="343">
        <f t="shared" si="34"/>
        <v>0.01329481195</v>
      </c>
      <c r="Y13" s="344"/>
      <c r="Z13" s="345" t="str">
        <f t="shared" si="35"/>
        <v>#DIV/0!</v>
      </c>
      <c r="AA13" s="342">
        <f>'Mg St LP'!J50</f>
        <v>229061</v>
      </c>
      <c r="AB13" s="343">
        <f t="shared" si="36"/>
        <v>0.02252474481</v>
      </c>
      <c r="AC13" s="344" t="str">
        <f>'Mg St LP'!L50</f>
        <v/>
      </c>
      <c r="AD13" s="345" t="str">
        <f t="shared" si="37"/>
        <v>#DIV/0!</v>
      </c>
      <c r="AE13" s="342">
        <f>'Mg St Bandra'!J48</f>
        <v>296470</v>
      </c>
      <c r="AF13" s="343">
        <f t="shared" si="38"/>
        <v>0.01621793509</v>
      </c>
      <c r="AG13" s="344" t="str">
        <f>'Mg St Bandra'!L48</f>
        <v/>
      </c>
      <c r="AH13" s="345" t="str">
        <f t="shared" si="39"/>
        <v>#DIV/0!</v>
      </c>
      <c r="AI13" s="337">
        <f>'MSK Events'!J48</f>
        <v>1030</v>
      </c>
      <c r="AJ13" s="338"/>
      <c r="AK13" s="339" t="str">
        <f>'MSK Events'!L48</f>
        <v/>
      </c>
      <c r="AL13" s="340"/>
      <c r="AM13" s="342">
        <f>MSBC!J48</f>
        <v>109653</v>
      </c>
      <c r="AN13" s="338"/>
      <c r="AO13" s="339" t="str">
        <f>MSBC!L48</f>
        <v/>
      </c>
      <c r="AP13" s="340"/>
      <c r="AQ13" s="342">
        <f>Kaspers!J48</f>
        <v>28439</v>
      </c>
      <c r="AR13" s="338"/>
      <c r="AS13" s="344">
        <f>Kaspers!L48</f>
        <v>0</v>
      </c>
      <c r="AT13" s="340"/>
      <c r="AU13" s="342">
        <f>'MSBC Andheri'!J47</f>
        <v>6379</v>
      </c>
      <c r="AV13" s="338"/>
      <c r="AW13" s="344" t="str">
        <f>'MSBC Andheri'!L47</f>
        <v/>
      </c>
      <c r="AX13" s="340"/>
      <c r="AY13" s="342">
        <f>'MSBC Dahisar'!J45</f>
        <v>668</v>
      </c>
      <c r="AZ13" s="338"/>
      <c r="BA13" s="344" t="str">
        <f>'MSBC Dahisar'!L45</f>
        <v/>
      </c>
      <c r="BB13" s="340"/>
      <c r="BC13" s="342">
        <f>'MSBC Juhu  Goregoan'!J38</f>
        <v>3293</v>
      </c>
      <c r="BD13" s="338"/>
      <c r="BE13" s="344" t="str">
        <f>'MSBC Juhu  Goregoan'!L38</f>
        <v/>
      </c>
      <c r="BF13" s="340"/>
      <c r="BG13" s="342">
        <f>'LOUD MOUTH'!J40</f>
        <v>41129</v>
      </c>
      <c r="BH13" s="338"/>
      <c r="BI13" s="344" t="str">
        <f>'LOUD MOUTH'!L40</f>
        <v/>
      </c>
      <c r="BJ13" s="340"/>
    </row>
    <row r="14" ht="15.75" customHeight="1">
      <c r="B14" s="410" t="s">
        <v>160</v>
      </c>
      <c r="C14" s="351">
        <f t="shared" si="22"/>
        <v>0</v>
      </c>
      <c r="D14" s="350">
        <f t="shared" si="23"/>
        <v>0</v>
      </c>
      <c r="E14" s="351"/>
      <c r="F14" s="416"/>
      <c r="G14" s="347"/>
      <c r="H14" s="339"/>
      <c r="I14" s="339"/>
      <c r="J14" s="348"/>
      <c r="K14" s="335">
        <f t="shared" si="26"/>
        <v>0</v>
      </c>
      <c r="L14" s="350"/>
      <c r="M14" s="336">
        <f t="shared" si="28"/>
        <v>0</v>
      </c>
      <c r="N14" s="416"/>
      <c r="O14" s="415"/>
      <c r="P14" s="343"/>
      <c r="Q14" s="344"/>
      <c r="R14" s="345"/>
      <c r="S14" s="342"/>
      <c r="T14" s="343"/>
      <c r="U14" s="338"/>
      <c r="V14" s="345"/>
      <c r="W14" s="342"/>
      <c r="X14" s="343"/>
      <c r="Y14" s="338"/>
      <c r="Z14" s="345"/>
      <c r="AA14" s="342"/>
      <c r="AB14" s="343"/>
      <c r="AC14" s="344"/>
      <c r="AD14" s="345"/>
      <c r="AE14" s="342"/>
      <c r="AF14" s="343"/>
      <c r="AG14" s="338"/>
      <c r="AH14" s="345"/>
      <c r="AI14" s="417"/>
      <c r="AJ14" s="338"/>
      <c r="AK14" s="338"/>
      <c r="AL14" s="340"/>
      <c r="AM14" s="342"/>
      <c r="AN14" s="338"/>
      <c r="AO14" s="338"/>
      <c r="AP14" s="340"/>
      <c r="AQ14" s="355"/>
      <c r="AR14" s="338"/>
      <c r="AS14" s="344"/>
      <c r="AT14" s="340"/>
      <c r="AU14" s="356"/>
      <c r="AV14" s="357"/>
      <c r="AW14" s="357"/>
      <c r="AX14" s="418"/>
      <c r="AY14" s="419"/>
      <c r="AZ14" s="357"/>
      <c r="BA14" s="357"/>
      <c r="BB14" s="420"/>
      <c r="BC14" s="355"/>
      <c r="BD14" s="357"/>
      <c r="BE14" s="357"/>
      <c r="BF14" s="420"/>
      <c r="BG14" s="356"/>
      <c r="BH14" s="357"/>
      <c r="BI14" s="357"/>
      <c r="BJ14" s="357"/>
    </row>
    <row r="15" ht="15.75" customHeight="1">
      <c r="B15" s="410" t="s">
        <v>30</v>
      </c>
      <c r="C15" s="187">
        <f t="shared" ref="C15:AM15" si="40">SUM(C12:C14)</f>
        <v>29620214.81</v>
      </c>
      <c r="D15" s="359">
        <f t="shared" si="40"/>
        <v>0.3712328605</v>
      </c>
      <c r="E15" s="187" t="str">
        <f t="shared" si="40"/>
        <v>#DIV/0!</v>
      </c>
      <c r="F15" s="363" t="str">
        <f t="shared" si="40"/>
        <v>#DIV/0!</v>
      </c>
      <c r="G15" s="364">
        <f t="shared" si="40"/>
        <v>0</v>
      </c>
      <c r="H15" s="320">
        <f t="shared" si="40"/>
        <v>0</v>
      </c>
      <c r="I15" s="187">
        <f t="shared" si="40"/>
        <v>0</v>
      </c>
      <c r="J15" s="322">
        <f t="shared" si="40"/>
        <v>0</v>
      </c>
      <c r="K15" s="190">
        <f t="shared" si="40"/>
        <v>29620214.81</v>
      </c>
      <c r="L15" s="359">
        <f t="shared" si="40"/>
        <v>0.3712328605</v>
      </c>
      <c r="M15" s="187" t="str">
        <f t="shared" si="40"/>
        <v>#DIV/0!</v>
      </c>
      <c r="N15" s="363" t="str">
        <f t="shared" si="40"/>
        <v>#DIV/0!</v>
      </c>
      <c r="O15" s="190">
        <f t="shared" si="40"/>
        <v>7278193.838</v>
      </c>
      <c r="P15" s="359">
        <f t="shared" si="40"/>
        <v>0.3282262176</v>
      </c>
      <c r="Q15" s="187">
        <f t="shared" si="40"/>
        <v>0</v>
      </c>
      <c r="R15" s="360" t="str">
        <f t="shared" si="40"/>
        <v>#DIV/0!</v>
      </c>
      <c r="S15" s="319">
        <f t="shared" si="40"/>
        <v>314326.0459</v>
      </c>
      <c r="T15" s="359">
        <f t="shared" si="40"/>
        <v>0.3892582612</v>
      </c>
      <c r="U15" s="187">
        <f t="shared" si="40"/>
        <v>0</v>
      </c>
      <c r="V15" s="360" t="str">
        <f t="shared" si="40"/>
        <v>#DIV/0!</v>
      </c>
      <c r="W15" s="319">
        <f t="shared" si="40"/>
        <v>5230490.433</v>
      </c>
      <c r="X15" s="359">
        <f t="shared" si="40"/>
        <v>0.3876812551</v>
      </c>
      <c r="Y15" s="187">
        <f t="shared" si="40"/>
        <v>0</v>
      </c>
      <c r="Z15" s="360" t="str">
        <f t="shared" si="40"/>
        <v>#DIV/0!</v>
      </c>
      <c r="AA15" s="319">
        <f t="shared" si="40"/>
        <v>3875538.811</v>
      </c>
      <c r="AB15" s="359">
        <f t="shared" si="40"/>
        <v>0.3811016398</v>
      </c>
      <c r="AC15" s="187">
        <f t="shared" si="40"/>
        <v>0</v>
      </c>
      <c r="AD15" s="360" t="str">
        <f t="shared" si="40"/>
        <v>#DIV/0!</v>
      </c>
      <c r="AE15" s="319">
        <f t="shared" si="40"/>
        <v>6109110.325</v>
      </c>
      <c r="AF15" s="359">
        <f t="shared" si="40"/>
        <v>0.3341894785</v>
      </c>
      <c r="AG15" s="187" t="str">
        <f t="shared" si="40"/>
        <v>#DIV/0!</v>
      </c>
      <c r="AH15" s="360" t="str">
        <f t="shared" si="40"/>
        <v>#DIV/0!</v>
      </c>
      <c r="AI15" s="361">
        <f t="shared" si="40"/>
        <v>1030</v>
      </c>
      <c r="AJ15" s="359" t="str">
        <f t="shared" si="40"/>
        <v>#DIV/0!</v>
      </c>
      <c r="AK15" s="362">
        <f t="shared" si="40"/>
        <v>0</v>
      </c>
      <c r="AL15" s="321">
        <f t="shared" si="40"/>
        <v>0</v>
      </c>
      <c r="AM15" s="319">
        <f t="shared" si="40"/>
        <v>1027280.541</v>
      </c>
      <c r="AN15" s="320"/>
      <c r="AO15" s="362">
        <f>SUM(AO12:AO14)</f>
        <v>0</v>
      </c>
      <c r="AP15" s="321"/>
      <c r="AQ15" s="319">
        <f>SUM(AQ12:AQ13)</f>
        <v>4784042.821</v>
      </c>
      <c r="AR15" s="320"/>
      <c r="AS15" s="187">
        <f>SUM(AS12:AS14)</f>
        <v>0</v>
      </c>
      <c r="AT15" s="321"/>
      <c r="AU15" s="319">
        <f t="shared" ref="AU15:BJ15" si="41">SUM(AU12:AU14)</f>
        <v>325251.0942</v>
      </c>
      <c r="AV15" s="187">
        <f t="shared" si="41"/>
        <v>0</v>
      </c>
      <c r="AW15" s="187">
        <f t="shared" si="41"/>
        <v>0</v>
      </c>
      <c r="AX15" s="365">
        <f t="shared" si="41"/>
        <v>0</v>
      </c>
      <c r="AY15" s="319">
        <f t="shared" si="41"/>
        <v>188802.6038</v>
      </c>
      <c r="AZ15" s="187">
        <f t="shared" si="41"/>
        <v>0</v>
      </c>
      <c r="BA15" s="187">
        <f t="shared" si="41"/>
        <v>0</v>
      </c>
      <c r="BB15" s="365">
        <f t="shared" si="41"/>
        <v>0</v>
      </c>
      <c r="BC15" s="319">
        <f t="shared" si="41"/>
        <v>231956.7141</v>
      </c>
      <c r="BD15" s="187">
        <f t="shared" si="41"/>
        <v>0</v>
      </c>
      <c r="BE15" s="187">
        <f t="shared" si="41"/>
        <v>0</v>
      </c>
      <c r="BF15" s="365">
        <f t="shared" si="41"/>
        <v>0</v>
      </c>
      <c r="BG15" s="319">
        <f t="shared" si="41"/>
        <v>254191.58</v>
      </c>
      <c r="BH15" s="187">
        <f t="shared" si="41"/>
        <v>0</v>
      </c>
      <c r="BI15" s="187">
        <f t="shared" si="41"/>
        <v>0</v>
      </c>
      <c r="BJ15" s="365">
        <f t="shared" si="41"/>
        <v>0</v>
      </c>
    </row>
    <row r="16" ht="15.75" customHeight="1">
      <c r="B16" s="421"/>
      <c r="C16" s="368"/>
      <c r="D16" s="368"/>
      <c r="E16" s="368"/>
      <c r="F16" s="422"/>
      <c r="G16" s="334"/>
      <c r="H16" s="328"/>
      <c r="I16" s="329"/>
      <c r="J16" s="333"/>
      <c r="K16" s="367"/>
      <c r="L16" s="368"/>
      <c r="M16" s="371"/>
      <c r="N16" s="422"/>
      <c r="O16" s="334"/>
      <c r="P16" s="328"/>
      <c r="Q16" s="328"/>
      <c r="R16" s="330"/>
      <c r="S16" s="327"/>
      <c r="T16" s="328"/>
      <c r="U16" s="328"/>
      <c r="V16" s="330"/>
      <c r="W16" s="327"/>
      <c r="X16" s="328"/>
      <c r="Y16" s="328"/>
      <c r="Z16" s="330"/>
      <c r="AA16" s="327"/>
      <c r="AB16" s="328"/>
      <c r="AC16" s="328"/>
      <c r="AD16" s="330"/>
      <c r="AE16" s="327"/>
      <c r="AF16" s="328"/>
      <c r="AG16" s="328"/>
      <c r="AH16" s="330"/>
      <c r="AI16" s="327"/>
      <c r="AJ16" s="328"/>
      <c r="AK16" s="328"/>
      <c r="AL16" s="330"/>
      <c r="AM16" s="327"/>
      <c r="AN16" s="328"/>
      <c r="AO16" s="328"/>
      <c r="AP16" s="330"/>
      <c r="AQ16" s="327"/>
      <c r="AR16" s="328"/>
      <c r="AS16" s="328"/>
      <c r="AT16" s="330"/>
      <c r="AU16" s="327">
        <v>0.0</v>
      </c>
      <c r="AV16" s="328"/>
      <c r="AW16" s="328">
        <v>0.0</v>
      </c>
      <c r="AX16" s="330"/>
      <c r="AY16" s="327"/>
      <c r="AZ16" s="328"/>
      <c r="BA16" s="328"/>
      <c r="BB16" s="330"/>
      <c r="BC16" s="327"/>
      <c r="BD16" s="328"/>
      <c r="BE16" s="328"/>
      <c r="BF16" s="330"/>
      <c r="BG16" s="327"/>
      <c r="BH16" s="328"/>
      <c r="BI16" s="328"/>
      <c r="BJ16" s="330"/>
    </row>
    <row r="17" ht="15.75" customHeight="1">
      <c r="A17" s="372"/>
      <c r="B17" s="410" t="s">
        <v>32</v>
      </c>
      <c r="C17" s="187">
        <f>C10-C15</f>
        <v>50168559.19</v>
      </c>
      <c r="D17" s="359">
        <f>C17/C$10</f>
        <v>0.6287671395</v>
      </c>
      <c r="E17" s="187" t="str">
        <f>E10-E15</f>
        <v>#DIV/0!</v>
      </c>
      <c r="F17" s="363" t="str">
        <f>E17/E$10</f>
        <v>#DIV/0!</v>
      </c>
      <c r="G17" s="190">
        <f>G10-G15</f>
        <v>0</v>
      </c>
      <c r="H17" s="320"/>
      <c r="I17" s="187">
        <f>I10-I15</f>
        <v>0</v>
      </c>
      <c r="J17" s="322"/>
      <c r="K17" s="190">
        <f>K10-K15</f>
        <v>50168559.19</v>
      </c>
      <c r="L17" s="359">
        <f>K17/K$10</f>
        <v>0.6287671395</v>
      </c>
      <c r="M17" s="187" t="str">
        <f>Q17+U17+Y17+AC17+AG17+AK17+AO17</f>
        <v>#DIV/0!</v>
      </c>
      <c r="N17" s="363" t="str">
        <f>M17/M$10</f>
        <v>#DIV/0!</v>
      </c>
      <c r="O17" s="190">
        <f>O10-O15</f>
        <v>14896128.16</v>
      </c>
      <c r="P17" s="359">
        <f>O17/O$10</f>
        <v>0.6717737824</v>
      </c>
      <c r="Q17" s="187">
        <f>Q10-Q15</f>
        <v>0</v>
      </c>
      <c r="R17" s="360" t="str">
        <f>Q17/Q$10</f>
        <v>#DIV/0!</v>
      </c>
      <c r="S17" s="319">
        <f>S10-S15</f>
        <v>493173.9541</v>
      </c>
      <c r="T17" s="359">
        <f>S17/S$10</f>
        <v>0.6107417388</v>
      </c>
      <c r="U17" s="187">
        <f>U10-U15</f>
        <v>0</v>
      </c>
      <c r="V17" s="360" t="str">
        <f>U17/U$10</f>
        <v>#DIV/0!</v>
      </c>
      <c r="W17" s="319">
        <f>W10-W15</f>
        <v>8261238.567</v>
      </c>
      <c r="X17" s="359">
        <f>W17/W$10</f>
        <v>0.6123187449</v>
      </c>
      <c r="Y17" s="187">
        <f>Y10-Y15</f>
        <v>0</v>
      </c>
      <c r="Z17" s="360" t="str">
        <f>Y17/Y$10</f>
        <v>#DIV/0!</v>
      </c>
      <c r="AA17" s="319">
        <f>AA10-AA15</f>
        <v>6293766.189</v>
      </c>
      <c r="AB17" s="359">
        <f>AA17/AA$10</f>
        <v>0.6188983602</v>
      </c>
      <c r="AC17" s="187">
        <f>AC10-AC15</f>
        <v>0</v>
      </c>
      <c r="AD17" s="360" t="str">
        <f>AC17/AC$10</f>
        <v>#DIV/0!</v>
      </c>
      <c r="AE17" s="319">
        <f>AE10-AE15</f>
        <v>12171268.67</v>
      </c>
      <c r="AF17" s="359">
        <f>AE17/AE$10</f>
        <v>0.6658105215</v>
      </c>
      <c r="AG17" s="187" t="str">
        <f>AG10-AG15</f>
        <v>#DIV/0!</v>
      </c>
      <c r="AH17" s="360" t="str">
        <f>AG17/AG$10</f>
        <v>#DIV/0!</v>
      </c>
      <c r="AI17" s="319">
        <f>AI10-AI15</f>
        <v>-1030</v>
      </c>
      <c r="AJ17" s="359" t="str">
        <f>AI17/AI$10</f>
        <v>#DIV/0!</v>
      </c>
      <c r="AK17" s="187">
        <f>AK10-AK15</f>
        <v>0</v>
      </c>
      <c r="AL17" s="321"/>
      <c r="AM17" s="319">
        <f>AM10-AM15</f>
        <v>-566816.5406</v>
      </c>
      <c r="AN17" s="320"/>
      <c r="AO17" s="187">
        <f>AO10-AO15</f>
        <v>0</v>
      </c>
      <c r="AP17" s="321"/>
      <c r="AQ17" s="319">
        <f>AQ10-AQ15</f>
        <v>8451811.179</v>
      </c>
      <c r="AR17" s="320"/>
      <c r="AS17" s="187">
        <f>AS10-AS15</f>
        <v>0</v>
      </c>
      <c r="AT17" s="321"/>
      <c r="AU17" s="319">
        <f t="shared" ref="AU17:BJ17" si="42">AU10-AU15</f>
        <v>7065.905848</v>
      </c>
      <c r="AV17" s="187">
        <f t="shared" si="42"/>
        <v>0</v>
      </c>
      <c r="AW17" s="187">
        <f t="shared" si="42"/>
        <v>0</v>
      </c>
      <c r="AX17" s="365">
        <f t="shared" si="42"/>
        <v>0</v>
      </c>
      <c r="AY17" s="319">
        <f t="shared" si="42"/>
        <v>-85433.60379</v>
      </c>
      <c r="AZ17" s="187">
        <f t="shared" si="42"/>
        <v>0</v>
      </c>
      <c r="BA17" s="187">
        <f t="shared" si="42"/>
        <v>0</v>
      </c>
      <c r="BB17" s="365">
        <f t="shared" si="42"/>
        <v>0</v>
      </c>
      <c r="BC17" s="319">
        <f t="shared" si="42"/>
        <v>-99117.71409</v>
      </c>
      <c r="BD17" s="187">
        <f t="shared" si="42"/>
        <v>0</v>
      </c>
      <c r="BE17" s="187">
        <f t="shared" si="42"/>
        <v>0</v>
      </c>
      <c r="BF17" s="365">
        <f t="shared" si="42"/>
        <v>0</v>
      </c>
      <c r="BG17" s="319">
        <f t="shared" si="42"/>
        <v>346504.42</v>
      </c>
      <c r="BH17" s="187">
        <f t="shared" si="42"/>
        <v>0</v>
      </c>
      <c r="BI17" s="187">
        <f t="shared" si="42"/>
        <v>0</v>
      </c>
      <c r="BJ17" s="365">
        <f t="shared" si="42"/>
        <v>0</v>
      </c>
    </row>
    <row r="18" ht="15.75" customHeight="1">
      <c r="B18" s="423"/>
      <c r="C18" s="375"/>
      <c r="D18" s="375"/>
      <c r="E18" s="375"/>
      <c r="F18" s="424"/>
      <c r="G18" s="381"/>
      <c r="H18" s="281"/>
      <c r="I18" s="287"/>
      <c r="J18" s="380"/>
      <c r="K18" s="374"/>
      <c r="L18" s="375"/>
      <c r="M18" s="379"/>
      <c r="N18" s="424"/>
      <c r="O18" s="290"/>
      <c r="P18" s="281"/>
      <c r="Q18" s="281"/>
      <c r="R18" s="283"/>
      <c r="S18" s="377"/>
      <c r="T18" s="281"/>
      <c r="U18" s="281"/>
      <c r="V18" s="283"/>
      <c r="W18" s="377"/>
      <c r="X18" s="281"/>
      <c r="Y18" s="281"/>
      <c r="Z18" s="283"/>
      <c r="AA18" s="377"/>
      <c r="AB18" s="281"/>
      <c r="AC18" s="281"/>
      <c r="AD18" s="283"/>
      <c r="AE18" s="377"/>
      <c r="AF18" s="281"/>
      <c r="AG18" s="281"/>
      <c r="AH18" s="283"/>
      <c r="AI18" s="377"/>
      <c r="AJ18" s="281"/>
      <c r="AK18" s="281"/>
      <c r="AL18" s="283"/>
      <c r="AM18" s="285"/>
      <c r="AN18" s="281"/>
      <c r="AO18" s="281"/>
      <c r="AP18" s="283"/>
      <c r="AQ18" s="377"/>
      <c r="AR18" s="281"/>
      <c r="AS18" s="281"/>
      <c r="AT18" s="283"/>
      <c r="AU18" s="377"/>
      <c r="AV18" s="281"/>
      <c r="AW18" s="281"/>
      <c r="AX18" s="283"/>
      <c r="AY18" s="377"/>
      <c r="AZ18" s="281"/>
      <c r="BA18" s="281"/>
      <c r="BB18" s="283"/>
      <c r="BC18" s="377"/>
      <c r="BD18" s="281"/>
      <c r="BE18" s="281"/>
      <c r="BF18" s="283"/>
      <c r="BG18" s="377"/>
      <c r="BH18" s="281"/>
      <c r="BI18" s="281"/>
      <c r="BJ18" s="283"/>
    </row>
    <row r="19" ht="15.75" customHeight="1">
      <c r="B19" s="404" t="s">
        <v>33</v>
      </c>
      <c r="C19" s="294">
        <f t="shared" ref="C19:C28" si="43">G19+K19</f>
        <v>2071844.94</v>
      </c>
      <c r="D19" s="293">
        <f t="shared" ref="D19:D29" si="44">C19/C$10</f>
        <v>0.02596662207</v>
      </c>
      <c r="E19" s="294">
        <f t="shared" ref="E19:E29" si="45">I19+M19</f>
        <v>17189</v>
      </c>
      <c r="F19" s="405" t="str">
        <f t="shared" ref="F19:F29" si="46">E19/E$10</f>
        <v>#DIV/0!</v>
      </c>
      <c r="G19" s="304">
        <f>HO!J43</f>
        <v>21275</v>
      </c>
      <c r="H19" s="257"/>
      <c r="I19" s="258" t="str">
        <f>HO!L43</f>
        <v/>
      </c>
      <c r="J19" s="406"/>
      <c r="K19" s="292">
        <f t="shared" ref="K19:K28" si="47">O19+S19+W19+AA19+AE19+AI19+AM19+AQ19+AU19+AY19+BC19+BG19</f>
        <v>2050569.94</v>
      </c>
      <c r="L19" s="293">
        <f t="shared" ref="L19:L29" si="48">K19/K$10</f>
        <v>0.02569998055</v>
      </c>
      <c r="M19" s="294">
        <f t="shared" ref="M19:M21" si="49">Q19+U19+Y19+AC19+AG19+AK19+AO19+AS19+AW1+BA19+BE19+BI19</f>
        <v>17189</v>
      </c>
      <c r="N19" s="405" t="str">
        <f t="shared" ref="N19:N29" si="50">M19/M$10</f>
        <v>#DIV/0!</v>
      </c>
      <c r="O19" s="304">
        <f>'The Table'!J51</f>
        <v>591235.94</v>
      </c>
      <c r="P19" s="301">
        <f t="shared" ref="P19:P29" si="51">O19/O$10</f>
        <v>0.02666308986</v>
      </c>
      <c r="Q19" s="258">
        <f>'The Table'!L51</f>
        <v>17189</v>
      </c>
      <c r="R19" s="302" t="str">
        <f t="shared" ref="R19:R29" si="52">Q19/Q$10</f>
        <v>#DIV/0!</v>
      </c>
      <c r="S19" s="300">
        <f>Iktara!J52</f>
        <v>43991</v>
      </c>
      <c r="T19" s="301">
        <f t="shared" ref="T19:T29" si="53">S19/S$10</f>
        <v>0.05447801858</v>
      </c>
      <c r="U19" s="258">
        <f>Iktara!L52</f>
        <v>0</v>
      </c>
      <c r="V19" s="302" t="str">
        <f t="shared" ref="V19:V29" si="54">U19/U$10</f>
        <v>#DIV/0!</v>
      </c>
      <c r="W19" s="300">
        <f>'Mg St Colaba'!J60</f>
        <v>356741</v>
      </c>
      <c r="X19" s="301">
        <f t="shared" ref="X19:X29" si="55">W19/W$10</f>
        <v>0.02644145906</v>
      </c>
      <c r="Y19" s="258"/>
      <c r="Z19" s="302" t="str">
        <f t="shared" ref="Z19:Z29" si="56">Y19/Y$10</f>
        <v>#DIV/0!</v>
      </c>
      <c r="AA19" s="300">
        <f>'Mg St LP'!J61</f>
        <v>253717</v>
      </c>
      <c r="AB19" s="301">
        <f t="shared" ref="AB19:AB29" si="57">AA19/AA$10</f>
        <v>0.02494929595</v>
      </c>
      <c r="AC19" s="258">
        <f>'Mg St LP'!L61</f>
        <v>0</v>
      </c>
      <c r="AD19" s="302" t="str">
        <f t="shared" ref="AD19:AD29" si="58">AC19/AC$10</f>
        <v>#DIV/0!</v>
      </c>
      <c r="AE19" s="300">
        <f>'Mg St Bandra'!J58</f>
        <v>545089</v>
      </c>
      <c r="AF19" s="301">
        <f t="shared" ref="AF19:AF29" si="59">AE19/AE$10</f>
        <v>0.02981825486</v>
      </c>
      <c r="AG19" s="258">
        <f>'Mg St Bandra'!L58</f>
        <v>0</v>
      </c>
      <c r="AH19" s="302" t="str">
        <f t="shared" ref="AH19:AH29" si="60">AG19/AG$10</f>
        <v>#DIV/0!</v>
      </c>
      <c r="AI19" s="300">
        <f>'MSK Events'!J59</f>
        <v>24234</v>
      </c>
      <c r="AJ19" s="301" t="str">
        <f t="shared" ref="AJ19:AJ28" si="61">AI19/AI$10</f>
        <v>#DIV/0!</v>
      </c>
      <c r="AK19" s="258">
        <f>'MSK Events'!L59</f>
        <v>0</v>
      </c>
      <c r="AL19" s="302" t="str">
        <f t="shared" ref="AL19:AL28" si="62">AK19/AK$10</f>
        <v>#DIV/0!</v>
      </c>
      <c r="AM19" s="300">
        <f>MSBC!J59</f>
        <v>42515</v>
      </c>
      <c r="AN19" s="301">
        <f t="shared" ref="AN19:AN29" si="63">AM19/AM$10</f>
        <v>0.09233077939</v>
      </c>
      <c r="AO19" s="258">
        <f>MSBC!L59</f>
        <v>0</v>
      </c>
      <c r="AP19" s="302" t="str">
        <f t="shared" ref="AP19:AP29" si="64">AO19/AO$10</f>
        <v>#DIV/0!</v>
      </c>
      <c r="AQ19" s="300">
        <f>Kaspers!J62</f>
        <v>188834</v>
      </c>
      <c r="AR19" s="257"/>
      <c r="AS19" s="258">
        <f>Kaspers!L62</f>
        <v>0</v>
      </c>
      <c r="AT19" s="298"/>
      <c r="AU19" s="300">
        <f>'MSBC Andheri'!J58</f>
        <v>0</v>
      </c>
      <c r="AV19" s="257"/>
      <c r="AW19" s="258">
        <f>'MSBC Andheri'!L58</f>
        <v>0</v>
      </c>
      <c r="AX19" s="298"/>
      <c r="AY19" s="300">
        <f>'MSBC Dahisar'!J55</f>
        <v>0</v>
      </c>
      <c r="AZ19" s="257"/>
      <c r="BA19" s="258">
        <f>'MSBC Dahisar'!L55</f>
        <v>0</v>
      </c>
      <c r="BB19" s="298"/>
      <c r="BC19" s="300">
        <f>'MSBC Juhu  Goregoan'!J60</f>
        <v>0</v>
      </c>
      <c r="BD19" s="257"/>
      <c r="BE19" s="258">
        <f>'MSBC Juhu  Goregoan'!L60</f>
        <v>0</v>
      </c>
      <c r="BF19" s="298"/>
      <c r="BG19" s="300">
        <f>'LOUD MOUTH'!J51</f>
        <v>4213</v>
      </c>
      <c r="BH19" s="257"/>
      <c r="BI19" s="258">
        <f>'LOUD MOUTH'!L51</f>
        <v>0</v>
      </c>
      <c r="BJ19" s="298"/>
    </row>
    <row r="20" ht="15.75" customHeight="1">
      <c r="B20" s="404" t="s">
        <v>34</v>
      </c>
      <c r="C20" s="294">
        <f t="shared" si="43"/>
        <v>814084</v>
      </c>
      <c r="D20" s="293">
        <f t="shared" si="44"/>
        <v>0.01020298921</v>
      </c>
      <c r="E20" s="294">
        <f t="shared" si="45"/>
        <v>53100</v>
      </c>
      <c r="F20" s="405" t="str">
        <f t="shared" si="46"/>
        <v>#DIV/0!</v>
      </c>
      <c r="G20" s="304">
        <f>HO!J52</f>
        <v>53100</v>
      </c>
      <c r="H20" s="257"/>
      <c r="I20" s="258">
        <f>HO!L52</f>
        <v>53100</v>
      </c>
      <c r="J20" s="406"/>
      <c r="K20" s="292">
        <f t="shared" si="47"/>
        <v>760984</v>
      </c>
      <c r="L20" s="293">
        <f t="shared" si="48"/>
        <v>0.009537482052</v>
      </c>
      <c r="M20" s="294">
        <f t="shared" si="49"/>
        <v>0</v>
      </c>
      <c r="N20" s="405" t="str">
        <f t="shared" si="50"/>
        <v>#DIV/0!</v>
      </c>
      <c r="O20" s="304">
        <f>'The Table'!J60</f>
        <v>0</v>
      </c>
      <c r="P20" s="301">
        <f t="shared" si="51"/>
        <v>0</v>
      </c>
      <c r="Q20" s="258">
        <f>'The Table'!L60</f>
        <v>0</v>
      </c>
      <c r="R20" s="302" t="str">
        <f t="shared" si="52"/>
        <v>#DIV/0!</v>
      </c>
      <c r="S20" s="300">
        <f>Iktara!J54</f>
        <v>105479</v>
      </c>
      <c r="T20" s="301">
        <f t="shared" si="53"/>
        <v>0.1306241486</v>
      </c>
      <c r="U20" s="258">
        <f>Iktara!L54</f>
        <v>0</v>
      </c>
      <c r="V20" s="302" t="str">
        <f t="shared" si="54"/>
        <v>#DIV/0!</v>
      </c>
      <c r="W20" s="300">
        <f>'Mg St Colaba'!J69</f>
        <v>210682</v>
      </c>
      <c r="X20" s="301">
        <f t="shared" si="55"/>
        <v>0.01561564126</v>
      </c>
      <c r="Y20" s="258"/>
      <c r="Z20" s="302" t="str">
        <f t="shared" si="56"/>
        <v>#DIV/0!</v>
      </c>
      <c r="AA20" s="300">
        <f>'Mg St LP'!J63</f>
        <v>116275</v>
      </c>
      <c r="AB20" s="301">
        <f t="shared" si="57"/>
        <v>0.01143391805</v>
      </c>
      <c r="AC20" s="258">
        <f>'Mg St LP'!L63</f>
        <v>0</v>
      </c>
      <c r="AD20" s="302" t="str">
        <f t="shared" si="58"/>
        <v>#DIV/0!</v>
      </c>
      <c r="AE20" s="300">
        <f>'Mg St Bandra'!J70</f>
        <v>100602</v>
      </c>
      <c r="AF20" s="301">
        <f t="shared" si="59"/>
        <v>0.005503277585</v>
      </c>
      <c r="AG20" s="258">
        <f>'Mg St Bandra'!L70</f>
        <v>0</v>
      </c>
      <c r="AH20" s="302" t="str">
        <f t="shared" si="60"/>
        <v>#DIV/0!</v>
      </c>
      <c r="AI20" s="300">
        <f>'MSK Events'!J70</f>
        <v>80000</v>
      </c>
      <c r="AJ20" s="301" t="str">
        <f t="shared" si="61"/>
        <v>#DIV/0!</v>
      </c>
      <c r="AK20" s="258">
        <f>'MSK Events'!L70</f>
        <v>0</v>
      </c>
      <c r="AL20" s="302" t="str">
        <f t="shared" si="62"/>
        <v>#DIV/0!</v>
      </c>
      <c r="AM20" s="300">
        <f>MSBC!J61</f>
        <v>48603</v>
      </c>
      <c r="AN20" s="301">
        <f t="shared" si="63"/>
        <v>0.1055522256</v>
      </c>
      <c r="AO20" s="258">
        <f>MSBC!L61</f>
        <v>0</v>
      </c>
      <c r="AP20" s="302" t="str">
        <f t="shared" si="64"/>
        <v>#DIV/0!</v>
      </c>
      <c r="AQ20" s="300">
        <f>Kaspers!J65</f>
        <v>35000</v>
      </c>
      <c r="AR20" s="257"/>
      <c r="AS20" s="258">
        <f>Kaspers!L65</f>
        <v>0</v>
      </c>
      <c r="AT20" s="298"/>
      <c r="AU20" s="300">
        <f>'MSBC Andheri'!J70</f>
        <v>56065</v>
      </c>
      <c r="AV20" s="257"/>
      <c r="AW20" s="258">
        <f>'MSBC Andheri'!L70</f>
        <v>0</v>
      </c>
      <c r="AX20" s="298"/>
      <c r="AY20" s="300">
        <f>'MSBC Dahisar'!J57</f>
        <v>4563</v>
      </c>
      <c r="AZ20" s="257"/>
      <c r="BA20" s="258">
        <f>'MSBC Dahisar'!L57</f>
        <v>0</v>
      </c>
      <c r="BB20" s="298"/>
      <c r="BC20" s="300">
        <f>'MSBC Juhu  Goregoan'!J72</f>
        <v>3715</v>
      </c>
      <c r="BD20" s="257"/>
      <c r="BE20" s="258">
        <f>'MSBC Juhu  Goregoan'!L72</f>
        <v>0</v>
      </c>
      <c r="BF20" s="298"/>
      <c r="BG20" s="300">
        <f>'LOUD MOUTH'!J54</f>
        <v>0</v>
      </c>
      <c r="BH20" s="257"/>
      <c r="BI20" s="258">
        <f>'LOUD MOUTH'!L54</f>
        <v>0</v>
      </c>
      <c r="BJ20" s="298"/>
    </row>
    <row r="21" ht="15.75" customHeight="1">
      <c r="B21" s="404" t="s">
        <v>35</v>
      </c>
      <c r="C21" s="294">
        <f t="shared" si="43"/>
        <v>2295835.17</v>
      </c>
      <c r="D21" s="293">
        <f t="shared" si="44"/>
        <v>0.0287739121</v>
      </c>
      <c r="E21" s="294">
        <f t="shared" si="45"/>
        <v>0</v>
      </c>
      <c r="F21" s="405" t="str">
        <f t="shared" si="46"/>
        <v>#DIV/0!</v>
      </c>
      <c r="G21" s="304">
        <f>HO!J63</f>
        <v>0</v>
      </c>
      <c r="H21" s="257"/>
      <c r="I21" s="258">
        <f>HO!L63</f>
        <v>0</v>
      </c>
      <c r="J21" s="406"/>
      <c r="K21" s="292">
        <f t="shared" si="47"/>
        <v>2295835.17</v>
      </c>
      <c r="L21" s="293">
        <f t="shared" si="48"/>
        <v>0.0287739121</v>
      </c>
      <c r="M21" s="294">
        <f t="shared" si="49"/>
        <v>0</v>
      </c>
      <c r="N21" s="405" t="str">
        <f t="shared" si="50"/>
        <v>#DIV/0!</v>
      </c>
      <c r="O21" s="304">
        <f>'The Table'!J69</f>
        <v>83781</v>
      </c>
      <c r="P21" s="301">
        <f t="shared" si="51"/>
        <v>0.00377828914</v>
      </c>
      <c r="Q21" s="258">
        <f>'The Table'!L69</f>
        <v>0</v>
      </c>
      <c r="R21" s="302" t="str">
        <f t="shared" si="52"/>
        <v>#DIV/0!</v>
      </c>
      <c r="S21" s="300">
        <f>Iktara!J64</f>
        <v>116787.55</v>
      </c>
      <c r="T21" s="301">
        <f t="shared" si="53"/>
        <v>0.1446285449</v>
      </c>
      <c r="U21" s="258" t="str">
        <f>Iktara!L64</f>
        <v/>
      </c>
      <c r="V21" s="302" t="str">
        <f t="shared" si="54"/>
        <v>#DIV/0!</v>
      </c>
      <c r="W21" s="300">
        <f>'Mg St Colaba'!J81</f>
        <v>480329</v>
      </c>
      <c r="X21" s="301">
        <f t="shared" si="55"/>
        <v>0.03560173792</v>
      </c>
      <c r="Y21" s="258"/>
      <c r="Z21" s="302" t="str">
        <f t="shared" si="56"/>
        <v>#DIV/0!</v>
      </c>
      <c r="AA21" s="300">
        <f>'Mg St LP'!J76</f>
        <v>721776</v>
      </c>
      <c r="AB21" s="301">
        <f t="shared" si="57"/>
        <v>0.07097594182</v>
      </c>
      <c r="AC21" s="258">
        <f>'Mg St LP'!L76</f>
        <v>0</v>
      </c>
      <c r="AD21" s="302" t="str">
        <f t="shared" si="58"/>
        <v>#DIV/0!</v>
      </c>
      <c r="AE21" s="300">
        <f>'Mg St Bandra'!J81</f>
        <v>679501</v>
      </c>
      <c r="AF21" s="301">
        <f t="shared" si="59"/>
        <v>0.03717105646</v>
      </c>
      <c r="AG21" s="258">
        <f>'Mg St Bandra'!L81</f>
        <v>0</v>
      </c>
      <c r="AH21" s="302" t="str">
        <f t="shared" si="60"/>
        <v>#DIV/0!</v>
      </c>
      <c r="AI21" s="300">
        <f>'MSK Events'!J77</f>
        <v>0</v>
      </c>
      <c r="AJ21" s="301" t="str">
        <f t="shared" si="61"/>
        <v>#DIV/0!</v>
      </c>
      <c r="AK21" s="258">
        <f>'MSK Events'!L77</f>
        <v>0</v>
      </c>
      <c r="AL21" s="302" t="str">
        <f t="shared" si="62"/>
        <v>#DIV/0!</v>
      </c>
      <c r="AM21" s="300">
        <f>MSBC!J69</f>
        <v>38464</v>
      </c>
      <c r="AN21" s="301">
        <f t="shared" si="63"/>
        <v>0.0835331318</v>
      </c>
      <c r="AO21" s="258">
        <f>MSBC!L69</f>
        <v>0</v>
      </c>
      <c r="AP21" s="302" t="str">
        <f t="shared" si="64"/>
        <v>#DIV/0!</v>
      </c>
      <c r="AQ21" s="300">
        <f>Kaspers!J73</f>
        <v>0</v>
      </c>
      <c r="AR21" s="257"/>
      <c r="AS21" s="258">
        <f>Kaspers!L73</f>
        <v>0</v>
      </c>
      <c r="AT21" s="298"/>
      <c r="AU21" s="300">
        <f>'MSBC Andheri'!J78</f>
        <v>65859.7</v>
      </c>
      <c r="AV21" s="257"/>
      <c r="AW21" s="258">
        <f>'MSBC Andheri'!L78</f>
        <v>0</v>
      </c>
      <c r="AX21" s="298"/>
      <c r="AY21" s="300">
        <f>'MSBC Dahisar'!J65</f>
        <v>16021.92</v>
      </c>
      <c r="AZ21" s="257"/>
      <c r="BA21" s="258">
        <f>'MSBC Dahisar'!L65</f>
        <v>0</v>
      </c>
      <c r="BB21" s="298"/>
      <c r="BC21" s="300">
        <f>'MSBC Juhu  Goregoan'!J80</f>
        <v>20427</v>
      </c>
      <c r="BD21" s="257"/>
      <c r="BE21" s="258">
        <f>'MSBC Juhu  Goregoan'!L80</f>
        <v>0</v>
      </c>
      <c r="BF21" s="298"/>
      <c r="BG21" s="300">
        <f>'LOUD MOUTH'!J63</f>
        <v>72888</v>
      </c>
      <c r="BH21" s="257"/>
      <c r="BI21" s="258">
        <f>'LOUD MOUTH'!L63</f>
        <v>0</v>
      </c>
      <c r="BJ21" s="298"/>
    </row>
    <row r="22" ht="15.75" customHeight="1">
      <c r="B22" s="404" t="s">
        <v>36</v>
      </c>
      <c r="C22" s="294">
        <f t="shared" si="43"/>
        <v>8558061</v>
      </c>
      <c r="D22" s="293">
        <f t="shared" si="44"/>
        <v>0.107258961</v>
      </c>
      <c r="E22" s="294">
        <f t="shared" si="45"/>
        <v>0</v>
      </c>
      <c r="F22" s="405" t="str">
        <f t="shared" si="46"/>
        <v>#DIV/0!</v>
      </c>
      <c r="G22" s="304">
        <f>HO!J70</f>
        <v>836241</v>
      </c>
      <c r="H22" s="257"/>
      <c r="I22" s="258">
        <f>HO!L70</f>
        <v>0</v>
      </c>
      <c r="J22" s="406"/>
      <c r="K22" s="292">
        <f t="shared" si="47"/>
        <v>7721820</v>
      </c>
      <c r="L22" s="293">
        <f t="shared" si="48"/>
        <v>0.0967782761</v>
      </c>
      <c r="M22" s="294">
        <f>Q22+U22+Y22+AC22+AG22+AK22+AO22+AS22+AW22+BA22+BE22+BI22</f>
        <v>0</v>
      </c>
      <c r="N22" s="405" t="str">
        <f t="shared" si="50"/>
        <v>#DIV/0!</v>
      </c>
      <c r="O22" s="304">
        <f>'The Table'!J75</f>
        <v>2115365</v>
      </c>
      <c r="P22" s="301">
        <f t="shared" si="51"/>
        <v>0.0953970543</v>
      </c>
      <c r="Q22" s="258">
        <f>'The Table'!L75</f>
        <v>0</v>
      </c>
      <c r="R22" s="302" t="str">
        <f t="shared" si="52"/>
        <v>#DIV/0!</v>
      </c>
      <c r="S22" s="300">
        <f>Iktara!J70</f>
        <v>84112</v>
      </c>
      <c r="T22" s="301">
        <f t="shared" si="53"/>
        <v>0.1041634675</v>
      </c>
      <c r="U22" s="258" t="str">
        <f>Iktara!L70</f>
        <v/>
      </c>
      <c r="V22" s="302" t="str">
        <f t="shared" si="54"/>
        <v>#DIV/0!</v>
      </c>
      <c r="W22" s="300">
        <f>'Mg St Colaba'!J88</f>
        <v>1860691</v>
      </c>
      <c r="X22" s="301">
        <f t="shared" si="55"/>
        <v>0.1379134579</v>
      </c>
      <c r="Y22" s="258"/>
      <c r="Z22" s="302" t="str">
        <f t="shared" si="56"/>
        <v>#DIV/0!</v>
      </c>
      <c r="AA22" s="300">
        <f>'Mg St LP'!J83</f>
        <v>1073634</v>
      </c>
      <c r="AB22" s="301">
        <f t="shared" si="57"/>
        <v>0.1055759464</v>
      </c>
      <c r="AC22" s="258">
        <f>'Mg St LP'!L83</f>
        <v>0</v>
      </c>
      <c r="AD22" s="302" t="str">
        <f t="shared" si="58"/>
        <v>#DIV/0!</v>
      </c>
      <c r="AE22" s="300">
        <f>'Mg St Bandra'!J88</f>
        <v>1181980</v>
      </c>
      <c r="AF22" s="301">
        <f t="shared" si="59"/>
        <v>0.06465839685</v>
      </c>
      <c r="AG22" s="258">
        <f>'Mg St Bandra'!L88</f>
        <v>0</v>
      </c>
      <c r="AH22" s="302" t="str">
        <f t="shared" si="60"/>
        <v>#DIV/0!</v>
      </c>
      <c r="AI22" s="300">
        <f>'MSK Events'!J84</f>
        <v>249141</v>
      </c>
      <c r="AJ22" s="301" t="str">
        <f t="shared" si="61"/>
        <v>#DIV/0!</v>
      </c>
      <c r="AK22" s="258">
        <f>'MSK Events'!L84</f>
        <v>0</v>
      </c>
      <c r="AL22" s="302" t="str">
        <f t="shared" si="62"/>
        <v>#DIV/0!</v>
      </c>
      <c r="AM22" s="300">
        <f>MSBC!J75</f>
        <v>226258</v>
      </c>
      <c r="AN22" s="301">
        <f t="shared" si="63"/>
        <v>0.491369575</v>
      </c>
      <c r="AO22" s="258">
        <f>MSBC!L75</f>
        <v>0</v>
      </c>
      <c r="AP22" s="302" t="str">
        <f t="shared" si="64"/>
        <v>#DIV/0!</v>
      </c>
      <c r="AQ22" s="300">
        <f>Kaspers!J80</f>
        <v>930639</v>
      </c>
      <c r="AR22" s="257"/>
      <c r="AS22" s="258">
        <f>Kaspers!L80</f>
        <v>0</v>
      </c>
      <c r="AT22" s="298"/>
      <c r="AU22" s="300">
        <f>'MSBC Andheri'!J87</f>
        <v>0</v>
      </c>
      <c r="AV22" s="257"/>
      <c r="AW22" s="258">
        <f>'MSBC Andheri'!L87</f>
        <v>0</v>
      </c>
      <c r="AX22" s="298"/>
      <c r="AY22" s="300">
        <f>'MSBC Dahisar'!J74</f>
        <v>0</v>
      </c>
      <c r="AZ22" s="257"/>
      <c r="BA22" s="258">
        <f>'MSBC Dahisar'!L74</f>
        <v>0</v>
      </c>
      <c r="BB22" s="298"/>
      <c r="BC22" s="300">
        <v>0.0</v>
      </c>
      <c r="BD22" s="257"/>
      <c r="BE22" s="258">
        <v>0.0</v>
      </c>
      <c r="BF22" s="298"/>
      <c r="BG22" s="300">
        <f>'LOUD MOUTH'!J70</f>
        <v>0</v>
      </c>
      <c r="BH22" s="257"/>
      <c r="BI22" s="258">
        <f>'LOUD MOUTH'!L70</f>
        <v>0</v>
      </c>
      <c r="BJ22" s="298"/>
    </row>
    <row r="23" ht="15.75" customHeight="1">
      <c r="B23" s="404" t="s">
        <v>37</v>
      </c>
      <c r="C23" s="294">
        <f t="shared" si="43"/>
        <v>24706053.28</v>
      </c>
      <c r="D23" s="293">
        <f t="shared" si="44"/>
        <v>0.3096432247</v>
      </c>
      <c r="E23" s="294">
        <f t="shared" si="45"/>
        <v>703750</v>
      </c>
      <c r="F23" s="405" t="str">
        <f t="shared" si="46"/>
        <v>#DIV/0!</v>
      </c>
      <c r="G23" s="304">
        <f>HO!J76</f>
        <v>3976864.27</v>
      </c>
      <c r="H23" s="257"/>
      <c r="I23" s="258">
        <f>HO!L76</f>
        <v>0</v>
      </c>
      <c r="J23" s="406"/>
      <c r="K23" s="292">
        <f t="shared" si="47"/>
        <v>20729189.01</v>
      </c>
      <c r="L23" s="293">
        <f t="shared" si="48"/>
        <v>0.2598008212</v>
      </c>
      <c r="M23" s="294">
        <f t="shared" ref="M23:M28" si="65">Q23+U23+Y23+AC23+AG23+AK23+AO23+AS23+AW5+BA23+BE23+BI23</f>
        <v>703750</v>
      </c>
      <c r="N23" s="405" t="str">
        <f t="shared" si="50"/>
        <v>#DIV/0!</v>
      </c>
      <c r="O23" s="304">
        <f>'The Table'!J81</f>
        <v>5020724.75</v>
      </c>
      <c r="P23" s="301">
        <f t="shared" si="51"/>
        <v>0.2264206658</v>
      </c>
      <c r="Q23" s="258">
        <f>'The Table'!L81</f>
        <v>703750</v>
      </c>
      <c r="R23" s="302" t="str">
        <f t="shared" si="52"/>
        <v>#DIV/0!</v>
      </c>
      <c r="S23" s="300">
        <f>Iktara!J76</f>
        <v>335773.49</v>
      </c>
      <c r="T23" s="301">
        <f t="shared" si="53"/>
        <v>0.4158185635</v>
      </c>
      <c r="U23" s="258">
        <f>Iktara!L76</f>
        <v>0</v>
      </c>
      <c r="V23" s="302" t="str">
        <f t="shared" si="54"/>
        <v>#DIV/0!</v>
      </c>
      <c r="W23" s="300">
        <f>'Mg St Colaba'!J94</f>
        <v>3247335.417</v>
      </c>
      <c r="X23" s="301">
        <f t="shared" si="55"/>
        <v>0.2406908274</v>
      </c>
      <c r="Y23" s="258"/>
      <c r="Z23" s="302" t="str">
        <f t="shared" si="56"/>
        <v>#DIV/0!</v>
      </c>
      <c r="AA23" s="300">
        <f>'Mg St LP'!J90</f>
        <v>1808386.667</v>
      </c>
      <c r="AB23" s="301">
        <f t="shared" si="57"/>
        <v>0.1778279505</v>
      </c>
      <c r="AC23" s="258">
        <f>'Mg St LP'!L90</f>
        <v>0</v>
      </c>
      <c r="AD23" s="302" t="str">
        <f t="shared" si="58"/>
        <v>#DIV/0!</v>
      </c>
      <c r="AE23" s="300">
        <f>'Mg St Bandra'!J96</f>
        <v>3798707.917</v>
      </c>
      <c r="AF23" s="301">
        <f t="shared" si="59"/>
        <v>0.2078024704</v>
      </c>
      <c r="AG23" s="258">
        <f>'Mg St Bandra'!L96</f>
        <v>0</v>
      </c>
      <c r="AH23" s="302" t="str">
        <f t="shared" si="60"/>
        <v>#DIV/0!</v>
      </c>
      <c r="AI23" s="300">
        <f>'MSK Events'!J90</f>
        <v>189246</v>
      </c>
      <c r="AJ23" s="301" t="str">
        <f t="shared" si="61"/>
        <v>#DIV/0!</v>
      </c>
      <c r="AK23" s="258">
        <f>'MSK Events'!L90</f>
        <v>0</v>
      </c>
      <c r="AL23" s="302" t="str">
        <f t="shared" si="62"/>
        <v>#DIV/0!</v>
      </c>
      <c r="AM23" s="300">
        <f>MSBC!J81</f>
        <v>1553017.72</v>
      </c>
      <c r="AN23" s="301">
        <f t="shared" si="63"/>
        <v>3.372723427</v>
      </c>
      <c r="AO23" s="258">
        <f>MSBC!L81</f>
        <v>0</v>
      </c>
      <c r="AP23" s="302" t="str">
        <f t="shared" si="64"/>
        <v>#DIV/0!</v>
      </c>
      <c r="AQ23" s="300">
        <f>Kaspers!J86</f>
        <v>4069781.05</v>
      </c>
      <c r="AR23" s="257"/>
      <c r="AS23" s="258">
        <f>Kaspers!L86</f>
        <v>0</v>
      </c>
      <c r="AT23" s="298"/>
      <c r="AU23" s="300">
        <f>'MSBC Andheri'!J93</f>
        <v>0</v>
      </c>
      <c r="AV23" s="257"/>
      <c r="AW23" s="258">
        <f>'MSBC Andheri'!L93</f>
        <v>0</v>
      </c>
      <c r="AX23" s="298"/>
      <c r="AY23" s="300">
        <f>'MSBC Dahisar'!J80</f>
        <v>0</v>
      </c>
      <c r="AZ23" s="257"/>
      <c r="BA23" s="258">
        <f>'MSBC Dahisar'!L80</f>
        <v>0</v>
      </c>
      <c r="BB23" s="298"/>
      <c r="BC23" s="300">
        <v>0.0</v>
      </c>
      <c r="BD23" s="257"/>
      <c r="BE23" s="258">
        <v>0.0</v>
      </c>
      <c r="BF23" s="298"/>
      <c r="BG23" s="300">
        <f>'LOUD MOUTH'!J77</f>
        <v>706216</v>
      </c>
      <c r="BH23" s="257"/>
      <c r="BI23" s="258">
        <f>'LOUD MOUTH'!L77</f>
        <v>0</v>
      </c>
      <c r="BJ23" s="298"/>
    </row>
    <row r="24" ht="15.75" customHeight="1">
      <c r="B24" s="404" t="s">
        <v>38</v>
      </c>
      <c r="C24" s="294">
        <f t="shared" si="43"/>
        <v>1051604</v>
      </c>
      <c r="D24" s="293">
        <f t="shared" si="44"/>
        <v>0.01317984909</v>
      </c>
      <c r="E24" s="294">
        <f t="shared" si="45"/>
        <v>0</v>
      </c>
      <c r="F24" s="405" t="str">
        <f t="shared" si="46"/>
        <v>#DIV/0!</v>
      </c>
      <c r="G24" s="304">
        <f>HO!J87</f>
        <v>452266</v>
      </c>
      <c r="H24" s="257"/>
      <c r="I24" s="258">
        <f>HO!L87</f>
        <v>0</v>
      </c>
      <c r="J24" s="406"/>
      <c r="K24" s="292">
        <f t="shared" si="47"/>
        <v>599338</v>
      </c>
      <c r="L24" s="293">
        <f t="shared" si="48"/>
        <v>0.007511557954</v>
      </c>
      <c r="M24" s="294">
        <f t="shared" si="65"/>
        <v>0</v>
      </c>
      <c r="N24" s="405" t="str">
        <f t="shared" si="50"/>
        <v>#DIV/0!</v>
      </c>
      <c r="O24" s="304">
        <f>'The Table'!J92</f>
        <v>521738</v>
      </c>
      <c r="P24" s="301">
        <f t="shared" si="51"/>
        <v>0.02352892684</v>
      </c>
      <c r="Q24" s="258">
        <f>'The Table'!L92</f>
        <v>0</v>
      </c>
      <c r="R24" s="302" t="str">
        <f t="shared" si="52"/>
        <v>#DIV/0!</v>
      </c>
      <c r="S24" s="300">
        <f>Iktara!J86</f>
        <v>0</v>
      </c>
      <c r="T24" s="301">
        <f t="shared" si="53"/>
        <v>0</v>
      </c>
      <c r="U24" s="297">
        <f>Iktara!L86</f>
        <v>0</v>
      </c>
      <c r="V24" s="302" t="str">
        <f t="shared" si="54"/>
        <v>#DIV/0!</v>
      </c>
      <c r="W24" s="300">
        <f>'Mg St Colaba'!J105</f>
        <v>7508</v>
      </c>
      <c r="X24" s="301">
        <f t="shared" si="55"/>
        <v>0.0005564890905</v>
      </c>
      <c r="Y24" s="258"/>
      <c r="Z24" s="302" t="str">
        <f t="shared" si="56"/>
        <v>#DIV/0!</v>
      </c>
      <c r="AA24" s="300">
        <f>'Mg St LP'!J101</f>
        <v>16427</v>
      </c>
      <c r="AB24" s="301">
        <f t="shared" si="57"/>
        <v>0.001615351295</v>
      </c>
      <c r="AC24" s="258">
        <f>'Mg St LP'!L101</f>
        <v>0</v>
      </c>
      <c r="AD24" s="302" t="str">
        <f t="shared" si="58"/>
        <v>#DIV/0!</v>
      </c>
      <c r="AE24" s="300">
        <f>'Mg St Bandra'!J109</f>
        <v>19862</v>
      </c>
      <c r="AF24" s="301">
        <f t="shared" si="59"/>
        <v>0.001086520143</v>
      </c>
      <c r="AG24" s="258">
        <f>'Mg St Bandra'!L109</f>
        <v>0</v>
      </c>
      <c r="AH24" s="302" t="str">
        <f t="shared" si="60"/>
        <v>#DIV/0!</v>
      </c>
      <c r="AI24" s="300">
        <f>'MSK Events'!J100</f>
        <v>0</v>
      </c>
      <c r="AJ24" s="301" t="str">
        <f t="shared" si="61"/>
        <v>#DIV/0!</v>
      </c>
      <c r="AK24" s="258">
        <f>'MSK Events'!L100</f>
        <v>0</v>
      </c>
      <c r="AL24" s="302" t="str">
        <f t="shared" si="62"/>
        <v>#DIV/0!</v>
      </c>
      <c r="AM24" s="300">
        <f>MSBC!J92</f>
        <v>5338</v>
      </c>
      <c r="AN24" s="301">
        <f t="shared" si="63"/>
        <v>0.01159265437</v>
      </c>
      <c r="AO24" s="258">
        <f>MSBC!L92</f>
        <v>0</v>
      </c>
      <c r="AP24" s="302" t="str">
        <f t="shared" si="64"/>
        <v>#DIV/0!</v>
      </c>
      <c r="AQ24" s="300">
        <f>Kaspers!J100</f>
        <v>28465</v>
      </c>
      <c r="AR24" s="257"/>
      <c r="AS24" s="258">
        <f>Kaspers!L100</f>
        <v>0</v>
      </c>
      <c r="AT24" s="298"/>
      <c r="AU24" s="300">
        <f>'MSBC Andheri'!J103</f>
        <v>0</v>
      </c>
      <c r="AV24" s="257"/>
      <c r="AW24" s="258">
        <f>'MSBC Andheri'!L103</f>
        <v>0</v>
      </c>
      <c r="AX24" s="298"/>
      <c r="AY24" s="300">
        <f>'MSBC Dahisar'!J90</f>
        <v>0</v>
      </c>
      <c r="AZ24" s="257"/>
      <c r="BA24" s="258">
        <f>'MSBC Dahisar'!L90</f>
        <v>0</v>
      </c>
      <c r="BB24" s="298"/>
      <c r="BC24" s="300">
        <f>'MSBC Juhu  Goregoan'!J103</f>
        <v>0</v>
      </c>
      <c r="BD24" s="257"/>
      <c r="BE24" s="258">
        <f>'MSBC Juhu  Goregoan'!L103</f>
        <v>0</v>
      </c>
      <c r="BF24" s="298"/>
      <c r="BG24" s="300">
        <f>'LOUD MOUTH'!J88</f>
        <v>0</v>
      </c>
      <c r="BH24" s="257"/>
      <c r="BI24" s="258">
        <f>'LOUD MOUTH'!L88</f>
        <v>0</v>
      </c>
      <c r="BJ24" s="298"/>
    </row>
    <row r="25" ht="15.75" customHeight="1">
      <c r="B25" s="404" t="s">
        <v>39</v>
      </c>
      <c r="C25" s="294">
        <f t="shared" si="43"/>
        <v>548371.4167</v>
      </c>
      <c r="D25" s="293">
        <f t="shared" si="44"/>
        <v>0.006872789105</v>
      </c>
      <c r="E25" s="294">
        <f t="shared" si="45"/>
        <v>0</v>
      </c>
      <c r="F25" s="405" t="str">
        <f t="shared" si="46"/>
        <v>#DIV/0!</v>
      </c>
      <c r="G25" s="304">
        <f>HO!J94</f>
        <v>168877.5</v>
      </c>
      <c r="H25" s="257"/>
      <c r="I25" s="258">
        <f>HO!L94</f>
        <v>0</v>
      </c>
      <c r="J25" s="406"/>
      <c r="K25" s="292">
        <f t="shared" si="47"/>
        <v>379493.9167</v>
      </c>
      <c r="L25" s="293">
        <f t="shared" si="48"/>
        <v>0.004756231956</v>
      </c>
      <c r="M25" s="294">
        <f t="shared" si="65"/>
        <v>0</v>
      </c>
      <c r="N25" s="405" t="str">
        <f t="shared" si="50"/>
        <v>#DIV/0!</v>
      </c>
      <c r="O25" s="304">
        <f>'The Table'!J95</f>
        <v>24193</v>
      </c>
      <c r="P25" s="301">
        <f t="shared" si="51"/>
        <v>0.001091036741</v>
      </c>
      <c r="Q25" s="258">
        <f>'The Table'!L95</f>
        <v>0</v>
      </c>
      <c r="R25" s="302" t="str">
        <f t="shared" si="52"/>
        <v>#DIV/0!</v>
      </c>
      <c r="S25" s="300">
        <f>Iktara!J89</f>
        <v>23090</v>
      </c>
      <c r="T25" s="301">
        <f t="shared" si="53"/>
        <v>0.02859442724</v>
      </c>
      <c r="U25" s="297">
        <f>Iktara!L89</f>
        <v>0</v>
      </c>
      <c r="V25" s="302" t="str">
        <f t="shared" si="54"/>
        <v>#DIV/0!</v>
      </c>
      <c r="W25" s="300">
        <f>'Mg St Colaba'!J108</f>
        <v>63685.33333</v>
      </c>
      <c r="X25" s="301">
        <f t="shared" si="55"/>
        <v>0.004720324084</v>
      </c>
      <c r="Y25" s="258"/>
      <c r="Z25" s="302" t="str">
        <f t="shared" si="56"/>
        <v>#DIV/0!</v>
      </c>
      <c r="AA25" s="300">
        <f>'Mg St LP'!J104</f>
        <v>52082.33333</v>
      </c>
      <c r="AB25" s="301">
        <f t="shared" si="57"/>
        <v>0.005121523382</v>
      </c>
      <c r="AC25" s="258">
        <f>'Mg St LP'!L104</f>
        <v>0</v>
      </c>
      <c r="AD25" s="302" t="str">
        <f t="shared" si="58"/>
        <v>#DIV/0!</v>
      </c>
      <c r="AE25" s="300">
        <f>'Mg St Bandra'!J112</f>
        <v>77845.33333</v>
      </c>
      <c r="AF25" s="301">
        <f t="shared" si="59"/>
        <v>0.004258409157</v>
      </c>
      <c r="AG25" s="258">
        <f>'Mg St Bandra'!L112</f>
        <v>0</v>
      </c>
      <c r="AH25" s="302" t="str">
        <f t="shared" si="60"/>
        <v>#DIV/0!</v>
      </c>
      <c r="AI25" s="300">
        <f>'MSK Events'!J103</f>
        <v>6806.25</v>
      </c>
      <c r="AJ25" s="301" t="str">
        <f t="shared" si="61"/>
        <v>#DIV/0!</v>
      </c>
      <c r="AK25" s="258">
        <f>'MSK Events'!L103</f>
        <v>0</v>
      </c>
      <c r="AL25" s="302" t="str">
        <f t="shared" si="62"/>
        <v>#DIV/0!</v>
      </c>
      <c r="AM25" s="300">
        <f>MSBC!J95</f>
        <v>59372</v>
      </c>
      <c r="AN25" s="301">
        <f t="shared" si="63"/>
        <v>0.1289395045</v>
      </c>
      <c r="AO25" s="258">
        <f>MSBC!L95</f>
        <v>0</v>
      </c>
      <c r="AP25" s="302" t="str">
        <f t="shared" si="64"/>
        <v>#DIV/0!</v>
      </c>
      <c r="AQ25" s="300">
        <f>Kaspers!J103</f>
        <v>3146.666667</v>
      </c>
      <c r="AR25" s="257"/>
      <c r="AS25" s="258">
        <f>Kaspers!L103</f>
        <v>0</v>
      </c>
      <c r="AT25" s="298"/>
      <c r="AU25" s="300">
        <f>'MSBC Andheri'!J106</f>
        <v>23091</v>
      </c>
      <c r="AV25" s="257"/>
      <c r="AW25" s="258">
        <f>'MSBC Andheri'!L106</f>
        <v>0</v>
      </c>
      <c r="AX25" s="298"/>
      <c r="AY25" s="300">
        <f>'MSBC Dahisar'!J93</f>
        <v>23091</v>
      </c>
      <c r="AZ25" s="257"/>
      <c r="BA25" s="258">
        <f>'MSBC Dahisar'!L93</f>
        <v>0</v>
      </c>
      <c r="BB25" s="298"/>
      <c r="BC25" s="300">
        <f>'MSBC Juhu  Goregoan'!J106</f>
        <v>23091</v>
      </c>
      <c r="BD25" s="257"/>
      <c r="BE25" s="258">
        <f>'MSBC Juhu  Goregoan'!L106</f>
        <v>0</v>
      </c>
      <c r="BF25" s="298"/>
      <c r="BG25" s="300">
        <f>'LOUD MOUTH'!J91</f>
        <v>0</v>
      </c>
      <c r="BH25" s="257"/>
      <c r="BI25" s="258">
        <f>'LOUD MOUTH'!L91</f>
        <v>0</v>
      </c>
      <c r="BJ25" s="298"/>
    </row>
    <row r="26" ht="15.75" customHeight="1">
      <c r="B26" s="404" t="s">
        <v>40</v>
      </c>
      <c r="C26" s="294">
        <f t="shared" si="43"/>
        <v>5280020.333</v>
      </c>
      <c r="D26" s="293">
        <f t="shared" si="44"/>
        <v>0.06617497761</v>
      </c>
      <c r="E26" s="294">
        <f t="shared" si="45"/>
        <v>104781.25</v>
      </c>
      <c r="F26" s="405" t="str">
        <f t="shared" si="46"/>
        <v>#DIV/0!</v>
      </c>
      <c r="G26" s="304">
        <f>HO!J98</f>
        <v>2020285.5</v>
      </c>
      <c r="H26" s="257"/>
      <c r="I26" s="258">
        <f>HO!L98</f>
        <v>9737.5</v>
      </c>
      <c r="J26" s="406"/>
      <c r="K26" s="292">
        <f t="shared" si="47"/>
        <v>3259734.833</v>
      </c>
      <c r="L26" s="293">
        <f t="shared" si="48"/>
        <v>0.04085455472</v>
      </c>
      <c r="M26" s="294">
        <f t="shared" si="65"/>
        <v>95043.75</v>
      </c>
      <c r="N26" s="405" t="str">
        <f t="shared" si="50"/>
        <v>#DIV/0!</v>
      </c>
      <c r="O26" s="304">
        <f>'The Table'!J99+'The Table'!J106+'The Table'!J112+'The Table'!J114+'The Table'!J116+'The Table'!J118+'The Table'!J120</f>
        <v>974138.75</v>
      </c>
      <c r="P26" s="301">
        <f t="shared" si="51"/>
        <v>0.04393093732</v>
      </c>
      <c r="Q26" s="258">
        <f>'The Table'!L99</f>
        <v>95043.75</v>
      </c>
      <c r="R26" s="302" t="str">
        <f t="shared" si="52"/>
        <v>#DIV/0!</v>
      </c>
      <c r="S26" s="300">
        <f>Iktara!J93</f>
        <v>32142</v>
      </c>
      <c r="T26" s="301">
        <f t="shared" si="53"/>
        <v>0.03980433437</v>
      </c>
      <c r="U26" s="297">
        <f>Iktara!L93</f>
        <v>0</v>
      </c>
      <c r="V26" s="302" t="str">
        <f t="shared" si="54"/>
        <v>#DIV/0!</v>
      </c>
      <c r="W26" s="300">
        <f>'Mg St Colaba'!J112</f>
        <v>435531.75</v>
      </c>
      <c r="X26" s="301">
        <f t="shared" si="55"/>
        <v>0.03228138884</v>
      </c>
      <c r="Y26" s="258"/>
      <c r="Z26" s="302" t="str">
        <f t="shared" si="56"/>
        <v>#DIV/0!</v>
      </c>
      <c r="AA26" s="300">
        <f>'Mg St LP'!J108</f>
        <v>118453.25</v>
      </c>
      <c r="AB26" s="301">
        <f t="shared" si="57"/>
        <v>0.01164811656</v>
      </c>
      <c r="AC26" s="258">
        <f>'Mg St LP'!L108</f>
        <v>0</v>
      </c>
      <c r="AD26" s="302" t="str">
        <f t="shared" si="58"/>
        <v>#DIV/0!</v>
      </c>
      <c r="AE26" s="300">
        <f>'Mg St Bandra'!J116</f>
        <v>373758</v>
      </c>
      <c r="AF26" s="301">
        <f t="shared" si="59"/>
        <v>0.02044585618</v>
      </c>
      <c r="AG26" s="258">
        <f>'Mg St Bandra'!L116</f>
        <v>0</v>
      </c>
      <c r="AH26" s="302" t="str">
        <f t="shared" si="60"/>
        <v>#DIV/0!</v>
      </c>
      <c r="AI26" s="300">
        <f>'MSK Events'!J107</f>
        <v>741723</v>
      </c>
      <c r="AJ26" s="301" t="str">
        <f t="shared" si="61"/>
        <v>#DIV/0!</v>
      </c>
      <c r="AK26" s="258">
        <f>'MSK Events'!L107</f>
        <v>0</v>
      </c>
      <c r="AL26" s="302" t="str">
        <f t="shared" si="62"/>
        <v>#DIV/0!</v>
      </c>
      <c r="AM26" s="300">
        <f>MSBC!J99</f>
        <v>233413</v>
      </c>
      <c r="AN26" s="301">
        <f t="shared" si="63"/>
        <v>0.5069082491</v>
      </c>
      <c r="AO26" s="258">
        <f>MSBC!L99</f>
        <v>0</v>
      </c>
      <c r="AP26" s="302" t="str">
        <f t="shared" si="64"/>
        <v>#DIV/0!</v>
      </c>
      <c r="AQ26" s="300">
        <f>Kaspers!J107</f>
        <v>350575.0833</v>
      </c>
      <c r="AR26" s="257"/>
      <c r="AS26" s="258">
        <f>Kaspers!L107</f>
        <v>0</v>
      </c>
      <c r="AT26" s="298"/>
      <c r="AU26" s="300">
        <f>'MSBC Andheri'!J110</f>
        <v>0</v>
      </c>
      <c r="AV26" s="257"/>
      <c r="AW26" s="258">
        <f>'MSBC Andheri'!L110</f>
        <v>0</v>
      </c>
      <c r="AX26" s="298"/>
      <c r="AY26" s="300">
        <f>'MSBC Dahisar'!J97</f>
        <v>0</v>
      </c>
      <c r="AZ26" s="257"/>
      <c r="BA26" s="258">
        <f>'MSBC Dahisar'!L97</f>
        <v>0</v>
      </c>
      <c r="BB26" s="298"/>
      <c r="BC26" s="300">
        <f>'MSBC Juhu  Goregoan'!J110</f>
        <v>0</v>
      </c>
      <c r="BD26" s="257"/>
      <c r="BE26" s="258">
        <f>'MSBC Juhu  Goregoan'!L110</f>
        <v>0</v>
      </c>
      <c r="BF26" s="298"/>
      <c r="BG26" s="300">
        <f>'LOUD MOUTH'!J95</f>
        <v>0</v>
      </c>
      <c r="BH26" s="257"/>
      <c r="BI26" s="258">
        <f>'LOUD MOUTH'!L95</f>
        <v>0</v>
      </c>
      <c r="BJ26" s="298"/>
    </row>
    <row r="27" ht="15.75" customHeight="1">
      <c r="B27" s="404" t="s">
        <v>41</v>
      </c>
      <c r="C27" s="294">
        <f t="shared" si="43"/>
        <v>713213</v>
      </c>
      <c r="D27" s="293">
        <f t="shared" si="44"/>
        <v>0.008938763741</v>
      </c>
      <c r="E27" s="294">
        <f t="shared" si="45"/>
        <v>0</v>
      </c>
      <c r="F27" s="405" t="str">
        <f t="shared" si="46"/>
        <v>#DIV/0!</v>
      </c>
      <c r="G27" s="304">
        <f>HO!J113</f>
        <v>652549</v>
      </c>
      <c r="H27" s="257"/>
      <c r="I27" s="258">
        <f>HO!L113</f>
        <v>0</v>
      </c>
      <c r="J27" s="406"/>
      <c r="K27" s="292">
        <f t="shared" si="47"/>
        <v>60664</v>
      </c>
      <c r="L27" s="293">
        <f t="shared" si="48"/>
        <v>0.0007603074588</v>
      </c>
      <c r="M27" s="294">
        <f t="shared" si="65"/>
        <v>0</v>
      </c>
      <c r="N27" s="405" t="str">
        <f t="shared" si="50"/>
        <v>#DIV/0!</v>
      </c>
      <c r="O27" s="304">
        <f>'The Table'!J123</f>
        <v>31754</v>
      </c>
      <c r="P27" s="301">
        <f t="shared" si="51"/>
        <v>0.001432016726</v>
      </c>
      <c r="Q27" s="258">
        <f>'The Table'!L123</f>
        <v>0</v>
      </c>
      <c r="R27" s="302" t="str">
        <f t="shared" si="52"/>
        <v>#DIV/0!</v>
      </c>
      <c r="S27" s="300">
        <f>Iktara!J106</f>
        <v>0</v>
      </c>
      <c r="T27" s="301">
        <f t="shared" si="53"/>
        <v>0</v>
      </c>
      <c r="U27" s="297">
        <f>Iktara!L106</f>
        <v>0</v>
      </c>
      <c r="V27" s="302" t="str">
        <f t="shared" si="54"/>
        <v>#DIV/0!</v>
      </c>
      <c r="W27" s="300">
        <f>'Mg St Colaba'!J128</f>
        <v>10325</v>
      </c>
      <c r="X27" s="301">
        <f t="shared" si="55"/>
        <v>0.0007652836786</v>
      </c>
      <c r="Y27" s="257"/>
      <c r="Z27" s="302" t="str">
        <f t="shared" si="56"/>
        <v>#DIV/0!</v>
      </c>
      <c r="AA27" s="300">
        <f>'Mg St LP'!J124</f>
        <v>0</v>
      </c>
      <c r="AB27" s="301">
        <f t="shared" si="57"/>
        <v>0</v>
      </c>
      <c r="AC27" s="297">
        <f>'Mg St LP'!L124</f>
        <v>0</v>
      </c>
      <c r="AD27" s="302" t="str">
        <f t="shared" si="58"/>
        <v>#DIV/0!</v>
      </c>
      <c r="AE27" s="300">
        <f>'Mg St Bandra'!J133</f>
        <v>10325</v>
      </c>
      <c r="AF27" s="301">
        <f t="shared" si="59"/>
        <v>0.000564813235</v>
      </c>
      <c r="AG27" s="258">
        <f>'Mg St Bandra'!L133</f>
        <v>0</v>
      </c>
      <c r="AH27" s="302" t="str">
        <f t="shared" si="60"/>
        <v>#DIV/0!</v>
      </c>
      <c r="AI27" s="300">
        <f>'MSK Events'!J125</f>
        <v>0</v>
      </c>
      <c r="AJ27" s="301" t="str">
        <f t="shared" si="61"/>
        <v>#DIV/0!</v>
      </c>
      <c r="AK27" s="258">
        <f>'MSK Events'!L125</f>
        <v>0</v>
      </c>
      <c r="AL27" s="302" t="str">
        <f t="shared" si="62"/>
        <v>#DIV/0!</v>
      </c>
      <c r="AM27" s="300">
        <f>MSBC!J115</f>
        <v>0</v>
      </c>
      <c r="AN27" s="301">
        <f t="shared" si="63"/>
        <v>0</v>
      </c>
      <c r="AO27" s="258">
        <f>MSBC!L115</f>
        <v>0</v>
      </c>
      <c r="AP27" s="302" t="str">
        <f t="shared" si="64"/>
        <v>#DIV/0!</v>
      </c>
      <c r="AQ27" s="300">
        <f>Kaspers!J130</f>
        <v>8260</v>
      </c>
      <c r="AR27" s="257"/>
      <c r="AS27" s="258">
        <f>Kaspers!L130</f>
        <v>0</v>
      </c>
      <c r="AT27" s="298"/>
      <c r="AU27" s="300">
        <f>'MSBC Andheri'!J125</f>
        <v>0</v>
      </c>
      <c r="AV27" s="257"/>
      <c r="AW27" s="258">
        <f>'MSBC Andheri'!L125</f>
        <v>0</v>
      </c>
      <c r="AX27" s="298"/>
      <c r="AY27" s="300">
        <f>'MSBC Dahisar'!J112</f>
        <v>0</v>
      </c>
      <c r="AZ27" s="257"/>
      <c r="BA27" s="258">
        <f>'MSBC Dahisar'!L112</f>
        <v>0</v>
      </c>
      <c r="BB27" s="298"/>
      <c r="BC27" s="300">
        <f>'MSBC Juhu  Goregoan'!J125</f>
        <v>0</v>
      </c>
      <c r="BD27" s="257"/>
      <c r="BE27" s="258">
        <f>'MSBC Juhu  Goregoan'!L125</f>
        <v>0</v>
      </c>
      <c r="BF27" s="298"/>
      <c r="BG27" s="300">
        <f>'LOUD MOUTH'!J109</f>
        <v>0</v>
      </c>
      <c r="BH27" s="257"/>
      <c r="BI27" s="258">
        <f>'LOUD MOUTH'!L109</f>
        <v>0</v>
      </c>
      <c r="BJ27" s="298"/>
    </row>
    <row r="28" ht="15.75" customHeight="1">
      <c r="B28" s="407" t="s">
        <v>42</v>
      </c>
      <c r="C28" s="309">
        <f t="shared" si="43"/>
        <v>-1757994</v>
      </c>
      <c r="D28" s="308">
        <f t="shared" si="44"/>
        <v>-0.02203309954</v>
      </c>
      <c r="E28" s="309">
        <f t="shared" si="45"/>
        <v>0</v>
      </c>
      <c r="F28" s="408" t="str">
        <f t="shared" si="46"/>
        <v>#DIV/0!</v>
      </c>
      <c r="G28" s="387">
        <f>HO!J117</f>
        <v>448987</v>
      </c>
      <c r="H28" s="382"/>
      <c r="I28" s="312">
        <f>HO!L117</f>
        <v>0</v>
      </c>
      <c r="J28" s="425"/>
      <c r="K28" s="292">
        <f t="shared" si="47"/>
        <v>-2206981</v>
      </c>
      <c r="L28" s="308">
        <f t="shared" si="48"/>
        <v>-0.02766029467</v>
      </c>
      <c r="M28" s="294">
        <f t="shared" si="65"/>
        <v>0</v>
      </c>
      <c r="N28" s="408" t="str">
        <f t="shared" si="50"/>
        <v>#DIV/0!</v>
      </c>
      <c r="O28" s="387">
        <f>'The Table'!J127</f>
        <v>0</v>
      </c>
      <c r="P28" s="384">
        <f t="shared" si="51"/>
        <v>0</v>
      </c>
      <c r="Q28" s="312">
        <f>'The Table'!L127</f>
        <v>0</v>
      </c>
      <c r="R28" s="385" t="str">
        <f t="shared" si="52"/>
        <v>#DIV/0!</v>
      </c>
      <c r="S28" s="314">
        <f>Iktara!J110</f>
        <v>0</v>
      </c>
      <c r="T28" s="384">
        <f t="shared" si="53"/>
        <v>0</v>
      </c>
      <c r="U28" s="312">
        <f>Iktara!L110</f>
        <v>0</v>
      </c>
      <c r="V28" s="385" t="str">
        <f t="shared" si="54"/>
        <v>#DIV/0!</v>
      </c>
      <c r="W28" s="314">
        <f>'Mg St Colaba'!J132</f>
        <v>0</v>
      </c>
      <c r="X28" s="384">
        <f t="shared" si="55"/>
        <v>0</v>
      </c>
      <c r="Y28" s="312"/>
      <c r="Z28" s="385" t="str">
        <f t="shared" si="56"/>
        <v>#DIV/0!</v>
      </c>
      <c r="AA28" s="314">
        <f>'Mg St LP'!J128</f>
        <v>0</v>
      </c>
      <c r="AB28" s="384">
        <f t="shared" si="57"/>
        <v>0</v>
      </c>
      <c r="AC28" s="312">
        <f>'Mg St LP'!L128</f>
        <v>0</v>
      </c>
      <c r="AD28" s="385" t="str">
        <f t="shared" si="58"/>
        <v>#DIV/0!</v>
      </c>
      <c r="AE28" s="314">
        <f>'Mg St Bandra'!J137</f>
        <v>0</v>
      </c>
      <c r="AF28" s="384">
        <f t="shared" si="59"/>
        <v>0</v>
      </c>
      <c r="AG28" s="312">
        <f>'Mg St Bandra'!L137</f>
        <v>0</v>
      </c>
      <c r="AH28" s="385" t="str">
        <f t="shared" si="60"/>
        <v>#DIV/0!</v>
      </c>
      <c r="AI28" s="314">
        <f>'MSK Events'!J129</f>
        <v>0</v>
      </c>
      <c r="AJ28" s="384" t="str">
        <f t="shared" si="61"/>
        <v>#DIV/0!</v>
      </c>
      <c r="AK28" s="312">
        <f>'MSK Events'!L129</f>
        <v>0</v>
      </c>
      <c r="AL28" s="385" t="str">
        <f t="shared" si="62"/>
        <v>#DIV/0!</v>
      </c>
      <c r="AM28" s="314">
        <f>MSBC!J119</f>
        <v>-2206981</v>
      </c>
      <c r="AN28" s="384">
        <f t="shared" si="63"/>
        <v>-4.792950155</v>
      </c>
      <c r="AO28" s="312">
        <f>MSBC!L119</f>
        <v>0</v>
      </c>
      <c r="AP28" s="385" t="str">
        <f t="shared" si="64"/>
        <v>#DIV/0!</v>
      </c>
      <c r="AQ28" s="314">
        <f>Kaspers!J134</f>
        <v>0</v>
      </c>
      <c r="AR28" s="382"/>
      <c r="AS28" s="312">
        <f>Kaspers!L134</f>
        <v>0</v>
      </c>
      <c r="AT28" s="383"/>
      <c r="AU28" s="314">
        <f>'MSBC Andheri'!J129</f>
        <v>0</v>
      </c>
      <c r="AV28" s="382"/>
      <c r="AW28" s="312">
        <f>'MSBC Andheri'!L129</f>
        <v>0</v>
      </c>
      <c r="AX28" s="383"/>
      <c r="AY28" s="314">
        <f>'MSBC Dahisar'!J116</f>
        <v>0</v>
      </c>
      <c r="AZ28" s="382"/>
      <c r="BA28" s="312">
        <f>'MSBC Dahisar'!L116</f>
        <v>0</v>
      </c>
      <c r="BB28" s="383"/>
      <c r="BC28" s="314">
        <f>'MSBC Juhu  Goregoan'!J129</f>
        <v>0</v>
      </c>
      <c r="BD28" s="382"/>
      <c r="BE28" s="312">
        <f>'MSBC Juhu  Goregoan'!L129</f>
        <v>0</v>
      </c>
      <c r="BF28" s="383"/>
      <c r="BG28" s="314">
        <f>'LOUD MOUTH'!J114</f>
        <v>0</v>
      </c>
      <c r="BH28" s="382"/>
      <c r="BI28" s="312">
        <f>'LOUD MOUTH'!L114</f>
        <v>0</v>
      </c>
      <c r="BJ28" s="383"/>
    </row>
    <row r="29" ht="15.75" customHeight="1">
      <c r="A29" s="372"/>
      <c r="B29" s="410" t="s">
        <v>43</v>
      </c>
      <c r="C29" s="187">
        <f>SUM(C19:C28)</f>
        <v>44281093.14</v>
      </c>
      <c r="D29" s="359">
        <f t="shared" si="44"/>
        <v>0.5549789891</v>
      </c>
      <c r="E29" s="187">
        <f t="shared" si="45"/>
        <v>878820.25</v>
      </c>
      <c r="F29" s="363" t="str">
        <f t="shared" si="46"/>
        <v>#DIV/0!</v>
      </c>
      <c r="G29" s="190">
        <f>SUM(G19:G28)</f>
        <v>8630445.27</v>
      </c>
      <c r="H29" s="320"/>
      <c r="I29" s="187">
        <f>SUM(I19:I28)</f>
        <v>62837.5</v>
      </c>
      <c r="J29" s="322"/>
      <c r="K29" s="190">
        <f>SUM(K19:K28)</f>
        <v>35650647.87</v>
      </c>
      <c r="L29" s="359">
        <f t="shared" si="48"/>
        <v>0.4468128295</v>
      </c>
      <c r="M29" s="187">
        <f>SUM(M19:M28)</f>
        <v>815982.75</v>
      </c>
      <c r="N29" s="363" t="str">
        <f t="shared" si="50"/>
        <v>#DIV/0!</v>
      </c>
      <c r="O29" s="190">
        <f>SUM(O19:O28)</f>
        <v>9362930.44</v>
      </c>
      <c r="P29" s="359">
        <f t="shared" si="51"/>
        <v>0.4222420167</v>
      </c>
      <c r="Q29" s="187">
        <f>SUM(Q19:Q28)</f>
        <v>815982.75</v>
      </c>
      <c r="R29" s="360" t="str">
        <f t="shared" si="52"/>
        <v>#DIV/0!</v>
      </c>
      <c r="S29" s="319">
        <f>SUM(S19:S28)</f>
        <v>741375.04</v>
      </c>
      <c r="T29" s="359">
        <f t="shared" si="53"/>
        <v>0.9181115046</v>
      </c>
      <c r="U29" s="187">
        <f>SUM(U19:U28)</f>
        <v>0</v>
      </c>
      <c r="V29" s="360" t="str">
        <f t="shared" si="54"/>
        <v>#DIV/0!</v>
      </c>
      <c r="W29" s="319">
        <f>SUM(W19:W28)</f>
        <v>6672828.5</v>
      </c>
      <c r="X29" s="359">
        <f t="shared" si="55"/>
        <v>0.4945866093</v>
      </c>
      <c r="Y29" s="187">
        <f>SUM(Y19:Y28)</f>
        <v>0</v>
      </c>
      <c r="Z29" s="360" t="str">
        <f t="shared" si="56"/>
        <v>#DIV/0!</v>
      </c>
      <c r="AA29" s="319">
        <f>SUM(AA19:AA28)</f>
        <v>4160751.25</v>
      </c>
      <c r="AB29" s="359">
        <f t="shared" si="57"/>
        <v>0.409148044</v>
      </c>
      <c r="AC29" s="187">
        <f>SUM(AC19:AC28)</f>
        <v>0</v>
      </c>
      <c r="AD29" s="360" t="str">
        <f t="shared" si="58"/>
        <v>#DIV/0!</v>
      </c>
      <c r="AE29" s="319">
        <f>SUM(AE19:AE28)</f>
        <v>6787670.25</v>
      </c>
      <c r="AF29" s="359">
        <f t="shared" si="59"/>
        <v>0.3713090549</v>
      </c>
      <c r="AG29" s="187">
        <f>SUM(AG19:AG28)</f>
        <v>0</v>
      </c>
      <c r="AH29" s="360" t="str">
        <f t="shared" si="60"/>
        <v>#DIV/0!</v>
      </c>
      <c r="AI29" s="319">
        <f>SUM(AI19:AI28)</f>
        <v>1291150.25</v>
      </c>
      <c r="AJ29" s="320"/>
      <c r="AK29" s="187">
        <f>SUM(AK19:AK28)</f>
        <v>0</v>
      </c>
      <c r="AL29" s="321"/>
      <c r="AM29" s="319">
        <f>SUM(AM19:AM28)</f>
        <v>-0.2800000003</v>
      </c>
      <c r="AN29" s="359">
        <f t="shared" si="63"/>
        <v>-0.0000006080822828</v>
      </c>
      <c r="AO29" s="187">
        <f>SUM(AO19:AO28)</f>
        <v>0</v>
      </c>
      <c r="AP29" s="360" t="str">
        <f t="shared" si="64"/>
        <v>#DIV/0!</v>
      </c>
      <c r="AQ29" s="319">
        <f>SUM(AQ19:AQ28)</f>
        <v>5614700.8</v>
      </c>
      <c r="AR29" s="320"/>
      <c r="AS29" s="187">
        <f>SUM(AS19:AS28)</f>
        <v>0</v>
      </c>
      <c r="AT29" s="321"/>
      <c r="AU29" s="319">
        <f>SUM(AU19:AU28)</f>
        <v>145015.7</v>
      </c>
      <c r="AV29" s="320"/>
      <c r="AW29" s="187">
        <f>SUM(AW19:AW28)</f>
        <v>0</v>
      </c>
      <c r="AX29" s="321"/>
      <c r="AY29" s="319">
        <f>SUM(AY19:AY28)</f>
        <v>43675.92</v>
      </c>
      <c r="AZ29" s="320"/>
      <c r="BA29" s="187">
        <f>SUM(BA19:BA28)</f>
        <v>0</v>
      </c>
      <c r="BB29" s="321"/>
      <c r="BC29" s="319">
        <f>SUM(BC19:BC28)</f>
        <v>47233</v>
      </c>
      <c r="BD29" s="320"/>
      <c r="BE29" s="187">
        <f>SUM(BE19:BE28)</f>
        <v>0</v>
      </c>
      <c r="BF29" s="321"/>
      <c r="BG29" s="319">
        <f>SUM(BG19:BG28)</f>
        <v>783317</v>
      </c>
      <c r="BH29" s="320"/>
      <c r="BI29" s="187">
        <f>SUM(BI19:BI28)</f>
        <v>0</v>
      </c>
      <c r="BJ29" s="321"/>
    </row>
    <row r="30" ht="15.75" customHeight="1">
      <c r="B30" s="426"/>
      <c r="C30" s="390"/>
      <c r="D30" s="390"/>
      <c r="E30" s="390"/>
      <c r="F30" s="427"/>
      <c r="G30" s="334"/>
      <c r="H30" s="328"/>
      <c r="I30" s="329"/>
      <c r="J30" s="333"/>
      <c r="K30" s="389"/>
      <c r="L30" s="390"/>
      <c r="M30" s="393"/>
      <c r="N30" s="427"/>
      <c r="O30" s="334"/>
      <c r="P30" s="328"/>
      <c r="Q30" s="328"/>
      <c r="R30" s="330"/>
      <c r="S30" s="327"/>
      <c r="T30" s="328"/>
      <c r="U30" s="328"/>
      <c r="V30" s="330"/>
      <c r="W30" s="327"/>
      <c r="X30" s="328"/>
      <c r="Y30" s="328"/>
      <c r="Z30" s="330"/>
      <c r="AA30" s="327"/>
      <c r="AB30" s="328"/>
      <c r="AC30" s="328"/>
      <c r="AD30" s="330"/>
      <c r="AE30" s="327"/>
      <c r="AF30" s="328"/>
      <c r="AG30" s="328"/>
      <c r="AH30" s="330"/>
      <c r="AI30" s="327"/>
      <c r="AJ30" s="328"/>
      <c r="AK30" s="328"/>
      <c r="AL30" s="330"/>
      <c r="AM30" s="327"/>
      <c r="AN30" s="328"/>
      <c r="AO30" s="328"/>
      <c r="AP30" s="330"/>
      <c r="AQ30" s="327"/>
      <c r="AR30" s="328"/>
      <c r="AS30" s="328"/>
      <c r="AT30" s="330"/>
      <c r="AU30" s="394"/>
      <c r="AV30" s="395"/>
      <c r="AW30" s="396">
        <f>AW17-AW29</f>
        <v>0</v>
      </c>
      <c r="AX30" s="397"/>
      <c r="AY30" s="394"/>
      <c r="AZ30" s="395"/>
      <c r="BA30" s="396">
        <f>BA17-BA29</f>
        <v>0</v>
      </c>
      <c r="BB30" s="397"/>
      <c r="BC30" s="394"/>
      <c r="BD30" s="395"/>
      <c r="BE30" s="396">
        <f>BE17-BE29</f>
        <v>0</v>
      </c>
      <c r="BF30" s="397"/>
      <c r="BG30" s="394"/>
      <c r="BH30" s="395"/>
      <c r="BI30" s="396">
        <f>BI17-BI29</f>
        <v>0</v>
      </c>
      <c r="BJ30" s="397"/>
    </row>
    <row r="31" ht="15.75" customHeight="1">
      <c r="A31" s="372"/>
      <c r="B31" s="410" t="s">
        <v>44</v>
      </c>
      <c r="C31" s="187">
        <f>C17-C29</f>
        <v>5887466.053</v>
      </c>
      <c r="D31" s="359">
        <f>C31/C$10</f>
        <v>0.07378815037</v>
      </c>
      <c r="E31" s="187" t="str">
        <f>E17-E29</f>
        <v>#DIV/0!</v>
      </c>
      <c r="F31" s="363" t="str">
        <f>E31/E$10</f>
        <v>#DIV/0!</v>
      </c>
      <c r="G31" s="190">
        <f>G17-G29</f>
        <v>-8630445.27</v>
      </c>
      <c r="H31" s="320"/>
      <c r="I31" s="187">
        <f>I17-I29</f>
        <v>-62837.5</v>
      </c>
      <c r="J31" s="322"/>
      <c r="K31" s="190">
        <f>K17-K29</f>
        <v>14517911.32</v>
      </c>
      <c r="L31" s="359">
        <f>K31/K$10</f>
        <v>0.1819543101</v>
      </c>
      <c r="M31" s="187" t="str">
        <f>M17-M29</f>
        <v>#DIV/0!</v>
      </c>
      <c r="N31" s="363" t="str">
        <f>M31/M$10</f>
        <v>#DIV/0!</v>
      </c>
      <c r="O31" s="190">
        <f>O17-O29</f>
        <v>5533197.722</v>
      </c>
      <c r="P31" s="359">
        <f>O31/O$10</f>
        <v>0.2495317657</v>
      </c>
      <c r="Q31" s="187">
        <f>Q17-Q29</f>
        <v>-815982.75</v>
      </c>
      <c r="R31" s="360" t="str">
        <f>Q31/Q$10</f>
        <v>#DIV/0!</v>
      </c>
      <c r="S31" s="319">
        <f>S17-S29</f>
        <v>-248201.0859</v>
      </c>
      <c r="T31" s="359">
        <f>S31/S$10</f>
        <v>-0.3073697659</v>
      </c>
      <c r="U31" s="187">
        <f>U17-U29</f>
        <v>0</v>
      </c>
      <c r="V31" s="360" t="str">
        <f>U31/U$10</f>
        <v>#DIV/0!</v>
      </c>
      <c r="W31" s="319">
        <f>W17-W29</f>
        <v>1588410.067</v>
      </c>
      <c r="X31" s="359">
        <f>W31/W$10</f>
        <v>0.1177321355</v>
      </c>
      <c r="Y31" s="187">
        <f>Y17-Y29</f>
        <v>0</v>
      </c>
      <c r="Z31" s="360" t="str">
        <f>Y31/Y$10</f>
        <v>#DIV/0!</v>
      </c>
      <c r="AA31" s="319">
        <f>AA17-AA29</f>
        <v>2133014.939</v>
      </c>
      <c r="AB31" s="359">
        <f>AA31/AA$10</f>
        <v>0.2097503162</v>
      </c>
      <c r="AC31" s="187">
        <f>AC17-AC29</f>
        <v>0</v>
      </c>
      <c r="AD31" s="360" t="str">
        <f>AC31/AC$10</f>
        <v>#DIV/0!</v>
      </c>
      <c r="AE31" s="319">
        <f>AE17-AE29</f>
        <v>5383598.425</v>
      </c>
      <c r="AF31" s="359">
        <f>AE31/AE$10</f>
        <v>0.2945014666</v>
      </c>
      <c r="AG31" s="187" t="str">
        <f>AG17-AG29</f>
        <v>#DIV/0!</v>
      </c>
      <c r="AH31" s="360" t="str">
        <f>AG31/AG$10</f>
        <v>#DIV/0!</v>
      </c>
      <c r="AI31" s="319">
        <f>AI17-AI29</f>
        <v>-1292180.25</v>
      </c>
      <c r="AJ31" s="320"/>
      <c r="AK31" s="187">
        <f>AK17-AK29</f>
        <v>0</v>
      </c>
      <c r="AL31" s="321"/>
      <c r="AM31" s="319">
        <f>AM17-AM29</f>
        <v>-566816.2606</v>
      </c>
      <c r="AN31" s="359">
        <f>AM31/AM$10</f>
        <v>-1.23096759</v>
      </c>
      <c r="AO31" s="187">
        <f>AO17-AO29</f>
        <v>0</v>
      </c>
      <c r="AP31" s="360" t="str">
        <f>AO31/AO$10</f>
        <v>#DIV/0!</v>
      </c>
      <c r="AQ31" s="319">
        <f>AQ17-AQ29</f>
        <v>2837110.379</v>
      </c>
      <c r="AR31" s="320"/>
      <c r="AS31" s="187">
        <f>AS17-AS29</f>
        <v>0</v>
      </c>
      <c r="AT31" s="321"/>
      <c r="AU31" s="319">
        <f t="shared" ref="AU31:BJ31" si="66">AU17-AU29</f>
        <v>-137949.7942</v>
      </c>
      <c r="AV31" s="187">
        <f t="shared" si="66"/>
        <v>0</v>
      </c>
      <c r="AW31" s="187">
        <f t="shared" si="66"/>
        <v>0</v>
      </c>
      <c r="AX31" s="365">
        <f t="shared" si="66"/>
        <v>0</v>
      </c>
      <c r="AY31" s="319">
        <f t="shared" si="66"/>
        <v>-129109.5238</v>
      </c>
      <c r="AZ31" s="187">
        <f t="shared" si="66"/>
        <v>0</v>
      </c>
      <c r="BA31" s="187">
        <f t="shared" si="66"/>
        <v>0</v>
      </c>
      <c r="BB31" s="365">
        <f t="shared" si="66"/>
        <v>0</v>
      </c>
      <c r="BC31" s="319">
        <f t="shared" si="66"/>
        <v>-146350.7141</v>
      </c>
      <c r="BD31" s="187">
        <f t="shared" si="66"/>
        <v>0</v>
      </c>
      <c r="BE31" s="187">
        <f t="shared" si="66"/>
        <v>0</v>
      </c>
      <c r="BF31" s="365">
        <f t="shared" si="66"/>
        <v>0</v>
      </c>
      <c r="BG31" s="319">
        <f t="shared" si="66"/>
        <v>-436812.58</v>
      </c>
      <c r="BH31" s="187">
        <f t="shared" si="66"/>
        <v>0</v>
      </c>
      <c r="BI31" s="187">
        <f t="shared" si="66"/>
        <v>0</v>
      </c>
      <c r="BJ31" s="365">
        <f t="shared" si="66"/>
        <v>0</v>
      </c>
    </row>
    <row r="32" ht="15.75" customHeight="1"/>
    <row r="33" ht="15.75" customHeight="1">
      <c r="C33" s="148">
        <f>+G33+K33</f>
        <v>5887466.053</v>
      </c>
      <c r="G33" s="148">
        <f>HO!J123</f>
        <v>-8630445.27</v>
      </c>
      <c r="H33" s="148"/>
      <c r="I33" s="148"/>
      <c r="J33" s="152"/>
      <c r="K33" s="152">
        <f>SUM(O33:BJ33)</f>
        <v>14517911.32</v>
      </c>
      <c r="L33" s="148"/>
      <c r="M33" s="148"/>
      <c r="N33" s="148"/>
      <c r="O33" s="148">
        <f>'The Table'!J133</f>
        <v>5533197.722</v>
      </c>
      <c r="P33" s="148"/>
      <c r="Q33" s="148"/>
      <c r="R33" s="148"/>
      <c r="S33" s="148">
        <f>Iktara!J117</f>
        <v>-248201.0859</v>
      </c>
      <c r="T33" s="148"/>
      <c r="U33" s="148"/>
      <c r="V33" s="148"/>
      <c r="W33" s="148">
        <f>'Mg St Colaba'!J138</f>
        <v>1588410.067</v>
      </c>
      <c r="X33" s="148"/>
      <c r="Y33" s="148"/>
      <c r="Z33" s="148"/>
      <c r="AA33" s="148">
        <f>'Mg St LP'!J135</f>
        <v>2133014.939</v>
      </c>
      <c r="AB33" s="148"/>
      <c r="AC33" s="148"/>
      <c r="AD33" s="148"/>
      <c r="AE33" s="148">
        <f>'Mg St Bandra'!J144</f>
        <v>5383598.425</v>
      </c>
      <c r="AF33" s="148"/>
      <c r="AG33" s="148"/>
      <c r="AH33" s="148"/>
      <c r="AI33" s="148">
        <f>'MSK Events'!J136</f>
        <v>-1292180.25</v>
      </c>
      <c r="AJ33" s="148"/>
      <c r="AK33" s="148"/>
      <c r="AL33" s="148"/>
      <c r="AM33" s="148">
        <f>MSBC!J125</f>
        <v>-566816.2606</v>
      </c>
      <c r="AN33" s="148"/>
      <c r="AO33" s="148"/>
      <c r="AP33" s="148"/>
      <c r="AQ33" s="148">
        <f>Kaspers!J141</f>
        <v>2837110.379</v>
      </c>
      <c r="AR33" s="148"/>
      <c r="AS33" s="148"/>
      <c r="AT33" s="148"/>
      <c r="AU33" s="148">
        <f>'MSBC Andheri'!J136</f>
        <v>-137949.7942</v>
      </c>
      <c r="AV33" s="148"/>
      <c r="AW33" s="148"/>
      <c r="AX33" s="148"/>
      <c r="AY33" s="148">
        <f>'MSBC Dahisar'!J123</f>
        <v>-129109.5238</v>
      </c>
      <c r="AZ33" s="148"/>
      <c r="BA33" s="148"/>
      <c r="BB33" s="148"/>
      <c r="BC33" s="148">
        <f>'MSBC Juhu  Goregoan'!J135</f>
        <v>-146350.7141</v>
      </c>
      <c r="BD33" s="148"/>
      <c r="BE33" s="148"/>
      <c r="BF33" s="148"/>
      <c r="BG33" s="148">
        <f>'LOUD MOUTH'!J120</f>
        <v>-436812.58</v>
      </c>
      <c r="BH33" s="148"/>
      <c r="BI33" s="148"/>
      <c r="BJ33" s="148"/>
    </row>
    <row r="34" ht="15.75" customHeight="1">
      <c r="C34" s="148">
        <f>+C31-C33</f>
        <v>-0.000000007450580597</v>
      </c>
      <c r="G34" s="148">
        <f>+G31-G33</f>
        <v>0</v>
      </c>
      <c r="H34" s="148"/>
      <c r="I34" s="148"/>
      <c r="J34" s="152"/>
      <c r="K34" s="152">
        <f>+K31-K33</f>
        <v>-0.000000003725290298</v>
      </c>
      <c r="L34" s="148"/>
      <c r="M34" s="148"/>
      <c r="N34" s="148"/>
      <c r="O34" s="148">
        <f>+O31-O33</f>
        <v>0</v>
      </c>
      <c r="P34" s="148"/>
      <c r="Q34" s="148"/>
      <c r="R34" s="148"/>
      <c r="S34" s="148">
        <f>+S31-S33</f>
        <v>0</v>
      </c>
      <c r="T34" s="148"/>
      <c r="U34" s="148"/>
      <c r="V34" s="148"/>
      <c r="W34" s="148">
        <f>+W31-W33</f>
        <v>0</v>
      </c>
      <c r="X34" s="148"/>
      <c r="Y34" s="148"/>
      <c r="Z34" s="148"/>
      <c r="AA34" s="148">
        <f>+AA31-AA33</f>
        <v>0</v>
      </c>
      <c r="AB34" s="148"/>
      <c r="AC34" s="148"/>
      <c r="AD34" s="148"/>
      <c r="AE34" s="148">
        <f>+AE31-AE33</f>
        <v>0</v>
      </c>
      <c r="AF34" s="148"/>
      <c r="AG34" s="148"/>
      <c r="AH34" s="148"/>
      <c r="AI34" s="148">
        <f>+AI31-AI33</f>
        <v>0</v>
      </c>
      <c r="AJ34" s="148"/>
      <c r="AK34" s="148"/>
      <c r="AL34" s="148"/>
      <c r="AM34" s="148">
        <f>+AM31-AM33</f>
        <v>0</v>
      </c>
      <c r="AN34" s="148"/>
      <c r="AO34" s="148"/>
      <c r="AP34" s="148"/>
      <c r="AQ34" s="148">
        <f>+AQ31-AQ33</f>
        <v>0</v>
      </c>
      <c r="AR34" s="148"/>
      <c r="AS34" s="148"/>
      <c r="AT34" s="148"/>
      <c r="AU34" s="148">
        <f>+AU31-AU33</f>
        <v>0</v>
      </c>
      <c r="AV34" s="148"/>
      <c r="AW34" s="148"/>
      <c r="AX34" s="148"/>
      <c r="AY34" s="148">
        <f>+AY31-AY33</f>
        <v>0</v>
      </c>
      <c r="AZ34" s="148"/>
      <c r="BA34" s="148"/>
      <c r="BB34" s="148"/>
      <c r="BC34" s="148">
        <f>+BC31-BC33</f>
        <v>0</v>
      </c>
      <c r="BD34" s="148"/>
      <c r="BE34" s="148"/>
      <c r="BF34" s="148"/>
      <c r="BG34" s="148">
        <f>+BG31-BG33</f>
        <v>0</v>
      </c>
      <c r="BH34" s="148"/>
      <c r="BI34" s="148"/>
      <c r="BJ34" s="148"/>
    </row>
    <row r="35" ht="15.75" customHeight="1">
      <c r="J35" s="399"/>
      <c r="K35" s="150"/>
    </row>
    <row r="36" ht="15.75" customHeight="1">
      <c r="J36" s="399"/>
      <c r="K36" s="15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6" width="12.63"/>
    <col customWidth="1" min="7" max="7" width="13.63"/>
  </cols>
  <sheetData>
    <row r="1" ht="15.75" customHeight="1">
      <c r="A1" s="272" t="s">
        <v>0</v>
      </c>
      <c r="O1" s="151"/>
      <c r="S1" s="151"/>
      <c r="W1" s="151">
        <f>W12/$K$12</f>
        <v>0.1763111755</v>
      </c>
      <c r="AA1" s="151">
        <f>AA12/$K$12</f>
        <v>0.1205827864</v>
      </c>
      <c r="AE1" s="151">
        <f>AE12/$K$12</f>
        <v>0.2014488521</v>
      </c>
      <c r="BC1" s="151" t="s">
        <v>156</v>
      </c>
      <c r="BG1" s="151" t="s">
        <v>156</v>
      </c>
    </row>
    <row r="2" ht="15.75" customHeight="1">
      <c r="A2" s="151" t="s">
        <v>157</v>
      </c>
    </row>
    <row r="3" ht="15.75" customHeight="1">
      <c r="B3" s="4"/>
      <c r="C3" s="158" t="s">
        <v>46</v>
      </c>
      <c r="D3" s="10"/>
      <c r="E3" s="10"/>
      <c r="F3" s="13"/>
      <c r="G3" s="158" t="s">
        <v>3</v>
      </c>
      <c r="H3" s="10"/>
      <c r="I3" s="10"/>
      <c r="J3" s="13"/>
      <c r="K3" s="158" t="s">
        <v>4</v>
      </c>
      <c r="L3" s="10"/>
      <c r="M3" s="10"/>
      <c r="N3" s="13"/>
      <c r="O3" s="400" t="s">
        <v>154</v>
      </c>
      <c r="P3" s="10"/>
      <c r="Q3" s="10"/>
      <c r="R3" s="13"/>
      <c r="S3" s="158" t="s">
        <v>6</v>
      </c>
      <c r="T3" s="10"/>
      <c r="U3" s="10"/>
      <c r="V3" s="13"/>
      <c r="W3" s="158" t="s">
        <v>7</v>
      </c>
      <c r="X3" s="10"/>
      <c r="Y3" s="10"/>
      <c r="Z3" s="13"/>
      <c r="AA3" s="158" t="s">
        <v>8</v>
      </c>
      <c r="AB3" s="10"/>
      <c r="AC3" s="10"/>
      <c r="AD3" s="13"/>
      <c r="AE3" s="158" t="s">
        <v>9</v>
      </c>
      <c r="AF3" s="10"/>
      <c r="AG3" s="10"/>
      <c r="AH3" s="13"/>
      <c r="AI3" s="158" t="s">
        <v>10</v>
      </c>
      <c r="AJ3" s="10"/>
      <c r="AK3" s="10"/>
      <c r="AL3" s="13"/>
      <c r="AM3" s="158" t="s">
        <v>11</v>
      </c>
      <c r="AN3" s="10"/>
      <c r="AO3" s="10"/>
      <c r="AP3" s="13"/>
      <c r="AQ3" s="158" t="s">
        <v>12</v>
      </c>
      <c r="AR3" s="10"/>
      <c r="AS3" s="10"/>
      <c r="AT3" s="13"/>
      <c r="AU3" s="158" t="s">
        <v>13</v>
      </c>
      <c r="AV3" s="10"/>
      <c r="AW3" s="10"/>
      <c r="AX3" s="13"/>
      <c r="AY3" s="158" t="s">
        <v>14</v>
      </c>
      <c r="AZ3" s="10"/>
      <c r="BA3" s="10"/>
      <c r="BB3" s="13"/>
      <c r="BC3" s="158" t="s">
        <v>158</v>
      </c>
      <c r="BD3" s="10"/>
      <c r="BE3" s="10"/>
      <c r="BF3" s="13"/>
      <c r="BG3" s="158" t="s">
        <v>47</v>
      </c>
      <c r="BH3" s="10"/>
      <c r="BI3" s="10"/>
      <c r="BJ3" s="13"/>
    </row>
    <row r="4" ht="15.75" customHeight="1">
      <c r="B4" s="15"/>
      <c r="C4" s="186" t="s">
        <v>20</v>
      </c>
      <c r="D4" s="186" t="s">
        <v>18</v>
      </c>
      <c r="E4" s="186" t="s">
        <v>19</v>
      </c>
      <c r="F4" s="186" t="s">
        <v>18</v>
      </c>
      <c r="G4" s="186" t="s">
        <v>20</v>
      </c>
      <c r="H4" s="186" t="s">
        <v>18</v>
      </c>
      <c r="I4" s="186" t="s">
        <v>19</v>
      </c>
      <c r="J4" s="186" t="s">
        <v>18</v>
      </c>
      <c r="K4" s="186" t="s">
        <v>20</v>
      </c>
      <c r="L4" s="186" t="s">
        <v>18</v>
      </c>
      <c r="M4" s="186" t="s">
        <v>19</v>
      </c>
      <c r="N4" s="186" t="s">
        <v>18</v>
      </c>
      <c r="O4" s="186" t="s">
        <v>20</v>
      </c>
      <c r="P4" s="186" t="s">
        <v>18</v>
      </c>
      <c r="Q4" s="186" t="s">
        <v>19</v>
      </c>
      <c r="R4" s="186" t="s">
        <v>18</v>
      </c>
      <c r="S4" s="186" t="s">
        <v>20</v>
      </c>
      <c r="T4" s="186" t="s">
        <v>18</v>
      </c>
      <c r="U4" s="186" t="s">
        <v>19</v>
      </c>
      <c r="V4" s="186" t="s">
        <v>18</v>
      </c>
      <c r="W4" s="186" t="s">
        <v>20</v>
      </c>
      <c r="X4" s="186" t="s">
        <v>18</v>
      </c>
      <c r="Y4" s="186" t="s">
        <v>19</v>
      </c>
      <c r="Z4" s="186" t="s">
        <v>18</v>
      </c>
      <c r="AA4" s="186" t="s">
        <v>20</v>
      </c>
      <c r="AB4" s="186" t="s">
        <v>18</v>
      </c>
      <c r="AC4" s="186" t="s">
        <v>19</v>
      </c>
      <c r="AD4" s="186" t="s">
        <v>18</v>
      </c>
      <c r="AE4" s="186" t="s">
        <v>20</v>
      </c>
      <c r="AF4" s="186" t="s">
        <v>18</v>
      </c>
      <c r="AG4" s="186" t="s">
        <v>19</v>
      </c>
      <c r="AH4" s="186" t="s">
        <v>18</v>
      </c>
      <c r="AI4" s="186" t="s">
        <v>20</v>
      </c>
      <c r="AJ4" s="186" t="s">
        <v>18</v>
      </c>
      <c r="AK4" s="186" t="s">
        <v>19</v>
      </c>
      <c r="AL4" s="186" t="s">
        <v>18</v>
      </c>
      <c r="AM4" s="186" t="s">
        <v>20</v>
      </c>
      <c r="AN4" s="186" t="s">
        <v>18</v>
      </c>
      <c r="AO4" s="186" t="s">
        <v>19</v>
      </c>
      <c r="AP4" s="186" t="s">
        <v>18</v>
      </c>
      <c r="AQ4" s="186" t="s">
        <v>20</v>
      </c>
      <c r="AR4" s="186" t="s">
        <v>18</v>
      </c>
      <c r="AS4" s="186" t="s">
        <v>19</v>
      </c>
      <c r="AT4" s="186" t="s">
        <v>18</v>
      </c>
      <c r="AU4" s="186" t="s">
        <v>17</v>
      </c>
      <c r="AV4" s="186" t="s">
        <v>18</v>
      </c>
      <c r="AW4" s="186" t="s">
        <v>19</v>
      </c>
      <c r="AX4" s="186" t="s">
        <v>18</v>
      </c>
      <c r="AY4" s="186" t="s">
        <v>17</v>
      </c>
      <c r="AZ4" s="186" t="s">
        <v>18</v>
      </c>
      <c r="BA4" s="186" t="s">
        <v>19</v>
      </c>
      <c r="BB4" s="186" t="s">
        <v>18</v>
      </c>
      <c r="BC4" s="186" t="s">
        <v>17</v>
      </c>
      <c r="BD4" s="186" t="s">
        <v>18</v>
      </c>
      <c r="BE4" s="186" t="s">
        <v>19</v>
      </c>
      <c r="BF4" s="186" t="s">
        <v>18</v>
      </c>
      <c r="BG4" s="186" t="s">
        <v>17</v>
      </c>
      <c r="BH4" s="186" t="s">
        <v>18</v>
      </c>
      <c r="BI4" s="186" t="s">
        <v>19</v>
      </c>
      <c r="BJ4" s="186" t="s">
        <v>18</v>
      </c>
    </row>
    <row r="5" ht="15.75" customHeight="1">
      <c r="B5" s="275" t="s">
        <v>21</v>
      </c>
      <c r="C5" s="276">
        <f t="shared" ref="C5:C9" si="1">G5+K5</f>
        <v>5710543.75</v>
      </c>
      <c r="D5" s="277">
        <f t="shared" ref="D5:D10" si="2">C5/C$10</f>
        <v>0.07499101424</v>
      </c>
      <c r="E5" s="278">
        <f t="shared" ref="E5:E9" si="3">I5+M5</f>
        <v>0</v>
      </c>
      <c r="F5" s="279" t="str">
        <f t="shared" ref="F5:F10" si="4">E5/E$10</f>
        <v>#DIV/0!</v>
      </c>
      <c r="G5" s="280">
        <f>HO!D14</f>
        <v>0</v>
      </c>
      <c r="H5" s="281"/>
      <c r="I5" s="282" t="str">
        <f>HO!F14</f>
        <v/>
      </c>
      <c r="J5" s="380"/>
      <c r="K5" s="276">
        <f t="shared" ref="K5:K9" si="5">O5+S5+W5+AA5+AE5+AI5+AM5+AQ5+AU5+AY5+BC5+BG5</f>
        <v>5710543.75</v>
      </c>
      <c r="L5" s="277">
        <f t="shared" ref="L5:L10" si="6">K5/K$10</f>
        <v>0.07499101424</v>
      </c>
      <c r="M5" s="278">
        <f t="shared" ref="M5:M9" si="7">Q5+U5+Y5+AC5+AG5+AK5+AO5+AS5+AW5+BA5+BE5+BI5</f>
        <v>0</v>
      </c>
      <c r="N5" s="279" t="str">
        <f t="shared" ref="N5:N10" si="8">M5/M$10</f>
        <v>#DIV/0!</v>
      </c>
      <c r="O5" s="285">
        <f>'The Table'!D24</f>
        <v>1172105</v>
      </c>
      <c r="P5" s="286">
        <f t="shared" ref="P5:P8" si="9">O5/O$10</f>
        <v>0.05697487722</v>
      </c>
      <c r="Q5" s="287" t="str">
        <f>'The Table'!F24</f>
        <v/>
      </c>
      <c r="R5" s="288" t="str">
        <f t="shared" ref="R5:R8" si="10">Q5/Q$10</f>
        <v>#DIV/0!</v>
      </c>
      <c r="S5" s="285">
        <f>Iktara!D24</f>
        <v>0</v>
      </c>
      <c r="T5" s="286">
        <f t="shared" ref="T5:T8" si="11">S5/S$10</f>
        <v>0</v>
      </c>
      <c r="U5" s="287" t="str">
        <f>Iktara!F24</f>
        <v/>
      </c>
      <c r="V5" s="288" t="str">
        <f t="shared" ref="V5:V8" si="12">U5/U$10</f>
        <v>#DIV/0!</v>
      </c>
      <c r="W5" s="285">
        <f>'Mg St Colaba'!D24</f>
        <v>1181100</v>
      </c>
      <c r="X5" s="286">
        <f t="shared" ref="X5:X8" si="13">W5/W$10</f>
        <v>0.08960796125</v>
      </c>
      <c r="Y5" s="287" t="str">
        <f>'Mg St Colaba'!F24</f>
        <v/>
      </c>
      <c r="Z5" s="288" t="str">
        <f t="shared" ref="Z5:Z8" si="14">Y5/Y$10</f>
        <v>#DIV/0!</v>
      </c>
      <c r="AA5" s="285">
        <f>'Mg St LP'!D24</f>
        <v>1273758.75</v>
      </c>
      <c r="AB5" s="286">
        <f t="shared" ref="AB5:AB8" si="15">AA5/AA$10</f>
        <v>0.1224222549</v>
      </c>
      <c r="AC5" s="287" t="str">
        <f>'Mg St LP'!F24</f>
        <v/>
      </c>
      <c r="AD5" s="288" t="str">
        <f t="shared" ref="AD5:AD8" si="16">AC5/AC$10</f>
        <v>#DIV/0!</v>
      </c>
      <c r="AE5" s="285">
        <f>'Mg St Bandra'!D24</f>
        <v>1555917.5</v>
      </c>
      <c r="AF5" s="286">
        <f t="shared" ref="AF5:AF8" si="17">AE5/AE$10</f>
        <v>0.0896980881</v>
      </c>
      <c r="AG5" s="287" t="str">
        <f>'Mg St Bandra'!F24</f>
        <v/>
      </c>
      <c r="AH5" s="288" t="str">
        <f t="shared" ref="AH5:AH8" si="18">AG5/AG$10</f>
        <v>#DIV/0!</v>
      </c>
      <c r="AI5" s="285">
        <f>'MSK Events'!D24</f>
        <v>0</v>
      </c>
      <c r="AJ5" s="286" t="str">
        <f t="shared" ref="AJ5:AJ8" si="19">AI5/AI$10</f>
        <v>#DIV/0!</v>
      </c>
      <c r="AK5" s="287" t="str">
        <f>'MSK Events'!F24</f>
        <v/>
      </c>
      <c r="AL5" s="283"/>
      <c r="AM5" s="285">
        <f>MSBC!D24</f>
        <v>0</v>
      </c>
      <c r="AN5" s="286">
        <f t="shared" ref="AN5:AN8" si="20">AM5/AM$10</f>
        <v>0</v>
      </c>
      <c r="AO5" s="287">
        <f>MSBC!F24</f>
        <v>0</v>
      </c>
      <c r="AP5" s="289" t="str">
        <f t="shared" ref="AP5:AP8" si="21">AO5/AO$10</f>
        <v>#DIV/0!</v>
      </c>
      <c r="AQ5" s="290">
        <f>Kaspers!D24</f>
        <v>527662.5</v>
      </c>
      <c r="AR5" s="286"/>
      <c r="AS5" s="287" t="str">
        <f>Kaspers!F24</f>
        <v/>
      </c>
      <c r="AT5" s="283"/>
      <c r="AU5" s="285">
        <f>'MSBC Andheri'!D24</f>
        <v>0</v>
      </c>
      <c r="AV5" s="281"/>
      <c r="AW5" s="287">
        <v>0.0</v>
      </c>
      <c r="AX5" s="380"/>
      <c r="AY5" s="290">
        <f>'MSBC Dahisar'!D22</f>
        <v>0</v>
      </c>
      <c r="AZ5" s="281"/>
      <c r="BA5" s="287">
        <v>0.0</v>
      </c>
      <c r="BB5" s="283"/>
      <c r="BC5" s="285">
        <f>'MSBC Juhu  Goregoan'!D22</f>
        <v>0</v>
      </c>
      <c r="BD5" s="281"/>
      <c r="BE5" s="287">
        <v>0.0</v>
      </c>
      <c r="BF5" s="380"/>
      <c r="BG5" s="290">
        <f>'LOUD MOUTH'!D24</f>
        <v>0</v>
      </c>
      <c r="BH5" s="281"/>
      <c r="BI5" s="287">
        <v>0.0</v>
      </c>
      <c r="BJ5" s="283"/>
    </row>
    <row r="6" ht="15.75" customHeight="1">
      <c r="B6" s="291" t="s">
        <v>22</v>
      </c>
      <c r="C6" s="292">
        <f t="shared" si="1"/>
        <v>12228470</v>
      </c>
      <c r="D6" s="293">
        <f t="shared" si="2"/>
        <v>0.1605845972</v>
      </c>
      <c r="E6" s="294">
        <f t="shared" si="3"/>
        <v>0</v>
      </c>
      <c r="F6" s="295" t="str">
        <f t="shared" si="4"/>
        <v>#DIV/0!</v>
      </c>
      <c r="G6" s="296">
        <f>HO!D15</f>
        <v>0</v>
      </c>
      <c r="H6" s="257"/>
      <c r="I6" s="297" t="str">
        <f>HO!F15</f>
        <v/>
      </c>
      <c r="J6" s="406"/>
      <c r="K6" s="292">
        <f t="shared" si="5"/>
        <v>12228470</v>
      </c>
      <c r="L6" s="293">
        <f t="shared" si="6"/>
        <v>0.1605845972</v>
      </c>
      <c r="M6" s="294">
        <f t="shared" si="7"/>
        <v>0</v>
      </c>
      <c r="N6" s="295" t="str">
        <f t="shared" si="8"/>
        <v>#DIV/0!</v>
      </c>
      <c r="O6" s="300">
        <f>'The Table'!D25</f>
        <v>4966546</v>
      </c>
      <c r="P6" s="301">
        <f t="shared" si="9"/>
        <v>0.2414189416</v>
      </c>
      <c r="Q6" s="258" t="str">
        <f>'The Table'!F25</f>
        <v/>
      </c>
      <c r="R6" s="302" t="str">
        <f t="shared" si="10"/>
        <v>#DIV/0!</v>
      </c>
      <c r="S6" s="300">
        <f>Iktara!D25</f>
        <v>0</v>
      </c>
      <c r="T6" s="301">
        <f t="shared" si="11"/>
        <v>0</v>
      </c>
      <c r="U6" s="258" t="str">
        <f>Iktara!F25</f>
        <v/>
      </c>
      <c r="V6" s="302" t="str">
        <f t="shared" si="12"/>
        <v>#DIV/0!</v>
      </c>
      <c r="W6" s="300">
        <f>'Mg St Colaba'!D25</f>
        <v>769660</v>
      </c>
      <c r="X6" s="301">
        <f t="shared" si="13"/>
        <v>0.05839273851</v>
      </c>
      <c r="Y6" s="258" t="str">
        <f>'Mg St Colaba'!F25</f>
        <v/>
      </c>
      <c r="Z6" s="302" t="str">
        <f t="shared" si="14"/>
        <v>#DIV/0!</v>
      </c>
      <c r="AA6" s="300">
        <f>'Mg St LP'!D25</f>
        <v>0</v>
      </c>
      <c r="AB6" s="301">
        <f t="shared" si="15"/>
        <v>0</v>
      </c>
      <c r="AC6" s="258" t="str">
        <f>'Mg St LP'!F25</f>
        <v/>
      </c>
      <c r="AD6" s="302" t="str">
        <f t="shared" si="16"/>
        <v>#DIV/0!</v>
      </c>
      <c r="AE6" s="300">
        <f>'Mg St Bandra'!D25</f>
        <v>2119471.5</v>
      </c>
      <c r="AF6" s="301">
        <f t="shared" si="17"/>
        <v>0.1221867749</v>
      </c>
      <c r="AG6" s="258" t="str">
        <f>'Mg St Bandra'!F25</f>
        <v/>
      </c>
      <c r="AH6" s="302" t="str">
        <f t="shared" si="18"/>
        <v>#DIV/0!</v>
      </c>
      <c r="AI6" s="300">
        <f>'MSK Events'!D25</f>
        <v>0</v>
      </c>
      <c r="AJ6" s="301" t="str">
        <f t="shared" si="19"/>
        <v>#DIV/0!</v>
      </c>
      <c r="AK6" s="258" t="str">
        <f>'MSK Events'!F25</f>
        <v/>
      </c>
      <c r="AL6" s="298"/>
      <c r="AM6" s="300">
        <f>MSBC!D25</f>
        <v>0</v>
      </c>
      <c r="AN6" s="301">
        <f t="shared" si="20"/>
        <v>0</v>
      </c>
      <c r="AO6" s="258">
        <f>MSBC!F25</f>
        <v>0</v>
      </c>
      <c r="AP6" s="303" t="str">
        <f t="shared" si="21"/>
        <v>#DIV/0!</v>
      </c>
      <c r="AQ6" s="304">
        <f>Kaspers!D25</f>
        <v>4372792.5</v>
      </c>
      <c r="AR6" s="301"/>
      <c r="AS6" s="258" t="str">
        <f>Kaspers!F25</f>
        <v/>
      </c>
      <c r="AT6" s="298"/>
      <c r="AU6" s="300">
        <f>'MSBC Andheri'!D25</f>
        <v>0</v>
      </c>
      <c r="AV6" s="257"/>
      <c r="AW6" s="258">
        <v>0.0</v>
      </c>
      <c r="AX6" s="406"/>
      <c r="AY6" s="304">
        <f>'MSBC Dahisar'!D23</f>
        <v>0</v>
      </c>
      <c r="AZ6" s="257"/>
      <c r="BA6" s="258">
        <v>0.0</v>
      </c>
      <c r="BB6" s="298"/>
      <c r="BC6" s="300">
        <f>'MSBC Juhu  Goregoan'!D23</f>
        <v>0</v>
      </c>
      <c r="BD6" s="257"/>
      <c r="BE6" s="258">
        <v>0.0</v>
      </c>
      <c r="BF6" s="406"/>
      <c r="BG6" s="304">
        <f>'LOUD MOUTH'!D25</f>
        <v>0</v>
      </c>
      <c r="BH6" s="257"/>
      <c r="BI6" s="258">
        <v>0.0</v>
      </c>
      <c r="BJ6" s="298"/>
    </row>
    <row r="7" ht="15.75" customHeight="1">
      <c r="B7" s="291" t="s">
        <v>23</v>
      </c>
      <c r="C7" s="292">
        <f t="shared" si="1"/>
        <v>53293288.04</v>
      </c>
      <c r="D7" s="293">
        <f t="shared" si="2"/>
        <v>0.6998488931</v>
      </c>
      <c r="E7" s="294">
        <f t="shared" si="3"/>
        <v>0</v>
      </c>
      <c r="F7" s="295" t="str">
        <f t="shared" si="4"/>
        <v>#DIV/0!</v>
      </c>
      <c r="G7" s="296">
        <f>HO!D16</f>
        <v>0</v>
      </c>
      <c r="H7" s="257"/>
      <c r="I7" s="297" t="str">
        <f>HO!F16</f>
        <v/>
      </c>
      <c r="J7" s="406"/>
      <c r="K7" s="292">
        <f t="shared" si="5"/>
        <v>53293288.04</v>
      </c>
      <c r="L7" s="293">
        <f t="shared" si="6"/>
        <v>0.6998488931</v>
      </c>
      <c r="M7" s="294">
        <f t="shared" si="7"/>
        <v>0</v>
      </c>
      <c r="N7" s="295" t="str">
        <f t="shared" si="8"/>
        <v>#DIV/0!</v>
      </c>
      <c r="O7" s="300">
        <f>'The Table'!D26</f>
        <v>12691723.87</v>
      </c>
      <c r="P7" s="301">
        <f t="shared" si="9"/>
        <v>0.6169322793</v>
      </c>
      <c r="Q7" s="258" t="str">
        <f>'The Table'!F26</f>
        <v/>
      </c>
      <c r="R7" s="302" t="str">
        <f t="shared" si="10"/>
        <v>#DIV/0!</v>
      </c>
      <c r="S7" s="300">
        <f>Iktara!D26</f>
        <v>859748</v>
      </c>
      <c r="T7" s="301">
        <f t="shared" si="11"/>
        <v>1</v>
      </c>
      <c r="U7" s="258" t="str">
        <f>Iktara!F26</f>
        <v/>
      </c>
      <c r="V7" s="302" t="str">
        <f t="shared" si="12"/>
        <v>#DIV/0!</v>
      </c>
      <c r="W7" s="300">
        <f>'Mg St Colaba'!D26</f>
        <v>10508362.49</v>
      </c>
      <c r="X7" s="301">
        <f t="shared" si="13"/>
        <v>0.7972508161</v>
      </c>
      <c r="Y7" s="258" t="str">
        <f>'Mg St Colaba'!F26</f>
        <v/>
      </c>
      <c r="Z7" s="302" t="str">
        <f t="shared" si="14"/>
        <v>#DIV/0!</v>
      </c>
      <c r="AA7" s="300">
        <f>'Mg St LP'!D26</f>
        <v>8773903.15</v>
      </c>
      <c r="AB7" s="301">
        <f t="shared" si="15"/>
        <v>0.8432687966</v>
      </c>
      <c r="AC7" s="258" t="str">
        <f>'Mg St LP'!F26</f>
        <v/>
      </c>
      <c r="AD7" s="302" t="str">
        <f t="shared" si="16"/>
        <v>#DIV/0!</v>
      </c>
      <c r="AE7" s="300">
        <f>'Mg St Bandra'!D26</f>
        <v>12642063.25</v>
      </c>
      <c r="AF7" s="301">
        <f t="shared" si="17"/>
        <v>0.7288104306</v>
      </c>
      <c r="AG7" s="258" t="str">
        <f>'Mg St Bandra'!F26</f>
        <v/>
      </c>
      <c r="AH7" s="302" t="str">
        <f t="shared" si="18"/>
        <v>#DIV/0!</v>
      </c>
      <c r="AI7" s="300">
        <f>'MSK Events'!D26</f>
        <v>0</v>
      </c>
      <c r="AJ7" s="301" t="str">
        <f t="shared" si="19"/>
        <v>#DIV/0!</v>
      </c>
      <c r="AK7" s="258">
        <f>'MSK Events'!F26</f>
        <v>0</v>
      </c>
      <c r="AL7" s="298"/>
      <c r="AM7" s="300">
        <f>MSBC!D26</f>
        <v>510529.82</v>
      </c>
      <c r="AN7" s="301">
        <f t="shared" si="20"/>
        <v>1</v>
      </c>
      <c r="AO7" s="258">
        <f>MSBC!F26</f>
        <v>0</v>
      </c>
      <c r="AP7" s="303" t="str">
        <f t="shared" si="21"/>
        <v>#DIV/0!</v>
      </c>
      <c r="AQ7" s="304">
        <f>Kaspers!D26</f>
        <v>6037327.5</v>
      </c>
      <c r="AR7" s="301"/>
      <c r="AS7" s="258">
        <f>Kaspers!F26</f>
        <v>0</v>
      </c>
      <c r="AT7" s="298"/>
      <c r="AU7" s="300">
        <f>'MSBC Andheri'!D26</f>
        <v>334509.99</v>
      </c>
      <c r="AV7" s="257"/>
      <c r="AW7" s="258">
        <v>0.0</v>
      </c>
      <c r="AX7" s="406"/>
      <c r="AY7" s="304">
        <f>'MSBC Dahisar'!D24</f>
        <v>124708.89</v>
      </c>
      <c r="AZ7" s="257"/>
      <c r="BA7" s="258">
        <v>0.0</v>
      </c>
      <c r="BB7" s="298"/>
      <c r="BC7" s="300">
        <f>'MSBC Juhu  Goregoan'!D24</f>
        <v>174122.08</v>
      </c>
      <c r="BD7" s="257"/>
      <c r="BE7" s="258">
        <v>0.0</v>
      </c>
      <c r="BF7" s="406"/>
      <c r="BG7" s="304">
        <f>'LOUD MOUTH'!D26</f>
        <v>636289</v>
      </c>
      <c r="BH7" s="257"/>
      <c r="BI7" s="258">
        <v>0.0</v>
      </c>
      <c r="BJ7" s="298"/>
    </row>
    <row r="8" ht="15.75" customHeight="1">
      <c r="B8" s="291" t="s">
        <v>24</v>
      </c>
      <c r="C8" s="292">
        <f t="shared" si="1"/>
        <v>4894605.05</v>
      </c>
      <c r="D8" s="293">
        <f t="shared" si="2"/>
        <v>0.06427608527</v>
      </c>
      <c r="E8" s="294">
        <f t="shared" si="3"/>
        <v>0</v>
      </c>
      <c r="F8" s="295" t="str">
        <f t="shared" si="4"/>
        <v>#DIV/0!</v>
      </c>
      <c r="G8" s="296">
        <f>HO!D18</f>
        <v>0</v>
      </c>
      <c r="H8" s="257"/>
      <c r="I8" s="297" t="str">
        <f>HO!F18</f>
        <v/>
      </c>
      <c r="J8" s="406"/>
      <c r="K8" s="292">
        <f t="shared" si="5"/>
        <v>4894605.05</v>
      </c>
      <c r="L8" s="293">
        <f t="shared" si="6"/>
        <v>0.06427608527</v>
      </c>
      <c r="M8" s="294">
        <f t="shared" si="7"/>
        <v>0</v>
      </c>
      <c r="N8" s="295" t="str">
        <f t="shared" si="8"/>
        <v>#DIV/0!</v>
      </c>
      <c r="O8" s="300">
        <f>'The Table'!D28</f>
        <v>1719138</v>
      </c>
      <c r="P8" s="301">
        <f t="shared" si="9"/>
        <v>0.08356561612</v>
      </c>
      <c r="Q8" s="258" t="str">
        <f>'The Table'!F28</f>
        <v/>
      </c>
      <c r="R8" s="302" t="str">
        <f t="shared" si="10"/>
        <v>#DIV/0!</v>
      </c>
      <c r="S8" s="296" t="str">
        <f>Iktara!D28</f>
        <v/>
      </c>
      <c r="T8" s="301">
        <f t="shared" si="11"/>
        <v>0</v>
      </c>
      <c r="U8" s="297">
        <f>Iktara!F28</f>
        <v>0</v>
      </c>
      <c r="V8" s="302" t="str">
        <f t="shared" si="12"/>
        <v>#DIV/0!</v>
      </c>
      <c r="W8" s="300">
        <f>'Mg St Colaba'!D28</f>
        <v>721626</v>
      </c>
      <c r="X8" s="301">
        <f t="shared" si="13"/>
        <v>0.05474848417</v>
      </c>
      <c r="Y8" s="258" t="str">
        <f>'Mg St Colaba'!F28</f>
        <v/>
      </c>
      <c r="Z8" s="302" t="str">
        <f t="shared" si="14"/>
        <v>#DIV/0!</v>
      </c>
      <c r="AA8" s="300">
        <f>'Mg St LP'!D28</f>
        <v>356972.05</v>
      </c>
      <c r="AB8" s="301">
        <f t="shared" si="15"/>
        <v>0.03430894847</v>
      </c>
      <c r="AC8" s="258" t="str">
        <f>'Mg St LP'!F28</f>
        <v/>
      </c>
      <c r="AD8" s="302" t="str">
        <f t="shared" si="16"/>
        <v>#DIV/0!</v>
      </c>
      <c r="AE8" s="300">
        <f>'Mg St Bandra'!D28</f>
        <v>1028709</v>
      </c>
      <c r="AF8" s="301">
        <f t="shared" si="17"/>
        <v>0.05930470639</v>
      </c>
      <c r="AG8" s="258">
        <f>'Mg St Bandra'!F28</f>
        <v>0</v>
      </c>
      <c r="AH8" s="302" t="str">
        <f t="shared" si="18"/>
        <v>#DIV/0!</v>
      </c>
      <c r="AI8" s="296" t="str">
        <f>'MSK Events'!D28</f>
        <v/>
      </c>
      <c r="AJ8" s="301" t="str">
        <f t="shared" si="19"/>
        <v>#DIV/0!</v>
      </c>
      <c r="AK8" s="297" t="str">
        <f>'MSK Events'!F28</f>
        <v/>
      </c>
      <c r="AL8" s="298"/>
      <c r="AM8" s="300" t="str">
        <f>MSBC!D28</f>
        <v/>
      </c>
      <c r="AN8" s="301">
        <f t="shared" si="20"/>
        <v>0</v>
      </c>
      <c r="AO8" s="297" t="str">
        <f>MSBC!F28</f>
        <v/>
      </c>
      <c r="AP8" s="303" t="str">
        <f t="shared" si="21"/>
        <v>#DIV/0!</v>
      </c>
      <c r="AQ8" s="304">
        <f>Kaspers!D28</f>
        <v>1068160</v>
      </c>
      <c r="AR8" s="301"/>
      <c r="AS8" s="258" t="str">
        <f>Kaspers!F28</f>
        <v/>
      </c>
      <c r="AT8" s="298"/>
      <c r="AU8" s="300">
        <v>0.0</v>
      </c>
      <c r="AV8" s="257"/>
      <c r="AW8" s="258">
        <v>0.0</v>
      </c>
      <c r="AX8" s="406"/>
      <c r="AY8" s="304">
        <v>0.0</v>
      </c>
      <c r="AZ8" s="257"/>
      <c r="BA8" s="258">
        <v>0.0</v>
      </c>
      <c r="BB8" s="298"/>
      <c r="BC8" s="300">
        <v>0.0</v>
      </c>
      <c r="BD8" s="257"/>
      <c r="BE8" s="258">
        <v>0.0</v>
      </c>
      <c r="BF8" s="406"/>
      <c r="BG8" s="304" t="str">
        <f>'LOUD MOUTH'!D28</f>
        <v/>
      </c>
      <c r="BH8" s="257"/>
      <c r="BI8" s="258">
        <v>0.0</v>
      </c>
      <c r="BJ8" s="298"/>
    </row>
    <row r="9" ht="15.75" customHeight="1">
      <c r="B9" s="306" t="s">
        <v>159</v>
      </c>
      <c r="C9" s="307">
        <f t="shared" si="1"/>
        <v>22800</v>
      </c>
      <c r="D9" s="308">
        <f t="shared" si="2"/>
        <v>0.0002994102137</v>
      </c>
      <c r="E9" s="309">
        <f t="shared" si="3"/>
        <v>0</v>
      </c>
      <c r="F9" s="310" t="str">
        <f t="shared" si="4"/>
        <v>#DIV/0!</v>
      </c>
      <c r="G9" s="257"/>
      <c r="H9" s="257"/>
      <c r="I9" s="257"/>
      <c r="J9" s="257"/>
      <c r="K9" s="307">
        <f t="shared" si="5"/>
        <v>22800</v>
      </c>
      <c r="L9" s="308">
        <f t="shared" si="6"/>
        <v>0.0002994102137</v>
      </c>
      <c r="M9" s="294">
        <f t="shared" si="7"/>
        <v>0</v>
      </c>
      <c r="N9" s="310" t="str">
        <f t="shared" si="8"/>
        <v>#DIV/0!</v>
      </c>
      <c r="O9" s="314">
        <f>'The Table'!D22</f>
        <v>22800</v>
      </c>
      <c r="P9" s="312"/>
      <c r="Q9" s="312" t="str">
        <f>'The Table'!F22</f>
        <v/>
      </c>
      <c r="R9" s="313"/>
      <c r="S9" s="314">
        <v>0.0</v>
      </c>
      <c r="T9" s="312"/>
      <c r="U9" s="312">
        <v>0.0</v>
      </c>
      <c r="V9" s="313"/>
      <c r="W9" s="314">
        <f>'Mg St Colaba'!D22</f>
        <v>0</v>
      </c>
      <c r="X9" s="312"/>
      <c r="Y9" s="312" t="str">
        <f>'Mg St Colaba'!F22</f>
        <v/>
      </c>
      <c r="Z9" s="313"/>
      <c r="AA9" s="314">
        <f>'Mg St LP'!D22</f>
        <v>0</v>
      </c>
      <c r="AB9" s="312"/>
      <c r="AC9" s="312" t="str">
        <f>'Mg St LP'!F22</f>
        <v/>
      </c>
      <c r="AD9" s="313"/>
      <c r="AE9" s="314">
        <f>'Mg St Bandra'!D22</f>
        <v>0</v>
      </c>
      <c r="AF9" s="312"/>
      <c r="AG9" s="312" t="str">
        <f>'Mg St Bandra'!F22</f>
        <v/>
      </c>
      <c r="AH9" s="313"/>
      <c r="AI9" s="314">
        <v>0.0</v>
      </c>
      <c r="AJ9" s="312"/>
      <c r="AK9" s="312">
        <v>0.0</v>
      </c>
      <c r="AL9" s="313"/>
      <c r="AM9" s="314">
        <v>0.0</v>
      </c>
      <c r="AN9" s="312"/>
      <c r="AO9" s="312">
        <v>0.0</v>
      </c>
      <c r="AP9" s="315"/>
      <c r="AQ9" s="387">
        <f>Kaspers!D22</f>
        <v>0</v>
      </c>
      <c r="AR9" s="312"/>
      <c r="AS9" s="312" t="str">
        <f>Kaspers!F22</f>
        <v/>
      </c>
      <c r="AT9" s="313"/>
      <c r="AU9" s="314">
        <v>0.0</v>
      </c>
      <c r="AV9" s="312"/>
      <c r="AW9" s="312">
        <v>0.0</v>
      </c>
      <c r="AX9" s="315"/>
      <c r="AY9" s="387">
        <v>0.0</v>
      </c>
      <c r="AZ9" s="312"/>
      <c r="BA9" s="312">
        <v>0.0</v>
      </c>
      <c r="BB9" s="313"/>
      <c r="BC9" s="314">
        <v>0.0</v>
      </c>
      <c r="BD9" s="312"/>
      <c r="BE9" s="312">
        <v>0.0</v>
      </c>
      <c r="BF9" s="315"/>
      <c r="BG9" s="387"/>
      <c r="BH9" s="312"/>
      <c r="BI9" s="312">
        <v>0.0</v>
      </c>
      <c r="BJ9" s="313"/>
    </row>
    <row r="10" ht="15.75" customHeight="1">
      <c r="B10" s="316" t="s">
        <v>26</v>
      </c>
      <c r="C10" s="190">
        <f>SUM(C5:C9)</f>
        <v>76149706.84</v>
      </c>
      <c r="D10" s="317">
        <f t="shared" si="2"/>
        <v>1</v>
      </c>
      <c r="E10" s="187">
        <f>SUM(E5:E9)</f>
        <v>0</v>
      </c>
      <c r="F10" s="318" t="str">
        <f t="shared" si="4"/>
        <v>#DIV/0!</v>
      </c>
      <c r="G10" s="319">
        <f>SUM(G5:G9)</f>
        <v>0</v>
      </c>
      <c r="H10" s="320"/>
      <c r="I10" s="187">
        <f>SUM(I5:I9)</f>
        <v>0</v>
      </c>
      <c r="J10" s="322"/>
      <c r="K10" s="190">
        <f>SUM(K5:K9)</f>
        <v>76149706.84</v>
      </c>
      <c r="L10" s="317">
        <f t="shared" si="6"/>
        <v>1</v>
      </c>
      <c r="M10" s="187">
        <f>SUM(M5:M9)</f>
        <v>0</v>
      </c>
      <c r="N10" s="318" t="str">
        <f t="shared" si="8"/>
        <v>#DIV/0!</v>
      </c>
      <c r="O10" s="319">
        <f>SUM(O5:O9)</f>
        <v>20572312.87</v>
      </c>
      <c r="P10" s="320"/>
      <c r="Q10" s="187">
        <f>SUM(Q5:Q9)</f>
        <v>0</v>
      </c>
      <c r="R10" s="321"/>
      <c r="S10" s="319">
        <f>SUM(S5:S9)</f>
        <v>859748</v>
      </c>
      <c r="T10" s="320"/>
      <c r="U10" s="187">
        <f>SUM(U5:U9)</f>
        <v>0</v>
      </c>
      <c r="V10" s="321"/>
      <c r="W10" s="319">
        <f>SUM(W5:W9)</f>
        <v>13180748.49</v>
      </c>
      <c r="X10" s="320"/>
      <c r="Y10" s="187">
        <f>SUM(Y5:Y9)</f>
        <v>0</v>
      </c>
      <c r="Z10" s="321"/>
      <c r="AA10" s="319">
        <f>SUM(AA5:AA9)</f>
        <v>10404633.95</v>
      </c>
      <c r="AB10" s="320"/>
      <c r="AC10" s="187">
        <f>SUM(AC5:AC9)</f>
        <v>0</v>
      </c>
      <c r="AD10" s="321"/>
      <c r="AE10" s="319">
        <f>SUM(AE5:AE9)</f>
        <v>17346161.25</v>
      </c>
      <c r="AF10" s="320"/>
      <c r="AG10" s="187">
        <f>SUM(AG5:AG9)</f>
        <v>0</v>
      </c>
      <c r="AH10" s="321"/>
      <c r="AI10" s="319">
        <f>SUM(AI5:AI9)</f>
        <v>0</v>
      </c>
      <c r="AJ10" s="320"/>
      <c r="AK10" s="187">
        <f>SUM(AK5:AK9)</f>
        <v>0</v>
      </c>
      <c r="AL10" s="321"/>
      <c r="AM10" s="319">
        <f>SUM(AM5:AM9)</f>
        <v>510529.82</v>
      </c>
      <c r="AN10" s="320"/>
      <c r="AO10" s="187">
        <f>SUM(AO5:AO9)</f>
        <v>0</v>
      </c>
      <c r="AP10" s="322"/>
      <c r="AQ10" s="190">
        <f>SUM(AQ5:AQ9)</f>
        <v>12005942.5</v>
      </c>
      <c r="AR10" s="320"/>
      <c r="AS10" s="187">
        <f>SUM(AS5:AS9)</f>
        <v>0</v>
      </c>
      <c r="AT10" s="321"/>
      <c r="AU10" s="319">
        <f>SUM(AU5:AU9)</f>
        <v>334509.99</v>
      </c>
      <c r="AV10" s="320"/>
      <c r="AW10" s="187">
        <f>SUM(AW5:AW9)</f>
        <v>0</v>
      </c>
      <c r="AX10" s="322"/>
      <c r="AY10" s="190">
        <f>SUM(AY5:AY9)</f>
        <v>124708.89</v>
      </c>
      <c r="AZ10" s="320"/>
      <c r="BA10" s="187">
        <f>SUM(BA5:BA9)</f>
        <v>0</v>
      </c>
      <c r="BB10" s="321"/>
      <c r="BC10" s="319">
        <f>SUM(BC5:BC9)</f>
        <v>174122.08</v>
      </c>
      <c r="BD10" s="320"/>
      <c r="BE10" s="187">
        <f>SUM(BE5:BE9)</f>
        <v>0</v>
      </c>
      <c r="BF10" s="322"/>
      <c r="BG10" s="190">
        <f>SUM(BG5:BG9)</f>
        <v>636289</v>
      </c>
      <c r="BH10" s="320"/>
      <c r="BI10" s="187">
        <f>SUM(BI5:BI9)</f>
        <v>0</v>
      </c>
      <c r="BJ10" s="321"/>
    </row>
    <row r="11" ht="15.75" customHeight="1">
      <c r="B11" s="388"/>
      <c r="C11" s="389"/>
      <c r="D11" s="390"/>
      <c r="E11" s="390"/>
      <c r="F11" s="391"/>
      <c r="G11" s="327"/>
      <c r="H11" s="328"/>
      <c r="I11" s="329"/>
      <c r="J11" s="333"/>
      <c r="K11" s="426"/>
      <c r="L11" s="390"/>
      <c r="M11" s="393"/>
      <c r="N11" s="391"/>
      <c r="O11" s="327"/>
      <c r="P11" s="328"/>
      <c r="Q11" s="328"/>
      <c r="R11" s="330"/>
      <c r="S11" s="327"/>
      <c r="T11" s="328"/>
      <c r="U11" s="328"/>
      <c r="V11" s="330"/>
      <c r="W11" s="327"/>
      <c r="X11" s="328"/>
      <c r="Y11" s="328"/>
      <c r="Z11" s="330"/>
      <c r="AA11" s="327"/>
      <c r="AB11" s="328"/>
      <c r="AC11" s="328"/>
      <c r="AD11" s="330"/>
      <c r="AE11" s="327"/>
      <c r="AF11" s="328"/>
      <c r="AG11" s="328"/>
      <c r="AH11" s="330"/>
      <c r="AI11" s="327"/>
      <c r="AJ11" s="328"/>
      <c r="AK11" s="328"/>
      <c r="AL11" s="330"/>
      <c r="AM11" s="327"/>
      <c r="AN11" s="328"/>
      <c r="AO11" s="328"/>
      <c r="AP11" s="333"/>
      <c r="AQ11" s="334"/>
      <c r="AR11" s="328"/>
      <c r="AS11" s="328"/>
      <c r="AT11" s="330"/>
      <c r="AU11" s="327">
        <v>0.0</v>
      </c>
      <c r="AV11" s="328"/>
      <c r="AW11" s="328">
        <v>0.0</v>
      </c>
      <c r="AX11" s="333"/>
      <c r="AY11" s="334">
        <v>0.0</v>
      </c>
      <c r="AZ11" s="328"/>
      <c r="BA11" s="328"/>
      <c r="BB11" s="330"/>
      <c r="BC11" s="327"/>
      <c r="BD11" s="328"/>
      <c r="BE11" s="328">
        <v>0.0</v>
      </c>
      <c r="BF11" s="333"/>
      <c r="BG11" s="334"/>
      <c r="BH11" s="328"/>
      <c r="BI11" s="328">
        <v>0.0</v>
      </c>
      <c r="BJ11" s="330"/>
    </row>
    <row r="12" ht="15.75" customHeight="1">
      <c r="B12" s="316" t="s">
        <v>28</v>
      </c>
      <c r="C12" s="335">
        <f t="shared" ref="C12:C14" si="22">G12+K12</f>
        <v>27664927.1</v>
      </c>
      <c r="D12" s="317">
        <f t="shared" ref="D12:D14" si="23">C12/C$10</f>
        <v>0.3632965674</v>
      </c>
      <c r="E12" s="336">
        <f t="shared" ref="E12:E13" si="24">I12+M12</f>
        <v>0</v>
      </c>
      <c r="F12" s="318" t="str">
        <f t="shared" ref="F12:F13" si="25">E12/E$10</f>
        <v>#DIV/0!</v>
      </c>
      <c r="G12" s="428">
        <f>HO!D32</f>
        <v>0</v>
      </c>
      <c r="H12" s="429"/>
      <c r="I12" s="430" t="str">
        <f>HO!F32</f>
        <v/>
      </c>
      <c r="J12" s="431"/>
      <c r="K12" s="335">
        <f t="shared" ref="K12:K13" si="26">O12+S12+W12+AA12+AE12+AI12+AM12+AQ12+AU12+AY12+BC12+BG12</f>
        <v>27664927.1</v>
      </c>
      <c r="L12" s="317">
        <f t="shared" ref="L12:L13" si="27">K12/K$10</f>
        <v>0.3632965674</v>
      </c>
      <c r="M12" s="336">
        <f t="shared" ref="M12:M13" si="28">Q12+U12+Y12+AC12+AG12+AK12+AO12+AS12+AW12+BA12+BE12+BI12</f>
        <v>0</v>
      </c>
      <c r="N12" s="318" t="str">
        <f t="shared" ref="N12:N13" si="29">M12/M$10</f>
        <v>#DIV/0!</v>
      </c>
      <c r="O12" s="342">
        <f>'The Table'!D39</f>
        <v>7070695.559</v>
      </c>
      <c r="P12" s="343">
        <f t="shared" ref="P12:P13" si="30">O12/O$10</f>
        <v>0.3436995929</v>
      </c>
      <c r="Q12" s="344">
        <f>'The Table'!F39</f>
        <v>0</v>
      </c>
      <c r="R12" s="345" t="str">
        <f t="shared" ref="R12:R13" si="31">Q12/Q$10</f>
        <v>#DIV/0!</v>
      </c>
      <c r="S12" s="342">
        <f>Iktara!D40</f>
        <v>286247.9523</v>
      </c>
      <c r="T12" s="343">
        <f t="shared" ref="T12:T13" si="32">S12/S$10</f>
        <v>0.3329440165</v>
      </c>
      <c r="U12" s="344">
        <f>Iktara!F40</f>
        <v>0</v>
      </c>
      <c r="V12" s="345" t="str">
        <f t="shared" ref="V12:V13" si="33">U12/U$10</f>
        <v>#DIV/0!</v>
      </c>
      <c r="W12" s="342">
        <f>'Mg St Colaba'!D47</f>
        <v>4877635.818</v>
      </c>
      <c r="X12" s="343">
        <f t="shared" ref="X12:X13" si="34">W12/W$10</f>
        <v>0.3700575747</v>
      </c>
      <c r="Y12" s="344" t="str">
        <f>'Mg St Colaba'!F47</f>
        <v/>
      </c>
      <c r="Z12" s="345" t="str">
        <f t="shared" ref="Z12:Z13" si="35">Y12/Y$10</f>
        <v>#DIV/0!</v>
      </c>
      <c r="AA12" s="342">
        <f>'Mg St LP'!D49</f>
        <v>3335913.994</v>
      </c>
      <c r="AB12" s="343">
        <f t="shared" ref="AB12:AB13" si="36">AA12/AA$10</f>
        <v>0.3206181025</v>
      </c>
      <c r="AC12" s="344" t="str">
        <f>'Mg St LP'!F49</f>
        <v/>
      </c>
      <c r="AD12" s="345" t="str">
        <f t="shared" ref="AD12:AD13" si="37">AC12/AC$10</f>
        <v>#DIV/0!</v>
      </c>
      <c r="AE12" s="342">
        <f>'Mg St Bandra'!D47</f>
        <v>5573067.809</v>
      </c>
      <c r="AF12" s="343">
        <f t="shared" ref="AF12:AF13" si="38">AE12/AE$10</f>
        <v>0.3212853685</v>
      </c>
      <c r="AG12" s="344">
        <f>'Mg St Bandra'!F47</f>
        <v>0</v>
      </c>
      <c r="AH12" s="345" t="str">
        <f t="shared" ref="AH12:AH13" si="39">AG12/AG$10</f>
        <v>#DIV/0!</v>
      </c>
      <c r="AI12" s="337">
        <f>'MSK Events'!D47</f>
        <v>0</v>
      </c>
      <c r="AJ12" s="343" t="str">
        <f>AI12/AI$10</f>
        <v>#DIV/0!</v>
      </c>
      <c r="AK12" s="339">
        <f>'MSK Events'!F47</f>
        <v>0</v>
      </c>
      <c r="AL12" s="340"/>
      <c r="AM12" s="342">
        <f>MSBC!D47</f>
        <v>861374.9289</v>
      </c>
      <c r="AN12" s="338"/>
      <c r="AO12" s="339">
        <f>MSBC!F47</f>
        <v>0</v>
      </c>
      <c r="AP12" s="414"/>
      <c r="AQ12" s="415">
        <f>Kaspers!D47</f>
        <v>4732114.729</v>
      </c>
      <c r="AR12" s="338"/>
      <c r="AS12" s="344">
        <f>Kaspers!F47</f>
        <v>0</v>
      </c>
      <c r="AT12" s="340"/>
      <c r="AU12" s="342">
        <f>'MSBC Andheri'!D46</f>
        <v>346085.8271</v>
      </c>
      <c r="AV12" s="338"/>
      <c r="AW12" s="344">
        <v>0.0</v>
      </c>
      <c r="AX12" s="414"/>
      <c r="AY12" s="415">
        <f>'MSBC Dahisar'!D44</f>
        <v>159599.1649</v>
      </c>
      <c r="AZ12" s="338"/>
      <c r="BA12" s="344">
        <v>0.0</v>
      </c>
      <c r="BB12" s="340"/>
      <c r="BC12" s="342">
        <f>'MSBC Juhu  Goregoan'!D37</f>
        <v>278847.6593</v>
      </c>
      <c r="BD12" s="338"/>
      <c r="BE12" s="344">
        <v>0.0</v>
      </c>
      <c r="BF12" s="414"/>
      <c r="BG12" s="415">
        <f>'LOUD MOUTH'!D39</f>
        <v>143343.6609</v>
      </c>
      <c r="BH12" s="338"/>
      <c r="BI12" s="344">
        <v>0.0</v>
      </c>
      <c r="BJ12" s="340"/>
    </row>
    <row r="13" ht="15.75" customHeight="1">
      <c r="B13" s="316" t="s">
        <v>29</v>
      </c>
      <c r="C13" s="335">
        <f t="shared" si="22"/>
        <v>903987.45</v>
      </c>
      <c r="D13" s="317">
        <f t="shared" si="23"/>
        <v>0.01187118753</v>
      </c>
      <c r="E13" s="336">
        <f t="shared" si="24"/>
        <v>0</v>
      </c>
      <c r="F13" s="318" t="str">
        <f t="shared" si="25"/>
        <v>#DIV/0!</v>
      </c>
      <c r="G13" s="337" t="str">
        <f>HO!D33</f>
        <v/>
      </c>
      <c r="H13" s="338"/>
      <c r="I13" s="348" t="str">
        <f>HO!F33</f>
        <v/>
      </c>
      <c r="J13" s="414"/>
      <c r="K13" s="335">
        <f t="shared" si="26"/>
        <v>903987.45</v>
      </c>
      <c r="L13" s="317">
        <f t="shared" si="27"/>
        <v>0.01187118753</v>
      </c>
      <c r="M13" s="336">
        <f t="shared" si="28"/>
        <v>0</v>
      </c>
      <c r="N13" s="318" t="str">
        <f t="shared" si="29"/>
        <v>#DIV/0!</v>
      </c>
      <c r="O13" s="342">
        <f>'The Table'!D40</f>
        <v>47598.75</v>
      </c>
      <c r="P13" s="343">
        <f t="shared" si="30"/>
        <v>0.002313728665</v>
      </c>
      <c r="Q13" s="344">
        <f>'The Table'!F40</f>
        <v>0</v>
      </c>
      <c r="R13" s="345" t="str">
        <f t="shared" si="31"/>
        <v>#DIV/0!</v>
      </c>
      <c r="S13" s="342">
        <f>Iktara!D41</f>
        <v>43654</v>
      </c>
      <c r="T13" s="343">
        <f t="shared" si="32"/>
        <v>0.05077534347</v>
      </c>
      <c r="U13" s="344" t="str">
        <f>Iktara!F41</f>
        <v/>
      </c>
      <c r="V13" s="345" t="str">
        <f t="shared" si="33"/>
        <v>#DIV/0!</v>
      </c>
      <c r="W13" s="342">
        <f>'Mg St Colaba'!D48</f>
        <v>187031.4</v>
      </c>
      <c r="X13" s="343">
        <f t="shared" si="34"/>
        <v>0.01418974045</v>
      </c>
      <c r="Y13" s="344" t="str">
        <f>'Mg St Colaba'!F48</f>
        <v/>
      </c>
      <c r="Z13" s="345" t="str">
        <f t="shared" si="35"/>
        <v>#DIV/0!</v>
      </c>
      <c r="AA13" s="342">
        <f>'Mg St LP'!D50</f>
        <v>213063</v>
      </c>
      <c r="AB13" s="343">
        <f t="shared" si="36"/>
        <v>0.02047770263</v>
      </c>
      <c r="AC13" s="344" t="str">
        <f>'Mg St LP'!F50</f>
        <v/>
      </c>
      <c r="AD13" s="345" t="str">
        <f t="shared" si="37"/>
        <v>#DIV/0!</v>
      </c>
      <c r="AE13" s="342">
        <f>'Mg St Bandra'!D48</f>
        <v>203136</v>
      </c>
      <c r="AF13" s="343">
        <f t="shared" si="38"/>
        <v>0.01171071784</v>
      </c>
      <c r="AG13" s="344" t="str">
        <f>'Mg St Bandra'!F48</f>
        <v/>
      </c>
      <c r="AH13" s="345" t="str">
        <f t="shared" si="39"/>
        <v>#DIV/0!</v>
      </c>
      <c r="AI13" s="337" t="str">
        <f>'MSK Events'!D48</f>
        <v/>
      </c>
      <c r="AJ13" s="338"/>
      <c r="AK13" s="339" t="str">
        <f>'MSK Events'!F48</f>
        <v/>
      </c>
      <c r="AL13" s="340"/>
      <c r="AM13" s="342">
        <f>MSBC!D48</f>
        <v>93423.5</v>
      </c>
      <c r="AN13" s="338"/>
      <c r="AO13" s="339" t="str">
        <f>MSBC!F48</f>
        <v/>
      </c>
      <c r="AP13" s="414"/>
      <c r="AQ13" s="415">
        <f>Kaspers!D48</f>
        <v>57613.8</v>
      </c>
      <c r="AR13" s="338"/>
      <c r="AS13" s="344">
        <f>Kaspers!F48</f>
        <v>0</v>
      </c>
      <c r="AT13" s="340"/>
      <c r="AU13" s="342">
        <f>'MSBC Andheri'!D47</f>
        <v>2004</v>
      </c>
      <c r="AV13" s="338"/>
      <c r="AW13" s="344">
        <v>0.0</v>
      </c>
      <c r="AX13" s="414"/>
      <c r="AY13" s="415">
        <f>'MSBC Dahisar'!D45</f>
        <v>8754</v>
      </c>
      <c r="AZ13" s="338"/>
      <c r="BA13" s="344">
        <v>0.0</v>
      </c>
      <c r="BB13" s="340"/>
      <c r="BC13" s="342">
        <f>'MSBC Juhu  Goregoan'!D38</f>
        <v>2354</v>
      </c>
      <c r="BD13" s="338"/>
      <c r="BE13" s="344">
        <v>0.0</v>
      </c>
      <c r="BF13" s="414"/>
      <c r="BG13" s="415">
        <f>'LOUD MOUTH'!D40</f>
        <v>45355</v>
      </c>
      <c r="BH13" s="338"/>
      <c r="BI13" s="344">
        <v>0.0</v>
      </c>
      <c r="BJ13" s="340"/>
    </row>
    <row r="14" ht="15.75" customHeight="1">
      <c r="B14" s="316" t="s">
        <v>160</v>
      </c>
      <c r="C14" s="349">
        <f t="shared" si="22"/>
        <v>0</v>
      </c>
      <c r="D14" s="350">
        <f t="shared" si="23"/>
        <v>0</v>
      </c>
      <c r="E14" s="351"/>
      <c r="F14" s="352"/>
      <c r="G14" s="432"/>
      <c r="H14" s="320"/>
      <c r="I14" s="320"/>
      <c r="J14" s="322"/>
      <c r="K14" s="349"/>
      <c r="L14" s="350"/>
      <c r="M14" s="336"/>
      <c r="N14" s="352"/>
      <c r="O14" s="342"/>
      <c r="P14" s="343"/>
      <c r="Q14" s="344"/>
      <c r="R14" s="345"/>
      <c r="S14" s="342"/>
      <c r="T14" s="343"/>
      <c r="U14" s="338"/>
      <c r="V14" s="345"/>
      <c r="W14" s="342"/>
      <c r="X14" s="343"/>
      <c r="Y14" s="338"/>
      <c r="Z14" s="345"/>
      <c r="AA14" s="342"/>
      <c r="AB14" s="343"/>
      <c r="AC14" s="344"/>
      <c r="AD14" s="345"/>
      <c r="AE14" s="342"/>
      <c r="AF14" s="343"/>
      <c r="AG14" s="338"/>
      <c r="AH14" s="345"/>
      <c r="AI14" s="417"/>
      <c r="AJ14" s="338"/>
      <c r="AK14" s="338"/>
      <c r="AL14" s="340"/>
      <c r="AM14" s="342"/>
      <c r="AN14" s="338"/>
      <c r="AO14" s="338"/>
      <c r="AP14" s="414"/>
      <c r="AQ14" s="433"/>
      <c r="AR14" s="338"/>
      <c r="AS14" s="344"/>
      <c r="AT14" s="340"/>
      <c r="AU14" s="434"/>
      <c r="AV14" s="434"/>
      <c r="AW14" s="434"/>
      <c r="AX14" s="434"/>
      <c r="AY14" s="433"/>
      <c r="AZ14" s="434"/>
      <c r="BA14" s="434"/>
      <c r="BB14" s="435"/>
      <c r="BC14" s="434"/>
      <c r="BD14" s="434"/>
      <c r="BE14" s="434"/>
      <c r="BF14" s="434"/>
      <c r="BG14" s="433"/>
      <c r="BH14" s="434"/>
      <c r="BI14" s="434"/>
      <c r="BJ14" s="435"/>
    </row>
    <row r="15" ht="15.75" customHeight="1">
      <c r="B15" s="316" t="s">
        <v>30</v>
      </c>
      <c r="C15" s="190">
        <f t="shared" ref="C15:AM15" si="40">SUM(C12:C14)</f>
        <v>28568914.55</v>
      </c>
      <c r="D15" s="359">
        <f t="shared" si="40"/>
        <v>0.3751677549</v>
      </c>
      <c r="E15" s="187">
        <f t="shared" si="40"/>
        <v>0</v>
      </c>
      <c r="F15" s="360" t="str">
        <f t="shared" si="40"/>
        <v>#DIV/0!</v>
      </c>
      <c r="G15" s="361">
        <f t="shared" si="40"/>
        <v>0</v>
      </c>
      <c r="H15" s="320">
        <f t="shared" si="40"/>
        <v>0</v>
      </c>
      <c r="I15" s="187">
        <f t="shared" si="40"/>
        <v>0</v>
      </c>
      <c r="J15" s="322">
        <f t="shared" si="40"/>
        <v>0</v>
      </c>
      <c r="K15" s="190">
        <f t="shared" si="40"/>
        <v>28568914.55</v>
      </c>
      <c r="L15" s="359">
        <f t="shared" si="40"/>
        <v>0.3751677549</v>
      </c>
      <c r="M15" s="187">
        <f t="shared" si="40"/>
        <v>0</v>
      </c>
      <c r="N15" s="360" t="str">
        <f t="shared" si="40"/>
        <v>#DIV/0!</v>
      </c>
      <c r="O15" s="319">
        <f t="shared" si="40"/>
        <v>7118294.309</v>
      </c>
      <c r="P15" s="359">
        <f t="shared" si="40"/>
        <v>0.3460133216</v>
      </c>
      <c r="Q15" s="187">
        <f t="shared" si="40"/>
        <v>0</v>
      </c>
      <c r="R15" s="360" t="str">
        <f t="shared" si="40"/>
        <v>#DIV/0!</v>
      </c>
      <c r="S15" s="319">
        <f t="shared" si="40"/>
        <v>329901.9523</v>
      </c>
      <c r="T15" s="359">
        <f t="shared" si="40"/>
        <v>0.38371936</v>
      </c>
      <c r="U15" s="187">
        <f t="shared" si="40"/>
        <v>0</v>
      </c>
      <c r="V15" s="360" t="str">
        <f t="shared" si="40"/>
        <v>#DIV/0!</v>
      </c>
      <c r="W15" s="319">
        <f t="shared" si="40"/>
        <v>5064667.218</v>
      </c>
      <c r="X15" s="359">
        <f t="shared" si="40"/>
        <v>0.3842473151</v>
      </c>
      <c r="Y15" s="187">
        <f t="shared" si="40"/>
        <v>0</v>
      </c>
      <c r="Z15" s="360" t="str">
        <f t="shared" si="40"/>
        <v>#DIV/0!</v>
      </c>
      <c r="AA15" s="319">
        <f t="shared" si="40"/>
        <v>3548976.994</v>
      </c>
      <c r="AB15" s="359">
        <f t="shared" si="40"/>
        <v>0.3410958051</v>
      </c>
      <c r="AC15" s="187">
        <f t="shared" si="40"/>
        <v>0</v>
      </c>
      <c r="AD15" s="360" t="str">
        <f t="shared" si="40"/>
        <v>#DIV/0!</v>
      </c>
      <c r="AE15" s="319">
        <f t="shared" si="40"/>
        <v>5776203.809</v>
      </c>
      <c r="AF15" s="359">
        <f t="shared" si="40"/>
        <v>0.3329960863</v>
      </c>
      <c r="AG15" s="187">
        <f t="shared" si="40"/>
        <v>0</v>
      </c>
      <c r="AH15" s="360" t="str">
        <f t="shared" si="40"/>
        <v>#DIV/0!</v>
      </c>
      <c r="AI15" s="361">
        <f t="shared" si="40"/>
        <v>0</v>
      </c>
      <c r="AJ15" s="359" t="str">
        <f t="shared" si="40"/>
        <v>#DIV/0!</v>
      </c>
      <c r="AK15" s="362">
        <f t="shared" si="40"/>
        <v>0</v>
      </c>
      <c r="AL15" s="321">
        <f t="shared" si="40"/>
        <v>0</v>
      </c>
      <c r="AM15" s="319">
        <f t="shared" si="40"/>
        <v>954798.4289</v>
      </c>
      <c r="AN15" s="320"/>
      <c r="AO15" s="362">
        <f>SUM(AO12:AO14)</f>
        <v>0</v>
      </c>
      <c r="AP15" s="322"/>
      <c r="AQ15" s="190">
        <f>SUM(AQ12:AQ13)</f>
        <v>4789728.529</v>
      </c>
      <c r="AR15" s="320"/>
      <c r="AS15" s="187">
        <f>SUM(AS12:AS14)</f>
        <v>0</v>
      </c>
      <c r="AT15" s="321"/>
      <c r="AU15" s="319">
        <f t="shared" ref="AU15:BJ15" si="41">SUM(AU12:AU14)</f>
        <v>348089.8271</v>
      </c>
      <c r="AV15" s="187">
        <f t="shared" si="41"/>
        <v>0</v>
      </c>
      <c r="AW15" s="187">
        <f t="shared" si="41"/>
        <v>0</v>
      </c>
      <c r="AX15" s="436">
        <f t="shared" si="41"/>
        <v>0</v>
      </c>
      <c r="AY15" s="190">
        <f t="shared" si="41"/>
        <v>168353.1649</v>
      </c>
      <c r="AZ15" s="187">
        <f t="shared" si="41"/>
        <v>0</v>
      </c>
      <c r="BA15" s="187">
        <f t="shared" si="41"/>
        <v>0</v>
      </c>
      <c r="BB15" s="365">
        <f t="shared" si="41"/>
        <v>0</v>
      </c>
      <c r="BC15" s="319">
        <f t="shared" si="41"/>
        <v>281201.6593</v>
      </c>
      <c r="BD15" s="187">
        <f t="shared" si="41"/>
        <v>0</v>
      </c>
      <c r="BE15" s="187">
        <f t="shared" si="41"/>
        <v>0</v>
      </c>
      <c r="BF15" s="436">
        <f t="shared" si="41"/>
        <v>0</v>
      </c>
      <c r="BG15" s="190">
        <f t="shared" si="41"/>
        <v>188698.6609</v>
      </c>
      <c r="BH15" s="187">
        <f t="shared" si="41"/>
        <v>0</v>
      </c>
      <c r="BI15" s="187">
        <f t="shared" si="41"/>
        <v>0</v>
      </c>
      <c r="BJ15" s="365">
        <f t="shared" si="41"/>
        <v>0</v>
      </c>
    </row>
    <row r="16" ht="15.75" customHeight="1">
      <c r="B16" s="388"/>
      <c r="C16" s="389"/>
      <c r="D16" s="390"/>
      <c r="E16" s="390"/>
      <c r="F16" s="391"/>
      <c r="G16" s="327"/>
      <c r="H16" s="328"/>
      <c r="I16" s="329"/>
      <c r="J16" s="333"/>
      <c r="K16" s="389"/>
      <c r="L16" s="390"/>
      <c r="M16" s="393"/>
      <c r="N16" s="391"/>
      <c r="O16" s="327"/>
      <c r="P16" s="328"/>
      <c r="Q16" s="328"/>
      <c r="R16" s="330"/>
      <c r="S16" s="327"/>
      <c r="T16" s="328"/>
      <c r="U16" s="328"/>
      <c r="V16" s="330"/>
      <c r="W16" s="327"/>
      <c r="X16" s="328"/>
      <c r="Y16" s="328"/>
      <c r="Z16" s="330"/>
      <c r="AA16" s="327"/>
      <c r="AB16" s="328"/>
      <c r="AC16" s="328"/>
      <c r="AD16" s="330"/>
      <c r="AE16" s="327"/>
      <c r="AF16" s="328"/>
      <c r="AG16" s="328"/>
      <c r="AH16" s="330"/>
      <c r="AI16" s="327"/>
      <c r="AJ16" s="328"/>
      <c r="AK16" s="328"/>
      <c r="AL16" s="330"/>
      <c r="AM16" s="327"/>
      <c r="AN16" s="328"/>
      <c r="AO16" s="328"/>
      <c r="AP16" s="333"/>
      <c r="AQ16" s="334"/>
      <c r="AR16" s="328"/>
      <c r="AS16" s="328"/>
      <c r="AT16" s="330"/>
      <c r="AU16" s="327">
        <v>0.0</v>
      </c>
      <c r="AV16" s="328"/>
      <c r="AW16" s="328">
        <v>0.0</v>
      </c>
      <c r="AX16" s="333"/>
      <c r="AY16" s="334">
        <v>0.0</v>
      </c>
      <c r="AZ16" s="328"/>
      <c r="BA16" s="328">
        <v>0.0</v>
      </c>
      <c r="BB16" s="330"/>
      <c r="BC16" s="327">
        <v>0.0</v>
      </c>
      <c r="BD16" s="328"/>
      <c r="BE16" s="328">
        <v>0.0</v>
      </c>
      <c r="BF16" s="333"/>
      <c r="BG16" s="334">
        <v>0.0</v>
      </c>
      <c r="BH16" s="328"/>
      <c r="BI16" s="328">
        <v>0.0</v>
      </c>
      <c r="BJ16" s="330"/>
    </row>
    <row r="17" ht="15.75" customHeight="1">
      <c r="A17" s="372"/>
      <c r="B17" s="316" t="s">
        <v>32</v>
      </c>
      <c r="C17" s="190">
        <f>C10-C15</f>
        <v>47580792.29</v>
      </c>
      <c r="D17" s="359">
        <f>C17/C$10</f>
        <v>0.6248322451</v>
      </c>
      <c r="E17" s="187">
        <f>E10-E15</f>
        <v>0</v>
      </c>
      <c r="F17" s="360" t="str">
        <f>E17/E$10</f>
        <v>#DIV/0!</v>
      </c>
      <c r="G17" s="319">
        <f>G10-G15</f>
        <v>0</v>
      </c>
      <c r="H17" s="320"/>
      <c r="I17" s="187">
        <f>I10-I15</f>
        <v>0</v>
      </c>
      <c r="J17" s="322"/>
      <c r="K17" s="190">
        <f>K10-K15</f>
        <v>47580792.29</v>
      </c>
      <c r="L17" s="359">
        <f>K17/K$10</f>
        <v>0.6248322451</v>
      </c>
      <c r="M17" s="187">
        <f>Q17+U17+Y17+AC17+AG17+AK17+AO17+AS17+AW17+BA17+BE17+BI17</f>
        <v>0</v>
      </c>
      <c r="N17" s="360" t="str">
        <f>M17/M$10</f>
        <v>#DIV/0!</v>
      </c>
      <c r="O17" s="319">
        <f>O10-O15</f>
        <v>13454018.56</v>
      </c>
      <c r="P17" s="359">
        <f>O17/O$10</f>
        <v>0.6539866784</v>
      </c>
      <c r="Q17" s="187">
        <f>Q10-Q15</f>
        <v>0</v>
      </c>
      <c r="R17" s="360" t="str">
        <f>Q17/Q$10</f>
        <v>#DIV/0!</v>
      </c>
      <c r="S17" s="319">
        <f>S10-S15</f>
        <v>529846.0477</v>
      </c>
      <c r="T17" s="359">
        <f>S17/S$10</f>
        <v>0.61628064</v>
      </c>
      <c r="U17" s="187">
        <f>U10-U15</f>
        <v>0</v>
      </c>
      <c r="V17" s="360" t="str">
        <f>U17/U$10</f>
        <v>#DIV/0!</v>
      </c>
      <c r="W17" s="319">
        <f>W10-W15</f>
        <v>8116081.272</v>
      </c>
      <c r="X17" s="359">
        <f>W17/W$10</f>
        <v>0.6157526849</v>
      </c>
      <c r="Y17" s="187">
        <f>Y10-Y15</f>
        <v>0</v>
      </c>
      <c r="Z17" s="360" t="str">
        <f>Y17/Y$10</f>
        <v>#DIV/0!</v>
      </c>
      <c r="AA17" s="319">
        <f>AA10-AA15</f>
        <v>6855656.956</v>
      </c>
      <c r="AB17" s="359">
        <f>AA17/AA$10</f>
        <v>0.6589041949</v>
      </c>
      <c r="AC17" s="187">
        <f>AC10-AC15</f>
        <v>0</v>
      </c>
      <c r="AD17" s="360" t="str">
        <f>AC17/AC$10</f>
        <v>#DIV/0!</v>
      </c>
      <c r="AE17" s="319">
        <f>AE10-AE15</f>
        <v>11569957.44</v>
      </c>
      <c r="AF17" s="359">
        <f>AE17/AE$10</f>
        <v>0.6670039137</v>
      </c>
      <c r="AG17" s="187">
        <f>AG10-AG15</f>
        <v>0</v>
      </c>
      <c r="AH17" s="360" t="str">
        <f>AG17/AG$10</f>
        <v>#DIV/0!</v>
      </c>
      <c r="AI17" s="319">
        <f>AI10-AI15</f>
        <v>0</v>
      </c>
      <c r="AJ17" s="359" t="str">
        <f>AI17/AI$10</f>
        <v>#DIV/0!</v>
      </c>
      <c r="AK17" s="187">
        <f>AK10-AK15</f>
        <v>0</v>
      </c>
      <c r="AL17" s="321"/>
      <c r="AM17" s="319">
        <f>AM10-AM15</f>
        <v>-444268.6089</v>
      </c>
      <c r="AN17" s="320"/>
      <c r="AO17" s="187">
        <f>AO10-AO15</f>
        <v>0</v>
      </c>
      <c r="AP17" s="322"/>
      <c r="AQ17" s="190">
        <f>AQ10-AQ15</f>
        <v>7216213.971</v>
      </c>
      <c r="AR17" s="320"/>
      <c r="AS17" s="187">
        <f>AS10-AS15</f>
        <v>0</v>
      </c>
      <c r="AT17" s="321"/>
      <c r="AU17" s="319">
        <f t="shared" ref="AU17:BJ17" si="42">AU10-AU15</f>
        <v>-13579.83708</v>
      </c>
      <c r="AV17" s="187">
        <f t="shared" si="42"/>
        <v>0</v>
      </c>
      <c r="AW17" s="187">
        <f t="shared" si="42"/>
        <v>0</v>
      </c>
      <c r="AX17" s="436">
        <f t="shared" si="42"/>
        <v>0</v>
      </c>
      <c r="AY17" s="190">
        <f t="shared" si="42"/>
        <v>-43644.2749</v>
      </c>
      <c r="AZ17" s="187">
        <f t="shared" si="42"/>
        <v>0</v>
      </c>
      <c r="BA17" s="187">
        <f t="shared" si="42"/>
        <v>0</v>
      </c>
      <c r="BB17" s="365">
        <f t="shared" si="42"/>
        <v>0</v>
      </c>
      <c r="BC17" s="319">
        <f t="shared" si="42"/>
        <v>-107079.5793</v>
      </c>
      <c r="BD17" s="187">
        <f t="shared" si="42"/>
        <v>0</v>
      </c>
      <c r="BE17" s="187">
        <f t="shared" si="42"/>
        <v>0</v>
      </c>
      <c r="BF17" s="436">
        <f t="shared" si="42"/>
        <v>0</v>
      </c>
      <c r="BG17" s="190">
        <f t="shared" si="42"/>
        <v>447590.3391</v>
      </c>
      <c r="BH17" s="187">
        <f t="shared" si="42"/>
        <v>0</v>
      </c>
      <c r="BI17" s="187">
        <f t="shared" si="42"/>
        <v>0</v>
      </c>
      <c r="BJ17" s="365">
        <f t="shared" si="42"/>
        <v>0</v>
      </c>
    </row>
    <row r="18" ht="15.75" customHeight="1">
      <c r="B18" s="373"/>
      <c r="C18" s="374"/>
      <c r="D18" s="375"/>
      <c r="E18" s="375"/>
      <c r="F18" s="376"/>
      <c r="G18" s="377"/>
      <c r="H18" s="281"/>
      <c r="I18" s="287"/>
      <c r="J18" s="380"/>
      <c r="K18" s="374"/>
      <c r="L18" s="375"/>
      <c r="M18" s="379"/>
      <c r="N18" s="376"/>
      <c r="O18" s="285"/>
      <c r="P18" s="281"/>
      <c r="Q18" s="281"/>
      <c r="R18" s="283"/>
      <c r="S18" s="377"/>
      <c r="T18" s="281"/>
      <c r="U18" s="281"/>
      <c r="V18" s="283"/>
      <c r="W18" s="377"/>
      <c r="X18" s="281"/>
      <c r="Y18" s="281"/>
      <c r="Z18" s="283"/>
      <c r="AA18" s="377"/>
      <c r="AB18" s="281"/>
      <c r="AC18" s="281"/>
      <c r="AD18" s="283"/>
      <c r="AE18" s="377"/>
      <c r="AF18" s="281"/>
      <c r="AG18" s="281"/>
      <c r="AH18" s="283"/>
      <c r="AI18" s="377"/>
      <c r="AJ18" s="281"/>
      <c r="AK18" s="281"/>
      <c r="AL18" s="283"/>
      <c r="AM18" s="285"/>
      <c r="AN18" s="281"/>
      <c r="AO18" s="281"/>
      <c r="AP18" s="380"/>
      <c r="AQ18" s="381"/>
      <c r="AR18" s="281"/>
      <c r="AS18" s="281"/>
      <c r="AT18" s="283"/>
      <c r="AU18" s="377"/>
      <c r="AV18" s="281"/>
      <c r="AW18" s="281"/>
      <c r="AX18" s="380"/>
      <c r="AY18" s="381"/>
      <c r="AZ18" s="281"/>
      <c r="BA18" s="281"/>
      <c r="BB18" s="283"/>
      <c r="BC18" s="377"/>
      <c r="BD18" s="281"/>
      <c r="BE18" s="281"/>
      <c r="BF18" s="380"/>
      <c r="BG18" s="381"/>
      <c r="BH18" s="281"/>
      <c r="BI18" s="281"/>
      <c r="BJ18" s="283"/>
    </row>
    <row r="19" ht="15.75" customHeight="1">
      <c r="B19" s="291" t="s">
        <v>33</v>
      </c>
      <c r="C19" s="292">
        <f t="shared" ref="C19:C28" si="43">G19+K19</f>
        <v>2145066.57</v>
      </c>
      <c r="D19" s="293">
        <f t="shared" ref="D19:D29" si="44">C19/C$10</f>
        <v>0.02816907194</v>
      </c>
      <c r="E19" s="294">
        <f t="shared" ref="E19:E29" si="45">I19+M19</f>
        <v>17189</v>
      </c>
      <c r="F19" s="295" t="str">
        <f t="shared" ref="F19:F29" si="46">E19/E$10</f>
        <v>#DIV/0!</v>
      </c>
      <c r="G19" s="300">
        <f>HO!D43</f>
        <v>106727.5133</v>
      </c>
      <c r="H19" s="257"/>
      <c r="I19" s="258" t="str">
        <f>HO!F43</f>
        <v/>
      </c>
      <c r="J19" s="406"/>
      <c r="K19" s="292">
        <f t="shared" ref="K19:K28" si="47">O19+S19+W19+AA19+AE19+AI19+AM19+AQ19+AU19+AY19+BC19+BG19</f>
        <v>2038339.057</v>
      </c>
      <c r="L19" s="293">
        <f t="shared" ref="L19:L29" si="48">K19/K$10</f>
        <v>0.02676752336</v>
      </c>
      <c r="M19" s="294">
        <f t="shared" ref="M19:M28" si="49">Q19+U19+Y19+AC19+AG19+AK19+AO19+AS19+AW19+BA19+BE19+BI19</f>
        <v>17189</v>
      </c>
      <c r="N19" s="295" t="str">
        <f t="shared" ref="N19:N29" si="50">M19/M$10</f>
        <v>#DIV/0!</v>
      </c>
      <c r="O19" s="300">
        <f>'The Table'!D51</f>
        <v>609303.6233</v>
      </c>
      <c r="P19" s="301">
        <f t="shared" ref="P19:P29" si="51">O19/O$10</f>
        <v>0.02961765297</v>
      </c>
      <c r="Q19" s="258">
        <f>'The Table'!F51</f>
        <v>17189</v>
      </c>
      <c r="R19" s="302" t="str">
        <f t="shared" ref="R19:R29" si="52">Q19/Q$10</f>
        <v>#DIV/0!</v>
      </c>
      <c r="S19" s="300">
        <f>Iktara!D52</f>
        <v>47889.29</v>
      </c>
      <c r="T19" s="301">
        <f t="shared" ref="T19:T29" si="53">S19/S$10</f>
        <v>0.05570154278</v>
      </c>
      <c r="U19" s="258">
        <f>Iktara!F52</f>
        <v>0</v>
      </c>
      <c r="V19" s="302" t="str">
        <f t="shared" ref="V19:V29" si="54">U19/U$10</f>
        <v>#DIV/0!</v>
      </c>
      <c r="W19" s="300">
        <f>'Mg St Colaba'!D60</f>
        <v>393268.8733</v>
      </c>
      <c r="X19" s="301">
        <f t="shared" ref="X19:X29" si="55">W19/W$10</f>
        <v>0.0298366116</v>
      </c>
      <c r="Y19" s="258">
        <f>'Mg St Colaba'!F60</f>
        <v>0</v>
      </c>
      <c r="Z19" s="302" t="str">
        <f t="shared" ref="Z19:Z29" si="56">Y19/Y$10</f>
        <v>#DIV/0!</v>
      </c>
      <c r="AA19" s="300">
        <f>'Mg St LP'!D61</f>
        <v>229487.8233</v>
      </c>
      <c r="AB19" s="301">
        <f t="shared" ref="AB19:AB29" si="57">AA19/AA$10</f>
        <v>0.02205630918</v>
      </c>
      <c r="AC19" s="258">
        <f>'Mg St LP'!F61</f>
        <v>0</v>
      </c>
      <c r="AD19" s="302" t="str">
        <f t="shared" ref="AD19:AD29" si="58">AC19/AC$10</f>
        <v>#DIV/0!</v>
      </c>
      <c r="AE19" s="300">
        <f>'Mg St Bandra'!D58</f>
        <v>439199.4533</v>
      </c>
      <c r="AF19" s="301">
        <f t="shared" ref="AF19:AF29" si="59">AE19/AE$10</f>
        <v>0.0253196916</v>
      </c>
      <c r="AG19" s="258">
        <f>'Mg St Bandra'!F58</f>
        <v>0</v>
      </c>
      <c r="AH19" s="302" t="str">
        <f t="shared" ref="AH19:AH29" si="60">AG19/AG$10</f>
        <v>#DIV/0!</v>
      </c>
      <c r="AI19" s="300">
        <f>'MSK Events'!D59</f>
        <v>11280</v>
      </c>
      <c r="AJ19" s="301" t="str">
        <f t="shared" ref="AJ19:AJ28" si="61">AI19/AI$10</f>
        <v>#DIV/0!</v>
      </c>
      <c r="AK19" s="258">
        <f>'MSK Events'!F59</f>
        <v>0</v>
      </c>
      <c r="AL19" s="302" t="str">
        <f t="shared" ref="AL19:AL28" si="62">AK19/AK$10</f>
        <v>#DIV/0!</v>
      </c>
      <c r="AM19" s="300">
        <f>MSBC!D59</f>
        <v>28683.86</v>
      </c>
      <c r="AN19" s="301">
        <f t="shared" ref="AN19:AN29" si="63">AM19/AM$10</f>
        <v>0.05618449477</v>
      </c>
      <c r="AO19" s="258">
        <f>MSBC!F59</f>
        <v>0</v>
      </c>
      <c r="AP19" s="303" t="str">
        <f t="shared" ref="AP19:AP29" si="64">AO19/AO$10</f>
        <v>#DIV/0!</v>
      </c>
      <c r="AQ19" s="304">
        <f>Kaspers!D62</f>
        <v>277726.1333</v>
      </c>
      <c r="AR19" s="257"/>
      <c r="AS19" s="258">
        <f>Kaspers!F62</f>
        <v>0</v>
      </c>
      <c r="AT19" s="298"/>
      <c r="AU19" s="300">
        <f>'MSBC Andheri'!D58</f>
        <v>0</v>
      </c>
      <c r="AV19" s="257"/>
      <c r="AW19" s="258">
        <f>'MSBC Andheri'!F58</f>
        <v>0</v>
      </c>
      <c r="AX19" s="406"/>
      <c r="AY19" s="304">
        <f>'MSBC Dahisar'!D55</f>
        <v>0</v>
      </c>
      <c r="AZ19" s="257"/>
      <c r="BA19" s="258">
        <f>'MSBC Dahisar'!F55</f>
        <v>0</v>
      </c>
      <c r="BB19" s="298"/>
      <c r="BC19" s="300">
        <f>'MSBC Juhu  Goregoan'!D60</f>
        <v>0</v>
      </c>
      <c r="BD19" s="257"/>
      <c r="BE19" s="258">
        <f>'MSBC Juhu  Goregoan'!F60</f>
        <v>0</v>
      </c>
      <c r="BF19" s="406"/>
      <c r="BG19" s="304">
        <f>'LOUD MOUTH'!D51</f>
        <v>1500</v>
      </c>
      <c r="BH19" s="257"/>
      <c r="BI19" s="258">
        <f>'LOUD MOUTH'!F51</f>
        <v>0</v>
      </c>
      <c r="BJ19" s="298"/>
    </row>
    <row r="20" ht="15.75" customHeight="1">
      <c r="B20" s="291" t="s">
        <v>34</v>
      </c>
      <c r="C20" s="292">
        <f t="shared" si="43"/>
        <v>840213.4</v>
      </c>
      <c r="D20" s="293">
        <f t="shared" si="44"/>
        <v>0.01103370499</v>
      </c>
      <c r="E20" s="294">
        <f t="shared" si="45"/>
        <v>88100</v>
      </c>
      <c r="F20" s="295" t="str">
        <f t="shared" si="46"/>
        <v>#DIV/0!</v>
      </c>
      <c r="G20" s="300">
        <f>HO!D52</f>
        <v>53100</v>
      </c>
      <c r="H20" s="257"/>
      <c r="I20" s="258">
        <f>HO!F52</f>
        <v>53100</v>
      </c>
      <c r="J20" s="406"/>
      <c r="K20" s="292">
        <f t="shared" si="47"/>
        <v>787113.4</v>
      </c>
      <c r="L20" s="293">
        <f t="shared" si="48"/>
        <v>0.01033639436</v>
      </c>
      <c r="M20" s="294">
        <f t="shared" si="49"/>
        <v>35000</v>
      </c>
      <c r="N20" s="295" t="str">
        <f t="shared" si="50"/>
        <v>#DIV/0!</v>
      </c>
      <c r="O20" s="300">
        <f>'The Table'!D60</f>
        <v>72049</v>
      </c>
      <c r="P20" s="301">
        <f t="shared" si="51"/>
        <v>0.003502231395</v>
      </c>
      <c r="Q20" s="258">
        <f>'The Table'!F60</f>
        <v>0</v>
      </c>
      <c r="R20" s="302" t="str">
        <f t="shared" si="52"/>
        <v>#DIV/0!</v>
      </c>
      <c r="S20" s="300">
        <f>Iktara!D54</f>
        <v>89556.69</v>
      </c>
      <c r="T20" s="301">
        <f t="shared" si="53"/>
        <v>0.1041662092</v>
      </c>
      <c r="U20" s="258">
        <f>Iktara!F54</f>
        <v>0</v>
      </c>
      <c r="V20" s="302" t="str">
        <f t="shared" si="54"/>
        <v>#DIV/0!</v>
      </c>
      <c r="W20" s="300">
        <f>'Mg St Colaba'!D69</f>
        <v>196105.44</v>
      </c>
      <c r="X20" s="301">
        <f t="shared" si="55"/>
        <v>0.01487817176</v>
      </c>
      <c r="Y20" s="258">
        <f>'Mg St Colaba'!F69</f>
        <v>0</v>
      </c>
      <c r="Z20" s="302" t="str">
        <f t="shared" si="56"/>
        <v>#DIV/0!</v>
      </c>
      <c r="AA20" s="300">
        <f>'Mg St LP'!D63</f>
        <v>98796.5</v>
      </c>
      <c r="AB20" s="301">
        <f t="shared" si="57"/>
        <v>0.009495432562</v>
      </c>
      <c r="AC20" s="258">
        <f>'Mg St LP'!F63</f>
        <v>0</v>
      </c>
      <c r="AD20" s="302" t="str">
        <f t="shared" si="58"/>
        <v>#DIV/0!</v>
      </c>
      <c r="AE20" s="300">
        <f>'Mg St Bandra'!D70</f>
        <v>86882</v>
      </c>
      <c r="AF20" s="301">
        <f t="shared" si="59"/>
        <v>0.005008716266</v>
      </c>
      <c r="AG20" s="258">
        <f>'Mg St Bandra'!F70</f>
        <v>0</v>
      </c>
      <c r="AH20" s="302" t="str">
        <f t="shared" si="60"/>
        <v>#DIV/0!</v>
      </c>
      <c r="AI20" s="300">
        <f>'MSK Events'!D70</f>
        <v>0</v>
      </c>
      <c r="AJ20" s="301" t="str">
        <f t="shared" si="61"/>
        <v>#DIV/0!</v>
      </c>
      <c r="AK20" s="258">
        <f>'MSK Events'!F70</f>
        <v>0</v>
      </c>
      <c r="AL20" s="302" t="str">
        <f t="shared" si="62"/>
        <v>#DIV/0!</v>
      </c>
      <c r="AM20" s="300">
        <f>MSBC!D61</f>
        <v>77809.78</v>
      </c>
      <c r="AN20" s="301">
        <f t="shared" si="63"/>
        <v>0.1524098631</v>
      </c>
      <c r="AO20" s="258">
        <f>MSBC!F61</f>
        <v>0</v>
      </c>
      <c r="AP20" s="303" t="str">
        <f t="shared" si="64"/>
        <v>#DIV/0!</v>
      </c>
      <c r="AQ20" s="304">
        <f>Kaspers!D65</f>
        <v>17063.98</v>
      </c>
      <c r="AR20" s="257"/>
      <c r="AS20" s="258">
        <f>Kaspers!F65</f>
        <v>35000</v>
      </c>
      <c r="AT20" s="298"/>
      <c r="AU20" s="300">
        <f>'MSBC Andheri'!D70</f>
        <v>57894.52</v>
      </c>
      <c r="AV20" s="257"/>
      <c r="AW20" s="258">
        <f>'MSBC Andheri'!F70</f>
        <v>0</v>
      </c>
      <c r="AX20" s="406"/>
      <c r="AY20" s="304">
        <f>'MSBC Dahisar'!D57</f>
        <v>38620.46</v>
      </c>
      <c r="AZ20" s="257"/>
      <c r="BA20" s="258">
        <f>'MSBC Dahisar'!F57</f>
        <v>0</v>
      </c>
      <c r="BB20" s="298"/>
      <c r="BC20" s="300">
        <f>'MSBC Juhu  Goregoan'!D72</f>
        <v>39752.03</v>
      </c>
      <c r="BD20" s="257"/>
      <c r="BE20" s="258">
        <f>'MSBC Juhu  Goregoan'!F72</f>
        <v>0</v>
      </c>
      <c r="BF20" s="406"/>
      <c r="BG20" s="304">
        <f>'LOUD MOUTH'!D54</f>
        <v>12583</v>
      </c>
      <c r="BH20" s="257"/>
      <c r="BI20" s="258">
        <f>'LOUD MOUTH'!F54</f>
        <v>0</v>
      </c>
      <c r="BJ20" s="298"/>
    </row>
    <row r="21" ht="15.75" customHeight="1">
      <c r="B21" s="291" t="s">
        <v>35</v>
      </c>
      <c r="C21" s="292">
        <f t="shared" si="43"/>
        <v>2313630.4</v>
      </c>
      <c r="D21" s="293">
        <f t="shared" si="44"/>
        <v>0.03038265669</v>
      </c>
      <c r="E21" s="294">
        <f t="shared" si="45"/>
        <v>0</v>
      </c>
      <c r="F21" s="295" t="str">
        <f t="shared" si="46"/>
        <v>#DIV/0!</v>
      </c>
      <c r="G21" s="300">
        <f>HO!D63</f>
        <v>0</v>
      </c>
      <c r="H21" s="257"/>
      <c r="I21" s="258">
        <f>HO!F63</f>
        <v>0</v>
      </c>
      <c r="J21" s="406"/>
      <c r="K21" s="292">
        <f t="shared" si="47"/>
        <v>2313630.4</v>
      </c>
      <c r="L21" s="293">
        <f t="shared" si="48"/>
        <v>0.03038265669</v>
      </c>
      <c r="M21" s="294">
        <f t="shared" si="49"/>
        <v>0</v>
      </c>
      <c r="N21" s="295" t="str">
        <f t="shared" si="50"/>
        <v>#DIV/0!</v>
      </c>
      <c r="O21" s="300">
        <f>'The Table'!D69</f>
        <v>89700</v>
      </c>
      <c r="P21" s="301">
        <f t="shared" si="51"/>
        <v>0.004360229235</v>
      </c>
      <c r="Q21" s="258">
        <f>'The Table'!F69</f>
        <v>0</v>
      </c>
      <c r="R21" s="302" t="str">
        <f t="shared" si="52"/>
        <v>#DIV/0!</v>
      </c>
      <c r="S21" s="300">
        <f>Iktara!D64</f>
        <v>112186.48</v>
      </c>
      <c r="T21" s="301">
        <f t="shared" si="53"/>
        <v>0.1304876313</v>
      </c>
      <c r="U21" s="258" t="str">
        <f>Iktara!F64</f>
        <v/>
      </c>
      <c r="V21" s="302" t="str">
        <f t="shared" si="54"/>
        <v>#DIV/0!</v>
      </c>
      <c r="W21" s="300">
        <f>'Mg St Colaba'!D81</f>
        <v>480580.79</v>
      </c>
      <c r="X21" s="301">
        <f t="shared" si="55"/>
        <v>0.03646081179</v>
      </c>
      <c r="Y21" s="258"/>
      <c r="Z21" s="302" t="str">
        <f t="shared" si="56"/>
        <v>#DIV/0!</v>
      </c>
      <c r="AA21" s="300">
        <f>'Mg St LP'!D76</f>
        <v>674779.24</v>
      </c>
      <c r="AB21" s="301">
        <f t="shared" si="57"/>
        <v>0.06485372222</v>
      </c>
      <c r="AC21" s="258">
        <f>'Mg St LP'!F76</f>
        <v>0</v>
      </c>
      <c r="AD21" s="302" t="str">
        <f t="shared" si="58"/>
        <v>#DIV/0!</v>
      </c>
      <c r="AE21" s="300">
        <f>'Mg St Bandra'!D81</f>
        <v>628442</v>
      </c>
      <c r="AF21" s="301">
        <f t="shared" si="59"/>
        <v>0.03622945682</v>
      </c>
      <c r="AG21" s="258">
        <f>'Mg St Bandra'!F81</f>
        <v>0</v>
      </c>
      <c r="AH21" s="302" t="str">
        <f t="shared" si="60"/>
        <v>#DIV/0!</v>
      </c>
      <c r="AI21" s="300">
        <f>'MSK Events'!D77</f>
        <v>0</v>
      </c>
      <c r="AJ21" s="301" t="str">
        <f t="shared" si="61"/>
        <v>#DIV/0!</v>
      </c>
      <c r="AK21" s="258">
        <f>'MSK Events'!F77</f>
        <v>0</v>
      </c>
      <c r="AL21" s="302" t="str">
        <f t="shared" si="62"/>
        <v>#DIV/0!</v>
      </c>
      <c r="AM21" s="300">
        <f>MSBC!D69</f>
        <v>39923.37</v>
      </c>
      <c r="AN21" s="301">
        <f t="shared" si="63"/>
        <v>0.07819987871</v>
      </c>
      <c r="AO21" s="258">
        <f>MSBC!F69</f>
        <v>0</v>
      </c>
      <c r="AP21" s="303" t="str">
        <f t="shared" si="64"/>
        <v>#DIV/0!</v>
      </c>
      <c r="AQ21" s="304">
        <f>Kaspers!D73</f>
        <v>0</v>
      </c>
      <c r="AR21" s="257"/>
      <c r="AS21" s="258">
        <f>Kaspers!F73</f>
        <v>0</v>
      </c>
      <c r="AT21" s="298"/>
      <c r="AU21" s="300">
        <f>'MSBC Andheri'!D78</f>
        <v>96492.09</v>
      </c>
      <c r="AV21" s="257"/>
      <c r="AW21" s="258">
        <f>'MSBC Andheri'!F78</f>
        <v>0</v>
      </c>
      <c r="AX21" s="406"/>
      <c r="AY21" s="304">
        <f>'MSBC Dahisar'!D65</f>
        <v>53013.93</v>
      </c>
      <c r="AZ21" s="257"/>
      <c r="BA21" s="258">
        <f>'MSBC Dahisar'!F65</f>
        <v>0</v>
      </c>
      <c r="BB21" s="298"/>
      <c r="BC21" s="300">
        <f>'MSBC Juhu  Goregoan'!D80</f>
        <v>65245.94</v>
      </c>
      <c r="BD21" s="257"/>
      <c r="BE21" s="258">
        <f>'MSBC Juhu  Goregoan'!F80</f>
        <v>0</v>
      </c>
      <c r="BF21" s="406"/>
      <c r="BG21" s="304">
        <f>'LOUD MOUTH'!D63</f>
        <v>73266.56</v>
      </c>
      <c r="BH21" s="257"/>
      <c r="BI21" s="258">
        <f>'LOUD MOUTH'!F63</f>
        <v>0</v>
      </c>
      <c r="BJ21" s="298"/>
    </row>
    <row r="22" ht="15.75" customHeight="1">
      <c r="B22" s="291" t="s">
        <v>36</v>
      </c>
      <c r="C22" s="292">
        <f t="shared" si="43"/>
        <v>8589619.667</v>
      </c>
      <c r="D22" s="293">
        <f t="shared" si="44"/>
        <v>0.1127991167</v>
      </c>
      <c r="E22" s="294">
        <f t="shared" si="45"/>
        <v>3059965</v>
      </c>
      <c r="F22" s="295" t="str">
        <f t="shared" si="46"/>
        <v>#DIV/0!</v>
      </c>
      <c r="G22" s="300">
        <f>HO!D70</f>
        <v>814380</v>
      </c>
      <c r="H22" s="257"/>
      <c r="I22" s="258">
        <f>HO!F70</f>
        <v>0</v>
      </c>
      <c r="J22" s="406"/>
      <c r="K22" s="292">
        <f t="shared" si="47"/>
        <v>7775239.667</v>
      </c>
      <c r="L22" s="293">
        <f t="shared" si="48"/>
        <v>0.1021046566</v>
      </c>
      <c r="M22" s="294">
        <f t="shared" si="49"/>
        <v>3059965</v>
      </c>
      <c r="N22" s="295" t="str">
        <f t="shared" si="50"/>
        <v>#DIV/0!</v>
      </c>
      <c r="O22" s="300">
        <f>'The Table'!D75</f>
        <v>1820401.333</v>
      </c>
      <c r="P22" s="301">
        <f t="shared" si="51"/>
        <v>0.08848792767</v>
      </c>
      <c r="Q22" s="258">
        <f>'The Table'!F75</f>
        <v>1419717</v>
      </c>
      <c r="R22" s="302" t="str">
        <f t="shared" si="52"/>
        <v>#DIV/0!</v>
      </c>
      <c r="S22" s="300">
        <f>Iktara!D70</f>
        <v>84083</v>
      </c>
      <c r="T22" s="301">
        <f t="shared" si="53"/>
        <v>0.09779958779</v>
      </c>
      <c r="U22" s="258">
        <f>Iktara!F70</f>
        <v>76212</v>
      </c>
      <c r="V22" s="302" t="str">
        <f t="shared" si="54"/>
        <v>#DIV/0!</v>
      </c>
      <c r="W22" s="300">
        <f>'Mg St Colaba'!D88</f>
        <v>1764477.333</v>
      </c>
      <c r="X22" s="301">
        <f t="shared" si="55"/>
        <v>0.1338677644</v>
      </c>
      <c r="Y22" s="258">
        <f>'Mg St Colaba'!F88</f>
        <v>1314963</v>
      </c>
      <c r="Z22" s="302" t="str">
        <f t="shared" si="56"/>
        <v>#DIV/0!</v>
      </c>
      <c r="AA22" s="300">
        <f>'Mg St LP'!D83</f>
        <v>1115873</v>
      </c>
      <c r="AB22" s="301">
        <f t="shared" si="57"/>
        <v>0.1072476942</v>
      </c>
      <c r="AC22" s="258">
        <f>'Mg St LP'!F83</f>
        <v>0</v>
      </c>
      <c r="AD22" s="302" t="str">
        <f t="shared" si="58"/>
        <v>#DIV/0!</v>
      </c>
      <c r="AE22" s="300">
        <f>'Mg St Bandra'!D88</f>
        <v>1542823</v>
      </c>
      <c r="AF22" s="301">
        <f t="shared" si="59"/>
        <v>0.08894319485</v>
      </c>
      <c r="AG22" s="258">
        <f>'Mg St Bandra'!F88</f>
        <v>0</v>
      </c>
      <c r="AH22" s="302" t="str">
        <f t="shared" si="60"/>
        <v>#DIV/0!</v>
      </c>
      <c r="AI22" s="300">
        <f>'MSK Events'!D84</f>
        <v>210952</v>
      </c>
      <c r="AJ22" s="301" t="str">
        <f t="shared" si="61"/>
        <v>#DIV/0!</v>
      </c>
      <c r="AK22" s="258">
        <f>'MSK Events'!F84</f>
        <v>90931</v>
      </c>
      <c r="AL22" s="302" t="str">
        <f t="shared" si="62"/>
        <v>#DIV/0!</v>
      </c>
      <c r="AM22" s="300">
        <f>MSBC!D75</f>
        <v>253151</v>
      </c>
      <c r="AN22" s="301">
        <f t="shared" si="63"/>
        <v>0.49585938</v>
      </c>
      <c r="AO22" s="258">
        <f>MSBC!F75</f>
        <v>155723</v>
      </c>
      <c r="AP22" s="303" t="str">
        <f t="shared" si="64"/>
        <v>#DIV/0!</v>
      </c>
      <c r="AQ22" s="304">
        <f>Kaspers!D80</f>
        <v>983479</v>
      </c>
      <c r="AR22" s="257"/>
      <c r="AS22" s="258">
        <f>Kaspers!F80</f>
        <v>2419</v>
      </c>
      <c r="AT22" s="298"/>
      <c r="AU22" s="300">
        <f>'MSBC Andheri'!D87</f>
        <v>0</v>
      </c>
      <c r="AV22" s="257"/>
      <c r="AW22" s="258">
        <f>'MSBC Andheri'!F87</f>
        <v>0</v>
      </c>
      <c r="AX22" s="406"/>
      <c r="AY22" s="304">
        <f>'MSBC Dahisar'!D74</f>
        <v>0</v>
      </c>
      <c r="AZ22" s="257"/>
      <c r="BA22" s="258">
        <f>'MSBC Dahisar'!F74</f>
        <v>0</v>
      </c>
      <c r="BB22" s="298"/>
      <c r="BC22" s="300">
        <v>0.0</v>
      </c>
      <c r="BD22" s="257"/>
      <c r="BE22" s="258">
        <v>0.0</v>
      </c>
      <c r="BF22" s="406"/>
      <c r="BG22" s="304">
        <f>'LOUD MOUTH'!D70</f>
        <v>0</v>
      </c>
      <c r="BH22" s="257"/>
      <c r="BI22" s="258">
        <f>'LOUD MOUTH'!F70</f>
        <v>0</v>
      </c>
      <c r="BJ22" s="298"/>
    </row>
    <row r="23" ht="15.75" customHeight="1">
      <c r="B23" s="291" t="s">
        <v>37</v>
      </c>
      <c r="C23" s="292">
        <f t="shared" si="43"/>
        <v>24377895.37</v>
      </c>
      <c r="D23" s="293">
        <f t="shared" si="44"/>
        <v>0.3201311782</v>
      </c>
      <c r="E23" s="294">
        <f t="shared" si="45"/>
        <v>758150</v>
      </c>
      <c r="F23" s="295" t="str">
        <f t="shared" si="46"/>
        <v>#DIV/0!</v>
      </c>
      <c r="G23" s="300">
        <f>HO!D76</f>
        <v>3786945.37</v>
      </c>
      <c r="H23" s="257"/>
      <c r="I23" s="258">
        <f>HO!F76</f>
        <v>0</v>
      </c>
      <c r="J23" s="406"/>
      <c r="K23" s="292">
        <f t="shared" si="47"/>
        <v>20590950</v>
      </c>
      <c r="L23" s="293">
        <f t="shared" si="48"/>
        <v>0.2704009097</v>
      </c>
      <c r="M23" s="294">
        <f t="shared" si="49"/>
        <v>758150</v>
      </c>
      <c r="N23" s="295" t="str">
        <f t="shared" si="50"/>
        <v>#DIV/0!</v>
      </c>
      <c r="O23" s="300">
        <f>'The Table'!D81</f>
        <v>5544486.66</v>
      </c>
      <c r="P23" s="301">
        <f t="shared" si="51"/>
        <v>0.2695120716</v>
      </c>
      <c r="Q23" s="258">
        <f>'The Table'!F81</f>
        <v>663750</v>
      </c>
      <c r="R23" s="302" t="str">
        <f t="shared" si="52"/>
        <v>#DIV/0!</v>
      </c>
      <c r="S23" s="300">
        <f>Iktara!D76</f>
        <v>343104.24</v>
      </c>
      <c r="T23" s="301">
        <f t="shared" si="53"/>
        <v>0.399075357</v>
      </c>
      <c r="U23" s="258">
        <f>Iktara!F76</f>
        <v>0</v>
      </c>
      <c r="V23" s="302" t="str">
        <f t="shared" si="54"/>
        <v>#DIV/0!</v>
      </c>
      <c r="W23" s="300">
        <f>'Mg St Colaba'!D94</f>
        <v>3210265.167</v>
      </c>
      <c r="X23" s="301">
        <f t="shared" si="55"/>
        <v>0.2435571219</v>
      </c>
      <c r="Y23" s="258">
        <f>'Mg St Colaba'!F94</f>
        <v>0</v>
      </c>
      <c r="Z23" s="302" t="str">
        <f t="shared" si="56"/>
        <v>#DIV/0!</v>
      </c>
      <c r="AA23" s="300">
        <f>'Mg St LP'!D90</f>
        <v>1746002.687</v>
      </c>
      <c r="AB23" s="301">
        <f t="shared" si="57"/>
        <v>0.1678101022</v>
      </c>
      <c r="AC23" s="258">
        <f>'Mg St LP'!F90</f>
        <v>0</v>
      </c>
      <c r="AD23" s="302" t="str">
        <f t="shared" si="58"/>
        <v>#DIV/0!</v>
      </c>
      <c r="AE23" s="300">
        <f>'Mg St Bandra'!D96</f>
        <v>3711761.087</v>
      </c>
      <c r="AF23" s="301">
        <f t="shared" si="59"/>
        <v>0.2139817008</v>
      </c>
      <c r="AG23" s="258">
        <f>'Mg St Bandra'!F96</f>
        <v>0</v>
      </c>
      <c r="AH23" s="302" t="str">
        <f t="shared" si="60"/>
        <v>#DIV/0!</v>
      </c>
      <c r="AI23" s="300">
        <f>'MSK Events'!D90</f>
        <v>271146</v>
      </c>
      <c r="AJ23" s="301" t="str">
        <f t="shared" si="61"/>
        <v>#DIV/0!</v>
      </c>
      <c r="AK23" s="258">
        <f>'MSK Events'!F90</f>
        <v>0</v>
      </c>
      <c r="AL23" s="302" t="str">
        <f t="shared" si="62"/>
        <v>#DIV/0!</v>
      </c>
      <c r="AM23" s="300">
        <f>MSBC!D81</f>
        <v>1480962.86</v>
      </c>
      <c r="AN23" s="301">
        <f t="shared" si="63"/>
        <v>2.900835176</v>
      </c>
      <c r="AO23" s="258">
        <f>MSBC!F81</f>
        <v>94400</v>
      </c>
      <c r="AP23" s="303" t="str">
        <f t="shared" si="64"/>
        <v>#DIV/0!</v>
      </c>
      <c r="AQ23" s="304">
        <f>Kaspers!D86</f>
        <v>3781770.8</v>
      </c>
      <c r="AR23" s="257"/>
      <c r="AS23" s="258">
        <f>Kaspers!F86</f>
        <v>0</v>
      </c>
      <c r="AT23" s="298"/>
      <c r="AU23" s="300">
        <f>'MSBC Andheri'!D93</f>
        <v>0</v>
      </c>
      <c r="AV23" s="257"/>
      <c r="AW23" s="258">
        <f>'MSBC Andheri'!F93</f>
        <v>0</v>
      </c>
      <c r="AX23" s="406"/>
      <c r="AY23" s="304">
        <f>'MSBC Dahisar'!D80</f>
        <v>0</v>
      </c>
      <c r="AZ23" s="257"/>
      <c r="BA23" s="258">
        <f>'MSBC Dahisar'!F80</f>
        <v>0</v>
      </c>
      <c r="BB23" s="298"/>
      <c r="BC23" s="300">
        <v>0.0</v>
      </c>
      <c r="BD23" s="257"/>
      <c r="BE23" s="258">
        <v>0.0</v>
      </c>
      <c r="BF23" s="406"/>
      <c r="BG23" s="304">
        <f>'LOUD MOUTH'!D77</f>
        <v>501450.5</v>
      </c>
      <c r="BH23" s="257"/>
      <c r="BI23" s="258">
        <f>'LOUD MOUTH'!F77</f>
        <v>0</v>
      </c>
      <c r="BJ23" s="298"/>
    </row>
    <row r="24" ht="15.75" customHeight="1">
      <c r="B24" s="291" t="s">
        <v>38</v>
      </c>
      <c r="C24" s="292">
        <f t="shared" si="43"/>
        <v>1022183.62</v>
      </c>
      <c r="D24" s="293">
        <f t="shared" si="44"/>
        <v>0.01342334281</v>
      </c>
      <c r="E24" s="294">
        <f t="shared" si="45"/>
        <v>0</v>
      </c>
      <c r="F24" s="295" t="str">
        <f t="shared" si="46"/>
        <v>#DIV/0!</v>
      </c>
      <c r="G24" s="300">
        <f>HO!D87</f>
        <v>412150</v>
      </c>
      <c r="H24" s="257"/>
      <c r="I24" s="258">
        <f>HO!F87</f>
        <v>0</v>
      </c>
      <c r="J24" s="406"/>
      <c r="K24" s="292">
        <f t="shared" si="47"/>
        <v>610033.62</v>
      </c>
      <c r="L24" s="293">
        <f t="shared" si="48"/>
        <v>0.008010977919</v>
      </c>
      <c r="M24" s="294">
        <f t="shared" si="49"/>
        <v>0</v>
      </c>
      <c r="N24" s="295" t="str">
        <f t="shared" si="50"/>
        <v>#DIV/0!</v>
      </c>
      <c r="O24" s="300">
        <f>'The Table'!D92</f>
        <v>492478</v>
      </c>
      <c r="P24" s="301">
        <f t="shared" si="51"/>
        <v>0.02393887372</v>
      </c>
      <c r="Q24" s="258">
        <f>'The Table'!F92</f>
        <v>0</v>
      </c>
      <c r="R24" s="302" t="str">
        <f t="shared" si="52"/>
        <v>#DIV/0!</v>
      </c>
      <c r="S24" s="300">
        <f>Iktara!D86</f>
        <v>0</v>
      </c>
      <c r="T24" s="301">
        <f t="shared" si="53"/>
        <v>0</v>
      </c>
      <c r="U24" s="297">
        <f>Iktara!F86</f>
        <v>0</v>
      </c>
      <c r="V24" s="302" t="str">
        <f t="shared" si="54"/>
        <v>#DIV/0!</v>
      </c>
      <c r="W24" s="300">
        <f>'Mg St Colaba'!D105</f>
        <v>26165</v>
      </c>
      <c r="X24" s="301">
        <f t="shared" si="55"/>
        <v>0.001985092123</v>
      </c>
      <c r="Y24" s="258">
        <f>'Mg St Colaba'!F105</f>
        <v>0</v>
      </c>
      <c r="Z24" s="302" t="str">
        <f t="shared" si="56"/>
        <v>#DIV/0!</v>
      </c>
      <c r="AA24" s="300">
        <f>'Mg St LP'!D101</f>
        <v>25508</v>
      </c>
      <c r="AB24" s="301">
        <f t="shared" si="57"/>
        <v>0.002451599943</v>
      </c>
      <c r="AC24" s="258">
        <f>'Mg St LP'!F101</f>
        <v>0</v>
      </c>
      <c r="AD24" s="302" t="str">
        <f t="shared" si="58"/>
        <v>#DIV/0!</v>
      </c>
      <c r="AE24" s="300">
        <f>'Mg St Bandra'!D109</f>
        <v>24094</v>
      </c>
      <c r="AF24" s="301">
        <f t="shared" si="59"/>
        <v>0.001389010494</v>
      </c>
      <c r="AG24" s="258">
        <f>'Mg St Bandra'!F109</f>
        <v>0</v>
      </c>
      <c r="AH24" s="302" t="str">
        <f t="shared" si="60"/>
        <v>#DIV/0!</v>
      </c>
      <c r="AI24" s="300">
        <f>'MSK Events'!D100</f>
        <v>0</v>
      </c>
      <c r="AJ24" s="301" t="str">
        <f t="shared" si="61"/>
        <v>#DIV/0!</v>
      </c>
      <c r="AK24" s="258">
        <f>'MSK Events'!F100</f>
        <v>0</v>
      </c>
      <c r="AL24" s="302" t="str">
        <f t="shared" si="62"/>
        <v>#DIV/0!</v>
      </c>
      <c r="AM24" s="300">
        <f>MSBC!D92</f>
        <v>6930</v>
      </c>
      <c r="AN24" s="301">
        <f t="shared" si="63"/>
        <v>0.01357413363</v>
      </c>
      <c r="AO24" s="258">
        <f>MSBC!F92</f>
        <v>0</v>
      </c>
      <c r="AP24" s="303" t="str">
        <f t="shared" si="64"/>
        <v>#DIV/0!</v>
      </c>
      <c r="AQ24" s="304">
        <f>Kaspers!D100</f>
        <v>34858.62</v>
      </c>
      <c r="AR24" s="257"/>
      <c r="AS24" s="258">
        <f>Kaspers!F100</f>
        <v>0</v>
      </c>
      <c r="AT24" s="298"/>
      <c r="AU24" s="300">
        <f>'MSBC Andheri'!D103</f>
        <v>0</v>
      </c>
      <c r="AV24" s="257"/>
      <c r="AW24" s="258">
        <f>'MSBC Andheri'!F103</f>
        <v>0</v>
      </c>
      <c r="AX24" s="406"/>
      <c r="AY24" s="304">
        <f>'MSBC Dahisar'!D90</f>
        <v>0</v>
      </c>
      <c r="AZ24" s="257"/>
      <c r="BA24" s="258">
        <f>'MSBC Dahisar'!F90</f>
        <v>0</v>
      </c>
      <c r="BB24" s="298"/>
      <c r="BC24" s="300">
        <f>'MSBC Juhu  Goregoan'!D103</f>
        <v>0</v>
      </c>
      <c r="BD24" s="257"/>
      <c r="BE24" s="258">
        <f>'MSBC Juhu  Goregoan'!F103</f>
        <v>0</v>
      </c>
      <c r="BF24" s="406"/>
      <c r="BG24" s="304">
        <f>'LOUD MOUTH'!D88</f>
        <v>0</v>
      </c>
      <c r="BH24" s="257"/>
      <c r="BI24" s="258">
        <f>'LOUD MOUTH'!F88</f>
        <v>0</v>
      </c>
      <c r="BJ24" s="298"/>
    </row>
    <row r="25" ht="15.75" customHeight="1">
      <c r="B25" s="291" t="s">
        <v>39</v>
      </c>
      <c r="C25" s="292">
        <f t="shared" si="43"/>
        <v>633704.25</v>
      </c>
      <c r="D25" s="293">
        <f t="shared" si="44"/>
        <v>0.008321821269</v>
      </c>
      <c r="E25" s="294">
        <f t="shared" si="45"/>
        <v>137618.5833</v>
      </c>
      <c r="F25" s="295" t="str">
        <f t="shared" si="46"/>
        <v>#DIV/0!</v>
      </c>
      <c r="G25" s="300">
        <f>HO!D94</f>
        <v>264358</v>
      </c>
      <c r="H25" s="257"/>
      <c r="I25" s="258">
        <f>HO!F94</f>
        <v>0</v>
      </c>
      <c r="J25" s="406"/>
      <c r="K25" s="292">
        <f t="shared" si="47"/>
        <v>369346.25</v>
      </c>
      <c r="L25" s="293">
        <f t="shared" si="48"/>
        <v>0.004850264897</v>
      </c>
      <c r="M25" s="294">
        <f t="shared" si="49"/>
        <v>137618.5833</v>
      </c>
      <c r="N25" s="295" t="str">
        <f t="shared" si="50"/>
        <v>#DIV/0!</v>
      </c>
      <c r="O25" s="300">
        <f>'The Table'!D95</f>
        <v>22505</v>
      </c>
      <c r="P25" s="301">
        <f t="shared" si="51"/>
        <v>0.00109394603</v>
      </c>
      <c r="Q25" s="258">
        <f>'The Table'!F95</f>
        <v>0</v>
      </c>
      <c r="R25" s="302" t="str">
        <f t="shared" si="52"/>
        <v>#DIV/0!</v>
      </c>
      <c r="S25" s="300">
        <f>Iktara!D89</f>
        <v>23091</v>
      </c>
      <c r="T25" s="301">
        <f t="shared" si="53"/>
        <v>0.02685786998</v>
      </c>
      <c r="U25" s="297">
        <f>Iktara!F89</f>
        <v>0</v>
      </c>
      <c r="V25" s="302" t="str">
        <f t="shared" si="54"/>
        <v>#DIV/0!</v>
      </c>
      <c r="W25" s="300">
        <f>'Mg St Colaba'!D108</f>
        <v>63685.33333</v>
      </c>
      <c r="X25" s="301">
        <f t="shared" si="55"/>
        <v>0.004831693237</v>
      </c>
      <c r="Y25" s="258" t="str">
        <f>'Mg St Colaba'!F108</f>
        <v/>
      </c>
      <c r="Z25" s="302" t="str">
        <f t="shared" si="56"/>
        <v>#DIV/0!</v>
      </c>
      <c r="AA25" s="300">
        <f>'Mg St LP'!D104</f>
        <v>52082.33333</v>
      </c>
      <c r="AB25" s="301">
        <f t="shared" si="57"/>
        <v>0.005005686272</v>
      </c>
      <c r="AC25" s="258">
        <f>'Mg St LP'!F104</f>
        <v>49820.33333</v>
      </c>
      <c r="AD25" s="302" t="str">
        <f t="shared" si="58"/>
        <v>#DIV/0!</v>
      </c>
      <c r="AE25" s="300">
        <f>'Mg St Bandra'!D112</f>
        <v>77845.33333</v>
      </c>
      <c r="AF25" s="301">
        <f t="shared" si="59"/>
        <v>0.00448775566</v>
      </c>
      <c r="AG25" s="258">
        <f>'Mg St Bandra'!F112</f>
        <v>77845.33333</v>
      </c>
      <c r="AH25" s="302" t="str">
        <f t="shared" si="60"/>
        <v>#DIV/0!</v>
      </c>
      <c r="AI25" s="300">
        <f>'MSK Events'!D103</f>
        <v>6806.25</v>
      </c>
      <c r="AJ25" s="301" t="str">
        <f t="shared" si="61"/>
        <v>#DIV/0!</v>
      </c>
      <c r="AK25" s="258">
        <f>'MSK Events'!F103</f>
        <v>6806.25</v>
      </c>
      <c r="AL25" s="302" t="str">
        <f t="shared" si="62"/>
        <v>#DIV/0!</v>
      </c>
      <c r="AM25" s="300">
        <f>MSBC!D95</f>
        <v>36280.33333</v>
      </c>
      <c r="AN25" s="301">
        <f t="shared" si="63"/>
        <v>0.07106408267</v>
      </c>
      <c r="AO25" s="258">
        <f>MSBC!F95</f>
        <v>0</v>
      </c>
      <c r="AP25" s="303" t="str">
        <f t="shared" si="64"/>
        <v>#DIV/0!</v>
      </c>
      <c r="AQ25" s="304">
        <f>Kaspers!D103</f>
        <v>3146.666667</v>
      </c>
      <c r="AR25" s="257"/>
      <c r="AS25" s="258">
        <f>Kaspers!F103</f>
        <v>3146.666667</v>
      </c>
      <c r="AT25" s="298"/>
      <c r="AU25" s="300">
        <f>'MSBC Andheri'!D106</f>
        <v>35728</v>
      </c>
      <c r="AV25" s="257"/>
      <c r="AW25" s="258">
        <f>'MSBC Andheri'!F106</f>
        <v>0</v>
      </c>
      <c r="AX25" s="406"/>
      <c r="AY25" s="304">
        <f>'MSBC Dahisar'!D93</f>
        <v>23091</v>
      </c>
      <c r="AZ25" s="257"/>
      <c r="BA25" s="258">
        <f>'MSBC Dahisar'!F93</f>
        <v>0</v>
      </c>
      <c r="BB25" s="298"/>
      <c r="BC25" s="300">
        <f>'MSBC Juhu  Goregoan'!D106</f>
        <v>23091</v>
      </c>
      <c r="BD25" s="257"/>
      <c r="BE25" s="258">
        <f>'MSBC Juhu  Goregoan'!F106</f>
        <v>0</v>
      </c>
      <c r="BF25" s="406"/>
      <c r="BG25" s="304">
        <f>'LOUD MOUTH'!D91</f>
        <v>1994</v>
      </c>
      <c r="BH25" s="257"/>
      <c r="BI25" s="258">
        <f>'LOUD MOUTH'!F91</f>
        <v>0</v>
      </c>
      <c r="BJ25" s="298"/>
    </row>
    <row r="26" ht="15.75" customHeight="1">
      <c r="B26" s="291" t="s">
        <v>40</v>
      </c>
      <c r="C26" s="292">
        <f t="shared" si="43"/>
        <v>4310045.36</v>
      </c>
      <c r="D26" s="293">
        <f t="shared" si="44"/>
        <v>0.05659963168</v>
      </c>
      <c r="E26" s="294">
        <f t="shared" si="45"/>
        <v>661687.8333</v>
      </c>
      <c r="F26" s="295" t="str">
        <f t="shared" si="46"/>
        <v>#DIV/0!</v>
      </c>
      <c r="G26" s="300">
        <f>HO!D98</f>
        <v>284762.5</v>
      </c>
      <c r="H26" s="257"/>
      <c r="I26" s="258">
        <f>HO!F98</f>
        <v>737.5</v>
      </c>
      <c r="J26" s="406"/>
      <c r="K26" s="292">
        <f t="shared" si="47"/>
        <v>4025282.86</v>
      </c>
      <c r="L26" s="293">
        <f t="shared" si="48"/>
        <v>0.05286012287</v>
      </c>
      <c r="M26" s="294">
        <f t="shared" si="49"/>
        <v>660950.3333</v>
      </c>
      <c r="N26" s="295" t="str">
        <f t="shared" si="50"/>
        <v>#DIV/0!</v>
      </c>
      <c r="O26" s="300">
        <f>'The Table'!D99+'The Table'!D106+'The Table'!D112+'The Table'!D114+'The Table'!D116+'The Table'!D118+'The Table'!D120</f>
        <v>754705.55</v>
      </c>
      <c r="P26" s="301">
        <f t="shared" si="51"/>
        <v>0.03668549836</v>
      </c>
      <c r="Q26" s="258">
        <f>'The Table'!F99</f>
        <v>276654.75</v>
      </c>
      <c r="R26" s="302" t="str">
        <f t="shared" si="52"/>
        <v>#DIV/0!</v>
      </c>
      <c r="S26" s="300">
        <f>Iktara!D93</f>
        <v>30236</v>
      </c>
      <c r="T26" s="301">
        <f t="shared" si="53"/>
        <v>0.03516844471</v>
      </c>
      <c r="U26" s="297">
        <f>Iktara!F93</f>
        <v>0</v>
      </c>
      <c r="V26" s="302" t="str">
        <f t="shared" si="54"/>
        <v>#DIV/0!</v>
      </c>
      <c r="W26" s="300">
        <f>'Mg St Colaba'!D112</f>
        <v>526135</v>
      </c>
      <c r="X26" s="301">
        <f t="shared" si="55"/>
        <v>0.03991692888</v>
      </c>
      <c r="Y26" s="258" t="str">
        <f>'Mg St Colaba'!F112</f>
        <v/>
      </c>
      <c r="Z26" s="302" t="str">
        <f t="shared" si="56"/>
        <v>#DIV/0!</v>
      </c>
      <c r="AA26" s="300">
        <f>'Mg St LP'!D108</f>
        <v>329004.25</v>
      </c>
      <c r="AB26" s="301">
        <f t="shared" si="57"/>
        <v>0.03162093463</v>
      </c>
      <c r="AC26" s="258">
        <f>'Mg St LP'!F108</f>
        <v>15522.25</v>
      </c>
      <c r="AD26" s="302" t="str">
        <f t="shared" si="58"/>
        <v>#DIV/0!</v>
      </c>
      <c r="AE26" s="300">
        <f>'Mg St Bandra'!D116</f>
        <v>697156.76</v>
      </c>
      <c r="AF26" s="301">
        <f t="shared" si="59"/>
        <v>0.04019083819</v>
      </c>
      <c r="AG26" s="258">
        <f>'Mg St Bandra'!F116</f>
        <v>133043</v>
      </c>
      <c r="AH26" s="302" t="str">
        <f t="shared" si="60"/>
        <v>#DIV/0!</v>
      </c>
      <c r="AI26" s="300">
        <f>'MSK Events'!D107</f>
        <v>879487.0067</v>
      </c>
      <c r="AJ26" s="301" t="str">
        <f t="shared" si="61"/>
        <v>#DIV/0!</v>
      </c>
      <c r="AK26" s="258">
        <f>'MSK Events'!F107</f>
        <v>5934.916667</v>
      </c>
      <c r="AL26" s="302" t="str">
        <f t="shared" si="62"/>
        <v>#DIV/0!</v>
      </c>
      <c r="AM26" s="300">
        <f>MSBC!D99</f>
        <v>170174.93</v>
      </c>
      <c r="AN26" s="301">
        <f t="shared" si="63"/>
        <v>0.3333300492</v>
      </c>
      <c r="AO26" s="258">
        <f>MSBC!F99</f>
        <v>17163.33333</v>
      </c>
      <c r="AP26" s="303" t="str">
        <f t="shared" si="64"/>
        <v>#DIV/0!</v>
      </c>
      <c r="AQ26" s="304">
        <f>Kaspers!D107</f>
        <v>621273.3633</v>
      </c>
      <c r="AR26" s="257"/>
      <c r="AS26" s="258">
        <f>Kaspers!F107</f>
        <v>212632.0833</v>
      </c>
      <c r="AT26" s="298"/>
      <c r="AU26" s="300">
        <f>'MSBC Andheri'!D110</f>
        <v>8100</v>
      </c>
      <c r="AV26" s="257"/>
      <c r="AW26" s="258">
        <f>'MSBC Andheri'!F110</f>
        <v>0</v>
      </c>
      <c r="AX26" s="406"/>
      <c r="AY26" s="304">
        <f>'MSBC Dahisar'!D97</f>
        <v>8100</v>
      </c>
      <c r="AZ26" s="257"/>
      <c r="BA26" s="258">
        <f>'MSBC Dahisar'!F97</f>
        <v>0</v>
      </c>
      <c r="BB26" s="298"/>
      <c r="BC26" s="300">
        <f>'MSBC Juhu  Goregoan'!D110</f>
        <v>0</v>
      </c>
      <c r="BD26" s="257"/>
      <c r="BE26" s="258">
        <f>'MSBC Juhu  Goregoan'!F110</f>
        <v>0</v>
      </c>
      <c r="BF26" s="406"/>
      <c r="BG26" s="304">
        <f>'LOUD MOUTH'!D95</f>
        <v>910</v>
      </c>
      <c r="BH26" s="257"/>
      <c r="BI26" s="258">
        <f>'LOUD MOUTH'!F95</f>
        <v>0</v>
      </c>
      <c r="BJ26" s="298"/>
    </row>
    <row r="27" ht="15.75" customHeight="1">
      <c r="B27" s="291" t="s">
        <v>41</v>
      </c>
      <c r="C27" s="292">
        <f t="shared" si="43"/>
        <v>233284</v>
      </c>
      <c r="D27" s="293">
        <f t="shared" si="44"/>
        <v>0.003063491767</v>
      </c>
      <c r="E27" s="294">
        <f t="shared" si="45"/>
        <v>18270</v>
      </c>
      <c r="F27" s="295" t="str">
        <f t="shared" si="46"/>
        <v>#DIV/0!</v>
      </c>
      <c r="G27" s="300">
        <f>HO!D113</f>
        <v>190049</v>
      </c>
      <c r="H27" s="257"/>
      <c r="I27" s="258">
        <f>HO!F113</f>
        <v>0</v>
      </c>
      <c r="J27" s="406"/>
      <c r="K27" s="292">
        <f t="shared" si="47"/>
        <v>43235</v>
      </c>
      <c r="L27" s="293">
        <f t="shared" si="48"/>
        <v>0.0005677631838</v>
      </c>
      <c r="M27" s="294">
        <f t="shared" si="49"/>
        <v>18270</v>
      </c>
      <c r="N27" s="295" t="str">
        <f t="shared" si="50"/>
        <v>#DIV/0!</v>
      </c>
      <c r="O27" s="300">
        <f>'The Table'!D123</f>
        <v>14325</v>
      </c>
      <c r="P27" s="301">
        <f t="shared" si="51"/>
        <v>0.000696324234</v>
      </c>
      <c r="Q27" s="258">
        <f>'The Table'!F123</f>
        <v>0</v>
      </c>
      <c r="R27" s="302" t="str">
        <f t="shared" si="52"/>
        <v>#DIV/0!</v>
      </c>
      <c r="S27" s="300">
        <f>Iktara!D106</f>
        <v>0</v>
      </c>
      <c r="T27" s="301">
        <f t="shared" si="53"/>
        <v>0</v>
      </c>
      <c r="U27" s="297">
        <f>Iktara!F106</f>
        <v>0</v>
      </c>
      <c r="V27" s="302" t="str">
        <f t="shared" si="54"/>
        <v>#DIV/0!</v>
      </c>
      <c r="W27" s="300">
        <f>'Mg St Colaba'!D128</f>
        <v>10325</v>
      </c>
      <c r="X27" s="301">
        <f t="shared" si="55"/>
        <v>0.0007833394293</v>
      </c>
      <c r="Y27" s="258" t="str">
        <f>'Mg St Colaba'!F128</f>
        <v/>
      </c>
      <c r="Z27" s="302" t="str">
        <f t="shared" si="56"/>
        <v>#DIV/0!</v>
      </c>
      <c r="AA27" s="300">
        <f>'Mg St LP'!D124</f>
        <v>0</v>
      </c>
      <c r="AB27" s="301">
        <f t="shared" si="57"/>
        <v>0</v>
      </c>
      <c r="AC27" s="297">
        <f>'Mg St LP'!F124</f>
        <v>0</v>
      </c>
      <c r="AD27" s="302" t="str">
        <f t="shared" si="58"/>
        <v>#DIV/0!</v>
      </c>
      <c r="AE27" s="300">
        <f>'Mg St Bandra'!D133</f>
        <v>10325</v>
      </c>
      <c r="AF27" s="301">
        <f t="shared" si="59"/>
        <v>0.0005952325619</v>
      </c>
      <c r="AG27" s="258">
        <f>'Mg St Bandra'!F133</f>
        <v>10010</v>
      </c>
      <c r="AH27" s="302" t="str">
        <f t="shared" si="60"/>
        <v>#DIV/0!</v>
      </c>
      <c r="AI27" s="300">
        <f>'MSK Events'!D125</f>
        <v>0</v>
      </c>
      <c r="AJ27" s="301" t="str">
        <f t="shared" si="61"/>
        <v>#DIV/0!</v>
      </c>
      <c r="AK27" s="258">
        <f>'MSK Events'!F125</f>
        <v>0</v>
      </c>
      <c r="AL27" s="302" t="str">
        <f t="shared" si="62"/>
        <v>#DIV/0!</v>
      </c>
      <c r="AM27" s="300">
        <f>MSBC!D115</f>
        <v>0</v>
      </c>
      <c r="AN27" s="301">
        <f t="shared" si="63"/>
        <v>0</v>
      </c>
      <c r="AO27" s="258">
        <f>MSBC!F115</f>
        <v>0</v>
      </c>
      <c r="AP27" s="303" t="str">
        <f t="shared" si="64"/>
        <v>#DIV/0!</v>
      </c>
      <c r="AQ27" s="304">
        <f>Kaspers!D130</f>
        <v>8260</v>
      </c>
      <c r="AR27" s="257"/>
      <c r="AS27" s="258">
        <f>Kaspers!F130</f>
        <v>8260</v>
      </c>
      <c r="AT27" s="298"/>
      <c r="AU27" s="300">
        <f>'MSBC Andheri'!D125</f>
        <v>0</v>
      </c>
      <c r="AV27" s="257"/>
      <c r="AW27" s="258">
        <f>'MSBC Andheri'!F125</f>
        <v>0</v>
      </c>
      <c r="AX27" s="406"/>
      <c r="AY27" s="304">
        <f>'MSBC Dahisar'!D112</f>
        <v>0</v>
      </c>
      <c r="AZ27" s="257"/>
      <c r="BA27" s="258">
        <f>'MSBC Dahisar'!F112</f>
        <v>0</v>
      </c>
      <c r="BB27" s="298"/>
      <c r="BC27" s="300">
        <f>'MSBC Juhu  Goregoan'!D125</f>
        <v>0</v>
      </c>
      <c r="BD27" s="257"/>
      <c r="BE27" s="258">
        <f>'MSBC Juhu  Goregoan'!F125</f>
        <v>0</v>
      </c>
      <c r="BF27" s="406"/>
      <c r="BG27" s="304">
        <f>'LOUD MOUTH'!D109</f>
        <v>0</v>
      </c>
      <c r="BH27" s="257"/>
      <c r="BI27" s="258">
        <f>'LOUD MOUTH'!F109</f>
        <v>0</v>
      </c>
      <c r="BJ27" s="298"/>
    </row>
    <row r="28" ht="15.75" customHeight="1">
      <c r="B28" s="306" t="s">
        <v>42</v>
      </c>
      <c r="C28" s="307">
        <f t="shared" si="43"/>
        <v>-1754084</v>
      </c>
      <c r="D28" s="308">
        <f t="shared" si="44"/>
        <v>-0.0230346783</v>
      </c>
      <c r="E28" s="309">
        <f t="shared" si="45"/>
        <v>0</v>
      </c>
      <c r="F28" s="310" t="str">
        <f t="shared" si="46"/>
        <v>#DIV/0!</v>
      </c>
      <c r="G28" s="314">
        <f>HO!D117</f>
        <v>329532</v>
      </c>
      <c r="H28" s="382"/>
      <c r="I28" s="312">
        <f>HO!F117</f>
        <v>0</v>
      </c>
      <c r="J28" s="425"/>
      <c r="K28" s="307">
        <f t="shared" si="47"/>
        <v>-2083616</v>
      </c>
      <c r="L28" s="308">
        <f t="shared" si="48"/>
        <v>-0.0273621014</v>
      </c>
      <c r="M28" s="294">
        <f t="shared" si="49"/>
        <v>0</v>
      </c>
      <c r="N28" s="310" t="str">
        <f t="shared" si="50"/>
        <v>#DIV/0!</v>
      </c>
      <c r="O28" s="314">
        <f>'The Table'!D127</f>
        <v>0</v>
      </c>
      <c r="P28" s="384">
        <f t="shared" si="51"/>
        <v>0</v>
      </c>
      <c r="Q28" s="312">
        <f>'The Table'!F127</f>
        <v>0</v>
      </c>
      <c r="R28" s="385" t="str">
        <f t="shared" si="52"/>
        <v>#DIV/0!</v>
      </c>
      <c r="S28" s="314">
        <f>Iktara!D110</f>
        <v>0</v>
      </c>
      <c r="T28" s="384">
        <f t="shared" si="53"/>
        <v>0</v>
      </c>
      <c r="U28" s="312">
        <f>Iktara!F110</f>
        <v>0</v>
      </c>
      <c r="V28" s="385" t="str">
        <f t="shared" si="54"/>
        <v>#DIV/0!</v>
      </c>
      <c r="W28" s="314">
        <f>'Mg St Colaba'!D132</f>
        <v>0</v>
      </c>
      <c r="X28" s="384">
        <f t="shared" si="55"/>
        <v>0</v>
      </c>
      <c r="Y28" s="312" t="str">
        <f>'Mg St Colaba'!F132</f>
        <v/>
      </c>
      <c r="Z28" s="385" t="str">
        <f t="shared" si="56"/>
        <v>#DIV/0!</v>
      </c>
      <c r="AA28" s="314">
        <f>'Mg St LP'!D128</f>
        <v>0</v>
      </c>
      <c r="AB28" s="384">
        <f t="shared" si="57"/>
        <v>0</v>
      </c>
      <c r="AC28" s="312">
        <f>'Mg St LP'!F128</f>
        <v>0</v>
      </c>
      <c r="AD28" s="385" t="str">
        <f t="shared" si="58"/>
        <v>#DIV/0!</v>
      </c>
      <c r="AE28" s="314">
        <f>'Mg St Bandra'!D137</f>
        <v>0</v>
      </c>
      <c r="AF28" s="384">
        <f t="shared" si="59"/>
        <v>0</v>
      </c>
      <c r="AG28" s="312">
        <f>'Mg St Bandra'!F137</f>
        <v>0</v>
      </c>
      <c r="AH28" s="385" t="str">
        <f t="shared" si="60"/>
        <v>#DIV/0!</v>
      </c>
      <c r="AI28" s="314">
        <f>'MSK Events'!D129</f>
        <v>0</v>
      </c>
      <c r="AJ28" s="384" t="str">
        <f t="shared" si="61"/>
        <v>#DIV/0!</v>
      </c>
      <c r="AK28" s="312">
        <f>'MSK Events'!F129</f>
        <v>0</v>
      </c>
      <c r="AL28" s="385" t="str">
        <f t="shared" si="62"/>
        <v>#DIV/0!</v>
      </c>
      <c r="AM28" s="314">
        <f>MSBC!D119</f>
        <v>-2093916</v>
      </c>
      <c r="AN28" s="384">
        <f t="shared" si="63"/>
        <v>-4.101456796</v>
      </c>
      <c r="AO28" s="312">
        <f>MSBC!F119</f>
        <v>0</v>
      </c>
      <c r="AP28" s="386" t="str">
        <f t="shared" si="64"/>
        <v>#DIV/0!</v>
      </c>
      <c r="AQ28" s="387">
        <f>Kaspers!D134</f>
        <v>0</v>
      </c>
      <c r="AR28" s="382"/>
      <c r="AS28" s="312">
        <f>Kaspers!F134</f>
        <v>0</v>
      </c>
      <c r="AT28" s="383"/>
      <c r="AU28" s="314">
        <f>'MSBC Andheri'!D129</f>
        <v>0</v>
      </c>
      <c r="AV28" s="382"/>
      <c r="AW28" s="312">
        <f>'MSBC Andheri'!F129</f>
        <v>0</v>
      </c>
      <c r="AX28" s="425"/>
      <c r="AY28" s="387">
        <f>'MSBC Dahisar'!D116</f>
        <v>0</v>
      </c>
      <c r="AZ28" s="382"/>
      <c r="BA28" s="312">
        <f>'MSBC Dahisar'!F116</f>
        <v>0</v>
      </c>
      <c r="BB28" s="383"/>
      <c r="BC28" s="314">
        <f>'MSBC Juhu  Goregoan'!D129</f>
        <v>0</v>
      </c>
      <c r="BD28" s="382"/>
      <c r="BE28" s="312">
        <f>'MSBC Juhu  Goregoan'!F129</f>
        <v>0</v>
      </c>
      <c r="BF28" s="425"/>
      <c r="BG28" s="387">
        <f>'LOUD MOUTH'!D114</f>
        <v>10300</v>
      </c>
      <c r="BH28" s="382"/>
      <c r="BI28" s="312">
        <f>'LOUD MOUTH'!F114</f>
        <v>0</v>
      </c>
      <c r="BJ28" s="383"/>
    </row>
    <row r="29" ht="15.75" customHeight="1">
      <c r="A29" s="372"/>
      <c r="B29" s="316" t="s">
        <v>43</v>
      </c>
      <c r="C29" s="190">
        <f>SUM(C19:C28)</f>
        <v>42711558.64</v>
      </c>
      <c r="D29" s="359">
        <f t="shared" si="44"/>
        <v>0.5608893377</v>
      </c>
      <c r="E29" s="187">
        <f t="shared" si="45"/>
        <v>4740980.417</v>
      </c>
      <c r="F29" s="360" t="str">
        <f t="shared" si="46"/>
        <v>#DIV/0!</v>
      </c>
      <c r="G29" s="319">
        <f>SUM(G19:G28)</f>
        <v>6242004.383</v>
      </c>
      <c r="H29" s="320"/>
      <c r="I29" s="187">
        <f>SUM(I19:I28)</f>
        <v>53837.5</v>
      </c>
      <c r="J29" s="322"/>
      <c r="K29" s="190">
        <f>SUM(K19:K28)</f>
        <v>36469554.25</v>
      </c>
      <c r="L29" s="359">
        <f t="shared" si="48"/>
        <v>0.4789191681</v>
      </c>
      <c r="M29" s="187">
        <f>SUM(M19:M28)</f>
        <v>4687142.917</v>
      </c>
      <c r="N29" s="360" t="str">
        <f t="shared" si="50"/>
        <v>#DIV/0!</v>
      </c>
      <c r="O29" s="319">
        <f>SUM(O19:O28)</f>
        <v>9419954.167</v>
      </c>
      <c r="P29" s="359">
        <f t="shared" si="51"/>
        <v>0.4578947553</v>
      </c>
      <c r="Q29" s="187">
        <f>SUM(Q19:Q28)</f>
        <v>2377310.75</v>
      </c>
      <c r="R29" s="360" t="str">
        <f t="shared" si="52"/>
        <v>#DIV/0!</v>
      </c>
      <c r="S29" s="319">
        <f>SUM(S19:S28)</f>
        <v>730146.7</v>
      </c>
      <c r="T29" s="359">
        <f t="shared" si="53"/>
        <v>0.8492566426</v>
      </c>
      <c r="U29" s="187">
        <f>SUM(U19:U28)</f>
        <v>76212</v>
      </c>
      <c r="V29" s="360" t="str">
        <f t="shared" si="54"/>
        <v>#DIV/0!</v>
      </c>
      <c r="W29" s="319">
        <f>SUM(W19:W28)</f>
        <v>6671007.937</v>
      </c>
      <c r="X29" s="359">
        <f t="shared" si="55"/>
        <v>0.5061175351</v>
      </c>
      <c r="Y29" s="187">
        <f>SUM(Y19:Y28)</f>
        <v>1314963</v>
      </c>
      <c r="Z29" s="360" t="str">
        <f t="shared" si="56"/>
        <v>#DIV/0!</v>
      </c>
      <c r="AA29" s="319">
        <f>SUM(AA19:AA28)</f>
        <v>4271533.833</v>
      </c>
      <c r="AB29" s="359">
        <f t="shared" si="57"/>
        <v>0.4105414812</v>
      </c>
      <c r="AC29" s="187">
        <f>SUM(AC19:AC28)</f>
        <v>65342.58333</v>
      </c>
      <c r="AD29" s="360" t="str">
        <f t="shared" si="58"/>
        <v>#DIV/0!</v>
      </c>
      <c r="AE29" s="319">
        <f>SUM(AE19:AE28)</f>
        <v>7218528.633</v>
      </c>
      <c r="AF29" s="359">
        <f t="shared" si="59"/>
        <v>0.4161455972</v>
      </c>
      <c r="AG29" s="187">
        <f>SUM(AG19:AG28)</f>
        <v>220898.3333</v>
      </c>
      <c r="AH29" s="360" t="str">
        <f t="shared" si="60"/>
        <v>#DIV/0!</v>
      </c>
      <c r="AI29" s="319">
        <f>SUM(AI19:AI28)</f>
        <v>1379671.257</v>
      </c>
      <c r="AJ29" s="320"/>
      <c r="AK29" s="187">
        <f>SUM(AK19:AK28)</f>
        <v>103672.1667</v>
      </c>
      <c r="AL29" s="321"/>
      <c r="AM29" s="319">
        <f>SUM(AM19:AM28)</f>
        <v>0.1333333333</v>
      </c>
      <c r="AN29" s="359">
        <f t="shared" si="63"/>
        <v>0.0000002611665922</v>
      </c>
      <c r="AO29" s="187">
        <f>SUM(AO19:AO28)</f>
        <v>267286.3333</v>
      </c>
      <c r="AP29" s="363" t="str">
        <f t="shared" si="64"/>
        <v>#DIV/0!</v>
      </c>
      <c r="AQ29" s="190">
        <f>SUM(AQ19:AQ28)</f>
        <v>5727578.563</v>
      </c>
      <c r="AR29" s="320"/>
      <c r="AS29" s="187">
        <f>SUM(AS19:AS28)</f>
        <v>261457.75</v>
      </c>
      <c r="AT29" s="321"/>
      <c r="AU29" s="319">
        <f>SUM(AU19:AU28)</f>
        <v>198214.61</v>
      </c>
      <c r="AV29" s="320"/>
      <c r="AW29" s="187">
        <f>SUM(AW19:AW28)</f>
        <v>0</v>
      </c>
      <c r="AX29" s="322"/>
      <c r="AY29" s="190">
        <f>SUM(AY19:AY28)</f>
        <v>122825.39</v>
      </c>
      <c r="AZ29" s="320"/>
      <c r="BA29" s="187">
        <f>SUM(BA19:BA28)</f>
        <v>0</v>
      </c>
      <c r="BB29" s="321"/>
      <c r="BC29" s="319">
        <f>SUM(BC19:BC28)</f>
        <v>128088.97</v>
      </c>
      <c r="BD29" s="320"/>
      <c r="BE29" s="187">
        <f>SUM(BE19:BE28)</f>
        <v>0</v>
      </c>
      <c r="BF29" s="322"/>
      <c r="BG29" s="190">
        <f>SUM(BG19:BG28)</f>
        <v>602004.06</v>
      </c>
      <c r="BH29" s="320"/>
      <c r="BI29" s="187">
        <f>SUM(BI19:BI28)</f>
        <v>0</v>
      </c>
      <c r="BJ29" s="321"/>
    </row>
    <row r="30" ht="15.75" customHeight="1">
      <c r="B30" s="388"/>
      <c r="C30" s="389"/>
      <c r="D30" s="390"/>
      <c r="E30" s="390"/>
      <c r="F30" s="391"/>
      <c r="G30" s="327"/>
      <c r="H30" s="328"/>
      <c r="I30" s="329"/>
      <c r="J30" s="333"/>
      <c r="K30" s="389"/>
      <c r="L30" s="390"/>
      <c r="M30" s="393"/>
      <c r="N30" s="391"/>
      <c r="O30" s="327"/>
      <c r="P30" s="328"/>
      <c r="Q30" s="328"/>
      <c r="R30" s="330"/>
      <c r="S30" s="327"/>
      <c r="T30" s="328"/>
      <c r="U30" s="328"/>
      <c r="V30" s="330"/>
      <c r="W30" s="327"/>
      <c r="X30" s="328"/>
      <c r="Y30" s="328"/>
      <c r="Z30" s="330"/>
      <c r="AA30" s="327"/>
      <c r="AB30" s="328"/>
      <c r="AC30" s="328"/>
      <c r="AD30" s="330"/>
      <c r="AE30" s="327"/>
      <c r="AF30" s="328"/>
      <c r="AG30" s="328"/>
      <c r="AH30" s="330"/>
      <c r="AI30" s="327"/>
      <c r="AJ30" s="328"/>
      <c r="AK30" s="328"/>
      <c r="AL30" s="330"/>
      <c r="AM30" s="327"/>
      <c r="AN30" s="328"/>
      <c r="AO30" s="328"/>
      <c r="AP30" s="333"/>
      <c r="AQ30" s="334"/>
      <c r="AR30" s="328"/>
      <c r="AS30" s="328"/>
      <c r="AT30" s="330"/>
      <c r="AU30" s="394"/>
      <c r="AV30" s="395"/>
      <c r="AW30" s="396">
        <f>AW17-AW29</f>
        <v>0</v>
      </c>
      <c r="AX30" s="437"/>
      <c r="AY30" s="438"/>
      <c r="AZ30" s="395"/>
      <c r="BA30" s="396">
        <f>BA17-BA29</f>
        <v>0</v>
      </c>
      <c r="BB30" s="397"/>
      <c r="BC30" s="394"/>
      <c r="BD30" s="395"/>
      <c r="BE30" s="396">
        <f>BE17-BE29</f>
        <v>0</v>
      </c>
      <c r="BF30" s="437"/>
      <c r="BG30" s="438"/>
      <c r="BH30" s="395"/>
      <c r="BI30" s="396">
        <f>BI17-BI29</f>
        <v>0</v>
      </c>
      <c r="BJ30" s="397"/>
    </row>
    <row r="31" ht="15.75" customHeight="1">
      <c r="A31" s="372"/>
      <c r="B31" s="316" t="s">
        <v>44</v>
      </c>
      <c r="C31" s="190">
        <f>C17-C29</f>
        <v>4869233.65</v>
      </c>
      <c r="D31" s="359">
        <f>C31/C$10</f>
        <v>0.06394290736</v>
      </c>
      <c r="E31" s="187">
        <f>E17-E29</f>
        <v>-4740980.417</v>
      </c>
      <c r="F31" s="360" t="str">
        <f>E31/E$10</f>
        <v>#DIV/0!</v>
      </c>
      <c r="G31" s="319">
        <f>G17-G29</f>
        <v>-6242004.383</v>
      </c>
      <c r="H31" s="320"/>
      <c r="I31" s="187">
        <f>I17-I29</f>
        <v>-53837.5</v>
      </c>
      <c r="J31" s="322"/>
      <c r="K31" s="190">
        <f>K17-K29</f>
        <v>11111238.03</v>
      </c>
      <c r="L31" s="359">
        <f>K31/K$10</f>
        <v>0.1459130769</v>
      </c>
      <c r="M31" s="187">
        <f>M17-M29</f>
        <v>-4687142.917</v>
      </c>
      <c r="N31" s="360" t="str">
        <f>M31/M$10</f>
        <v>#DIV/0!</v>
      </c>
      <c r="O31" s="319">
        <f>O17-O29</f>
        <v>4034064.394</v>
      </c>
      <c r="P31" s="359">
        <f>O31/O$10</f>
        <v>0.1960919231</v>
      </c>
      <c r="Q31" s="187">
        <f>Q17-Q29</f>
        <v>-2377310.75</v>
      </c>
      <c r="R31" s="360" t="str">
        <f>Q31/Q$10</f>
        <v>#DIV/0!</v>
      </c>
      <c r="S31" s="319">
        <f>S17-S29</f>
        <v>-200300.6523</v>
      </c>
      <c r="T31" s="359">
        <f>S31/S$10</f>
        <v>-0.2329760026</v>
      </c>
      <c r="U31" s="187">
        <f>U17-U29</f>
        <v>-76212</v>
      </c>
      <c r="V31" s="360" t="str">
        <f>U31/U$10</f>
        <v>#DIV/0!</v>
      </c>
      <c r="W31" s="319">
        <f>W17-W29</f>
        <v>1445073.335</v>
      </c>
      <c r="X31" s="359">
        <f>W31/W$10</f>
        <v>0.1096351498</v>
      </c>
      <c r="Y31" s="187">
        <f>Y17-Y29</f>
        <v>-1314963</v>
      </c>
      <c r="Z31" s="360" t="str">
        <f>Y31/Y$10</f>
        <v>#DIV/0!</v>
      </c>
      <c r="AA31" s="319">
        <f>AA17-AA29</f>
        <v>2584123.122</v>
      </c>
      <c r="AB31" s="359">
        <f>AA31/AA$10</f>
        <v>0.2483627136</v>
      </c>
      <c r="AC31" s="187">
        <f>AC17-AC29</f>
        <v>-65342.58333</v>
      </c>
      <c r="AD31" s="360" t="str">
        <f>AC31/AC$10</f>
        <v>#DIV/0!</v>
      </c>
      <c r="AE31" s="319">
        <f>AE17-AE29</f>
        <v>4351428.808</v>
      </c>
      <c r="AF31" s="359">
        <f>AE31/AE$10</f>
        <v>0.2508583164</v>
      </c>
      <c r="AG31" s="187">
        <f>AG17-AG29</f>
        <v>-220898.3333</v>
      </c>
      <c r="AH31" s="360" t="str">
        <f>AG31/AG$10</f>
        <v>#DIV/0!</v>
      </c>
      <c r="AI31" s="319">
        <f>AI17-AI29</f>
        <v>-1379671.257</v>
      </c>
      <c r="AJ31" s="320"/>
      <c r="AK31" s="187">
        <f>AK17-AK29</f>
        <v>-103672.1667</v>
      </c>
      <c r="AL31" s="321"/>
      <c r="AM31" s="319">
        <f>AM17-AM29</f>
        <v>-444268.7423</v>
      </c>
      <c r="AN31" s="359">
        <f>AM31/AM$10</f>
        <v>-0.870211151</v>
      </c>
      <c r="AO31" s="187">
        <f>AO17-AO29</f>
        <v>-267286.3333</v>
      </c>
      <c r="AP31" s="363" t="str">
        <f>AO31/AO$10</f>
        <v>#DIV/0!</v>
      </c>
      <c r="AQ31" s="190">
        <f>AQ17-AQ29</f>
        <v>1488635.408</v>
      </c>
      <c r="AR31" s="320"/>
      <c r="AS31" s="187">
        <f>AS17-AS29</f>
        <v>-261457.75</v>
      </c>
      <c r="AT31" s="321"/>
      <c r="AU31" s="319">
        <f t="shared" ref="AU31:BJ31" si="65">AU17-AU29</f>
        <v>-211794.4471</v>
      </c>
      <c r="AV31" s="187">
        <f t="shared" si="65"/>
        <v>0</v>
      </c>
      <c r="AW31" s="187">
        <f t="shared" si="65"/>
        <v>0</v>
      </c>
      <c r="AX31" s="436">
        <f t="shared" si="65"/>
        <v>0</v>
      </c>
      <c r="AY31" s="190">
        <f t="shared" si="65"/>
        <v>-166469.6649</v>
      </c>
      <c r="AZ31" s="187">
        <f t="shared" si="65"/>
        <v>0</v>
      </c>
      <c r="BA31" s="187">
        <f t="shared" si="65"/>
        <v>0</v>
      </c>
      <c r="BB31" s="365">
        <f t="shared" si="65"/>
        <v>0</v>
      </c>
      <c r="BC31" s="319">
        <f t="shared" si="65"/>
        <v>-235168.5493</v>
      </c>
      <c r="BD31" s="187">
        <f t="shared" si="65"/>
        <v>0</v>
      </c>
      <c r="BE31" s="187">
        <f t="shared" si="65"/>
        <v>0</v>
      </c>
      <c r="BF31" s="436">
        <f t="shared" si="65"/>
        <v>0</v>
      </c>
      <c r="BG31" s="190">
        <f t="shared" si="65"/>
        <v>-154413.7209</v>
      </c>
      <c r="BH31" s="187">
        <f t="shared" si="65"/>
        <v>0</v>
      </c>
      <c r="BI31" s="187">
        <f t="shared" si="65"/>
        <v>0</v>
      </c>
      <c r="BJ31" s="365">
        <f t="shared" si="65"/>
        <v>0</v>
      </c>
    </row>
    <row r="32" ht="15.75" customHeight="1"/>
    <row r="33" ht="15.75" customHeight="1">
      <c r="C33" s="148">
        <f>+K33+G33</f>
        <v>4869233.65</v>
      </c>
      <c r="G33" s="148">
        <f>HO!D123</f>
        <v>-6242004.383</v>
      </c>
      <c r="H33" s="148"/>
      <c r="I33" s="148"/>
      <c r="J33" s="152"/>
      <c r="K33" s="152">
        <f>SUM(O33:BJ33)</f>
        <v>11111238.03</v>
      </c>
      <c r="L33" s="148"/>
      <c r="M33" s="148"/>
      <c r="N33" s="148"/>
      <c r="O33" s="148">
        <f>'The Table'!D133</f>
        <v>4034064.394</v>
      </c>
      <c r="P33" s="148"/>
      <c r="Q33" s="148"/>
      <c r="R33" s="148"/>
      <c r="S33" s="148">
        <f>Iktara!D117</f>
        <v>-200300.6523</v>
      </c>
      <c r="T33" s="148"/>
      <c r="U33" s="148"/>
      <c r="V33" s="148"/>
      <c r="W33" s="148">
        <f>'Mg St Colaba'!D138</f>
        <v>1445073.335</v>
      </c>
      <c r="X33" s="148"/>
      <c r="Y33" s="148"/>
      <c r="Z33" s="148"/>
      <c r="AA33" s="148">
        <f>'Mg St LP'!D135</f>
        <v>2584123.122</v>
      </c>
      <c r="AB33" s="148"/>
      <c r="AC33" s="148"/>
      <c r="AD33" s="148"/>
      <c r="AE33" s="148">
        <f>'Mg St Bandra'!D144</f>
        <v>4351428.808</v>
      </c>
      <c r="AF33" s="148"/>
      <c r="AG33" s="148"/>
      <c r="AH33" s="148"/>
      <c r="AI33" s="148">
        <f>'MSK Events'!D136</f>
        <v>-1379671.257</v>
      </c>
      <c r="AJ33" s="148"/>
      <c r="AK33" s="148"/>
      <c r="AL33" s="148"/>
      <c r="AM33" s="148">
        <f>MSBC!D125</f>
        <v>-444268.7423</v>
      </c>
      <c r="AN33" s="148"/>
      <c r="AO33" s="148"/>
      <c r="AP33" s="148"/>
      <c r="AQ33" s="148">
        <f>Kaspers!D141</f>
        <v>1488635.408</v>
      </c>
      <c r="AR33" s="148"/>
      <c r="AS33" s="148"/>
      <c r="AT33" s="148"/>
      <c r="AU33" s="148">
        <f>'MSBC Andheri'!D136</f>
        <v>-211794.4471</v>
      </c>
      <c r="AV33" s="148"/>
      <c r="AW33" s="148"/>
      <c r="AX33" s="148"/>
      <c r="AY33" s="148">
        <f>'MSBC Dahisar'!D123</f>
        <v>-166469.6649</v>
      </c>
      <c r="AZ33" s="148"/>
      <c r="BA33" s="148"/>
      <c r="BB33" s="148"/>
      <c r="BC33" s="148">
        <f>'MSBC Juhu  Goregoan'!D135</f>
        <v>-235168.5493</v>
      </c>
      <c r="BD33" s="148"/>
      <c r="BE33" s="148"/>
      <c r="BF33" s="148"/>
      <c r="BG33" s="148">
        <f>'LOUD MOUTH'!D120</f>
        <v>-154413.7209</v>
      </c>
      <c r="BH33" s="148"/>
      <c r="BI33" s="148"/>
      <c r="BJ33" s="148"/>
    </row>
    <row r="34" ht="15.75" customHeight="1">
      <c r="G34" s="148"/>
      <c r="H34" s="148"/>
      <c r="I34" s="148"/>
      <c r="J34" s="152"/>
      <c r="K34" s="152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</row>
    <row r="35" ht="15.75" customHeight="1">
      <c r="C35" s="148">
        <f>+C31-C33</f>
        <v>-0.000000006519258022</v>
      </c>
      <c r="G35" s="148">
        <f>+G31-G33</f>
        <v>0</v>
      </c>
      <c r="H35" s="148"/>
      <c r="I35" s="148"/>
      <c r="J35" s="152"/>
      <c r="K35" s="148">
        <f>+K31-K33</f>
        <v>-0.000000007450580597</v>
      </c>
      <c r="L35" s="148"/>
      <c r="M35" s="148"/>
      <c r="N35" s="148"/>
      <c r="O35" s="148">
        <f>+O31-O33</f>
        <v>0</v>
      </c>
      <c r="P35" s="148"/>
      <c r="Q35" s="148"/>
      <c r="R35" s="148"/>
      <c r="S35" s="148">
        <f>+S31-S33</f>
        <v>0</v>
      </c>
      <c r="T35" s="148"/>
      <c r="U35" s="148"/>
      <c r="V35" s="148"/>
      <c r="W35" s="148">
        <f>+W31-W33</f>
        <v>0</v>
      </c>
      <c r="X35" s="148"/>
      <c r="Y35" s="148"/>
      <c r="Z35" s="148"/>
      <c r="AA35" s="148">
        <f>+AA31-AA33</f>
        <v>0</v>
      </c>
      <c r="AB35" s="148"/>
      <c r="AC35" s="148"/>
      <c r="AD35" s="148"/>
      <c r="AE35" s="148">
        <f>+AE31-AE33</f>
        <v>0</v>
      </c>
      <c r="AF35" s="148"/>
      <c r="AG35" s="148"/>
      <c r="AH35" s="148"/>
      <c r="AI35" s="148">
        <f>+AI31-AI33</f>
        <v>0</v>
      </c>
      <c r="AJ35" s="148"/>
      <c r="AK35" s="148"/>
      <c r="AL35" s="148"/>
      <c r="AM35" s="148">
        <f>+AM31-AM33</f>
        <v>0</v>
      </c>
      <c r="AN35" s="148"/>
      <c r="AO35" s="148"/>
      <c r="AP35" s="148"/>
      <c r="AQ35" s="148">
        <f>+AQ31-AQ33</f>
        <v>0</v>
      </c>
      <c r="AR35" s="148"/>
      <c r="AS35" s="148"/>
      <c r="AT35" s="148"/>
      <c r="AU35" s="148">
        <f>+AU31-AU33</f>
        <v>0</v>
      </c>
      <c r="AV35" s="148"/>
      <c r="AW35" s="148"/>
      <c r="AX35" s="148"/>
      <c r="AY35" s="148">
        <f>+AY31-AY33</f>
        <v>0</v>
      </c>
      <c r="AZ35" s="148"/>
      <c r="BA35" s="148"/>
      <c r="BB35" s="148"/>
      <c r="BC35" s="148">
        <f>+BC31-BC33</f>
        <v>0</v>
      </c>
      <c r="BD35" s="148"/>
      <c r="BE35" s="148"/>
      <c r="BF35" s="148"/>
      <c r="BG35" s="148">
        <f>+BG31-BG33</f>
        <v>0</v>
      </c>
      <c r="BH35" s="148"/>
      <c r="BI35" s="148"/>
      <c r="BJ35" s="148"/>
    </row>
    <row r="36" ht="15.75" customHeight="1">
      <c r="J36" s="399"/>
      <c r="K36" s="15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40.63"/>
    <col customWidth="1" min="4" max="4" width="12.38"/>
    <col customWidth="1" hidden="1" min="5" max="5" width="12.63"/>
    <col customWidth="1" hidden="1" min="6" max="6" width="13.88"/>
    <col customWidth="1" hidden="1" min="7" max="7" width="5.63"/>
    <col customWidth="1" hidden="1" min="8" max="8" width="8.88"/>
    <col customWidth="1" hidden="1" min="9" max="9" width="5.88"/>
    <col customWidth="1" min="10" max="10" width="11.13"/>
    <col customWidth="1" hidden="1" min="11" max="11" width="12.63"/>
    <col customWidth="1" hidden="1" min="12" max="12" width="13.88"/>
    <col customWidth="1" hidden="1" min="13" max="13" width="5.63"/>
    <col customWidth="1" hidden="1" min="14" max="14" width="8.88"/>
    <col customWidth="1" hidden="1" min="15" max="15" width="5.88"/>
    <col customWidth="1" min="16" max="16" width="12.38"/>
    <col customWidth="1" hidden="1" min="17" max="17" width="12.63"/>
    <col customWidth="1" hidden="1" min="18" max="18" width="13.88"/>
    <col customWidth="1" hidden="1" min="19" max="19" width="5.63"/>
    <col customWidth="1" hidden="1" min="20" max="20" width="8.88"/>
    <col customWidth="1" hidden="1" min="21" max="21" width="5.88"/>
  </cols>
  <sheetData>
    <row r="1" ht="15.75" customHeight="1">
      <c r="A1" s="439"/>
      <c r="B1" s="440" t="s">
        <v>0</v>
      </c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</row>
    <row r="2" ht="15.75" customHeight="1">
      <c r="A2" s="439"/>
      <c r="B2" s="441" t="s">
        <v>161</v>
      </c>
      <c r="C2" s="442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</row>
    <row r="3" ht="15.75" customHeight="1">
      <c r="A3" s="439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</row>
    <row r="4" ht="15.75" customHeight="1">
      <c r="A4" s="439"/>
      <c r="B4" s="443" t="s">
        <v>162</v>
      </c>
      <c r="C4" s="443" t="s">
        <v>163</v>
      </c>
      <c r="D4" s="444" t="s">
        <v>164</v>
      </c>
      <c r="E4" s="6"/>
      <c r="F4" s="6"/>
      <c r="G4" s="6"/>
      <c r="H4" s="6"/>
      <c r="I4" s="445"/>
      <c r="J4" s="444" t="s">
        <v>165</v>
      </c>
      <c r="K4" s="6"/>
      <c r="L4" s="6"/>
      <c r="M4" s="6"/>
      <c r="N4" s="6"/>
      <c r="O4" s="445"/>
      <c r="P4" s="446" t="s">
        <v>166</v>
      </c>
      <c r="Q4" s="10"/>
      <c r="R4" s="10"/>
      <c r="S4" s="10"/>
      <c r="T4" s="10"/>
      <c r="U4" s="13"/>
    </row>
    <row r="5" ht="15.75" customHeight="1">
      <c r="A5" s="447"/>
      <c r="B5" s="448"/>
      <c r="C5" s="448"/>
      <c r="D5" s="449" t="s">
        <v>167</v>
      </c>
      <c r="E5" s="450" t="s">
        <v>18</v>
      </c>
      <c r="F5" s="449" t="s">
        <v>168</v>
      </c>
      <c r="G5" s="450" t="s">
        <v>18</v>
      </c>
      <c r="H5" s="449" t="s">
        <v>169</v>
      </c>
      <c r="I5" s="450" t="s">
        <v>18</v>
      </c>
      <c r="J5" s="449" t="s">
        <v>167</v>
      </c>
      <c r="K5" s="450" t="s">
        <v>18</v>
      </c>
      <c r="L5" s="449" t="s">
        <v>168</v>
      </c>
      <c r="M5" s="450" t="s">
        <v>18</v>
      </c>
      <c r="N5" s="449" t="s">
        <v>169</v>
      </c>
      <c r="O5" s="450" t="s">
        <v>18</v>
      </c>
      <c r="P5" s="451" t="s">
        <v>167</v>
      </c>
      <c r="Q5" s="451" t="s">
        <v>18</v>
      </c>
      <c r="R5" s="451" t="s">
        <v>168</v>
      </c>
      <c r="S5" s="451" t="s">
        <v>18</v>
      </c>
      <c r="T5" s="451" t="s">
        <v>169</v>
      </c>
      <c r="U5" s="451" t="s">
        <v>18</v>
      </c>
    </row>
    <row r="6" ht="15.75" hidden="1" customHeight="1">
      <c r="A6" s="439"/>
      <c r="B6" s="452" t="s">
        <v>170</v>
      </c>
      <c r="C6" s="453"/>
      <c r="D6" s="454"/>
      <c r="E6" s="455"/>
      <c r="F6" s="456"/>
      <c r="G6" s="455"/>
      <c r="H6" s="456"/>
      <c r="I6" s="455"/>
      <c r="J6" s="454"/>
      <c r="K6" s="455"/>
      <c r="L6" s="456"/>
      <c r="M6" s="455"/>
      <c r="N6" s="456"/>
      <c r="O6" s="455"/>
      <c r="P6" s="454"/>
      <c r="Q6" s="455"/>
      <c r="R6" s="456"/>
      <c r="S6" s="455"/>
      <c r="T6" s="456"/>
      <c r="U6" s="455"/>
    </row>
    <row r="7" ht="15.75" hidden="1" customHeight="1">
      <c r="A7" s="439"/>
      <c r="B7" s="457"/>
      <c r="C7" s="458" t="s">
        <v>171</v>
      </c>
      <c r="D7" s="459">
        <f>SUM(D8:D12)</f>
        <v>0</v>
      </c>
      <c r="E7" s="460"/>
      <c r="F7" s="459"/>
      <c r="G7" s="460"/>
      <c r="H7" s="459"/>
      <c r="I7" s="460"/>
      <c r="J7" s="459">
        <f>SUM(J8:J12)</f>
        <v>0</v>
      </c>
      <c r="K7" s="460"/>
      <c r="L7" s="459"/>
      <c r="M7" s="460"/>
      <c r="N7" s="459"/>
      <c r="O7" s="460"/>
      <c r="P7" s="459">
        <f>SUM(P8:P12)</f>
        <v>0</v>
      </c>
      <c r="Q7" s="460"/>
      <c r="R7" s="459"/>
      <c r="S7" s="460"/>
      <c r="T7" s="459"/>
      <c r="U7" s="460"/>
    </row>
    <row r="8" ht="15.75" hidden="1" customHeight="1">
      <c r="A8" s="439"/>
      <c r="B8" s="461" t="s">
        <v>23</v>
      </c>
      <c r="C8" s="462" t="s">
        <v>172</v>
      </c>
      <c r="D8" s="463">
        <v>0.0</v>
      </c>
      <c r="E8" s="464"/>
      <c r="F8" s="463"/>
      <c r="G8" s="464"/>
      <c r="H8" s="463"/>
      <c r="I8" s="464"/>
      <c r="J8" s="463">
        <v>0.0</v>
      </c>
      <c r="K8" s="464"/>
      <c r="L8" s="463"/>
      <c r="M8" s="464"/>
      <c r="N8" s="463"/>
      <c r="O8" s="464"/>
      <c r="P8" s="463">
        <v>0.0</v>
      </c>
      <c r="Q8" s="464"/>
      <c r="R8" s="463"/>
      <c r="S8" s="464"/>
      <c r="T8" s="463"/>
      <c r="U8" s="464"/>
    </row>
    <row r="9" ht="15.75" hidden="1" customHeight="1">
      <c r="A9" s="439"/>
      <c r="B9" s="465"/>
      <c r="C9" s="466" t="s">
        <v>173</v>
      </c>
      <c r="D9" s="467">
        <v>0.0</v>
      </c>
      <c r="E9" s="468"/>
      <c r="F9" s="467"/>
      <c r="G9" s="468"/>
      <c r="H9" s="467"/>
      <c r="I9" s="468"/>
      <c r="J9" s="467">
        <v>0.0</v>
      </c>
      <c r="K9" s="468"/>
      <c r="L9" s="467"/>
      <c r="M9" s="468"/>
      <c r="N9" s="467"/>
      <c r="O9" s="468"/>
      <c r="P9" s="467">
        <v>0.0</v>
      </c>
      <c r="Q9" s="468"/>
      <c r="R9" s="467"/>
      <c r="S9" s="468"/>
      <c r="T9" s="467"/>
      <c r="U9" s="468"/>
    </row>
    <row r="10" ht="15.75" hidden="1" customHeight="1">
      <c r="A10" s="439"/>
      <c r="B10" s="465"/>
      <c r="C10" s="466" t="s">
        <v>174</v>
      </c>
      <c r="D10" s="467">
        <v>0.0</v>
      </c>
      <c r="E10" s="468"/>
      <c r="F10" s="467"/>
      <c r="G10" s="468"/>
      <c r="H10" s="467"/>
      <c r="I10" s="468"/>
      <c r="J10" s="467">
        <v>0.0</v>
      </c>
      <c r="K10" s="468"/>
      <c r="L10" s="467"/>
      <c r="M10" s="468"/>
      <c r="N10" s="467"/>
      <c r="O10" s="468"/>
      <c r="P10" s="467">
        <v>0.0</v>
      </c>
      <c r="Q10" s="468"/>
      <c r="R10" s="467"/>
      <c r="S10" s="468"/>
      <c r="T10" s="467"/>
      <c r="U10" s="468"/>
    </row>
    <row r="11" ht="15.75" hidden="1" customHeight="1">
      <c r="A11" s="439"/>
      <c r="B11" s="465"/>
      <c r="C11" s="466" t="s">
        <v>175</v>
      </c>
      <c r="D11" s="467">
        <v>0.0</v>
      </c>
      <c r="E11" s="468"/>
      <c r="F11" s="467"/>
      <c r="G11" s="468"/>
      <c r="H11" s="467"/>
      <c r="I11" s="468"/>
      <c r="J11" s="467">
        <v>0.0</v>
      </c>
      <c r="K11" s="468"/>
      <c r="L11" s="467"/>
      <c r="M11" s="468"/>
      <c r="N11" s="467"/>
      <c r="O11" s="468"/>
      <c r="P11" s="467">
        <v>0.0</v>
      </c>
      <c r="Q11" s="468"/>
      <c r="R11" s="467"/>
      <c r="S11" s="468"/>
      <c r="T11" s="467"/>
      <c r="U11" s="468"/>
    </row>
    <row r="12" ht="15.75" hidden="1" customHeight="1">
      <c r="A12" s="439"/>
      <c r="B12" s="465"/>
      <c r="C12" s="466" t="s">
        <v>176</v>
      </c>
      <c r="D12" s="467">
        <v>0.0</v>
      </c>
      <c r="E12" s="468"/>
      <c r="F12" s="467"/>
      <c r="G12" s="468"/>
      <c r="H12" s="467"/>
      <c r="I12" s="468"/>
      <c r="J12" s="467">
        <v>0.0</v>
      </c>
      <c r="K12" s="468"/>
      <c r="L12" s="467"/>
      <c r="M12" s="468"/>
      <c r="N12" s="467"/>
      <c r="O12" s="468"/>
      <c r="P12" s="467">
        <v>0.0</v>
      </c>
      <c r="Q12" s="468"/>
      <c r="R12" s="467"/>
      <c r="S12" s="468"/>
      <c r="T12" s="467"/>
      <c r="U12" s="468"/>
    </row>
    <row r="13" ht="15.75" hidden="1" customHeight="1">
      <c r="A13" s="439"/>
      <c r="B13" s="465"/>
      <c r="C13" s="466"/>
      <c r="D13" s="467"/>
      <c r="E13" s="468"/>
      <c r="F13" s="467"/>
      <c r="G13" s="468"/>
      <c r="H13" s="467"/>
      <c r="I13" s="468"/>
      <c r="J13" s="467"/>
      <c r="K13" s="468"/>
      <c r="L13" s="467"/>
      <c r="M13" s="468"/>
      <c r="N13" s="467"/>
      <c r="O13" s="468"/>
      <c r="P13" s="467"/>
      <c r="Q13" s="468"/>
      <c r="R13" s="467"/>
      <c r="S13" s="468"/>
      <c r="T13" s="467"/>
      <c r="U13" s="468"/>
    </row>
    <row r="14">
      <c r="A14" s="439"/>
      <c r="B14" s="469" t="s">
        <v>21</v>
      </c>
      <c r="C14" s="466" t="s">
        <v>21</v>
      </c>
      <c r="D14" s="470">
        <v>0.0</v>
      </c>
      <c r="E14" s="471"/>
      <c r="F14" s="470"/>
      <c r="G14" s="471"/>
      <c r="H14" s="470"/>
      <c r="I14" s="471"/>
      <c r="J14" s="470">
        <v>0.0</v>
      </c>
      <c r="K14" s="468"/>
      <c r="L14" s="467"/>
      <c r="M14" s="468"/>
      <c r="N14" s="467"/>
      <c r="O14" s="468"/>
      <c r="P14" s="472">
        <v>0.0</v>
      </c>
      <c r="Q14" s="473"/>
      <c r="R14" s="467"/>
      <c r="S14" s="468"/>
      <c r="T14" s="467"/>
      <c r="U14" s="468"/>
    </row>
    <row r="15">
      <c r="A15" s="439"/>
      <c r="B15" s="469" t="s">
        <v>22</v>
      </c>
      <c r="C15" s="466" t="s">
        <v>22</v>
      </c>
      <c r="D15" s="467">
        <v>0.0</v>
      </c>
      <c r="E15" s="468"/>
      <c r="F15" s="467"/>
      <c r="G15" s="468"/>
      <c r="H15" s="467"/>
      <c r="I15" s="468"/>
      <c r="J15" s="467">
        <v>0.0</v>
      </c>
      <c r="K15" s="468"/>
      <c r="L15" s="467"/>
      <c r="M15" s="468"/>
      <c r="N15" s="467"/>
      <c r="O15" s="468"/>
      <c r="P15" s="474">
        <v>0.0</v>
      </c>
      <c r="Q15" s="473"/>
      <c r="R15" s="467"/>
      <c r="S15" s="468"/>
      <c r="T15" s="467"/>
      <c r="U15" s="468"/>
    </row>
    <row r="16">
      <c r="A16" s="439"/>
      <c r="B16" s="469" t="s">
        <v>23</v>
      </c>
      <c r="C16" s="466" t="s">
        <v>177</v>
      </c>
      <c r="D16" s="475">
        <f>SUM(D8:D12)</f>
        <v>0</v>
      </c>
      <c r="E16" s="468"/>
      <c r="F16" s="467"/>
      <c r="G16" s="468"/>
      <c r="H16" s="467"/>
      <c r="I16" s="468"/>
      <c r="J16" s="475">
        <f>SUM(J8:J12)</f>
        <v>0</v>
      </c>
      <c r="K16" s="468"/>
      <c r="L16" s="467"/>
      <c r="M16" s="468"/>
      <c r="N16" s="467"/>
      <c r="O16" s="468"/>
      <c r="P16" s="476">
        <f>SUM(P8:P12)</f>
        <v>0</v>
      </c>
      <c r="Q16" s="473"/>
      <c r="R16" s="467"/>
      <c r="S16" s="468"/>
      <c r="T16" s="467"/>
      <c r="U16" s="468"/>
    </row>
    <row r="17">
      <c r="A17" s="439"/>
      <c r="B17" s="465"/>
      <c r="C17" s="466"/>
      <c r="D17" s="467"/>
      <c r="E17" s="468"/>
      <c r="F17" s="467"/>
      <c r="G17" s="468"/>
      <c r="H17" s="467"/>
      <c r="I17" s="468"/>
      <c r="J17" s="467"/>
      <c r="K17" s="468"/>
      <c r="L17" s="467"/>
      <c r="M17" s="468"/>
      <c r="N17" s="467"/>
      <c r="O17" s="468"/>
      <c r="P17" s="474"/>
      <c r="Q17" s="473"/>
      <c r="R17" s="467"/>
      <c r="S17" s="468"/>
      <c r="T17" s="467"/>
      <c r="U17" s="468"/>
    </row>
    <row r="18">
      <c r="A18" s="439"/>
      <c r="B18" s="465"/>
      <c r="C18" s="466" t="s">
        <v>178</v>
      </c>
      <c r="D18" s="470">
        <v>0.0</v>
      </c>
      <c r="E18" s="471"/>
      <c r="F18" s="470"/>
      <c r="G18" s="471"/>
      <c r="H18" s="470"/>
      <c r="I18" s="471"/>
      <c r="J18" s="470">
        <v>0.0</v>
      </c>
      <c r="K18" s="471"/>
      <c r="L18" s="470"/>
      <c r="M18" s="471"/>
      <c r="N18" s="470"/>
      <c r="O18" s="471"/>
      <c r="P18" s="472">
        <v>0.0</v>
      </c>
      <c r="Q18" s="473"/>
      <c r="R18" s="467"/>
      <c r="S18" s="468"/>
      <c r="T18" s="467"/>
      <c r="U18" s="468"/>
    </row>
    <row r="19">
      <c r="A19" s="439"/>
      <c r="B19" s="465"/>
      <c r="C19" s="466" t="s">
        <v>179</v>
      </c>
      <c r="D19" s="470">
        <f>D14+D15+D16</f>
        <v>0</v>
      </c>
      <c r="E19" s="471"/>
      <c r="F19" s="470"/>
      <c r="G19" s="471"/>
      <c r="H19" s="470"/>
      <c r="I19" s="471"/>
      <c r="J19" s="470">
        <f>J14+J15+J16</f>
        <v>0</v>
      </c>
      <c r="K19" s="471"/>
      <c r="L19" s="470"/>
      <c r="M19" s="471"/>
      <c r="N19" s="470"/>
      <c r="O19" s="471"/>
      <c r="P19" s="472">
        <f>P14+P15+P16</f>
        <v>0</v>
      </c>
      <c r="Q19" s="473"/>
      <c r="R19" s="467"/>
      <c r="S19" s="468"/>
      <c r="T19" s="467"/>
      <c r="U19" s="468"/>
    </row>
    <row r="20">
      <c r="A20" s="439"/>
      <c r="B20" s="469" t="s">
        <v>180</v>
      </c>
      <c r="C20" s="466"/>
      <c r="D20" s="467"/>
      <c r="E20" s="468"/>
      <c r="F20" s="467"/>
      <c r="G20" s="468"/>
      <c r="H20" s="467"/>
      <c r="I20" s="468"/>
      <c r="J20" s="467"/>
      <c r="K20" s="468"/>
      <c r="L20" s="467"/>
      <c r="M20" s="468"/>
      <c r="N20" s="467"/>
      <c r="O20" s="468"/>
      <c r="P20" s="474"/>
      <c r="Q20" s="473"/>
      <c r="R20" s="467"/>
      <c r="S20" s="468"/>
      <c r="T20" s="467"/>
      <c r="U20" s="468"/>
    </row>
    <row r="21" ht="15.75" customHeight="1">
      <c r="A21" s="439"/>
      <c r="B21" s="465"/>
      <c r="C21" s="466" t="s">
        <v>181</v>
      </c>
      <c r="D21" s="467"/>
      <c r="E21" s="468"/>
      <c r="F21" s="467"/>
      <c r="G21" s="468"/>
      <c r="H21" s="467"/>
      <c r="I21" s="468"/>
      <c r="J21" s="467"/>
      <c r="K21" s="468"/>
      <c r="L21" s="467"/>
      <c r="M21" s="468"/>
      <c r="N21" s="467"/>
      <c r="O21" s="468"/>
      <c r="P21" s="474"/>
      <c r="Q21" s="473"/>
      <c r="R21" s="467"/>
      <c r="S21" s="468"/>
      <c r="T21" s="467"/>
      <c r="U21" s="468"/>
    </row>
    <row r="22" ht="15.75" customHeight="1">
      <c r="A22" s="439"/>
      <c r="B22" s="465"/>
      <c r="C22" s="466" t="s">
        <v>182</v>
      </c>
      <c r="D22" s="470">
        <f>SUM(D20:D21)</f>
        <v>0</v>
      </c>
      <c r="E22" s="471"/>
      <c r="F22" s="470"/>
      <c r="G22" s="471"/>
      <c r="H22" s="470"/>
      <c r="I22" s="471"/>
      <c r="J22" s="470">
        <f>SUM(J20:J21)</f>
        <v>0</v>
      </c>
      <c r="K22" s="471"/>
      <c r="L22" s="470"/>
      <c r="M22" s="471"/>
      <c r="N22" s="470"/>
      <c r="O22" s="471"/>
      <c r="P22" s="472">
        <f>SUM(P20:P21)</f>
        <v>0</v>
      </c>
      <c r="Q22" s="473"/>
      <c r="R22" s="467"/>
      <c r="S22" s="468"/>
      <c r="T22" s="467"/>
      <c r="U22" s="468"/>
    </row>
    <row r="23" ht="15.75" customHeight="1">
      <c r="A23" s="439"/>
      <c r="B23" s="469"/>
      <c r="C23" s="477"/>
      <c r="D23" s="478"/>
      <c r="E23" s="479"/>
      <c r="F23" s="478"/>
      <c r="G23" s="479"/>
      <c r="H23" s="478"/>
      <c r="I23" s="479"/>
      <c r="J23" s="478"/>
      <c r="K23" s="479"/>
      <c r="L23" s="478"/>
      <c r="M23" s="479"/>
      <c r="N23" s="478"/>
      <c r="O23" s="479"/>
      <c r="P23" s="469"/>
      <c r="Q23" s="480"/>
      <c r="R23" s="478"/>
      <c r="S23" s="479"/>
      <c r="T23" s="478"/>
      <c r="U23" s="479"/>
    </row>
    <row r="24" ht="15.75" customHeight="1">
      <c r="A24" s="439"/>
      <c r="B24" s="481" t="s">
        <v>183</v>
      </c>
      <c r="C24" s="477"/>
      <c r="D24" s="478"/>
      <c r="E24" s="479"/>
      <c r="F24" s="478"/>
      <c r="G24" s="479"/>
      <c r="H24" s="478"/>
      <c r="I24" s="479"/>
      <c r="J24" s="478"/>
      <c r="K24" s="479"/>
      <c r="L24" s="478"/>
      <c r="M24" s="479"/>
      <c r="N24" s="478"/>
      <c r="O24" s="479"/>
      <c r="P24" s="469"/>
      <c r="Q24" s="480"/>
      <c r="R24" s="478"/>
      <c r="S24" s="479"/>
      <c r="T24" s="478"/>
      <c r="U24" s="479"/>
    </row>
    <row r="25" ht="15.75" customHeight="1">
      <c r="A25" s="439"/>
      <c r="B25" s="469" t="s">
        <v>28</v>
      </c>
      <c r="C25" s="477"/>
      <c r="D25" s="478"/>
      <c r="E25" s="479"/>
      <c r="F25" s="478"/>
      <c r="G25" s="479"/>
      <c r="H25" s="478"/>
      <c r="I25" s="479"/>
      <c r="J25" s="478"/>
      <c r="K25" s="479"/>
      <c r="L25" s="478"/>
      <c r="M25" s="479"/>
      <c r="N25" s="478"/>
      <c r="O25" s="479"/>
      <c r="P25" s="469"/>
      <c r="Q25" s="480"/>
      <c r="R25" s="478"/>
      <c r="S25" s="479"/>
      <c r="T25" s="478"/>
      <c r="U25" s="479"/>
    </row>
    <row r="26" ht="15.75" customHeight="1">
      <c r="A26" s="439"/>
      <c r="B26" s="465"/>
      <c r="C26" s="482" t="s">
        <v>184</v>
      </c>
      <c r="D26" s="478"/>
      <c r="E26" s="479"/>
      <c r="F26" s="478"/>
      <c r="G26" s="479"/>
      <c r="H26" s="478"/>
      <c r="I26" s="479"/>
      <c r="J26" s="478"/>
      <c r="K26" s="479"/>
      <c r="L26" s="478"/>
      <c r="M26" s="479"/>
      <c r="N26" s="478"/>
      <c r="O26" s="479"/>
      <c r="P26" s="469"/>
      <c r="Q26" s="480"/>
      <c r="R26" s="478"/>
      <c r="S26" s="479"/>
      <c r="T26" s="478"/>
      <c r="U26" s="479"/>
    </row>
    <row r="27" ht="15.75" customHeight="1">
      <c r="A27" s="439"/>
      <c r="B27" s="465"/>
      <c r="C27" s="466" t="s">
        <v>185</v>
      </c>
      <c r="D27" s="467"/>
      <c r="E27" s="468"/>
      <c r="F27" s="467"/>
      <c r="G27" s="468"/>
      <c r="H27" s="467"/>
      <c r="I27" s="468"/>
      <c r="J27" s="467"/>
      <c r="K27" s="468"/>
      <c r="L27" s="467"/>
      <c r="M27" s="468"/>
      <c r="N27" s="467"/>
      <c r="O27" s="468"/>
      <c r="P27" s="474"/>
      <c r="Q27" s="473"/>
      <c r="R27" s="467"/>
      <c r="S27" s="468"/>
      <c r="T27" s="467"/>
      <c r="U27" s="468"/>
    </row>
    <row r="28" ht="15.75" customHeight="1">
      <c r="A28" s="439"/>
      <c r="B28" s="465"/>
      <c r="C28" s="466" t="s">
        <v>186</v>
      </c>
      <c r="D28" s="467"/>
      <c r="E28" s="468"/>
      <c r="F28" s="467"/>
      <c r="G28" s="468"/>
      <c r="H28" s="467"/>
      <c r="I28" s="468"/>
      <c r="J28" s="467"/>
      <c r="K28" s="468"/>
      <c r="L28" s="467"/>
      <c r="M28" s="468"/>
      <c r="N28" s="467"/>
      <c r="O28" s="468"/>
      <c r="P28" s="474"/>
      <c r="Q28" s="473"/>
      <c r="R28" s="467"/>
      <c r="S28" s="468"/>
      <c r="T28" s="467"/>
      <c r="U28" s="468"/>
    </row>
    <row r="29" ht="15.75" customHeight="1">
      <c r="A29" s="439"/>
      <c r="B29" s="465"/>
      <c r="C29" s="466" t="s">
        <v>21</v>
      </c>
      <c r="D29" s="467"/>
      <c r="E29" s="468"/>
      <c r="F29" s="467"/>
      <c r="G29" s="468"/>
      <c r="H29" s="467"/>
      <c r="I29" s="468"/>
      <c r="J29" s="467"/>
      <c r="K29" s="468"/>
      <c r="L29" s="467"/>
      <c r="M29" s="468"/>
      <c r="N29" s="467"/>
      <c r="O29" s="468"/>
      <c r="P29" s="474"/>
      <c r="Q29" s="473"/>
      <c r="R29" s="467"/>
      <c r="S29" s="468"/>
      <c r="T29" s="467"/>
      <c r="U29" s="468"/>
    </row>
    <row r="30" ht="15.75" customHeight="1">
      <c r="A30" s="439"/>
      <c r="B30" s="465"/>
      <c r="C30" s="466" t="s">
        <v>22</v>
      </c>
      <c r="D30" s="467"/>
      <c r="E30" s="468"/>
      <c r="F30" s="467"/>
      <c r="G30" s="468"/>
      <c r="H30" s="467"/>
      <c r="I30" s="468"/>
      <c r="J30" s="467"/>
      <c r="K30" s="468"/>
      <c r="L30" s="467"/>
      <c r="M30" s="468"/>
      <c r="N30" s="467"/>
      <c r="O30" s="468"/>
      <c r="P30" s="474"/>
      <c r="Q30" s="473"/>
      <c r="R30" s="467"/>
      <c r="S30" s="468"/>
      <c r="T30" s="467"/>
      <c r="U30" s="468"/>
    </row>
    <row r="31" ht="15.75" customHeight="1">
      <c r="A31" s="439"/>
      <c r="B31" s="465"/>
      <c r="C31" s="466" t="s">
        <v>187</v>
      </c>
      <c r="D31" s="467"/>
      <c r="E31" s="468"/>
      <c r="F31" s="467"/>
      <c r="G31" s="468"/>
      <c r="H31" s="467"/>
      <c r="I31" s="468"/>
      <c r="J31" s="467"/>
      <c r="K31" s="468"/>
      <c r="L31" s="467"/>
      <c r="M31" s="468"/>
      <c r="N31" s="467"/>
      <c r="O31" s="468"/>
      <c r="P31" s="474"/>
      <c r="Q31" s="473"/>
      <c r="R31" s="467"/>
      <c r="S31" s="468"/>
      <c r="T31" s="467"/>
      <c r="U31" s="468"/>
    </row>
    <row r="32" ht="15.75" customHeight="1">
      <c r="A32" s="439"/>
      <c r="B32" s="465"/>
      <c r="C32" s="466" t="s">
        <v>188</v>
      </c>
      <c r="D32" s="470">
        <f>SUM(D27:D31)</f>
        <v>0</v>
      </c>
      <c r="E32" s="471"/>
      <c r="F32" s="470"/>
      <c r="G32" s="471"/>
      <c r="H32" s="470"/>
      <c r="I32" s="471"/>
      <c r="J32" s="470">
        <f>SUM(J27:J31)</f>
        <v>0</v>
      </c>
      <c r="K32" s="471"/>
      <c r="L32" s="470"/>
      <c r="M32" s="471"/>
      <c r="N32" s="470"/>
      <c r="O32" s="471"/>
      <c r="P32" s="472">
        <f>SUM(P27:P31)</f>
        <v>0</v>
      </c>
      <c r="Q32" s="473"/>
      <c r="R32" s="467"/>
      <c r="S32" s="468"/>
      <c r="T32" s="467"/>
      <c r="U32" s="468"/>
    </row>
    <row r="33" ht="15.75" customHeight="1">
      <c r="A33" s="439"/>
      <c r="B33" s="483"/>
      <c r="C33" s="484" t="s">
        <v>189</v>
      </c>
      <c r="D33" s="485"/>
      <c r="E33" s="486"/>
      <c r="F33" s="485"/>
      <c r="G33" s="486"/>
      <c r="H33" s="485"/>
      <c r="I33" s="486"/>
      <c r="J33" s="487"/>
      <c r="K33" s="486"/>
      <c r="L33" s="485"/>
      <c r="M33" s="486"/>
      <c r="N33" s="485"/>
      <c r="O33" s="486"/>
      <c r="P33" s="488">
        <v>1964.0</v>
      </c>
      <c r="Q33" s="489"/>
      <c r="R33" s="485"/>
      <c r="S33" s="486"/>
      <c r="T33" s="485"/>
      <c r="U33" s="486"/>
    </row>
    <row r="34" ht="15.75" customHeight="1">
      <c r="A34" s="439"/>
      <c r="B34" s="490"/>
      <c r="C34" s="458" t="s">
        <v>190</v>
      </c>
      <c r="D34" s="459">
        <f>D32+D33</f>
        <v>0</v>
      </c>
      <c r="E34" s="460"/>
      <c r="F34" s="459"/>
      <c r="G34" s="460"/>
      <c r="H34" s="459"/>
      <c r="I34" s="460"/>
      <c r="J34" s="459">
        <f>J32+J33</f>
        <v>0</v>
      </c>
      <c r="K34" s="460"/>
      <c r="L34" s="459"/>
      <c r="M34" s="460"/>
      <c r="N34" s="459"/>
      <c r="O34" s="460"/>
      <c r="P34" s="491">
        <f>P32+P33</f>
        <v>1964</v>
      </c>
      <c r="Q34" s="492"/>
      <c r="R34" s="459"/>
      <c r="S34" s="460"/>
      <c r="T34" s="459"/>
      <c r="U34" s="460"/>
    </row>
    <row r="35" ht="15.75" customHeight="1">
      <c r="A35" s="439"/>
      <c r="B35" s="493"/>
      <c r="C35" s="458" t="s">
        <v>32</v>
      </c>
      <c r="D35" s="459">
        <f>D19-D34</f>
        <v>0</v>
      </c>
      <c r="E35" s="460"/>
      <c r="F35" s="459"/>
      <c r="G35" s="460"/>
      <c r="H35" s="459"/>
      <c r="I35" s="460"/>
      <c r="J35" s="459">
        <f>J19-J34</f>
        <v>0</v>
      </c>
      <c r="K35" s="494"/>
      <c r="L35" s="495"/>
      <c r="M35" s="494"/>
      <c r="N35" s="495"/>
      <c r="O35" s="494"/>
      <c r="P35" s="491">
        <f>P19-P34</f>
        <v>-1964</v>
      </c>
      <c r="Q35" s="496"/>
      <c r="R35" s="495"/>
      <c r="S35" s="494"/>
      <c r="T35" s="495"/>
      <c r="U35" s="494"/>
    </row>
    <row r="36" ht="15.75" customHeight="1">
      <c r="A36" s="439"/>
      <c r="B36" s="497"/>
      <c r="C36" s="462"/>
      <c r="D36" s="463"/>
      <c r="E36" s="464"/>
      <c r="F36" s="463"/>
      <c r="G36" s="464"/>
      <c r="H36" s="463"/>
      <c r="I36" s="464"/>
      <c r="J36" s="463"/>
      <c r="K36" s="464"/>
      <c r="L36" s="463"/>
      <c r="M36" s="464"/>
      <c r="N36" s="463"/>
      <c r="O36" s="464"/>
      <c r="P36" s="498"/>
      <c r="Q36" s="499"/>
      <c r="R36" s="463"/>
      <c r="S36" s="464"/>
      <c r="T36" s="463"/>
      <c r="U36" s="464"/>
    </row>
    <row r="37" ht="15.75" customHeight="1">
      <c r="A37" s="439"/>
      <c r="B37" s="465"/>
      <c r="C37" s="500" t="s">
        <v>191</v>
      </c>
      <c r="D37" s="467"/>
      <c r="E37" s="468"/>
      <c r="F37" s="467"/>
      <c r="G37" s="468"/>
      <c r="H37" s="467"/>
      <c r="I37" s="468"/>
      <c r="J37" s="485"/>
      <c r="K37" s="468"/>
      <c r="L37" s="467"/>
      <c r="M37" s="468"/>
      <c r="N37" s="467"/>
      <c r="O37" s="468"/>
      <c r="P37" s="501"/>
      <c r="Q37" s="473"/>
      <c r="R37" s="467"/>
      <c r="S37" s="468"/>
      <c r="T37" s="467"/>
      <c r="U37" s="468"/>
    </row>
    <row r="38" ht="15.75" customHeight="1">
      <c r="A38" s="439"/>
      <c r="B38" s="465"/>
      <c r="C38" s="466" t="s">
        <v>192</v>
      </c>
      <c r="D38" s="467">
        <v>1824.62</v>
      </c>
      <c r="E38" s="468"/>
      <c r="F38" s="467"/>
      <c r="G38" s="468"/>
      <c r="H38" s="467"/>
      <c r="I38" s="502"/>
      <c r="J38" s="503">
        <v>5987.0</v>
      </c>
      <c r="K38" s="473"/>
      <c r="L38" s="467"/>
      <c r="M38" s="468"/>
      <c r="N38" s="467"/>
      <c r="O38" s="468"/>
      <c r="P38" s="504">
        <v>1535.0</v>
      </c>
      <c r="Q38" s="473"/>
      <c r="R38" s="467"/>
      <c r="S38" s="468"/>
      <c r="T38" s="467"/>
      <c r="U38" s="468"/>
    </row>
    <row r="39" ht="15.75" customHeight="1">
      <c r="A39" s="439"/>
      <c r="B39" s="465"/>
      <c r="C39" s="466" t="s">
        <v>193</v>
      </c>
      <c r="D39" s="467">
        <v>0.0</v>
      </c>
      <c r="E39" s="468"/>
      <c r="F39" s="467"/>
      <c r="G39" s="468"/>
      <c r="H39" s="467"/>
      <c r="I39" s="468"/>
      <c r="J39" s="463">
        <v>0.0</v>
      </c>
      <c r="K39" s="468"/>
      <c r="L39" s="467"/>
      <c r="M39" s="468"/>
      <c r="N39" s="467"/>
      <c r="O39" s="468"/>
      <c r="P39" s="505">
        <v>0.0</v>
      </c>
      <c r="Q39" s="473"/>
      <c r="R39" s="467"/>
      <c r="S39" s="468"/>
      <c r="T39" s="467"/>
      <c r="U39" s="468"/>
    </row>
    <row r="40" ht="15.75" customHeight="1">
      <c r="A40" s="439"/>
      <c r="B40" s="465"/>
      <c r="C40" s="466" t="s">
        <v>194</v>
      </c>
      <c r="D40" s="467">
        <v>9649.8</v>
      </c>
      <c r="E40" s="468"/>
      <c r="F40" s="467"/>
      <c r="G40" s="468"/>
      <c r="H40" s="467"/>
      <c r="I40" s="468"/>
      <c r="J40" s="467">
        <v>12625.0</v>
      </c>
      <c r="K40" s="468"/>
      <c r="L40" s="467"/>
      <c r="M40" s="468"/>
      <c r="N40" s="467"/>
      <c r="O40" s="468"/>
      <c r="P40" s="506">
        <v>11907.0</v>
      </c>
      <c r="Q40" s="473"/>
      <c r="R40" s="467"/>
      <c r="S40" s="468"/>
      <c r="T40" s="467"/>
      <c r="U40" s="468"/>
    </row>
    <row r="41" ht="15.75" customHeight="1">
      <c r="A41" s="439"/>
      <c r="B41" s="465"/>
      <c r="C41" s="466" t="s">
        <v>195</v>
      </c>
      <c r="D41" s="467">
        <v>5751.0</v>
      </c>
      <c r="E41" s="468"/>
      <c r="F41" s="467"/>
      <c r="G41" s="468"/>
      <c r="H41" s="467"/>
      <c r="I41" s="468"/>
      <c r="J41" s="467">
        <v>2455.0</v>
      </c>
      <c r="K41" s="468"/>
      <c r="L41" s="467"/>
      <c r="M41" s="468"/>
      <c r="N41" s="467"/>
      <c r="O41" s="468"/>
      <c r="P41" s="506">
        <v>17845.0</v>
      </c>
      <c r="Q41" s="473"/>
      <c r="R41" s="467"/>
      <c r="S41" s="468"/>
      <c r="T41" s="467"/>
      <c r="U41" s="468"/>
    </row>
    <row r="42" ht="15.75" customHeight="1">
      <c r="A42" s="439"/>
      <c r="B42" s="483"/>
      <c r="C42" s="484" t="s">
        <v>196</v>
      </c>
      <c r="D42" s="485">
        <v>89502.09333333332</v>
      </c>
      <c r="E42" s="486"/>
      <c r="F42" s="485"/>
      <c r="G42" s="486"/>
      <c r="H42" s="485"/>
      <c r="I42" s="486"/>
      <c r="J42" s="485">
        <v>208.0</v>
      </c>
      <c r="K42" s="486"/>
      <c r="L42" s="485"/>
      <c r="M42" s="486"/>
      <c r="N42" s="485"/>
      <c r="O42" s="486"/>
      <c r="P42" s="488">
        <v>18307.0</v>
      </c>
      <c r="Q42" s="489"/>
      <c r="R42" s="485"/>
      <c r="S42" s="486"/>
      <c r="T42" s="485"/>
      <c r="U42" s="486"/>
    </row>
    <row r="43" ht="15.75" customHeight="1">
      <c r="A43" s="439"/>
      <c r="B43" s="490"/>
      <c r="C43" s="458" t="s">
        <v>197</v>
      </c>
      <c r="D43" s="459">
        <f>SUM(D38:D42)</f>
        <v>106727.5133</v>
      </c>
      <c r="E43" s="460"/>
      <c r="F43" s="459"/>
      <c r="G43" s="460"/>
      <c r="H43" s="459"/>
      <c r="I43" s="460"/>
      <c r="J43" s="459">
        <f>SUM(J38:J42)</f>
        <v>21275</v>
      </c>
      <c r="K43" s="460"/>
      <c r="L43" s="459"/>
      <c r="M43" s="460"/>
      <c r="N43" s="459"/>
      <c r="O43" s="460"/>
      <c r="P43" s="491">
        <f>SUM(P38:P42)</f>
        <v>49594</v>
      </c>
      <c r="Q43" s="492"/>
      <c r="R43" s="459"/>
      <c r="S43" s="460"/>
      <c r="T43" s="459"/>
      <c r="U43" s="460"/>
    </row>
    <row r="44" ht="15.75" hidden="1" customHeight="1">
      <c r="A44" s="439"/>
      <c r="B44" s="465" t="s">
        <v>23</v>
      </c>
      <c r="C44" s="466" t="s">
        <v>198</v>
      </c>
      <c r="D44" s="467">
        <v>0.0</v>
      </c>
      <c r="E44" s="468"/>
      <c r="F44" s="467"/>
      <c r="G44" s="468"/>
      <c r="H44" s="467"/>
      <c r="I44" s="468"/>
      <c r="J44" s="467">
        <v>0.0</v>
      </c>
      <c r="K44" s="468"/>
      <c r="L44" s="467"/>
      <c r="M44" s="468"/>
      <c r="N44" s="467"/>
      <c r="O44" s="468"/>
      <c r="P44" s="474">
        <v>0.0</v>
      </c>
      <c r="Q44" s="473"/>
      <c r="R44" s="467"/>
      <c r="S44" s="468"/>
      <c r="T44" s="467"/>
      <c r="U44" s="468"/>
    </row>
    <row r="45" ht="15.75" hidden="1" customHeight="1">
      <c r="A45" s="439"/>
      <c r="B45" s="465" t="s">
        <v>21</v>
      </c>
      <c r="C45" s="466" t="s">
        <v>199</v>
      </c>
      <c r="D45" s="467">
        <v>0.0</v>
      </c>
      <c r="E45" s="468"/>
      <c r="F45" s="467"/>
      <c r="G45" s="468"/>
      <c r="H45" s="467"/>
      <c r="I45" s="468"/>
      <c r="J45" s="467">
        <v>0.0</v>
      </c>
      <c r="K45" s="468"/>
      <c r="L45" s="467"/>
      <c r="M45" s="468"/>
      <c r="N45" s="467"/>
      <c r="O45" s="468"/>
      <c r="P45" s="474">
        <v>0.0</v>
      </c>
      <c r="Q45" s="473"/>
      <c r="R45" s="467"/>
      <c r="S45" s="468"/>
      <c r="T45" s="467"/>
      <c r="U45" s="468"/>
    </row>
    <row r="46" ht="15.75" hidden="1" customHeight="1">
      <c r="A46" s="439"/>
      <c r="B46" s="465" t="s">
        <v>21</v>
      </c>
      <c r="C46" s="466" t="s">
        <v>198</v>
      </c>
      <c r="D46" s="467">
        <v>0.0</v>
      </c>
      <c r="E46" s="468"/>
      <c r="F46" s="467"/>
      <c r="G46" s="468"/>
      <c r="H46" s="467"/>
      <c r="I46" s="468"/>
      <c r="J46" s="467">
        <v>0.0</v>
      </c>
      <c r="K46" s="468"/>
      <c r="L46" s="467"/>
      <c r="M46" s="468"/>
      <c r="N46" s="467"/>
      <c r="O46" s="468"/>
      <c r="P46" s="474">
        <v>0.0</v>
      </c>
      <c r="Q46" s="473"/>
      <c r="R46" s="467"/>
      <c r="S46" s="468"/>
      <c r="T46" s="467"/>
      <c r="U46" s="468"/>
    </row>
    <row r="47" ht="15.75" hidden="1" customHeight="1">
      <c r="A47" s="439"/>
      <c r="B47" s="465" t="s">
        <v>22</v>
      </c>
      <c r="C47" s="466" t="s">
        <v>199</v>
      </c>
      <c r="D47" s="467">
        <v>0.0</v>
      </c>
      <c r="E47" s="468"/>
      <c r="F47" s="467"/>
      <c r="G47" s="468"/>
      <c r="H47" s="467"/>
      <c r="I47" s="468"/>
      <c r="J47" s="467">
        <v>0.0</v>
      </c>
      <c r="K47" s="468"/>
      <c r="L47" s="467"/>
      <c r="M47" s="468"/>
      <c r="N47" s="467"/>
      <c r="O47" s="468"/>
      <c r="P47" s="474">
        <v>0.0</v>
      </c>
      <c r="Q47" s="473"/>
      <c r="R47" s="467"/>
      <c r="S47" s="468"/>
      <c r="T47" s="467"/>
      <c r="U47" s="468"/>
    </row>
    <row r="48" ht="15.75" hidden="1" customHeight="1">
      <c r="A48" s="439"/>
      <c r="B48" s="465" t="s">
        <v>22</v>
      </c>
      <c r="C48" s="466" t="s">
        <v>198</v>
      </c>
      <c r="D48" s="467">
        <v>0.0</v>
      </c>
      <c r="E48" s="468"/>
      <c r="F48" s="467"/>
      <c r="G48" s="468"/>
      <c r="H48" s="467"/>
      <c r="I48" s="468"/>
      <c r="J48" s="467">
        <v>0.0</v>
      </c>
      <c r="K48" s="468"/>
      <c r="L48" s="467"/>
      <c r="M48" s="468"/>
      <c r="N48" s="467"/>
      <c r="O48" s="468"/>
      <c r="P48" s="474">
        <v>0.0</v>
      </c>
      <c r="Q48" s="473"/>
      <c r="R48" s="467"/>
      <c r="S48" s="468"/>
      <c r="T48" s="467"/>
      <c r="U48" s="468"/>
    </row>
    <row r="49" ht="15.75" hidden="1" customHeight="1">
      <c r="A49" s="439"/>
      <c r="B49" s="465"/>
      <c r="C49" s="466"/>
      <c r="D49" s="467"/>
      <c r="E49" s="468"/>
      <c r="F49" s="467"/>
      <c r="G49" s="468"/>
      <c r="H49" s="467"/>
      <c r="I49" s="468"/>
      <c r="J49" s="467"/>
      <c r="K49" s="468"/>
      <c r="L49" s="467"/>
      <c r="M49" s="468"/>
      <c r="N49" s="467"/>
      <c r="O49" s="468"/>
      <c r="P49" s="474"/>
      <c r="Q49" s="473"/>
      <c r="R49" s="467"/>
      <c r="S49" s="468"/>
      <c r="T49" s="467"/>
      <c r="U49" s="468"/>
    </row>
    <row r="50" ht="15.75" hidden="1" customHeight="1">
      <c r="A50" s="439"/>
      <c r="B50" s="483"/>
      <c r="C50" s="484" t="s">
        <v>197</v>
      </c>
      <c r="D50" s="467">
        <f>SUM(D44:D49)</f>
        <v>0</v>
      </c>
      <c r="E50" s="468" t="str">
        <f>D50/D21</f>
        <v>#DIV/0!</v>
      </c>
      <c r="F50" s="467"/>
      <c r="G50" s="468"/>
      <c r="H50" s="467"/>
      <c r="I50" s="468" t="str">
        <f>#REF!/#REF!</f>
        <v>#REF!</v>
      </c>
      <c r="J50" s="467">
        <f>SUM(J44:J49)</f>
        <v>0</v>
      </c>
      <c r="K50" s="468" t="str">
        <f>J50/J21</f>
        <v>#DIV/0!</v>
      </c>
      <c r="L50" s="467"/>
      <c r="M50" s="468"/>
      <c r="N50" s="467"/>
      <c r="O50" s="468" t="str">
        <f>#REF!/#REF!</f>
        <v>#REF!</v>
      </c>
      <c r="P50" s="474">
        <f>SUM(P44:P49)</f>
        <v>0</v>
      </c>
      <c r="Q50" s="473" t="str">
        <f>P50/P21</f>
        <v>#DIV/0!</v>
      </c>
      <c r="R50" s="467"/>
      <c r="S50" s="468"/>
      <c r="T50" s="467"/>
      <c r="U50" s="468" t="str">
        <f>#REF!/#REF!</f>
        <v>#REF!</v>
      </c>
    </row>
    <row r="51" ht="15.75" customHeight="1">
      <c r="A51" s="439"/>
      <c r="B51" s="507" t="s">
        <v>200</v>
      </c>
      <c r="C51" s="508" t="s">
        <v>201</v>
      </c>
      <c r="D51" s="485"/>
      <c r="E51" s="486"/>
      <c r="F51" s="485"/>
      <c r="G51" s="486"/>
      <c r="H51" s="485"/>
      <c r="I51" s="486"/>
      <c r="J51" s="485"/>
      <c r="K51" s="486"/>
      <c r="L51" s="485"/>
      <c r="M51" s="486"/>
      <c r="N51" s="485"/>
      <c r="O51" s="486"/>
      <c r="P51" s="501"/>
      <c r="Q51" s="489"/>
      <c r="R51" s="485"/>
      <c r="S51" s="486"/>
      <c r="T51" s="485"/>
      <c r="U51" s="486"/>
    </row>
    <row r="52" ht="15.75" customHeight="1">
      <c r="A52" s="439"/>
      <c r="B52" s="493"/>
      <c r="C52" s="509" t="s">
        <v>202</v>
      </c>
      <c r="D52" s="459">
        <f>SUM(D53:D61)</f>
        <v>53100</v>
      </c>
      <c r="E52" s="460"/>
      <c r="F52" s="459">
        <f>SUM(F53:F61)</f>
        <v>53100</v>
      </c>
      <c r="G52" s="460"/>
      <c r="H52" s="459"/>
      <c r="I52" s="460"/>
      <c r="J52" s="459">
        <f>SUM(J53:J61)</f>
        <v>53100</v>
      </c>
      <c r="K52" s="460"/>
      <c r="L52" s="459">
        <f>SUM(L53:L61)</f>
        <v>53100</v>
      </c>
      <c r="M52" s="460"/>
      <c r="N52" s="459"/>
      <c r="O52" s="460"/>
      <c r="P52" s="491">
        <f>SUM(P53:P61)</f>
        <v>53100</v>
      </c>
      <c r="Q52" s="492"/>
      <c r="R52" s="459">
        <f>SUM(R53:R61)</f>
        <v>0</v>
      </c>
      <c r="S52" s="460"/>
      <c r="T52" s="459"/>
      <c r="U52" s="460"/>
    </row>
    <row r="53" ht="15.75" customHeight="1">
      <c r="A53" s="439"/>
      <c r="B53" s="497"/>
      <c r="C53" s="462" t="s">
        <v>203</v>
      </c>
      <c r="D53" s="463"/>
      <c r="E53" s="464"/>
      <c r="F53" s="463"/>
      <c r="G53" s="464"/>
      <c r="H53" s="463"/>
      <c r="I53" s="464"/>
      <c r="J53" s="463"/>
      <c r="K53" s="464"/>
      <c r="L53" s="463"/>
      <c r="M53" s="464"/>
      <c r="N53" s="463"/>
      <c r="O53" s="464"/>
      <c r="P53" s="498"/>
      <c r="Q53" s="499"/>
      <c r="R53" s="463"/>
      <c r="S53" s="464"/>
      <c r="T53" s="463"/>
      <c r="U53" s="464"/>
    </row>
    <row r="54" ht="15.75" customHeight="1">
      <c r="A54" s="439"/>
      <c r="B54" s="465"/>
      <c r="C54" s="466" t="s">
        <v>204</v>
      </c>
      <c r="D54" s="467"/>
      <c r="E54" s="468"/>
      <c r="F54" s="467"/>
      <c r="G54" s="468"/>
      <c r="H54" s="467"/>
      <c r="I54" s="468"/>
      <c r="J54" s="467"/>
      <c r="K54" s="468"/>
      <c r="L54" s="467"/>
      <c r="M54" s="468"/>
      <c r="N54" s="467"/>
      <c r="O54" s="468"/>
      <c r="P54" s="474"/>
      <c r="Q54" s="473"/>
      <c r="R54" s="467"/>
      <c r="S54" s="468"/>
      <c r="T54" s="467"/>
      <c r="U54" s="468"/>
    </row>
    <row r="55" ht="15.75" customHeight="1">
      <c r="A55" s="439"/>
      <c r="B55" s="465"/>
      <c r="C55" s="466" t="s">
        <v>205</v>
      </c>
      <c r="D55" s="467">
        <v>17700.0</v>
      </c>
      <c r="E55" s="467">
        <v>17700.0</v>
      </c>
      <c r="F55" s="467">
        <v>17700.0</v>
      </c>
      <c r="G55" s="467">
        <v>17700.0</v>
      </c>
      <c r="H55" s="467">
        <v>17700.0</v>
      </c>
      <c r="I55" s="467">
        <v>17700.0</v>
      </c>
      <c r="J55" s="467">
        <v>17700.0</v>
      </c>
      <c r="K55" s="467">
        <v>17700.0</v>
      </c>
      <c r="L55" s="467">
        <v>17700.0</v>
      </c>
      <c r="M55" s="467">
        <v>17700.0</v>
      </c>
      <c r="N55" s="467">
        <v>17700.0</v>
      </c>
      <c r="O55" s="467">
        <v>17700.0</v>
      </c>
      <c r="P55" s="474">
        <v>17700.0</v>
      </c>
      <c r="Q55" s="473"/>
      <c r="R55" s="467"/>
      <c r="S55" s="468"/>
      <c r="T55" s="467"/>
      <c r="U55" s="468"/>
    </row>
    <row r="56" ht="15.75" customHeight="1">
      <c r="A56" s="439"/>
      <c r="B56" s="465"/>
      <c r="C56" s="466" t="s">
        <v>206</v>
      </c>
      <c r="D56" s="467">
        <v>35400.0</v>
      </c>
      <c r="E56" s="467">
        <v>35400.0</v>
      </c>
      <c r="F56" s="467">
        <v>35400.0</v>
      </c>
      <c r="G56" s="467">
        <v>35400.0</v>
      </c>
      <c r="H56" s="467">
        <v>35400.0</v>
      </c>
      <c r="I56" s="467">
        <v>35400.0</v>
      </c>
      <c r="J56" s="467">
        <v>35400.0</v>
      </c>
      <c r="K56" s="467">
        <v>35400.0</v>
      </c>
      <c r="L56" s="467">
        <v>35400.0</v>
      </c>
      <c r="M56" s="467">
        <v>35400.0</v>
      </c>
      <c r="N56" s="467">
        <v>35400.0</v>
      </c>
      <c r="O56" s="467">
        <v>35400.0</v>
      </c>
      <c r="P56" s="474">
        <v>35400.0</v>
      </c>
      <c r="Q56" s="473"/>
      <c r="R56" s="467"/>
      <c r="S56" s="468"/>
      <c r="T56" s="467"/>
      <c r="U56" s="468"/>
    </row>
    <row r="57" ht="15.75" customHeight="1">
      <c r="A57" s="439"/>
      <c r="B57" s="465"/>
      <c r="C57" s="466" t="s">
        <v>207</v>
      </c>
      <c r="D57" s="467"/>
      <c r="E57" s="468"/>
      <c r="F57" s="467"/>
      <c r="G57" s="468"/>
      <c r="H57" s="467"/>
      <c r="I57" s="468"/>
      <c r="J57" s="467"/>
      <c r="K57" s="468"/>
      <c r="L57" s="467"/>
      <c r="M57" s="468"/>
      <c r="N57" s="467"/>
      <c r="O57" s="468"/>
      <c r="P57" s="474"/>
      <c r="Q57" s="473"/>
      <c r="R57" s="467"/>
      <c r="S57" s="468"/>
      <c r="T57" s="467"/>
      <c r="U57" s="468"/>
    </row>
    <row r="58" ht="15.75" customHeight="1">
      <c r="A58" s="439"/>
      <c r="B58" s="465"/>
      <c r="C58" s="466" t="s">
        <v>208</v>
      </c>
      <c r="D58" s="467"/>
      <c r="E58" s="468"/>
      <c r="F58" s="467"/>
      <c r="G58" s="468"/>
      <c r="H58" s="467"/>
      <c r="I58" s="468"/>
      <c r="J58" s="467"/>
      <c r="K58" s="468"/>
      <c r="L58" s="467"/>
      <c r="M58" s="468"/>
      <c r="N58" s="467"/>
      <c r="O58" s="468"/>
      <c r="P58" s="474"/>
      <c r="Q58" s="473"/>
      <c r="R58" s="467"/>
      <c r="S58" s="468"/>
      <c r="T58" s="467"/>
      <c r="U58" s="468"/>
    </row>
    <row r="59" ht="15.75" customHeight="1">
      <c r="A59" s="439"/>
      <c r="B59" s="465"/>
      <c r="C59" s="466" t="s">
        <v>209</v>
      </c>
      <c r="D59" s="467"/>
      <c r="E59" s="468"/>
      <c r="F59" s="467"/>
      <c r="G59" s="468"/>
      <c r="H59" s="467"/>
      <c r="I59" s="468"/>
      <c r="J59" s="467"/>
      <c r="K59" s="468"/>
      <c r="L59" s="467"/>
      <c r="M59" s="468"/>
      <c r="N59" s="467"/>
      <c r="O59" s="468"/>
      <c r="P59" s="474"/>
      <c r="Q59" s="473"/>
      <c r="R59" s="467"/>
      <c r="S59" s="468"/>
      <c r="T59" s="467"/>
      <c r="U59" s="468"/>
    </row>
    <row r="60" ht="15.75" customHeight="1">
      <c r="A60" s="439"/>
      <c r="B60" s="465"/>
      <c r="C60" s="453" t="s">
        <v>210</v>
      </c>
      <c r="D60" s="467"/>
      <c r="E60" s="468"/>
      <c r="F60" s="467"/>
      <c r="G60" s="468"/>
      <c r="H60" s="467"/>
      <c r="I60" s="468"/>
      <c r="J60" s="467"/>
      <c r="K60" s="468"/>
      <c r="L60" s="467"/>
      <c r="M60" s="468"/>
      <c r="N60" s="467"/>
      <c r="O60" s="468"/>
      <c r="P60" s="474"/>
      <c r="Q60" s="473"/>
      <c r="R60" s="467"/>
      <c r="S60" s="468"/>
      <c r="T60" s="467"/>
      <c r="U60" s="468"/>
    </row>
    <row r="61" ht="15.75" customHeight="1">
      <c r="A61" s="439"/>
      <c r="B61" s="465"/>
      <c r="C61" s="466" t="s">
        <v>211</v>
      </c>
      <c r="D61" s="467"/>
      <c r="E61" s="468"/>
      <c r="F61" s="467"/>
      <c r="G61" s="468"/>
      <c r="H61" s="467"/>
      <c r="I61" s="468"/>
      <c r="J61" s="467"/>
      <c r="K61" s="468"/>
      <c r="L61" s="467"/>
      <c r="M61" s="468"/>
      <c r="N61" s="467"/>
      <c r="O61" s="468"/>
      <c r="P61" s="474"/>
      <c r="Q61" s="473"/>
      <c r="R61" s="467"/>
      <c r="S61" s="468"/>
      <c r="T61" s="467"/>
      <c r="U61" s="468"/>
    </row>
    <row r="62" ht="15.75" customHeight="1">
      <c r="A62" s="439"/>
      <c r="B62" s="483"/>
      <c r="C62" s="510"/>
      <c r="D62" s="485"/>
      <c r="E62" s="486"/>
      <c r="F62" s="485"/>
      <c r="G62" s="486"/>
      <c r="H62" s="485"/>
      <c r="I62" s="486"/>
      <c r="J62" s="485"/>
      <c r="K62" s="486"/>
      <c r="L62" s="485"/>
      <c r="M62" s="486"/>
      <c r="N62" s="485"/>
      <c r="O62" s="486"/>
      <c r="P62" s="501"/>
      <c r="Q62" s="473"/>
      <c r="R62" s="467"/>
      <c r="S62" s="468"/>
      <c r="T62" s="467"/>
      <c r="U62" s="468"/>
    </row>
    <row r="63" ht="15.75" customHeight="1">
      <c r="A63" s="439"/>
      <c r="B63" s="493"/>
      <c r="C63" s="511" t="s">
        <v>35</v>
      </c>
      <c r="D63" s="491">
        <f>SUM(D64:D67)</f>
        <v>0</v>
      </c>
      <c r="E63" s="491"/>
      <c r="F63" s="491">
        <f>SUM(F64:F67)</f>
        <v>0</v>
      </c>
      <c r="G63" s="491"/>
      <c r="H63" s="491"/>
      <c r="I63" s="491"/>
      <c r="J63" s="491">
        <f>SUM(J64:J67)</f>
        <v>0</v>
      </c>
      <c r="K63" s="512"/>
      <c r="L63" s="512">
        <f>SUM(L64:L67)</f>
        <v>0</v>
      </c>
      <c r="M63" s="512"/>
      <c r="N63" s="512"/>
      <c r="O63" s="512"/>
      <c r="P63" s="491">
        <f>SUM(P64:P67)</f>
        <v>0</v>
      </c>
      <c r="Q63" s="473"/>
      <c r="R63" s="467">
        <f>SUM(R64:R67)</f>
        <v>0</v>
      </c>
      <c r="S63" s="468"/>
      <c r="T63" s="467"/>
      <c r="U63" s="473"/>
    </row>
    <row r="64" ht="15.75" customHeight="1">
      <c r="A64" s="439"/>
      <c r="B64" s="497"/>
      <c r="C64" s="462" t="s">
        <v>212</v>
      </c>
      <c r="D64" s="513">
        <v>0.0</v>
      </c>
      <c r="E64" s="464"/>
      <c r="F64" s="463"/>
      <c r="G64" s="464"/>
      <c r="H64" s="463"/>
      <c r="I64" s="499"/>
      <c r="J64" s="513">
        <v>0.0</v>
      </c>
      <c r="K64" s="464"/>
      <c r="L64" s="463"/>
      <c r="M64" s="464"/>
      <c r="N64" s="463"/>
      <c r="O64" s="499"/>
      <c r="P64" s="505">
        <v>0.0</v>
      </c>
      <c r="Q64" s="473"/>
      <c r="R64" s="467"/>
      <c r="S64" s="468"/>
      <c r="T64" s="467"/>
      <c r="U64" s="473"/>
    </row>
    <row r="65" ht="15.75" customHeight="1">
      <c r="A65" s="439"/>
      <c r="B65" s="465"/>
      <c r="C65" s="466" t="s">
        <v>213</v>
      </c>
      <c r="D65" s="514">
        <v>0.0</v>
      </c>
      <c r="E65" s="468"/>
      <c r="F65" s="467"/>
      <c r="G65" s="468"/>
      <c r="H65" s="467"/>
      <c r="I65" s="473"/>
      <c r="J65" s="514">
        <v>0.0</v>
      </c>
      <c r="K65" s="468"/>
      <c r="L65" s="467"/>
      <c r="M65" s="468"/>
      <c r="N65" s="467"/>
      <c r="O65" s="473"/>
      <c r="P65" s="506">
        <v>0.0</v>
      </c>
      <c r="Q65" s="473"/>
      <c r="R65" s="467"/>
      <c r="S65" s="468"/>
      <c r="T65" s="467"/>
      <c r="U65" s="473"/>
    </row>
    <row r="66" ht="15.75" customHeight="1">
      <c r="A66" s="439"/>
      <c r="B66" s="465"/>
      <c r="C66" s="466" t="s">
        <v>214</v>
      </c>
      <c r="D66" s="514">
        <v>0.0</v>
      </c>
      <c r="E66" s="468"/>
      <c r="F66" s="467"/>
      <c r="G66" s="468"/>
      <c r="H66" s="467"/>
      <c r="I66" s="473"/>
      <c r="J66" s="514">
        <v>0.0</v>
      </c>
      <c r="K66" s="468"/>
      <c r="L66" s="467"/>
      <c r="M66" s="468"/>
      <c r="N66" s="467"/>
      <c r="O66" s="473"/>
      <c r="P66" s="506">
        <v>0.0</v>
      </c>
      <c r="Q66" s="473"/>
      <c r="R66" s="467"/>
      <c r="S66" s="468"/>
      <c r="T66" s="467"/>
      <c r="U66" s="473"/>
    </row>
    <row r="67" ht="15.75" customHeight="1">
      <c r="A67" s="439"/>
      <c r="B67" s="465"/>
      <c r="C67" s="466" t="s">
        <v>215</v>
      </c>
      <c r="D67" s="514">
        <v>0.0</v>
      </c>
      <c r="E67" s="468"/>
      <c r="F67" s="467"/>
      <c r="G67" s="468"/>
      <c r="H67" s="467"/>
      <c r="I67" s="473"/>
      <c r="J67" s="514">
        <v>0.0</v>
      </c>
      <c r="K67" s="468"/>
      <c r="L67" s="467"/>
      <c r="M67" s="468"/>
      <c r="N67" s="467"/>
      <c r="O67" s="473"/>
      <c r="P67" s="506">
        <v>0.0</v>
      </c>
      <c r="Q67" s="473"/>
      <c r="R67" s="467"/>
      <c r="S67" s="468"/>
      <c r="T67" s="467"/>
      <c r="U67" s="473"/>
    </row>
    <row r="68" ht="15.75" customHeight="1">
      <c r="A68" s="439"/>
      <c r="B68" s="465"/>
      <c r="C68" s="466"/>
      <c r="D68" s="467"/>
      <c r="E68" s="468"/>
      <c r="F68" s="467"/>
      <c r="G68" s="468"/>
      <c r="H68" s="467"/>
      <c r="I68" s="473"/>
      <c r="J68" s="467"/>
      <c r="K68" s="468"/>
      <c r="L68" s="467"/>
      <c r="M68" s="468"/>
      <c r="N68" s="467"/>
      <c r="O68" s="473"/>
      <c r="P68" s="474"/>
      <c r="Q68" s="473"/>
      <c r="R68" s="467"/>
      <c r="S68" s="468"/>
      <c r="T68" s="467"/>
      <c r="U68" s="473"/>
    </row>
    <row r="69" ht="15.75" customHeight="1">
      <c r="A69" s="439"/>
      <c r="B69" s="483"/>
      <c r="C69" s="484"/>
      <c r="D69" s="485"/>
      <c r="E69" s="486"/>
      <c r="F69" s="485"/>
      <c r="G69" s="486"/>
      <c r="H69" s="485"/>
      <c r="I69" s="489"/>
      <c r="J69" s="485"/>
      <c r="K69" s="486"/>
      <c r="L69" s="485"/>
      <c r="M69" s="486"/>
      <c r="N69" s="485"/>
      <c r="O69" s="489"/>
      <c r="P69" s="501"/>
      <c r="Q69" s="489"/>
      <c r="R69" s="485"/>
      <c r="S69" s="486"/>
      <c r="T69" s="485"/>
      <c r="U69" s="489"/>
    </row>
    <row r="70" ht="15.75" customHeight="1">
      <c r="A70" s="439"/>
      <c r="B70" s="490"/>
      <c r="C70" s="509" t="s">
        <v>216</v>
      </c>
      <c r="D70" s="459">
        <f>SUM(D71:D74)</f>
        <v>814380</v>
      </c>
      <c r="E70" s="460"/>
      <c r="F70" s="459">
        <f>SUM(F71:F74)</f>
        <v>0</v>
      </c>
      <c r="G70" s="460"/>
      <c r="H70" s="459"/>
      <c r="I70" s="460"/>
      <c r="J70" s="459">
        <f>SUM(J71:J74)</f>
        <v>836241</v>
      </c>
      <c r="K70" s="460"/>
      <c r="L70" s="459">
        <f>SUM(L71:L74)</f>
        <v>0</v>
      </c>
      <c r="M70" s="460"/>
      <c r="N70" s="459"/>
      <c r="O70" s="460"/>
      <c r="P70" s="491">
        <f>SUM(P71:P74)</f>
        <v>857475</v>
      </c>
      <c r="Q70" s="492"/>
      <c r="R70" s="459">
        <f>SUM(R71:R74)</f>
        <v>0</v>
      </c>
      <c r="S70" s="460"/>
      <c r="T70" s="459"/>
      <c r="U70" s="460"/>
    </row>
    <row r="71" ht="15.75" customHeight="1">
      <c r="A71" s="439"/>
      <c r="B71" s="497"/>
      <c r="C71" s="462" t="s">
        <v>217</v>
      </c>
      <c r="D71" s="463">
        <v>757545.0</v>
      </c>
      <c r="E71" s="464"/>
      <c r="F71" s="463"/>
      <c r="G71" s="464"/>
      <c r="H71" s="463"/>
      <c r="I71" s="464"/>
      <c r="J71" s="463">
        <v>757545.0</v>
      </c>
      <c r="K71" s="464"/>
      <c r="L71" s="463"/>
      <c r="M71" s="464"/>
      <c r="N71" s="463"/>
      <c r="O71" s="464"/>
      <c r="P71" s="505">
        <v>768435.0</v>
      </c>
      <c r="Q71" s="499"/>
      <c r="R71" s="463"/>
      <c r="S71" s="464"/>
      <c r="T71" s="463"/>
      <c r="U71" s="464"/>
    </row>
    <row r="72" ht="15.75" customHeight="1">
      <c r="A72" s="439"/>
      <c r="B72" s="465"/>
      <c r="C72" s="466" t="s">
        <v>218</v>
      </c>
      <c r="D72" s="467">
        <v>45260.0</v>
      </c>
      <c r="E72" s="468"/>
      <c r="F72" s="467"/>
      <c r="G72" s="468"/>
      <c r="H72" s="467"/>
      <c r="I72" s="468"/>
      <c r="J72" s="514">
        <v>66210.0</v>
      </c>
      <c r="K72" s="468"/>
      <c r="L72" s="467"/>
      <c r="M72" s="468"/>
      <c r="N72" s="467"/>
      <c r="O72" s="468"/>
      <c r="P72" s="506">
        <v>66210.0</v>
      </c>
      <c r="Q72" s="473"/>
      <c r="R72" s="467"/>
      <c r="S72" s="468"/>
      <c r="T72" s="467"/>
      <c r="U72" s="468"/>
    </row>
    <row r="73" ht="15.75" customHeight="1">
      <c r="A73" s="439"/>
      <c r="B73" s="465"/>
      <c r="C73" s="466" t="s">
        <v>219</v>
      </c>
      <c r="D73" s="467">
        <v>0.0</v>
      </c>
      <c r="E73" s="468"/>
      <c r="F73" s="467"/>
      <c r="G73" s="468"/>
      <c r="H73" s="467"/>
      <c r="I73" s="468"/>
      <c r="J73" s="467">
        <v>0.0</v>
      </c>
      <c r="K73" s="468"/>
      <c r="L73" s="467"/>
      <c r="M73" s="468"/>
      <c r="N73" s="467"/>
      <c r="O73" s="468"/>
      <c r="P73" s="506">
        <v>0.0</v>
      </c>
      <c r="Q73" s="473"/>
      <c r="R73" s="467"/>
      <c r="S73" s="468"/>
      <c r="T73" s="467"/>
      <c r="U73" s="468"/>
    </row>
    <row r="74" ht="15.75" customHeight="1">
      <c r="A74" s="439"/>
      <c r="B74" s="465"/>
      <c r="C74" s="466" t="s">
        <v>220</v>
      </c>
      <c r="D74" s="514">
        <v>11575.0</v>
      </c>
      <c r="E74" s="468"/>
      <c r="F74" s="467"/>
      <c r="G74" s="468"/>
      <c r="H74" s="467"/>
      <c r="I74" s="468"/>
      <c r="J74" s="514">
        <v>12486.0</v>
      </c>
      <c r="K74" s="468"/>
      <c r="L74" s="467"/>
      <c r="M74" s="468"/>
      <c r="N74" s="467"/>
      <c r="O74" s="468"/>
      <c r="P74" s="506">
        <v>22830.0</v>
      </c>
      <c r="Q74" s="473"/>
      <c r="R74" s="467"/>
      <c r="S74" s="468"/>
      <c r="T74" s="467"/>
      <c r="U74" s="468"/>
    </row>
    <row r="75" ht="15.75" customHeight="1">
      <c r="A75" s="439"/>
      <c r="B75" s="483"/>
      <c r="C75" s="510"/>
      <c r="D75" s="485"/>
      <c r="E75" s="486"/>
      <c r="F75" s="485"/>
      <c r="G75" s="486"/>
      <c r="H75" s="485"/>
      <c r="I75" s="486"/>
      <c r="J75" s="485"/>
      <c r="K75" s="486"/>
      <c r="L75" s="485"/>
      <c r="M75" s="486"/>
      <c r="N75" s="485"/>
      <c r="O75" s="486"/>
      <c r="P75" s="501"/>
      <c r="Q75" s="489"/>
      <c r="R75" s="485"/>
      <c r="S75" s="486"/>
      <c r="T75" s="485"/>
      <c r="U75" s="486"/>
    </row>
    <row r="76" ht="15.75" customHeight="1">
      <c r="A76" s="439"/>
      <c r="B76" s="490"/>
      <c r="C76" s="509" t="s">
        <v>37</v>
      </c>
      <c r="D76" s="459">
        <f>SUM(D77:D85)</f>
        <v>3786945.37</v>
      </c>
      <c r="E76" s="460"/>
      <c r="F76" s="459">
        <f>SUM(F77:F85)</f>
        <v>0</v>
      </c>
      <c r="G76" s="460"/>
      <c r="H76" s="459">
        <f>SUM(H77:H85)</f>
        <v>0</v>
      </c>
      <c r="I76" s="492"/>
      <c r="J76" s="459">
        <f>SUM(J77:J85)</f>
        <v>3976864.27</v>
      </c>
      <c r="K76" s="460"/>
      <c r="L76" s="459">
        <f>SUM(L77:L85)</f>
        <v>0</v>
      </c>
      <c r="M76" s="460"/>
      <c r="N76" s="459">
        <f>SUM(N77:N85)</f>
        <v>0</v>
      </c>
      <c r="O76" s="492"/>
      <c r="P76" s="491">
        <f>SUM(P77:P85)</f>
        <v>4055310.08</v>
      </c>
      <c r="Q76" s="492"/>
      <c r="R76" s="459">
        <f>SUM(R77:R85)</f>
        <v>0</v>
      </c>
      <c r="S76" s="460"/>
      <c r="T76" s="459">
        <f>SUM(T77:T85)</f>
        <v>0</v>
      </c>
      <c r="U76" s="492"/>
    </row>
    <row r="77" ht="15.75" customHeight="1">
      <c r="A77" s="439"/>
      <c r="B77" s="497"/>
      <c r="C77" s="462" t="s">
        <v>221</v>
      </c>
      <c r="D77" s="463">
        <v>0.0</v>
      </c>
      <c r="E77" s="464"/>
      <c r="F77" s="463"/>
      <c r="G77" s="464"/>
      <c r="H77" s="463"/>
      <c r="I77" s="499"/>
      <c r="J77" s="515">
        <v>0.0</v>
      </c>
      <c r="K77" s="464"/>
      <c r="L77" s="463"/>
      <c r="M77" s="464"/>
      <c r="N77" s="463"/>
      <c r="O77" s="499"/>
      <c r="P77" s="516">
        <v>0.0</v>
      </c>
      <c r="Q77" s="499"/>
      <c r="R77" s="463"/>
      <c r="S77" s="464"/>
      <c r="T77" s="463"/>
      <c r="U77" s="499"/>
    </row>
    <row r="78" ht="15.75" customHeight="1">
      <c r="A78" s="439"/>
      <c r="B78" s="465"/>
      <c r="C78" s="466" t="s">
        <v>222</v>
      </c>
      <c r="D78" s="474">
        <v>3653588.0</v>
      </c>
      <c r="E78" s="473"/>
      <c r="F78" s="467"/>
      <c r="G78" s="468"/>
      <c r="H78" s="467"/>
      <c r="I78" s="517"/>
      <c r="J78" s="518">
        <v>3783743.0</v>
      </c>
      <c r="K78" s="473"/>
      <c r="L78" s="467"/>
      <c r="M78" s="468"/>
      <c r="N78" s="467"/>
      <c r="O78" s="473"/>
      <c r="P78" s="519">
        <v>3804698.0</v>
      </c>
      <c r="Q78" s="473"/>
      <c r="R78" s="467"/>
      <c r="S78" s="468"/>
      <c r="T78" s="467"/>
      <c r="U78" s="473"/>
    </row>
    <row r="79" ht="15.75" customHeight="1">
      <c r="A79" s="439"/>
      <c r="B79" s="465"/>
      <c r="C79" s="466" t="s">
        <v>223</v>
      </c>
      <c r="D79" s="514">
        <v>19904.0</v>
      </c>
      <c r="E79" s="468"/>
      <c r="F79" s="467"/>
      <c r="G79" s="468"/>
      <c r="H79" s="467"/>
      <c r="I79" s="473"/>
      <c r="J79" s="463">
        <f>5000+1342</f>
        <v>6342</v>
      </c>
      <c r="K79" s="468"/>
      <c r="L79" s="467"/>
      <c r="M79" s="468"/>
      <c r="N79" s="467"/>
      <c r="O79" s="473"/>
      <c r="P79" s="505">
        <v>996.0</v>
      </c>
      <c r="Q79" s="473"/>
      <c r="R79" s="467"/>
      <c r="S79" s="468"/>
      <c r="T79" s="467"/>
      <c r="U79" s="473"/>
    </row>
    <row r="80" ht="15.75" customHeight="1">
      <c r="A80" s="439"/>
      <c r="B80" s="465"/>
      <c r="C80" s="466" t="s">
        <v>224</v>
      </c>
      <c r="D80" s="474"/>
      <c r="E80" s="489"/>
      <c r="F80" s="485"/>
      <c r="G80" s="486"/>
      <c r="H80" s="485"/>
      <c r="I80" s="489"/>
      <c r="J80" s="485"/>
      <c r="K80" s="468"/>
      <c r="L80" s="467"/>
      <c r="M80" s="468"/>
      <c r="N80" s="467"/>
      <c r="O80" s="473"/>
      <c r="P80" s="501"/>
      <c r="Q80" s="473"/>
      <c r="R80" s="467"/>
      <c r="S80" s="468"/>
      <c r="T80" s="467"/>
      <c r="U80" s="473"/>
    </row>
    <row r="81" ht="15.75" customHeight="1">
      <c r="A81" s="439"/>
      <c r="B81" s="465"/>
      <c r="C81" s="465" t="s">
        <v>225</v>
      </c>
      <c r="D81" s="474">
        <v>72087.0</v>
      </c>
      <c r="E81" s="520"/>
      <c r="F81" s="521"/>
      <c r="G81" s="521"/>
      <c r="H81" s="521"/>
      <c r="I81" s="521"/>
      <c r="J81" s="518">
        <v>78816.9</v>
      </c>
      <c r="K81" s="473"/>
      <c r="L81" s="467"/>
      <c r="M81" s="468"/>
      <c r="N81" s="467"/>
      <c r="O81" s="473"/>
      <c r="P81" s="519">
        <f>7873.08+241120</f>
        <v>248993.08</v>
      </c>
      <c r="Q81" s="473"/>
      <c r="R81" s="467"/>
      <c r="S81" s="468"/>
      <c r="T81" s="467"/>
      <c r="U81" s="473"/>
    </row>
    <row r="82" ht="15.75" customHeight="1">
      <c r="A82" s="439"/>
      <c r="B82" s="465"/>
      <c r="C82" s="466" t="s">
        <v>226</v>
      </c>
      <c r="D82" s="474"/>
      <c r="E82" s="499"/>
      <c r="F82" s="463"/>
      <c r="G82" s="464"/>
      <c r="H82" s="463"/>
      <c r="I82" s="499"/>
      <c r="J82" s="515"/>
      <c r="K82" s="468"/>
      <c r="L82" s="467"/>
      <c r="M82" s="468"/>
      <c r="N82" s="467"/>
      <c r="O82" s="473"/>
      <c r="P82" s="522"/>
      <c r="Q82" s="473"/>
      <c r="R82" s="467"/>
      <c r="S82" s="468"/>
      <c r="T82" s="467"/>
      <c r="U82" s="473"/>
    </row>
    <row r="83" ht="15.75" customHeight="1">
      <c r="A83" s="439"/>
      <c r="B83" s="465"/>
      <c r="C83" s="466" t="s">
        <v>227</v>
      </c>
      <c r="D83" s="474">
        <v>37496.37</v>
      </c>
      <c r="E83" s="473"/>
      <c r="F83" s="467"/>
      <c r="G83" s="468"/>
      <c r="H83" s="467"/>
      <c r="I83" s="517"/>
      <c r="J83" s="518">
        <v>107962.37</v>
      </c>
      <c r="K83" s="473"/>
      <c r="L83" s="467"/>
      <c r="M83" s="468"/>
      <c r="N83" s="467"/>
      <c r="O83" s="473"/>
      <c r="P83" s="519">
        <v>623.0</v>
      </c>
      <c r="Q83" s="473"/>
      <c r="R83" s="467"/>
      <c r="S83" s="468"/>
      <c r="T83" s="467"/>
      <c r="U83" s="473"/>
    </row>
    <row r="84" ht="15.75" customHeight="1">
      <c r="A84" s="439"/>
      <c r="B84" s="465"/>
      <c r="C84" s="466" t="s">
        <v>228</v>
      </c>
      <c r="D84" s="467"/>
      <c r="E84" s="468"/>
      <c r="F84" s="467"/>
      <c r="G84" s="468"/>
      <c r="H84" s="467"/>
      <c r="I84" s="473"/>
      <c r="J84" s="463"/>
      <c r="K84" s="468"/>
      <c r="L84" s="467"/>
      <c r="M84" s="468"/>
      <c r="N84" s="467"/>
      <c r="O84" s="473"/>
      <c r="P84" s="498"/>
      <c r="Q84" s="473"/>
      <c r="R84" s="467"/>
      <c r="S84" s="468"/>
      <c r="T84" s="467"/>
      <c r="U84" s="473"/>
    </row>
    <row r="85" ht="15.75" customHeight="1">
      <c r="A85" s="439"/>
      <c r="B85" s="465"/>
      <c r="C85" s="523" t="s">
        <v>229</v>
      </c>
      <c r="D85" s="514">
        <v>3870.0</v>
      </c>
      <c r="E85" s="468"/>
      <c r="F85" s="467"/>
      <c r="G85" s="468"/>
      <c r="H85" s="467"/>
      <c r="I85" s="473"/>
      <c r="J85" s="467"/>
      <c r="K85" s="468"/>
      <c r="L85" s="467"/>
      <c r="M85" s="468"/>
      <c r="N85" s="467"/>
      <c r="O85" s="473"/>
      <c r="P85" s="474"/>
      <c r="Q85" s="473"/>
      <c r="R85" s="467"/>
      <c r="S85" s="468"/>
      <c r="T85" s="467"/>
      <c r="U85" s="473"/>
    </row>
    <row r="86" ht="15.75" customHeight="1">
      <c r="A86" s="439"/>
      <c r="B86" s="483"/>
      <c r="C86" s="510"/>
      <c r="D86" s="485"/>
      <c r="E86" s="486"/>
      <c r="F86" s="485"/>
      <c r="G86" s="486"/>
      <c r="H86" s="485"/>
      <c r="I86" s="489"/>
      <c r="J86" s="485"/>
      <c r="K86" s="486"/>
      <c r="L86" s="485"/>
      <c r="M86" s="486"/>
      <c r="N86" s="485"/>
      <c r="O86" s="489"/>
      <c r="P86" s="501"/>
      <c r="Q86" s="489"/>
      <c r="R86" s="485"/>
      <c r="S86" s="486"/>
      <c r="T86" s="485"/>
      <c r="U86" s="489"/>
    </row>
    <row r="87" ht="15.75" customHeight="1">
      <c r="A87" s="439"/>
      <c r="B87" s="490"/>
      <c r="C87" s="509" t="s">
        <v>38</v>
      </c>
      <c r="D87" s="459">
        <f>SUM(D88:D92)</f>
        <v>412150</v>
      </c>
      <c r="E87" s="460"/>
      <c r="F87" s="459">
        <f>SUM(F88:F92)</f>
        <v>0</v>
      </c>
      <c r="G87" s="460"/>
      <c r="H87" s="459">
        <f>SUM(H88:H92)</f>
        <v>0</v>
      </c>
      <c r="I87" s="492"/>
      <c r="J87" s="459">
        <f>SUM(J88:J92)</f>
        <v>452266</v>
      </c>
      <c r="K87" s="460"/>
      <c r="L87" s="459">
        <f>SUM(L88:L92)</f>
        <v>0</v>
      </c>
      <c r="M87" s="460"/>
      <c r="N87" s="459">
        <f>SUM(N88:N92)</f>
        <v>0</v>
      </c>
      <c r="O87" s="492"/>
      <c r="P87" s="491">
        <f>SUM(P88:P92)</f>
        <v>371750</v>
      </c>
      <c r="Q87" s="492"/>
      <c r="R87" s="459">
        <f>SUM(R88:R92)</f>
        <v>0</v>
      </c>
      <c r="S87" s="460"/>
      <c r="T87" s="459">
        <f>SUM(T88:T92)</f>
        <v>0</v>
      </c>
      <c r="U87" s="492"/>
    </row>
    <row r="88" ht="15.75" customHeight="1">
      <c r="A88" s="439"/>
      <c r="B88" s="497"/>
      <c r="C88" s="462" t="s">
        <v>230</v>
      </c>
      <c r="D88" s="463">
        <v>0.0</v>
      </c>
      <c r="E88" s="464"/>
      <c r="F88" s="463"/>
      <c r="G88" s="464"/>
      <c r="H88" s="463"/>
      <c r="I88" s="499"/>
      <c r="J88" s="515">
        <v>0.0</v>
      </c>
      <c r="K88" s="464"/>
      <c r="L88" s="463"/>
      <c r="M88" s="464"/>
      <c r="N88" s="463"/>
      <c r="O88" s="499"/>
      <c r="P88" s="516">
        <v>0.0</v>
      </c>
      <c r="Q88" s="499"/>
      <c r="R88" s="463"/>
      <c r="S88" s="464"/>
      <c r="T88" s="463"/>
      <c r="U88" s="499"/>
    </row>
    <row r="89" ht="15.75" customHeight="1">
      <c r="A89" s="439"/>
      <c r="B89" s="465"/>
      <c r="C89" s="466" t="s">
        <v>231</v>
      </c>
      <c r="D89" s="474">
        <v>377034.0</v>
      </c>
      <c r="E89" s="473"/>
      <c r="F89" s="467"/>
      <c r="G89" s="468"/>
      <c r="H89" s="467"/>
      <c r="I89" s="517"/>
      <c r="J89" s="518">
        <v>387659.0</v>
      </c>
      <c r="K89" s="473"/>
      <c r="L89" s="467"/>
      <c r="M89" s="468"/>
      <c r="N89" s="467"/>
      <c r="O89" s="473"/>
      <c r="P89" s="519">
        <v>339693.0</v>
      </c>
      <c r="Q89" s="473"/>
      <c r="R89" s="467"/>
      <c r="S89" s="468"/>
      <c r="T89" s="467"/>
      <c r="U89" s="473"/>
    </row>
    <row r="90" ht="15.75" customHeight="1">
      <c r="A90" s="439"/>
      <c r="B90" s="465"/>
      <c r="C90" s="466" t="s">
        <v>232</v>
      </c>
      <c r="D90" s="467">
        <v>0.0</v>
      </c>
      <c r="E90" s="468"/>
      <c r="F90" s="467"/>
      <c r="G90" s="468"/>
      <c r="H90" s="467"/>
      <c r="I90" s="473"/>
      <c r="J90" s="463">
        <v>0.0</v>
      </c>
      <c r="K90" s="468"/>
      <c r="L90" s="467"/>
      <c r="M90" s="468"/>
      <c r="N90" s="467"/>
      <c r="O90" s="473"/>
      <c r="P90" s="505">
        <v>0.0</v>
      </c>
      <c r="Q90" s="473"/>
      <c r="R90" s="467"/>
      <c r="S90" s="468"/>
      <c r="T90" s="467"/>
      <c r="U90" s="473"/>
    </row>
    <row r="91" ht="15.75" customHeight="1">
      <c r="A91" s="439"/>
      <c r="B91" s="465"/>
      <c r="C91" s="466" t="s">
        <v>233</v>
      </c>
      <c r="D91" s="467">
        <v>35116.0</v>
      </c>
      <c r="E91" s="468"/>
      <c r="F91" s="467"/>
      <c r="G91" s="468"/>
      <c r="H91" s="467"/>
      <c r="I91" s="473"/>
      <c r="J91" s="514">
        <v>64607.0</v>
      </c>
      <c r="K91" s="468"/>
      <c r="L91" s="467"/>
      <c r="M91" s="468"/>
      <c r="N91" s="467"/>
      <c r="O91" s="473"/>
      <c r="P91" s="506">
        <v>32057.0</v>
      </c>
      <c r="Q91" s="473"/>
      <c r="R91" s="467"/>
      <c r="S91" s="468"/>
      <c r="T91" s="467"/>
      <c r="U91" s="473"/>
    </row>
    <row r="92" ht="15.75" customHeight="1">
      <c r="A92" s="439"/>
      <c r="B92" s="465"/>
      <c r="C92" s="466" t="s">
        <v>234</v>
      </c>
      <c r="D92" s="514">
        <v>0.0</v>
      </c>
      <c r="E92" s="468"/>
      <c r="F92" s="467"/>
      <c r="G92" s="468"/>
      <c r="H92" s="467"/>
      <c r="I92" s="473"/>
      <c r="J92" s="514">
        <v>0.0</v>
      </c>
      <c r="K92" s="468"/>
      <c r="L92" s="467"/>
      <c r="M92" s="468"/>
      <c r="N92" s="467"/>
      <c r="O92" s="473"/>
      <c r="P92" s="506">
        <v>0.0</v>
      </c>
      <c r="Q92" s="473"/>
      <c r="R92" s="467"/>
      <c r="S92" s="468"/>
      <c r="T92" s="467"/>
      <c r="U92" s="473"/>
    </row>
    <row r="93" ht="15.75" customHeight="1">
      <c r="A93" s="439"/>
      <c r="B93" s="483"/>
      <c r="C93" s="484"/>
      <c r="D93" s="485"/>
      <c r="E93" s="486"/>
      <c r="F93" s="485"/>
      <c r="G93" s="486"/>
      <c r="H93" s="485"/>
      <c r="I93" s="489"/>
      <c r="J93" s="485"/>
      <c r="K93" s="486"/>
      <c r="L93" s="485"/>
      <c r="M93" s="486"/>
      <c r="N93" s="485"/>
      <c r="O93" s="489"/>
      <c r="P93" s="501"/>
      <c r="Q93" s="489"/>
      <c r="R93" s="485"/>
      <c r="S93" s="486"/>
      <c r="T93" s="485"/>
      <c r="U93" s="489"/>
    </row>
    <row r="94" ht="15.75" customHeight="1">
      <c r="A94" s="439"/>
      <c r="B94" s="490"/>
      <c r="C94" s="509" t="s">
        <v>235</v>
      </c>
      <c r="D94" s="459">
        <f>SUM(D95:D96)</f>
        <v>264358</v>
      </c>
      <c r="E94" s="460"/>
      <c r="F94" s="459">
        <f>SUM(F95:F96)</f>
        <v>0</v>
      </c>
      <c r="G94" s="460"/>
      <c r="H94" s="459"/>
      <c r="I94" s="492"/>
      <c r="J94" s="459">
        <f>SUM(J95:J96)</f>
        <v>168877.5</v>
      </c>
      <c r="K94" s="460"/>
      <c r="L94" s="459">
        <f>SUM(L95:L96)</f>
        <v>0</v>
      </c>
      <c r="M94" s="460"/>
      <c r="N94" s="459"/>
      <c r="O94" s="492"/>
      <c r="P94" s="491">
        <f>SUM(P95:P96)</f>
        <v>93519</v>
      </c>
      <c r="Q94" s="492"/>
      <c r="R94" s="459">
        <f>SUM(R95:R96)</f>
        <v>0</v>
      </c>
      <c r="S94" s="460"/>
      <c r="T94" s="459"/>
      <c r="U94" s="492"/>
    </row>
    <row r="95" ht="15.75" customHeight="1">
      <c r="A95" s="439"/>
      <c r="B95" s="497"/>
      <c r="C95" s="462" t="s">
        <v>236</v>
      </c>
      <c r="D95" s="513">
        <v>66632.0</v>
      </c>
      <c r="E95" s="464"/>
      <c r="F95" s="463"/>
      <c r="G95" s="464"/>
      <c r="H95" s="463"/>
      <c r="I95" s="499"/>
      <c r="J95" s="463">
        <v>54044.5</v>
      </c>
      <c r="K95" s="464"/>
      <c r="L95" s="463"/>
      <c r="M95" s="464"/>
      <c r="N95" s="463"/>
      <c r="O95" s="499"/>
      <c r="P95" s="505">
        <v>1700.0</v>
      </c>
      <c r="Q95" s="499"/>
      <c r="R95" s="463"/>
      <c r="S95" s="464"/>
      <c r="T95" s="463"/>
      <c r="U95" s="499"/>
    </row>
    <row r="96" ht="15.75" customHeight="1">
      <c r="A96" s="439"/>
      <c r="B96" s="465"/>
      <c r="C96" s="466" t="s">
        <v>237</v>
      </c>
      <c r="D96" s="514">
        <v>197726.0</v>
      </c>
      <c r="E96" s="468"/>
      <c r="F96" s="467"/>
      <c r="G96" s="468"/>
      <c r="H96" s="467"/>
      <c r="I96" s="473"/>
      <c r="J96" s="514">
        <v>114833.0</v>
      </c>
      <c r="K96" s="468"/>
      <c r="L96" s="467"/>
      <c r="M96" s="468"/>
      <c r="N96" s="467"/>
      <c r="O96" s="473"/>
      <c r="P96" s="506">
        <v>91819.0</v>
      </c>
      <c r="Q96" s="473"/>
      <c r="R96" s="467"/>
      <c r="S96" s="468"/>
      <c r="T96" s="467"/>
      <c r="U96" s="473"/>
    </row>
    <row r="97" ht="15.75" customHeight="1">
      <c r="A97" s="439"/>
      <c r="B97" s="483"/>
      <c r="C97" s="484"/>
      <c r="D97" s="485"/>
      <c r="E97" s="486"/>
      <c r="F97" s="485"/>
      <c r="G97" s="486"/>
      <c r="H97" s="485"/>
      <c r="I97" s="489"/>
      <c r="J97" s="485"/>
      <c r="K97" s="486"/>
      <c r="L97" s="485"/>
      <c r="M97" s="486"/>
      <c r="N97" s="485"/>
      <c r="O97" s="489"/>
      <c r="P97" s="501"/>
      <c r="Q97" s="489"/>
      <c r="R97" s="485"/>
      <c r="S97" s="486"/>
      <c r="T97" s="485"/>
      <c r="U97" s="489"/>
    </row>
    <row r="98" ht="15.75" customHeight="1">
      <c r="A98" s="439"/>
      <c r="B98" s="490"/>
      <c r="C98" s="509" t="s">
        <v>40</v>
      </c>
      <c r="D98" s="459">
        <f>SUM(D99:D112)</f>
        <v>284762.5</v>
      </c>
      <c r="E98" s="460"/>
      <c r="F98" s="459">
        <f>SUM(F99:F111)</f>
        <v>737.5</v>
      </c>
      <c r="G98" s="460"/>
      <c r="H98" s="459">
        <f>SUM(H99:H111)</f>
        <v>737.5</v>
      </c>
      <c r="I98" s="492"/>
      <c r="J98" s="459">
        <f>SUM(J99:J112)</f>
        <v>2020285.5</v>
      </c>
      <c r="K98" s="460"/>
      <c r="L98" s="459">
        <f>SUM(L99:L111)</f>
        <v>9737.5</v>
      </c>
      <c r="M98" s="460"/>
      <c r="N98" s="459">
        <f>SUM(N99:N111)</f>
        <v>9737.5</v>
      </c>
      <c r="O98" s="492"/>
      <c r="P98" s="491">
        <f>SUM(P99:P112)</f>
        <v>307783.5</v>
      </c>
      <c r="Q98" s="492"/>
      <c r="R98" s="459">
        <f>SUM(R99:R111)</f>
        <v>0</v>
      </c>
      <c r="S98" s="460"/>
      <c r="T98" s="459">
        <f>SUM(T99:T111)</f>
        <v>0</v>
      </c>
      <c r="U98" s="492"/>
    </row>
    <row r="99" ht="15.75" customHeight="1">
      <c r="A99" s="439"/>
      <c r="B99" s="497"/>
      <c r="C99" s="462" t="s">
        <v>238</v>
      </c>
      <c r="D99" s="463">
        <v>0.0</v>
      </c>
      <c r="E99" s="464"/>
      <c r="F99" s="463"/>
      <c r="G99" s="464"/>
      <c r="H99" s="463"/>
      <c r="I99" s="499"/>
      <c r="J99" s="463">
        <v>0.0</v>
      </c>
      <c r="K99" s="464"/>
      <c r="L99" s="463"/>
      <c r="M99" s="464"/>
      <c r="N99" s="463"/>
      <c r="O99" s="499"/>
      <c r="P99" s="505">
        <v>0.0</v>
      </c>
      <c r="Q99" s="499"/>
      <c r="R99" s="463"/>
      <c r="S99" s="464"/>
      <c r="T99" s="463"/>
      <c r="U99" s="499"/>
    </row>
    <row r="100" ht="15.75" customHeight="1">
      <c r="A100" s="439"/>
      <c r="B100" s="465"/>
      <c r="C100" s="466" t="s">
        <v>239</v>
      </c>
      <c r="D100" s="514">
        <v>0.0</v>
      </c>
      <c r="E100" s="468"/>
      <c r="F100" s="467"/>
      <c r="G100" s="468"/>
      <c r="H100" s="467"/>
      <c r="I100" s="473"/>
      <c r="J100" s="514">
        <v>0.0</v>
      </c>
      <c r="K100" s="468"/>
      <c r="L100" s="467"/>
      <c r="M100" s="468"/>
      <c r="N100" s="467"/>
      <c r="O100" s="473"/>
      <c r="P100" s="506">
        <v>0.0</v>
      </c>
      <c r="Q100" s="473"/>
      <c r="R100" s="467"/>
      <c r="S100" s="468"/>
      <c r="T100" s="467"/>
      <c r="U100" s="473"/>
    </row>
    <row r="101" ht="15.75" customHeight="1">
      <c r="A101" s="439"/>
      <c r="B101" s="465"/>
      <c r="C101" s="466" t="s">
        <v>240</v>
      </c>
      <c r="D101" s="514">
        <v>0.0</v>
      </c>
      <c r="E101" s="468"/>
      <c r="F101" s="467"/>
      <c r="G101" s="468"/>
      <c r="H101" s="467"/>
      <c r="I101" s="473"/>
      <c r="J101" s="514">
        <v>0.0</v>
      </c>
      <c r="K101" s="468"/>
      <c r="L101" s="467"/>
      <c r="M101" s="468"/>
      <c r="N101" s="467"/>
      <c r="O101" s="473"/>
      <c r="P101" s="506">
        <v>0.0</v>
      </c>
      <c r="Q101" s="473"/>
      <c r="R101" s="467"/>
      <c r="S101" s="468"/>
      <c r="T101" s="467"/>
      <c r="U101" s="473"/>
    </row>
    <row r="102" ht="15.75" customHeight="1">
      <c r="A102" s="439"/>
      <c r="B102" s="465"/>
      <c r="C102" s="466" t="s">
        <v>241</v>
      </c>
      <c r="D102" s="514">
        <v>0.0</v>
      </c>
      <c r="E102" s="468"/>
      <c r="F102" s="467"/>
      <c r="G102" s="468"/>
      <c r="H102" s="467"/>
      <c r="I102" s="473"/>
      <c r="J102" s="514">
        <v>0.0</v>
      </c>
      <c r="K102" s="468"/>
      <c r="L102" s="467"/>
      <c r="M102" s="468"/>
      <c r="N102" s="467"/>
      <c r="O102" s="473"/>
      <c r="P102" s="506">
        <v>0.0</v>
      </c>
      <c r="Q102" s="473"/>
      <c r="R102" s="467"/>
      <c r="S102" s="468"/>
      <c r="T102" s="467"/>
      <c r="U102" s="473"/>
    </row>
    <row r="103" ht="15.75" customHeight="1">
      <c r="A103" s="439"/>
      <c r="B103" s="465"/>
      <c r="C103" s="466" t="s">
        <v>242</v>
      </c>
      <c r="D103" s="514">
        <v>49665.0</v>
      </c>
      <c r="E103" s="468"/>
      <c r="F103" s="467"/>
      <c r="G103" s="468"/>
      <c r="H103" s="467"/>
      <c r="I103" s="473"/>
      <c r="J103" s="514">
        <v>130360.0</v>
      </c>
      <c r="K103" s="468"/>
      <c r="L103" s="467"/>
      <c r="M103" s="468"/>
      <c r="N103" s="467"/>
      <c r="O103" s="473"/>
      <c r="P103" s="506">
        <v>56181.0</v>
      </c>
      <c r="Q103" s="473"/>
      <c r="R103" s="467"/>
      <c r="S103" s="468"/>
      <c r="T103" s="467"/>
      <c r="U103" s="473"/>
    </row>
    <row r="104" ht="15.75" customHeight="1">
      <c r="A104" s="439"/>
      <c r="B104" s="465"/>
      <c r="C104" s="466" t="s">
        <v>243</v>
      </c>
      <c r="D104" s="514">
        <v>9737.5</v>
      </c>
      <c r="E104" s="467">
        <v>737.5</v>
      </c>
      <c r="F104" s="467">
        <v>737.5</v>
      </c>
      <c r="G104" s="467">
        <v>737.5</v>
      </c>
      <c r="H104" s="467">
        <v>737.5</v>
      </c>
      <c r="I104" s="467">
        <v>737.5</v>
      </c>
      <c r="J104" s="514">
        <v>9737.5</v>
      </c>
      <c r="K104" s="514">
        <v>9737.5</v>
      </c>
      <c r="L104" s="514">
        <v>9737.5</v>
      </c>
      <c r="M104" s="514">
        <v>9737.5</v>
      </c>
      <c r="N104" s="514">
        <v>9737.5</v>
      </c>
      <c r="O104" s="514">
        <v>9737.5</v>
      </c>
      <c r="P104" s="506">
        <v>9737.5</v>
      </c>
      <c r="Q104" s="473"/>
      <c r="R104" s="467"/>
      <c r="S104" s="468"/>
      <c r="T104" s="467"/>
      <c r="U104" s="473"/>
    </row>
    <row r="105" ht="15.75" customHeight="1">
      <c r="A105" s="439"/>
      <c r="B105" s="465"/>
      <c r="C105" s="466" t="s">
        <v>244</v>
      </c>
      <c r="D105" s="514">
        <v>156080.0</v>
      </c>
      <c r="E105" s="468"/>
      <c r="F105" s="467"/>
      <c r="G105" s="468"/>
      <c r="H105" s="467"/>
      <c r="I105" s="473"/>
      <c r="J105" s="467">
        <v>1842716.0</v>
      </c>
      <c r="K105" s="468"/>
      <c r="L105" s="467"/>
      <c r="M105" s="468"/>
      <c r="N105" s="467"/>
      <c r="O105" s="473"/>
      <c r="P105" s="506">
        <v>217920.0</v>
      </c>
      <c r="Q105" s="473"/>
      <c r="R105" s="467"/>
      <c r="S105" s="468"/>
      <c r="T105" s="467"/>
      <c r="U105" s="473"/>
    </row>
    <row r="106" ht="15.75" customHeight="1">
      <c r="A106" s="439"/>
      <c r="B106" s="465"/>
      <c r="C106" s="466" t="s">
        <v>245</v>
      </c>
      <c r="D106" s="514">
        <v>0.0</v>
      </c>
      <c r="E106" s="468"/>
      <c r="F106" s="467"/>
      <c r="G106" s="468"/>
      <c r="H106" s="467"/>
      <c r="I106" s="473"/>
      <c r="J106" s="514">
        <v>0.0</v>
      </c>
      <c r="K106" s="468"/>
      <c r="L106" s="467"/>
      <c r="M106" s="468"/>
      <c r="N106" s="467"/>
      <c r="O106" s="473"/>
      <c r="P106" s="506">
        <v>0.0</v>
      </c>
      <c r="Q106" s="473"/>
      <c r="R106" s="467"/>
      <c r="S106" s="468"/>
      <c r="T106" s="467"/>
      <c r="U106" s="473"/>
    </row>
    <row r="107" ht="15.75" customHeight="1">
      <c r="A107" s="439"/>
      <c r="B107" s="465"/>
      <c r="C107" s="466" t="s">
        <v>246</v>
      </c>
      <c r="D107" s="514">
        <v>0.0</v>
      </c>
      <c r="E107" s="468"/>
      <c r="F107" s="467"/>
      <c r="G107" s="468"/>
      <c r="H107" s="467"/>
      <c r="I107" s="473"/>
      <c r="J107" s="514">
        <v>0.0</v>
      </c>
      <c r="K107" s="468"/>
      <c r="L107" s="467"/>
      <c r="M107" s="468"/>
      <c r="N107" s="467"/>
      <c r="O107" s="473"/>
      <c r="P107" s="506">
        <v>0.0</v>
      </c>
      <c r="Q107" s="473"/>
      <c r="R107" s="467"/>
      <c r="S107" s="468"/>
      <c r="T107" s="467"/>
      <c r="U107" s="473"/>
    </row>
    <row r="108" ht="15.75" customHeight="1">
      <c r="A108" s="439"/>
      <c r="B108" s="465"/>
      <c r="C108" s="466" t="s">
        <v>247</v>
      </c>
      <c r="D108" s="514">
        <v>0.0</v>
      </c>
      <c r="E108" s="468"/>
      <c r="F108" s="467"/>
      <c r="G108" s="468"/>
      <c r="H108" s="467"/>
      <c r="I108" s="473"/>
      <c r="J108" s="514">
        <v>0.0</v>
      </c>
      <c r="K108" s="468"/>
      <c r="L108" s="467"/>
      <c r="M108" s="468"/>
      <c r="N108" s="467"/>
      <c r="O108" s="473"/>
      <c r="P108" s="506">
        <v>0.0</v>
      </c>
      <c r="Q108" s="473"/>
      <c r="R108" s="467"/>
      <c r="S108" s="468"/>
      <c r="T108" s="467"/>
      <c r="U108" s="473"/>
    </row>
    <row r="109" ht="15.75" customHeight="1">
      <c r="A109" s="439"/>
      <c r="B109" s="465"/>
      <c r="C109" s="466" t="s">
        <v>248</v>
      </c>
      <c r="D109" s="467">
        <v>52380.0</v>
      </c>
      <c r="E109" s="468"/>
      <c r="F109" s="467"/>
      <c r="G109" s="468"/>
      <c r="H109" s="467"/>
      <c r="I109" s="473"/>
      <c r="J109" s="467">
        <v>37472.0</v>
      </c>
      <c r="K109" s="468"/>
      <c r="L109" s="467"/>
      <c r="M109" s="468"/>
      <c r="N109" s="467"/>
      <c r="O109" s="473"/>
      <c r="P109" s="506">
        <v>0.0</v>
      </c>
      <c r="Q109" s="473"/>
      <c r="R109" s="467"/>
      <c r="S109" s="468"/>
      <c r="T109" s="467"/>
      <c r="U109" s="473"/>
    </row>
    <row r="110" ht="15.75" customHeight="1">
      <c r="A110" s="439"/>
      <c r="B110" s="465"/>
      <c r="C110" s="466" t="s">
        <v>249</v>
      </c>
      <c r="D110" s="514">
        <v>0.0</v>
      </c>
      <c r="E110" s="468"/>
      <c r="F110" s="467"/>
      <c r="G110" s="468"/>
      <c r="H110" s="467"/>
      <c r="I110" s="473"/>
      <c r="J110" s="514">
        <v>0.0</v>
      </c>
      <c r="K110" s="468"/>
      <c r="L110" s="467"/>
      <c r="M110" s="468"/>
      <c r="N110" s="467"/>
      <c r="O110" s="473"/>
      <c r="P110" s="506">
        <v>0.0</v>
      </c>
      <c r="Q110" s="473"/>
      <c r="R110" s="467"/>
      <c r="S110" s="468"/>
      <c r="T110" s="467"/>
      <c r="U110" s="473"/>
    </row>
    <row r="111" ht="15.75" customHeight="1">
      <c r="A111" s="439"/>
      <c r="B111" s="465"/>
      <c r="C111" s="466" t="s">
        <v>174</v>
      </c>
      <c r="D111" s="514">
        <v>16900.0</v>
      </c>
      <c r="E111" s="468"/>
      <c r="F111" s="467"/>
      <c r="G111" s="468"/>
      <c r="H111" s="467"/>
      <c r="I111" s="473"/>
      <c r="J111" s="514">
        <v>0.0</v>
      </c>
      <c r="K111" s="468"/>
      <c r="L111" s="467"/>
      <c r="M111" s="468"/>
      <c r="N111" s="467"/>
      <c r="O111" s="473"/>
      <c r="P111" s="506">
        <v>23945.0</v>
      </c>
      <c r="Q111" s="473"/>
      <c r="R111" s="467"/>
      <c r="S111" s="468"/>
      <c r="T111" s="467"/>
      <c r="U111" s="473"/>
    </row>
    <row r="112" ht="15.75" customHeight="1">
      <c r="A112" s="439"/>
      <c r="B112" s="483"/>
      <c r="C112" s="524"/>
      <c r="D112" s="485"/>
      <c r="E112" s="486"/>
      <c r="F112" s="485"/>
      <c r="G112" s="486"/>
      <c r="H112" s="485"/>
      <c r="I112" s="489"/>
      <c r="J112" s="485"/>
      <c r="K112" s="486"/>
      <c r="L112" s="485"/>
      <c r="M112" s="486"/>
      <c r="N112" s="485"/>
      <c r="O112" s="489"/>
      <c r="P112" s="501"/>
      <c r="Q112" s="489"/>
      <c r="R112" s="485"/>
      <c r="S112" s="486"/>
      <c r="T112" s="485"/>
      <c r="U112" s="489"/>
    </row>
    <row r="113" ht="15.75" customHeight="1">
      <c r="A113" s="439"/>
      <c r="B113" s="490"/>
      <c r="C113" s="509" t="s">
        <v>41</v>
      </c>
      <c r="D113" s="459">
        <f>SUM(D114:D116)</f>
        <v>190049</v>
      </c>
      <c r="E113" s="460">
        <f>SUM(E114:E115)</f>
        <v>0</v>
      </c>
      <c r="F113" s="459">
        <f>SUM(F114:F116)</f>
        <v>0</v>
      </c>
      <c r="G113" s="460"/>
      <c r="H113" s="459"/>
      <c r="I113" s="492">
        <f>SUM(I114:I115)</f>
        <v>0</v>
      </c>
      <c r="J113" s="459">
        <f>SUM(J114:J116)</f>
        <v>652549</v>
      </c>
      <c r="K113" s="460">
        <f>SUM(K114:K115)</f>
        <v>0</v>
      </c>
      <c r="L113" s="459">
        <f>SUM(L114:L116)</f>
        <v>0</v>
      </c>
      <c r="M113" s="460"/>
      <c r="N113" s="459"/>
      <c r="O113" s="492">
        <f>SUM(O114:O115)</f>
        <v>0</v>
      </c>
      <c r="P113" s="491">
        <f>SUM(P114:P116)</f>
        <v>185073</v>
      </c>
      <c r="Q113" s="492">
        <f>SUM(Q114:Q115)</f>
        <v>0</v>
      </c>
      <c r="R113" s="459">
        <f>SUM(R114:R116)</f>
        <v>0</v>
      </c>
      <c r="S113" s="460"/>
      <c r="T113" s="459"/>
      <c r="U113" s="492">
        <f>SUM(U114:U115)</f>
        <v>0</v>
      </c>
    </row>
    <row r="114" ht="15.75" customHeight="1">
      <c r="A114" s="439"/>
      <c r="B114" s="497"/>
      <c r="C114" s="462" t="s">
        <v>250</v>
      </c>
      <c r="D114" s="463"/>
      <c r="E114" s="464"/>
      <c r="F114" s="463"/>
      <c r="G114" s="464"/>
      <c r="H114" s="463"/>
      <c r="I114" s="499"/>
      <c r="J114" s="463"/>
      <c r="K114" s="464"/>
      <c r="L114" s="463"/>
      <c r="M114" s="464"/>
      <c r="N114" s="463"/>
      <c r="O114" s="499"/>
      <c r="P114" s="498"/>
      <c r="Q114" s="499"/>
      <c r="R114" s="463"/>
      <c r="S114" s="464"/>
      <c r="T114" s="463"/>
      <c r="U114" s="499"/>
    </row>
    <row r="115" ht="15.75" customHeight="1">
      <c r="A115" s="439"/>
      <c r="B115" s="465"/>
      <c r="C115" s="466" t="s">
        <v>251</v>
      </c>
      <c r="D115" s="514">
        <v>190049.0</v>
      </c>
      <c r="E115" s="468"/>
      <c r="F115" s="467"/>
      <c r="G115" s="468"/>
      <c r="H115" s="467"/>
      <c r="I115" s="473"/>
      <c r="J115" s="514">
        <v>652549.0</v>
      </c>
      <c r="K115" s="468"/>
      <c r="L115" s="467"/>
      <c r="M115" s="468"/>
      <c r="N115" s="467"/>
      <c r="O115" s="473"/>
      <c r="P115" s="506">
        <v>185073.0</v>
      </c>
      <c r="Q115" s="473"/>
      <c r="R115" s="467"/>
      <c r="S115" s="468"/>
      <c r="T115" s="467"/>
      <c r="U115" s="473"/>
    </row>
    <row r="116" ht="15.75" customHeight="1">
      <c r="A116" s="439"/>
      <c r="B116" s="483"/>
      <c r="C116" s="484"/>
      <c r="D116" s="485"/>
      <c r="E116" s="486"/>
      <c r="F116" s="485"/>
      <c r="G116" s="486"/>
      <c r="H116" s="485"/>
      <c r="I116" s="489"/>
      <c r="J116" s="485"/>
      <c r="K116" s="486"/>
      <c r="L116" s="485"/>
      <c r="M116" s="486"/>
      <c r="N116" s="485"/>
      <c r="O116" s="489"/>
      <c r="P116" s="501"/>
      <c r="Q116" s="489"/>
      <c r="R116" s="485"/>
      <c r="S116" s="486"/>
      <c r="T116" s="485"/>
      <c r="U116" s="489"/>
    </row>
    <row r="117" ht="15.75" customHeight="1">
      <c r="A117" s="439"/>
      <c r="B117" s="490"/>
      <c r="C117" s="509" t="s">
        <v>42</v>
      </c>
      <c r="D117" s="459">
        <f>SUM(D118:D119)</f>
        <v>329532</v>
      </c>
      <c r="E117" s="460"/>
      <c r="F117" s="459">
        <f>SUM(F118:F119)</f>
        <v>0</v>
      </c>
      <c r="G117" s="460"/>
      <c r="H117" s="459"/>
      <c r="I117" s="492"/>
      <c r="J117" s="459">
        <f>SUM(J118:J119)</f>
        <v>448987</v>
      </c>
      <c r="K117" s="460"/>
      <c r="L117" s="459">
        <f>SUM(L118:L119)</f>
        <v>0</v>
      </c>
      <c r="M117" s="460"/>
      <c r="N117" s="459"/>
      <c r="O117" s="492"/>
      <c r="P117" s="491">
        <f>SUM(P118:P119)</f>
        <v>827982</v>
      </c>
      <c r="Q117" s="492"/>
      <c r="R117" s="459">
        <f>SUM(R118:R119)</f>
        <v>0</v>
      </c>
      <c r="S117" s="460"/>
      <c r="T117" s="459"/>
      <c r="U117" s="492"/>
    </row>
    <row r="118" ht="15.75" customHeight="1">
      <c r="A118" s="439"/>
      <c r="B118" s="497"/>
      <c r="C118" s="462" t="s">
        <v>252</v>
      </c>
      <c r="D118" s="513">
        <v>329532.0</v>
      </c>
      <c r="E118" s="464"/>
      <c r="F118" s="463"/>
      <c r="G118" s="464"/>
      <c r="H118" s="463"/>
      <c r="I118" s="499"/>
      <c r="J118" s="513">
        <v>448987.0</v>
      </c>
      <c r="K118" s="464"/>
      <c r="L118" s="463"/>
      <c r="M118" s="464"/>
      <c r="N118" s="463"/>
      <c r="O118" s="499"/>
      <c r="P118" s="505">
        <v>827982.0</v>
      </c>
      <c r="Q118" s="499"/>
      <c r="R118" s="463"/>
      <c r="S118" s="464"/>
      <c r="T118" s="463"/>
      <c r="U118" s="499"/>
    </row>
    <row r="119" ht="15.75" customHeight="1">
      <c r="A119" s="439"/>
      <c r="B119" s="465"/>
      <c r="C119" s="466" t="s">
        <v>253</v>
      </c>
      <c r="D119" s="467"/>
      <c r="E119" s="468"/>
      <c r="F119" s="467"/>
      <c r="G119" s="468"/>
      <c r="H119" s="467"/>
      <c r="I119" s="473"/>
      <c r="J119" s="467"/>
      <c r="K119" s="468"/>
      <c r="L119" s="467"/>
      <c r="M119" s="468"/>
      <c r="N119" s="467"/>
      <c r="O119" s="473"/>
      <c r="P119" s="474"/>
      <c r="Q119" s="473"/>
      <c r="R119" s="467"/>
      <c r="S119" s="468"/>
      <c r="T119" s="467"/>
      <c r="U119" s="473"/>
    </row>
    <row r="120" ht="15.75" customHeight="1">
      <c r="A120" s="439"/>
      <c r="B120" s="525"/>
      <c r="C120" s="484"/>
      <c r="D120" s="485"/>
      <c r="E120" s="486"/>
      <c r="F120" s="485"/>
      <c r="G120" s="486"/>
      <c r="H120" s="485"/>
      <c r="I120" s="489"/>
      <c r="J120" s="485"/>
      <c r="K120" s="486"/>
      <c r="L120" s="485"/>
      <c r="M120" s="486"/>
      <c r="N120" s="485"/>
      <c r="O120" s="489"/>
      <c r="P120" s="501"/>
      <c r="Q120" s="489"/>
      <c r="R120" s="485"/>
      <c r="S120" s="486"/>
      <c r="T120" s="485"/>
      <c r="U120" s="489"/>
    </row>
    <row r="121" ht="15.75" customHeight="1">
      <c r="A121" s="439"/>
      <c r="B121" s="490"/>
      <c r="C121" s="458" t="s">
        <v>254</v>
      </c>
      <c r="D121" s="459">
        <f>D43+D52+D63+D70+D76+D87+D94+D98+D113+D117</f>
        <v>6242004.383</v>
      </c>
      <c r="E121" s="460"/>
      <c r="F121" s="459">
        <f>F43+F52+F63+F70+F76+F87+F94+F98+F113+F117</f>
        <v>53837.5</v>
      </c>
      <c r="G121" s="460"/>
      <c r="H121" s="459"/>
      <c r="I121" s="492"/>
      <c r="J121" s="459">
        <f>J43+J52+J63+J70+J76+J87+J94+J98+J113+J117</f>
        <v>8630445.27</v>
      </c>
      <c r="K121" s="460"/>
      <c r="L121" s="459">
        <f>L43+L52+L63+L70+L76+L87+L94+L98+L113+L117</f>
        <v>62837.5</v>
      </c>
      <c r="M121" s="460"/>
      <c r="N121" s="459"/>
      <c r="O121" s="492"/>
      <c r="P121" s="491">
        <f>P43+P52+P63+P70+P76+P87+P94+P98+P113+P117</f>
        <v>6801586.58</v>
      </c>
      <c r="Q121" s="492"/>
      <c r="R121" s="459">
        <f>R43+R52+R63+R70+R76+R87+R94+R98+R113+R117</f>
        <v>0</v>
      </c>
      <c r="S121" s="460"/>
      <c r="T121" s="459"/>
      <c r="U121" s="492"/>
    </row>
    <row r="122" ht="15.75" customHeight="1">
      <c r="A122" s="439"/>
      <c r="B122" s="526"/>
      <c r="C122" s="453"/>
      <c r="D122" s="515"/>
      <c r="E122" s="527"/>
      <c r="F122" s="515"/>
      <c r="G122" s="527"/>
      <c r="H122" s="515"/>
      <c r="I122" s="528"/>
      <c r="J122" s="515"/>
      <c r="K122" s="527"/>
      <c r="L122" s="515"/>
      <c r="M122" s="527"/>
      <c r="N122" s="515"/>
      <c r="O122" s="528"/>
      <c r="P122" s="522"/>
      <c r="Q122" s="528"/>
      <c r="R122" s="515"/>
      <c r="S122" s="527"/>
      <c r="T122" s="515"/>
      <c r="U122" s="528"/>
    </row>
    <row r="123" ht="15.75" customHeight="1">
      <c r="A123" s="439"/>
      <c r="B123" s="490"/>
      <c r="C123" s="458" t="s">
        <v>255</v>
      </c>
      <c r="D123" s="459">
        <f>D35-D121</f>
        <v>-6242004.383</v>
      </c>
      <c r="E123" s="460"/>
      <c r="F123" s="459">
        <f>F35-F121</f>
        <v>-53837.5</v>
      </c>
      <c r="G123" s="460"/>
      <c r="H123" s="459">
        <f>H35-H121</f>
        <v>0</v>
      </c>
      <c r="I123" s="492"/>
      <c r="J123" s="459">
        <f>J35-J121</f>
        <v>-8630445.27</v>
      </c>
      <c r="K123" s="460"/>
      <c r="L123" s="459">
        <f>L35-L121</f>
        <v>-62837.5</v>
      </c>
      <c r="M123" s="460"/>
      <c r="N123" s="459">
        <f>N35-N121</f>
        <v>0</v>
      </c>
      <c r="O123" s="492"/>
      <c r="P123" s="491">
        <f>P35-P121</f>
        <v>-6803550.58</v>
      </c>
      <c r="Q123" s="492"/>
      <c r="R123" s="459">
        <f>R35-R121</f>
        <v>0</v>
      </c>
      <c r="S123" s="460"/>
      <c r="T123" s="459">
        <f>T35-T121</f>
        <v>0</v>
      </c>
      <c r="U123" s="492"/>
    </row>
    <row r="124" ht="15.75" customHeight="1">
      <c r="A124" s="439"/>
      <c r="B124" s="439"/>
      <c r="C124" s="439"/>
      <c r="D124" s="439"/>
      <c r="E124" s="439"/>
      <c r="F124" s="439"/>
      <c r="G124" s="439"/>
      <c r="H124" s="439"/>
      <c r="I124" s="439"/>
      <c r="J124" s="439"/>
      <c r="K124" s="439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</row>
    <row r="125" ht="15.75" customHeight="1">
      <c r="A125" s="439"/>
      <c r="B125" s="439"/>
      <c r="C125" s="439"/>
      <c r="D125" s="439"/>
      <c r="E125" s="439"/>
      <c r="F125" s="439"/>
      <c r="G125" s="439"/>
      <c r="H125" s="439"/>
      <c r="I125" s="439"/>
      <c r="J125" s="439"/>
      <c r="K125" s="439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</row>
    <row r="126" ht="15.75" customHeight="1">
      <c r="A126" s="439"/>
      <c r="B126" s="439"/>
      <c r="C126" s="439"/>
      <c r="D126" s="439"/>
      <c r="E126" s="439"/>
      <c r="F126" s="439"/>
      <c r="G126" s="439"/>
      <c r="H126" s="439"/>
      <c r="I126" s="439"/>
      <c r="J126" s="439"/>
      <c r="K126" s="439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</row>
    <row r="127" ht="15.75" customHeight="1">
      <c r="A127" s="439"/>
      <c r="B127" s="439"/>
      <c r="C127" s="439"/>
      <c r="D127" s="439"/>
      <c r="E127" s="439"/>
      <c r="F127" s="439"/>
      <c r="G127" s="439"/>
      <c r="H127" s="439"/>
      <c r="I127" s="439"/>
      <c r="J127" s="439"/>
      <c r="K127" s="439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</row>
    <row r="128" ht="15.75" customHeight="1">
      <c r="A128" s="439"/>
      <c r="B128" s="439"/>
      <c r="C128" s="439"/>
      <c r="D128" s="439"/>
      <c r="E128" s="439"/>
      <c r="F128" s="439"/>
      <c r="G128" s="439"/>
      <c r="H128" s="439"/>
      <c r="I128" s="439"/>
      <c r="J128" s="439"/>
      <c r="K128" s="439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</row>
    <row r="129" ht="15.75" customHeight="1">
      <c r="A129" s="439"/>
      <c r="B129" s="439"/>
      <c r="C129" s="439"/>
      <c r="D129" s="439"/>
      <c r="E129" s="439"/>
      <c r="F129" s="439"/>
      <c r="G129" s="439"/>
      <c r="H129" s="439"/>
      <c r="I129" s="439"/>
      <c r="J129" s="439"/>
      <c r="K129" s="439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</row>
    <row r="130" ht="15.75" customHeight="1">
      <c r="A130" s="439"/>
      <c r="B130" s="439"/>
      <c r="C130" s="439"/>
      <c r="D130" s="439"/>
      <c r="E130" s="439"/>
      <c r="F130" s="439"/>
      <c r="G130" s="439"/>
      <c r="H130" s="439"/>
      <c r="I130" s="439"/>
      <c r="J130" s="439"/>
      <c r="K130" s="439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</row>
    <row r="131" ht="15.75" customHeight="1">
      <c r="A131" s="439"/>
      <c r="B131" s="439"/>
      <c r="C131" s="439"/>
      <c r="D131" s="439"/>
      <c r="E131" s="439"/>
      <c r="F131" s="439"/>
      <c r="G131" s="439"/>
      <c r="H131" s="439"/>
      <c r="I131" s="439"/>
      <c r="J131" s="439"/>
      <c r="K131" s="439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</row>
    <row r="132" ht="15.75" customHeight="1">
      <c r="A132" s="439"/>
      <c r="B132" s="439"/>
      <c r="C132" s="439"/>
      <c r="D132" s="439"/>
      <c r="E132" s="439"/>
      <c r="F132" s="439"/>
      <c r="G132" s="439"/>
      <c r="H132" s="439"/>
      <c r="I132" s="439"/>
      <c r="J132" s="439"/>
      <c r="K132" s="439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</row>
    <row r="133" ht="15.75" customHeight="1">
      <c r="A133" s="439"/>
      <c r="B133" s="439"/>
      <c r="C133" s="439"/>
      <c r="D133" s="439"/>
      <c r="E133" s="439"/>
      <c r="F133" s="439"/>
      <c r="G133" s="439"/>
      <c r="H133" s="439"/>
      <c r="I133" s="439"/>
      <c r="J133" s="439"/>
      <c r="K133" s="439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</row>
    <row r="134" ht="15.75" customHeight="1">
      <c r="A134" s="439"/>
      <c r="B134" s="439"/>
      <c r="C134" s="439"/>
      <c r="D134" s="439"/>
      <c r="E134" s="439"/>
      <c r="F134" s="439"/>
      <c r="G134" s="439"/>
      <c r="H134" s="439"/>
      <c r="I134" s="439"/>
      <c r="J134" s="439"/>
      <c r="K134" s="439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</row>
    <row r="135" ht="15.75" customHeight="1">
      <c r="A135" s="439"/>
      <c r="B135" s="439"/>
      <c r="C135" s="439"/>
      <c r="D135" s="439"/>
      <c r="E135" s="439"/>
      <c r="F135" s="439"/>
      <c r="G135" s="439"/>
      <c r="H135" s="439"/>
      <c r="I135" s="439"/>
      <c r="J135" s="439"/>
      <c r="K135" s="439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</row>
    <row r="136" ht="15.75" customHeight="1">
      <c r="A136" s="439"/>
      <c r="B136" s="439"/>
      <c r="C136" s="439"/>
      <c r="D136" s="439"/>
      <c r="E136" s="439"/>
      <c r="F136" s="439"/>
      <c r="G136" s="439"/>
      <c r="H136" s="439"/>
      <c r="I136" s="439"/>
      <c r="J136" s="439"/>
      <c r="K136" s="439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</row>
    <row r="137" ht="15.75" customHeight="1">
      <c r="A137" s="439"/>
      <c r="B137" s="439"/>
      <c r="C137" s="439"/>
      <c r="D137" s="439"/>
      <c r="E137" s="439"/>
      <c r="F137" s="439"/>
      <c r="G137" s="439"/>
      <c r="H137" s="439"/>
      <c r="I137" s="439"/>
      <c r="J137" s="439"/>
      <c r="K137" s="439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</row>
    <row r="138" ht="15.75" customHeight="1">
      <c r="A138" s="439"/>
      <c r="B138" s="439"/>
      <c r="C138" s="439"/>
      <c r="D138" s="439"/>
      <c r="E138" s="439"/>
      <c r="F138" s="439"/>
      <c r="G138" s="439"/>
      <c r="H138" s="439"/>
      <c r="I138" s="439"/>
      <c r="J138" s="439"/>
      <c r="K138" s="439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</row>
    <row r="139" ht="15.75" customHeight="1">
      <c r="A139" s="439"/>
      <c r="B139" s="439"/>
      <c r="C139" s="439"/>
      <c r="D139" s="439"/>
      <c r="E139" s="439"/>
      <c r="F139" s="439"/>
      <c r="G139" s="439"/>
      <c r="H139" s="439"/>
      <c r="I139" s="439"/>
      <c r="J139" s="439"/>
      <c r="K139" s="439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</row>
    <row r="140" ht="15.75" customHeight="1">
      <c r="A140" s="439"/>
      <c r="B140" s="439"/>
      <c r="C140" s="439"/>
      <c r="D140" s="439"/>
      <c r="E140" s="439"/>
      <c r="F140" s="439"/>
      <c r="G140" s="439"/>
      <c r="H140" s="439"/>
      <c r="I140" s="439"/>
      <c r="J140" s="439"/>
      <c r="K140" s="439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</row>
    <row r="141" ht="15.75" customHeight="1">
      <c r="A141" s="439"/>
      <c r="B141" s="439"/>
      <c r="C141" s="439"/>
      <c r="D141" s="439"/>
      <c r="E141" s="439"/>
      <c r="F141" s="439"/>
      <c r="G141" s="439"/>
      <c r="H141" s="439"/>
      <c r="I141" s="439"/>
      <c r="J141" s="439"/>
      <c r="K141" s="439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</row>
    <row r="142" ht="15.75" customHeight="1">
      <c r="A142" s="439"/>
      <c r="B142" s="439"/>
      <c r="C142" s="439"/>
      <c r="D142" s="439"/>
      <c r="E142" s="439"/>
      <c r="F142" s="439"/>
      <c r="G142" s="439"/>
      <c r="H142" s="439"/>
      <c r="I142" s="439"/>
      <c r="J142" s="439"/>
      <c r="K142" s="439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</row>
    <row r="143" ht="15.75" customHeight="1">
      <c r="A143" s="439"/>
      <c r="B143" s="439"/>
      <c r="C143" s="439"/>
      <c r="D143" s="439"/>
      <c r="E143" s="439"/>
      <c r="F143" s="439"/>
      <c r="G143" s="439"/>
      <c r="H143" s="439"/>
      <c r="I143" s="439"/>
      <c r="J143" s="439"/>
      <c r="K143" s="439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</row>
    <row r="144" ht="15.75" customHeight="1">
      <c r="A144" s="439"/>
      <c r="B144" s="439"/>
      <c r="C144" s="439"/>
      <c r="D144" s="439"/>
      <c r="E144" s="439"/>
      <c r="F144" s="439"/>
      <c r="G144" s="439"/>
      <c r="H144" s="439"/>
      <c r="I144" s="439"/>
      <c r="J144" s="439"/>
      <c r="K144" s="439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</row>
    <row r="145" ht="15.75" customHeight="1">
      <c r="A145" s="439"/>
      <c r="B145" s="439"/>
      <c r="C145" s="439"/>
      <c r="D145" s="439"/>
      <c r="E145" s="439"/>
      <c r="F145" s="439"/>
      <c r="G145" s="439"/>
      <c r="H145" s="439"/>
      <c r="I145" s="439"/>
      <c r="J145" s="439"/>
      <c r="K145" s="439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</row>
    <row r="146" ht="15.75" customHeight="1">
      <c r="A146" s="439"/>
      <c r="B146" s="439"/>
      <c r="C146" s="439"/>
      <c r="D146" s="439"/>
      <c r="E146" s="439"/>
      <c r="F146" s="439"/>
      <c r="G146" s="439"/>
      <c r="H146" s="439"/>
      <c r="I146" s="439"/>
      <c r="J146" s="439"/>
      <c r="K146" s="439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</row>
    <row r="147" ht="15.75" customHeight="1">
      <c r="A147" s="439"/>
      <c r="B147" s="439"/>
      <c r="C147" s="439"/>
      <c r="D147" s="439"/>
      <c r="E147" s="439"/>
      <c r="F147" s="439"/>
      <c r="G147" s="439"/>
      <c r="H147" s="439"/>
      <c r="I147" s="439"/>
      <c r="J147" s="439"/>
      <c r="K147" s="439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</row>
    <row r="148" ht="15.75" customHeight="1">
      <c r="A148" s="439"/>
      <c r="B148" s="439"/>
      <c r="C148" s="439"/>
      <c r="D148" s="439"/>
      <c r="E148" s="439"/>
      <c r="F148" s="439"/>
      <c r="G148" s="439"/>
      <c r="H148" s="439"/>
      <c r="I148" s="439"/>
      <c r="J148" s="439"/>
      <c r="K148" s="439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</row>
    <row r="149" ht="15.75" customHeight="1">
      <c r="A149" s="439"/>
      <c r="B149" s="439"/>
      <c r="C149" s="439"/>
      <c r="D149" s="439"/>
      <c r="E149" s="439"/>
      <c r="F149" s="439"/>
      <c r="G149" s="439"/>
      <c r="H149" s="439"/>
      <c r="I149" s="439"/>
      <c r="J149" s="439"/>
      <c r="K149" s="439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</row>
    <row r="150" ht="15.75" customHeight="1">
      <c r="A150" s="439"/>
      <c r="B150" s="439"/>
      <c r="C150" s="439"/>
      <c r="D150" s="439"/>
      <c r="E150" s="439"/>
      <c r="F150" s="439"/>
      <c r="G150" s="439"/>
      <c r="H150" s="439"/>
      <c r="I150" s="439"/>
      <c r="J150" s="439"/>
      <c r="K150" s="439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</row>
    <row r="151" ht="15.75" customHeight="1">
      <c r="A151" s="439"/>
      <c r="B151" s="439"/>
      <c r="C151" s="439"/>
      <c r="D151" s="439"/>
      <c r="E151" s="439"/>
      <c r="F151" s="439"/>
      <c r="G151" s="439"/>
      <c r="H151" s="439"/>
      <c r="I151" s="439"/>
      <c r="J151" s="439"/>
      <c r="K151" s="439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</row>
    <row r="152" ht="15.75" customHeight="1">
      <c r="A152" s="439"/>
      <c r="B152" s="439"/>
      <c r="C152" s="439"/>
      <c r="D152" s="439"/>
      <c r="E152" s="439"/>
      <c r="F152" s="439"/>
      <c r="G152" s="439"/>
      <c r="H152" s="439"/>
      <c r="I152" s="439"/>
      <c r="J152" s="439"/>
      <c r="K152" s="439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</row>
    <row r="153" ht="15.75" customHeight="1">
      <c r="A153" s="439"/>
      <c r="B153" s="439"/>
      <c r="C153" s="439"/>
      <c r="D153" s="439"/>
      <c r="E153" s="439"/>
      <c r="F153" s="439"/>
      <c r="G153" s="439"/>
      <c r="H153" s="439"/>
      <c r="I153" s="439"/>
      <c r="J153" s="439"/>
      <c r="K153" s="439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</row>
    <row r="154" ht="15.75" customHeight="1">
      <c r="A154" s="439"/>
      <c r="B154" s="439"/>
      <c r="C154" s="439"/>
      <c r="D154" s="439"/>
      <c r="E154" s="439"/>
      <c r="F154" s="439"/>
      <c r="G154" s="439"/>
      <c r="H154" s="439"/>
      <c r="I154" s="439"/>
      <c r="J154" s="439"/>
      <c r="K154" s="439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</row>
    <row r="155" ht="15.75" customHeight="1">
      <c r="A155" s="439"/>
      <c r="B155" s="439"/>
      <c r="C155" s="439"/>
      <c r="D155" s="439"/>
      <c r="E155" s="439"/>
      <c r="F155" s="439"/>
      <c r="G155" s="439"/>
      <c r="H155" s="439"/>
      <c r="I155" s="439"/>
      <c r="J155" s="439"/>
      <c r="K155" s="439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</row>
    <row r="156" ht="15.75" customHeight="1">
      <c r="A156" s="439"/>
      <c r="B156" s="439"/>
      <c r="C156" s="439"/>
      <c r="D156" s="439"/>
      <c r="E156" s="439"/>
      <c r="F156" s="439"/>
      <c r="G156" s="439"/>
      <c r="H156" s="439"/>
      <c r="I156" s="439"/>
      <c r="J156" s="439"/>
      <c r="K156" s="439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</row>
    <row r="157" ht="15.75" customHeight="1">
      <c r="A157" s="439"/>
      <c r="B157" s="439"/>
      <c r="C157" s="439"/>
      <c r="D157" s="439"/>
      <c r="E157" s="439"/>
      <c r="F157" s="439"/>
      <c r="G157" s="439"/>
      <c r="H157" s="439"/>
      <c r="I157" s="439"/>
      <c r="J157" s="439"/>
      <c r="K157" s="439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</row>
    <row r="158" ht="15.75" customHeight="1">
      <c r="A158" s="439"/>
      <c r="B158" s="439"/>
      <c r="C158" s="439"/>
      <c r="D158" s="439"/>
      <c r="E158" s="439"/>
      <c r="F158" s="439"/>
      <c r="G158" s="439"/>
      <c r="H158" s="439"/>
      <c r="I158" s="439"/>
      <c r="J158" s="439"/>
      <c r="K158" s="439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</row>
    <row r="159" ht="15.75" customHeight="1">
      <c r="A159" s="439"/>
      <c r="B159" s="439"/>
      <c r="C159" s="439"/>
      <c r="D159" s="439"/>
      <c r="E159" s="439"/>
      <c r="F159" s="439"/>
      <c r="G159" s="439"/>
      <c r="H159" s="439"/>
      <c r="I159" s="439"/>
      <c r="J159" s="439"/>
      <c r="K159" s="439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</row>
    <row r="160" ht="15.75" customHeight="1">
      <c r="A160" s="439"/>
      <c r="B160" s="439"/>
      <c r="C160" s="439"/>
      <c r="D160" s="439"/>
      <c r="E160" s="439"/>
      <c r="F160" s="439"/>
      <c r="G160" s="439"/>
      <c r="H160" s="439"/>
      <c r="I160" s="439"/>
      <c r="J160" s="439"/>
      <c r="K160" s="439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</row>
    <row r="161" ht="15.75" customHeight="1">
      <c r="A161" s="439"/>
      <c r="B161" s="439"/>
      <c r="C161" s="439"/>
      <c r="D161" s="439"/>
      <c r="E161" s="439"/>
      <c r="F161" s="439"/>
      <c r="G161" s="439"/>
      <c r="H161" s="439"/>
      <c r="I161" s="439"/>
      <c r="J161" s="439"/>
      <c r="K161" s="439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</row>
    <row r="162" ht="15.75" customHeight="1">
      <c r="A162" s="439"/>
      <c r="B162" s="439"/>
      <c r="C162" s="439"/>
      <c r="D162" s="439"/>
      <c r="E162" s="439"/>
      <c r="F162" s="439"/>
      <c r="G162" s="439"/>
      <c r="H162" s="439"/>
      <c r="I162" s="439"/>
      <c r="J162" s="439"/>
      <c r="K162" s="439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</row>
    <row r="163" ht="15.75" customHeight="1">
      <c r="A163" s="439"/>
      <c r="B163" s="439"/>
      <c r="C163" s="439"/>
      <c r="D163" s="439"/>
      <c r="E163" s="439"/>
      <c r="F163" s="439"/>
      <c r="G163" s="439"/>
      <c r="H163" s="439"/>
      <c r="I163" s="439"/>
      <c r="J163" s="439"/>
      <c r="K163" s="439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</row>
    <row r="164" ht="15.75" customHeight="1">
      <c r="A164" s="439"/>
      <c r="B164" s="439"/>
      <c r="C164" s="439"/>
      <c r="D164" s="439"/>
      <c r="E164" s="439"/>
      <c r="F164" s="439"/>
      <c r="G164" s="439"/>
      <c r="H164" s="439"/>
      <c r="I164" s="439"/>
      <c r="J164" s="439"/>
      <c r="K164" s="439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</row>
    <row r="165" ht="15.75" customHeight="1">
      <c r="A165" s="439"/>
      <c r="B165" s="439"/>
      <c r="C165" s="439"/>
      <c r="D165" s="439"/>
      <c r="E165" s="439"/>
      <c r="F165" s="439"/>
      <c r="G165" s="439"/>
      <c r="H165" s="439"/>
      <c r="I165" s="439"/>
      <c r="J165" s="439"/>
      <c r="K165" s="439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</row>
    <row r="166" ht="15.75" customHeight="1">
      <c r="A166" s="439"/>
      <c r="B166" s="439"/>
      <c r="C166" s="439"/>
      <c r="D166" s="439"/>
      <c r="E166" s="439"/>
      <c r="F166" s="439"/>
      <c r="G166" s="439"/>
      <c r="H166" s="439"/>
      <c r="I166" s="439"/>
      <c r="J166" s="439"/>
      <c r="K166" s="439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</row>
    <row r="167" ht="15.75" customHeight="1">
      <c r="A167" s="439"/>
      <c r="B167" s="439"/>
      <c r="C167" s="439"/>
      <c r="D167" s="439"/>
      <c r="E167" s="439"/>
      <c r="F167" s="439"/>
      <c r="G167" s="439"/>
      <c r="H167" s="439"/>
      <c r="I167" s="439"/>
      <c r="J167" s="439"/>
      <c r="K167" s="439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</row>
    <row r="168" ht="15.75" customHeight="1">
      <c r="A168" s="439"/>
      <c r="B168" s="439"/>
      <c r="C168" s="439"/>
      <c r="D168" s="439"/>
      <c r="E168" s="439"/>
      <c r="F168" s="439"/>
      <c r="G168" s="439"/>
      <c r="H168" s="439"/>
      <c r="I168" s="439"/>
      <c r="J168" s="439"/>
      <c r="K168" s="439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</row>
    <row r="169" ht="15.75" customHeight="1">
      <c r="A169" s="439"/>
      <c r="B169" s="439"/>
      <c r="C169" s="439"/>
      <c r="D169" s="439"/>
      <c r="E169" s="439"/>
      <c r="F169" s="439"/>
      <c r="G169" s="439"/>
      <c r="H169" s="439"/>
      <c r="I169" s="439"/>
      <c r="J169" s="439"/>
      <c r="K169" s="439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</row>
    <row r="170" ht="15.75" customHeight="1">
      <c r="A170" s="439"/>
      <c r="B170" s="439"/>
      <c r="C170" s="439"/>
      <c r="D170" s="439"/>
      <c r="E170" s="439"/>
      <c r="F170" s="439"/>
      <c r="G170" s="439"/>
      <c r="H170" s="439"/>
      <c r="I170" s="439"/>
      <c r="J170" s="439"/>
      <c r="K170" s="439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</row>
    <row r="171" ht="15.75" customHeight="1">
      <c r="A171" s="439"/>
      <c r="B171" s="439"/>
      <c r="C171" s="439"/>
      <c r="D171" s="439"/>
      <c r="E171" s="439"/>
      <c r="F171" s="439"/>
      <c r="G171" s="439"/>
      <c r="H171" s="439"/>
      <c r="I171" s="439"/>
      <c r="J171" s="439"/>
      <c r="K171" s="439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</row>
    <row r="172" ht="15.75" customHeight="1">
      <c r="A172" s="439"/>
      <c r="B172" s="439"/>
      <c r="C172" s="439"/>
      <c r="D172" s="439"/>
      <c r="E172" s="439"/>
      <c r="F172" s="439"/>
      <c r="G172" s="439"/>
      <c r="H172" s="439"/>
      <c r="I172" s="439"/>
      <c r="J172" s="439"/>
      <c r="K172" s="439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</row>
    <row r="173" ht="15.75" customHeight="1">
      <c r="A173" s="439"/>
      <c r="B173" s="439"/>
      <c r="C173" s="439"/>
      <c r="D173" s="439"/>
      <c r="E173" s="439"/>
      <c r="F173" s="439"/>
      <c r="G173" s="439"/>
      <c r="H173" s="439"/>
      <c r="I173" s="439"/>
      <c r="J173" s="439"/>
      <c r="K173" s="439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</row>
    <row r="174" ht="15.75" customHeight="1">
      <c r="A174" s="439"/>
      <c r="B174" s="439"/>
      <c r="C174" s="439"/>
      <c r="D174" s="439"/>
      <c r="E174" s="439"/>
      <c r="F174" s="439"/>
      <c r="G174" s="439"/>
      <c r="H174" s="439"/>
      <c r="I174" s="439"/>
      <c r="J174" s="439"/>
      <c r="K174" s="439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</row>
    <row r="175" ht="15.75" customHeight="1">
      <c r="A175" s="439"/>
      <c r="B175" s="439"/>
      <c r="C175" s="439"/>
      <c r="D175" s="439"/>
      <c r="E175" s="439"/>
      <c r="F175" s="439"/>
      <c r="G175" s="439"/>
      <c r="H175" s="439"/>
      <c r="I175" s="439"/>
      <c r="J175" s="439"/>
      <c r="K175" s="439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</row>
    <row r="176" ht="15.75" customHeight="1">
      <c r="A176" s="439"/>
      <c r="B176" s="439"/>
      <c r="C176" s="439"/>
      <c r="D176" s="439"/>
      <c r="E176" s="439"/>
      <c r="F176" s="439"/>
      <c r="G176" s="439"/>
      <c r="H176" s="439"/>
      <c r="I176" s="439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</row>
    <row r="177" ht="15.75" customHeight="1">
      <c r="A177" s="439"/>
      <c r="B177" s="439"/>
      <c r="C177" s="439"/>
      <c r="D177" s="439"/>
      <c r="E177" s="439"/>
      <c r="F177" s="439"/>
      <c r="G177" s="439"/>
      <c r="H177" s="439"/>
      <c r="I177" s="439"/>
      <c r="J177" s="439"/>
      <c r="K177" s="439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</row>
    <row r="178" ht="15.75" customHeight="1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</row>
    <row r="179" ht="15.75" customHeight="1">
      <c r="A179" s="439"/>
      <c r="B179" s="439"/>
      <c r="C179" s="439"/>
      <c r="D179" s="439"/>
      <c r="E179" s="439"/>
      <c r="F179" s="439"/>
      <c r="G179" s="439"/>
      <c r="H179" s="439"/>
      <c r="I179" s="439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</row>
    <row r="180" ht="15.75" customHeight="1">
      <c r="A180" s="439"/>
      <c r="B180" s="439"/>
      <c r="C180" s="439"/>
      <c r="D180" s="439"/>
      <c r="E180" s="439"/>
      <c r="F180" s="439"/>
      <c r="G180" s="439"/>
      <c r="H180" s="439"/>
      <c r="I180" s="439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</row>
    <row r="181" ht="15.75" customHeight="1">
      <c r="A181" s="439"/>
      <c r="B181" s="439"/>
      <c r="C181" s="439"/>
      <c r="D181" s="439"/>
      <c r="E181" s="439"/>
      <c r="F181" s="439"/>
      <c r="G181" s="439"/>
      <c r="H181" s="439"/>
      <c r="I181" s="439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</row>
    <row r="182" ht="15.75" customHeight="1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</row>
    <row r="183" ht="15.75" customHeight="1">
      <c r="A183" s="439"/>
      <c r="B183" s="439"/>
      <c r="C183" s="439"/>
      <c r="D183" s="439"/>
      <c r="E183" s="439"/>
      <c r="F183" s="439"/>
      <c r="G183" s="439"/>
      <c r="H183" s="439"/>
      <c r="I183" s="439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</row>
    <row r="184" ht="15.75" customHeight="1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</row>
    <row r="185" ht="15.75" customHeight="1">
      <c r="A185" s="439"/>
      <c r="B185" s="439"/>
      <c r="C185" s="439"/>
      <c r="D185" s="439"/>
      <c r="E185" s="439"/>
      <c r="F185" s="439"/>
      <c r="G185" s="439"/>
      <c r="H185" s="439"/>
      <c r="I185" s="439"/>
      <c r="J185" s="439"/>
      <c r="K185" s="439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</row>
    <row r="186" ht="15.75" customHeight="1">
      <c r="A186" s="439"/>
      <c r="B186" s="439"/>
      <c r="C186" s="439"/>
      <c r="D186" s="439"/>
      <c r="E186" s="439"/>
      <c r="F186" s="439"/>
      <c r="G186" s="439"/>
      <c r="H186" s="439"/>
      <c r="I186" s="439"/>
      <c r="J186" s="439"/>
      <c r="K186" s="439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</row>
    <row r="187" ht="15.75" customHeight="1">
      <c r="A187" s="439"/>
      <c r="B187" s="439"/>
      <c r="C187" s="439"/>
      <c r="D187" s="439"/>
      <c r="E187" s="439"/>
      <c r="F187" s="439"/>
      <c r="G187" s="439"/>
      <c r="H187" s="439"/>
      <c r="I187" s="439"/>
      <c r="J187" s="439"/>
      <c r="K187" s="439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</row>
    <row r="188" ht="15.75" customHeight="1">
      <c r="A188" s="439"/>
      <c r="B188" s="439"/>
      <c r="C188" s="439"/>
      <c r="D188" s="439"/>
      <c r="E188" s="439"/>
      <c r="F188" s="439"/>
      <c r="G188" s="439"/>
      <c r="H188" s="439"/>
      <c r="I188" s="439"/>
      <c r="J188" s="439"/>
      <c r="K188" s="439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</row>
    <row r="189" ht="15.75" customHeight="1">
      <c r="A189" s="439"/>
      <c r="B189" s="439"/>
      <c r="C189" s="439"/>
      <c r="D189" s="439"/>
      <c r="E189" s="439"/>
      <c r="F189" s="439"/>
      <c r="G189" s="439"/>
      <c r="H189" s="439"/>
      <c r="I189" s="439"/>
      <c r="J189" s="439"/>
      <c r="K189" s="439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</row>
    <row r="190" ht="15.75" customHeight="1">
      <c r="A190" s="439"/>
      <c r="B190" s="439"/>
      <c r="C190" s="439"/>
      <c r="D190" s="439"/>
      <c r="E190" s="439"/>
      <c r="F190" s="439"/>
      <c r="G190" s="439"/>
      <c r="H190" s="439"/>
      <c r="I190" s="439"/>
      <c r="J190" s="439"/>
      <c r="K190" s="439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</row>
    <row r="191" ht="15.75" customHeight="1">
      <c r="A191" s="439"/>
      <c r="B191" s="439"/>
      <c r="C191" s="439"/>
      <c r="D191" s="439"/>
      <c r="E191" s="439"/>
      <c r="F191" s="439"/>
      <c r="G191" s="439"/>
      <c r="H191" s="439"/>
      <c r="I191" s="439"/>
      <c r="J191" s="439"/>
      <c r="K191" s="439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</row>
    <row r="192" ht="15.75" customHeight="1">
      <c r="A192" s="439"/>
      <c r="B192" s="439"/>
      <c r="C192" s="439"/>
      <c r="D192" s="439"/>
      <c r="E192" s="439"/>
      <c r="F192" s="439"/>
      <c r="G192" s="439"/>
      <c r="H192" s="439"/>
      <c r="I192" s="439"/>
      <c r="J192" s="439"/>
      <c r="K192" s="439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</row>
    <row r="193" ht="15.75" customHeight="1">
      <c r="A193" s="439"/>
      <c r="B193" s="439"/>
      <c r="C193" s="439"/>
      <c r="D193" s="439"/>
      <c r="E193" s="439"/>
      <c r="F193" s="439"/>
      <c r="G193" s="439"/>
      <c r="H193" s="439"/>
      <c r="I193" s="439"/>
      <c r="J193" s="439"/>
      <c r="K193" s="439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</row>
    <row r="194" ht="15.75" customHeight="1">
      <c r="A194" s="439"/>
      <c r="B194" s="439"/>
      <c r="C194" s="439"/>
      <c r="D194" s="439"/>
      <c r="E194" s="439"/>
      <c r="F194" s="439"/>
      <c r="G194" s="439"/>
      <c r="H194" s="439"/>
      <c r="I194" s="439"/>
      <c r="J194" s="439"/>
      <c r="K194" s="439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</row>
    <row r="195" ht="15.75" customHeight="1">
      <c r="A195" s="439"/>
      <c r="B195" s="439"/>
      <c r="C195" s="439"/>
      <c r="D195" s="439"/>
      <c r="E195" s="439"/>
      <c r="F195" s="439"/>
      <c r="G195" s="439"/>
      <c r="H195" s="439"/>
      <c r="I195" s="439"/>
      <c r="J195" s="439"/>
      <c r="K195" s="439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</row>
    <row r="196" ht="15.75" customHeight="1">
      <c r="A196" s="439"/>
      <c r="B196" s="439"/>
      <c r="C196" s="439"/>
      <c r="D196" s="439"/>
      <c r="E196" s="439"/>
      <c r="F196" s="439"/>
      <c r="G196" s="439"/>
      <c r="H196" s="439"/>
      <c r="I196" s="439"/>
      <c r="J196" s="439"/>
      <c r="K196" s="439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</row>
    <row r="197" ht="15.75" customHeight="1">
      <c r="A197" s="439"/>
      <c r="B197" s="439"/>
      <c r="C197" s="439"/>
      <c r="D197" s="439"/>
      <c r="E197" s="439"/>
      <c r="F197" s="439"/>
      <c r="G197" s="439"/>
      <c r="H197" s="439"/>
      <c r="I197" s="439"/>
      <c r="J197" s="439"/>
      <c r="K197" s="439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</row>
    <row r="198" ht="15.75" customHeight="1">
      <c r="A198" s="439"/>
      <c r="B198" s="439"/>
      <c r="C198" s="439"/>
      <c r="D198" s="439"/>
      <c r="E198" s="439"/>
      <c r="F198" s="439"/>
      <c r="G198" s="439"/>
      <c r="H198" s="439"/>
      <c r="I198" s="439"/>
      <c r="J198" s="439"/>
      <c r="K198" s="439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</row>
    <row r="199" ht="15.75" customHeight="1">
      <c r="A199" s="439"/>
      <c r="B199" s="439"/>
      <c r="C199" s="439"/>
      <c r="D199" s="439"/>
      <c r="E199" s="439"/>
      <c r="F199" s="439"/>
      <c r="G199" s="439"/>
      <c r="H199" s="439"/>
      <c r="I199" s="439"/>
      <c r="J199" s="439"/>
      <c r="K199" s="439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</row>
    <row r="200" ht="15.75" customHeight="1">
      <c r="A200" s="439"/>
      <c r="B200" s="439"/>
      <c r="C200" s="439"/>
      <c r="D200" s="439"/>
      <c r="E200" s="439"/>
      <c r="F200" s="439"/>
      <c r="G200" s="439"/>
      <c r="H200" s="439"/>
      <c r="I200" s="439"/>
      <c r="J200" s="439"/>
      <c r="K200" s="439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</row>
    <row r="201" ht="15.75" customHeight="1">
      <c r="A201" s="439"/>
      <c r="B201" s="439"/>
      <c r="C201" s="439"/>
      <c r="D201" s="439"/>
      <c r="E201" s="439"/>
      <c r="F201" s="439"/>
      <c r="G201" s="439"/>
      <c r="H201" s="439"/>
      <c r="I201" s="439"/>
      <c r="J201" s="439"/>
      <c r="K201" s="439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</row>
    <row r="202" ht="15.75" customHeight="1">
      <c r="A202" s="439"/>
      <c r="B202" s="439"/>
      <c r="C202" s="439"/>
      <c r="D202" s="439"/>
      <c r="E202" s="439"/>
      <c r="F202" s="439"/>
      <c r="G202" s="439"/>
      <c r="H202" s="439"/>
      <c r="I202" s="439"/>
      <c r="J202" s="439"/>
      <c r="K202" s="439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</row>
    <row r="203" ht="15.75" customHeight="1">
      <c r="A203" s="439"/>
      <c r="B203" s="439"/>
      <c r="C203" s="439"/>
      <c r="D203" s="439"/>
      <c r="E203" s="439"/>
      <c r="F203" s="439"/>
      <c r="G203" s="439"/>
      <c r="H203" s="439"/>
      <c r="I203" s="439"/>
      <c r="J203" s="439"/>
      <c r="K203" s="439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</row>
    <row r="204" ht="15.75" customHeight="1">
      <c r="A204" s="439"/>
      <c r="B204" s="439"/>
      <c r="C204" s="439"/>
      <c r="D204" s="439"/>
      <c r="E204" s="439"/>
      <c r="F204" s="439"/>
      <c r="G204" s="439"/>
      <c r="H204" s="439"/>
      <c r="I204" s="439"/>
      <c r="J204" s="439"/>
      <c r="K204" s="439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</row>
    <row r="205" ht="15.75" customHeight="1">
      <c r="A205" s="439"/>
      <c r="B205" s="439"/>
      <c r="C205" s="439"/>
      <c r="D205" s="439"/>
      <c r="E205" s="439"/>
      <c r="F205" s="439"/>
      <c r="G205" s="439"/>
      <c r="H205" s="439"/>
      <c r="I205" s="439"/>
      <c r="J205" s="439"/>
      <c r="K205" s="439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</row>
    <row r="206" ht="15.75" customHeight="1">
      <c r="A206" s="439"/>
      <c r="B206" s="439"/>
      <c r="C206" s="439"/>
      <c r="D206" s="439"/>
      <c r="E206" s="439"/>
      <c r="F206" s="439"/>
      <c r="G206" s="439"/>
      <c r="H206" s="439"/>
      <c r="I206" s="439"/>
      <c r="J206" s="439"/>
      <c r="K206" s="439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</row>
    <row r="207" ht="15.75" customHeight="1">
      <c r="A207" s="439"/>
      <c r="B207" s="439"/>
      <c r="C207" s="439"/>
      <c r="D207" s="439"/>
      <c r="E207" s="439"/>
      <c r="F207" s="439"/>
      <c r="G207" s="439"/>
      <c r="H207" s="439"/>
      <c r="I207" s="439"/>
      <c r="J207" s="439"/>
      <c r="K207" s="439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</row>
    <row r="208" ht="15.75" customHeight="1">
      <c r="A208" s="439"/>
      <c r="B208" s="439"/>
      <c r="C208" s="439"/>
      <c r="D208" s="439"/>
      <c r="E208" s="439"/>
      <c r="F208" s="439"/>
      <c r="G208" s="439"/>
      <c r="H208" s="439"/>
      <c r="I208" s="439"/>
      <c r="J208" s="439"/>
      <c r="K208" s="439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</row>
    <row r="209" ht="15.75" customHeight="1">
      <c r="A209" s="439"/>
      <c r="B209" s="439"/>
      <c r="C209" s="439"/>
      <c r="D209" s="439"/>
      <c r="E209" s="439"/>
      <c r="F209" s="439"/>
      <c r="G209" s="439"/>
      <c r="H209" s="439"/>
      <c r="I209" s="439"/>
      <c r="J209" s="439"/>
      <c r="K209" s="439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</row>
    <row r="210" ht="15.75" customHeight="1">
      <c r="A210" s="439"/>
      <c r="B210" s="439"/>
      <c r="C210" s="439"/>
      <c r="D210" s="439"/>
      <c r="E210" s="439"/>
      <c r="F210" s="439"/>
      <c r="G210" s="439"/>
      <c r="H210" s="439"/>
      <c r="I210" s="439"/>
      <c r="J210" s="439"/>
      <c r="K210" s="439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</row>
    <row r="211" ht="15.75" customHeight="1">
      <c r="A211" s="439"/>
      <c r="B211" s="439"/>
      <c r="C211" s="439"/>
      <c r="D211" s="439"/>
      <c r="E211" s="439"/>
      <c r="F211" s="439"/>
      <c r="G211" s="439"/>
      <c r="H211" s="439"/>
      <c r="I211" s="439"/>
      <c r="J211" s="439"/>
      <c r="K211" s="439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</row>
    <row r="212" ht="15.75" customHeight="1">
      <c r="A212" s="439"/>
      <c r="B212" s="439"/>
      <c r="C212" s="439"/>
      <c r="D212" s="439"/>
      <c r="E212" s="439"/>
      <c r="F212" s="439"/>
      <c r="G212" s="439"/>
      <c r="H212" s="439"/>
      <c r="I212" s="439"/>
      <c r="J212" s="439"/>
      <c r="K212" s="439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</row>
    <row r="213" ht="15.75" customHeight="1">
      <c r="A213" s="439"/>
      <c r="B213" s="439"/>
      <c r="C213" s="439"/>
      <c r="D213" s="439"/>
      <c r="E213" s="439"/>
      <c r="F213" s="439"/>
      <c r="G213" s="439"/>
      <c r="H213" s="439"/>
      <c r="I213" s="439"/>
      <c r="J213" s="439"/>
      <c r="K213" s="439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</row>
    <row r="214" ht="15.75" customHeight="1">
      <c r="A214" s="439"/>
      <c r="B214" s="439"/>
      <c r="C214" s="439"/>
      <c r="D214" s="439"/>
      <c r="E214" s="439"/>
      <c r="F214" s="439"/>
      <c r="G214" s="439"/>
      <c r="H214" s="439"/>
      <c r="I214" s="439"/>
      <c r="J214" s="439"/>
      <c r="K214" s="439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</row>
    <row r="215" ht="15.75" customHeight="1">
      <c r="A215" s="439"/>
      <c r="B215" s="439"/>
      <c r="C215" s="439"/>
      <c r="D215" s="439"/>
      <c r="E215" s="439"/>
      <c r="F215" s="439"/>
      <c r="G215" s="439"/>
      <c r="H215" s="439"/>
      <c r="I215" s="439"/>
      <c r="J215" s="439"/>
      <c r="K215" s="439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</row>
    <row r="216" ht="15.75" customHeight="1">
      <c r="A216" s="439"/>
      <c r="B216" s="439"/>
      <c r="C216" s="439"/>
      <c r="D216" s="439"/>
      <c r="E216" s="439"/>
      <c r="F216" s="439"/>
      <c r="G216" s="439"/>
      <c r="H216" s="439"/>
      <c r="I216" s="439"/>
      <c r="J216" s="439"/>
      <c r="K216" s="439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</row>
    <row r="217" ht="15.75" customHeight="1">
      <c r="A217" s="439"/>
      <c r="B217" s="439"/>
      <c r="C217" s="439"/>
      <c r="D217" s="439"/>
      <c r="E217" s="439"/>
      <c r="F217" s="439"/>
      <c r="G217" s="439"/>
      <c r="H217" s="439"/>
      <c r="I217" s="439"/>
      <c r="J217" s="439"/>
      <c r="K217" s="439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</row>
    <row r="218" ht="15.75" customHeight="1">
      <c r="A218" s="439"/>
      <c r="B218" s="439"/>
      <c r="C218" s="439"/>
      <c r="D218" s="439"/>
      <c r="E218" s="439"/>
      <c r="F218" s="439"/>
      <c r="G218" s="439"/>
      <c r="H218" s="439"/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</row>
    <row r="219" ht="15.75" customHeight="1">
      <c r="A219" s="439"/>
      <c r="B219" s="439"/>
      <c r="C219" s="439"/>
      <c r="D219" s="439"/>
      <c r="E219" s="439"/>
      <c r="F219" s="439"/>
      <c r="G219" s="439"/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</row>
    <row r="220" ht="15.75" customHeight="1">
      <c r="A220" s="439"/>
      <c r="B220" s="439"/>
      <c r="C220" s="439"/>
      <c r="D220" s="439"/>
      <c r="E220" s="439"/>
      <c r="F220" s="439"/>
      <c r="G220" s="439"/>
      <c r="H220" s="439"/>
      <c r="I220" s="439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</row>
    <row r="221" ht="15.75" customHeight="1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</row>
    <row r="222" ht="15.75" customHeight="1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</row>
    <row r="223" ht="15.75" customHeight="1">
      <c r="A223" s="439"/>
      <c r="B223" s="439"/>
      <c r="C223" s="439"/>
      <c r="D223" s="439"/>
      <c r="E223" s="439"/>
      <c r="F223" s="439"/>
      <c r="G223" s="439"/>
      <c r="H223" s="439"/>
      <c r="I223" s="439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</row>
    <row r="224" ht="15.75" customHeight="1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</row>
    <row r="225" ht="15.75" customHeight="1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</row>
    <row r="226" ht="15.75" customHeight="1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</row>
    <row r="227" ht="15.75" customHeight="1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</row>
    <row r="228" ht="15.75" customHeight="1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</row>
    <row r="229" ht="15.75" customHeight="1">
      <c r="A229" s="439"/>
      <c r="B229" s="439"/>
      <c r="C229" s="439"/>
      <c r="D229" s="439"/>
      <c r="E229" s="439"/>
      <c r="F229" s="439"/>
      <c r="G229" s="439"/>
      <c r="H229" s="439"/>
      <c r="I229" s="439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</row>
    <row r="230" ht="15.75" customHeight="1">
      <c r="A230" s="439"/>
      <c r="B230" s="439"/>
      <c r="C230" s="439"/>
      <c r="D230" s="439"/>
      <c r="E230" s="439"/>
      <c r="F230" s="439"/>
      <c r="G230" s="439"/>
      <c r="H230" s="439"/>
      <c r="I230" s="439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</row>
    <row r="231" ht="15.75" customHeight="1">
      <c r="A231" s="439"/>
      <c r="B231" s="439"/>
      <c r="C231" s="439"/>
      <c r="D231" s="439"/>
      <c r="E231" s="439"/>
      <c r="F231" s="439"/>
      <c r="G231" s="439"/>
      <c r="H231" s="439"/>
      <c r="I231" s="439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</row>
    <row r="232" ht="15.75" customHeight="1">
      <c r="A232" s="439"/>
      <c r="B232" s="439"/>
      <c r="C232" s="439"/>
      <c r="D232" s="439"/>
      <c r="E232" s="439"/>
      <c r="F232" s="439"/>
      <c r="G232" s="439"/>
      <c r="H232" s="439"/>
      <c r="I232" s="439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</row>
    <row r="233" ht="15.75" customHeight="1">
      <c r="A233" s="439"/>
      <c r="B233" s="439"/>
      <c r="C233" s="439"/>
      <c r="D233" s="439"/>
      <c r="E233" s="439"/>
      <c r="F233" s="439"/>
      <c r="G233" s="439"/>
      <c r="H233" s="439"/>
      <c r="I233" s="439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</row>
    <row r="234" ht="15.75" customHeight="1">
      <c r="A234" s="439"/>
      <c r="B234" s="439"/>
      <c r="C234" s="439"/>
      <c r="D234" s="439"/>
      <c r="E234" s="439"/>
      <c r="F234" s="439"/>
      <c r="G234" s="439"/>
      <c r="H234" s="439"/>
      <c r="I234" s="439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</row>
    <row r="235" ht="15.75" customHeight="1">
      <c r="A235" s="439"/>
      <c r="B235" s="439"/>
      <c r="C235" s="439"/>
      <c r="D235" s="439"/>
      <c r="E235" s="439"/>
      <c r="F235" s="439"/>
      <c r="G235" s="439"/>
      <c r="H235" s="439"/>
      <c r="I235" s="439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</row>
    <row r="236" ht="15.75" customHeight="1">
      <c r="A236" s="439"/>
      <c r="B236" s="439"/>
      <c r="C236" s="439"/>
      <c r="D236" s="439"/>
      <c r="E236" s="439"/>
      <c r="F236" s="439"/>
      <c r="G236" s="439"/>
      <c r="H236" s="439"/>
      <c r="I236" s="439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</row>
    <row r="237" ht="15.75" customHeight="1">
      <c r="A237" s="439"/>
      <c r="B237" s="439"/>
      <c r="C237" s="439"/>
      <c r="D237" s="439"/>
      <c r="E237" s="439"/>
      <c r="F237" s="439"/>
      <c r="G237" s="439"/>
      <c r="H237" s="439"/>
      <c r="I237" s="439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</row>
    <row r="238" ht="15.75" customHeight="1">
      <c r="A238" s="439"/>
      <c r="B238" s="439"/>
      <c r="C238" s="439"/>
      <c r="D238" s="439"/>
      <c r="E238" s="439"/>
      <c r="F238" s="439"/>
      <c r="G238" s="439"/>
      <c r="H238" s="439"/>
      <c r="I238" s="439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</row>
    <row r="239" ht="15.75" customHeight="1">
      <c r="A239" s="439"/>
      <c r="B239" s="439"/>
      <c r="C239" s="439"/>
      <c r="D239" s="439"/>
      <c r="E239" s="439"/>
      <c r="F239" s="439"/>
      <c r="G239" s="439"/>
      <c r="H239" s="439"/>
      <c r="I239" s="439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</row>
    <row r="240" ht="15.75" customHeight="1">
      <c r="A240" s="439"/>
      <c r="B240" s="439"/>
      <c r="C240" s="439"/>
      <c r="D240" s="439"/>
      <c r="E240" s="439"/>
      <c r="F240" s="439"/>
      <c r="G240" s="439"/>
      <c r="H240" s="439"/>
      <c r="I240" s="439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</row>
    <row r="241" ht="15.75" customHeight="1">
      <c r="A241" s="439"/>
      <c r="B241" s="439"/>
      <c r="C241" s="439"/>
      <c r="D241" s="439"/>
      <c r="E241" s="439"/>
      <c r="F241" s="439"/>
      <c r="G241" s="439"/>
      <c r="H241" s="439"/>
      <c r="I241" s="439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</row>
    <row r="242" ht="15.75" customHeight="1">
      <c r="A242" s="439"/>
      <c r="B242" s="439"/>
      <c r="C242" s="439"/>
      <c r="D242" s="439"/>
      <c r="E242" s="439"/>
      <c r="F242" s="439"/>
      <c r="G242" s="439"/>
      <c r="H242" s="439"/>
      <c r="I242" s="439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</row>
    <row r="243" ht="15.75" customHeight="1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</row>
    <row r="244" ht="15.75" customHeight="1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</row>
    <row r="245" ht="15.75" customHeight="1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</row>
    <row r="246" ht="15.75" customHeight="1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</row>
    <row r="247" ht="15.75" customHeight="1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</row>
    <row r="248" ht="15.75" customHeight="1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</row>
    <row r="249" ht="15.75" customHeight="1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</row>
    <row r="250" ht="15.75" customHeight="1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</row>
    <row r="251" ht="15.75" customHeight="1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</row>
    <row r="252" ht="15.75" customHeight="1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</row>
    <row r="253" ht="15.75" customHeight="1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</row>
    <row r="254" ht="15.75" customHeight="1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</row>
    <row r="255" ht="15.75" customHeight="1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</row>
    <row r="256" ht="15.75" customHeight="1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</row>
    <row r="257" ht="15.75" customHeight="1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</row>
    <row r="258" ht="15.75" customHeight="1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</row>
    <row r="259" ht="15.75" customHeight="1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</row>
    <row r="260" ht="15.75" customHeight="1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</row>
    <row r="261" ht="15.75" customHeight="1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</row>
    <row r="262" ht="15.75" customHeight="1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</row>
    <row r="263" ht="15.75" customHeight="1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</row>
    <row r="264" ht="15.75" customHeight="1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</row>
    <row r="265" ht="15.75" customHeight="1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</row>
    <row r="266" ht="15.75" customHeight="1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</row>
    <row r="267" ht="15.75" customHeight="1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</row>
    <row r="268" ht="15.75" customHeight="1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</row>
    <row r="269" ht="15.75" customHeight="1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</row>
    <row r="270" ht="15.75" customHeight="1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</row>
    <row r="271" ht="15.75" customHeight="1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</row>
    <row r="272" ht="15.75" customHeight="1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</row>
    <row r="273" ht="15.75" customHeight="1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</row>
    <row r="274" ht="15.75" customHeight="1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</row>
    <row r="275" ht="15.75" customHeight="1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</row>
    <row r="276" ht="15.75" customHeight="1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</row>
    <row r="277" ht="15.75" customHeight="1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</row>
    <row r="278" ht="15.75" customHeight="1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</row>
    <row r="279" ht="15.75" customHeight="1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</row>
    <row r="280" ht="15.75" customHeight="1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</row>
    <row r="281" ht="15.75" customHeight="1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</row>
    <row r="282" ht="15.75" customHeight="1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</row>
    <row r="283" ht="15.75" customHeight="1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</row>
    <row r="284" ht="15.75" customHeight="1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</row>
    <row r="285" ht="15.75" customHeight="1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</row>
    <row r="286" ht="15.75" customHeight="1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</row>
    <row r="287" ht="15.75" customHeight="1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</row>
    <row r="288" ht="15.75" customHeight="1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</row>
    <row r="289" ht="15.75" customHeight="1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</row>
    <row r="290" ht="15.75" customHeight="1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</row>
    <row r="291" ht="15.75" customHeight="1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</row>
    <row r="292" ht="15.75" customHeight="1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</row>
    <row r="293" ht="15.75" customHeight="1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</row>
    <row r="294" ht="15.75" customHeight="1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</row>
    <row r="295" ht="15.75" customHeight="1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</row>
    <row r="296" ht="15.75" customHeight="1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</row>
    <row r="297" ht="15.75" customHeight="1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</row>
    <row r="298" ht="15.75" customHeight="1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</row>
    <row r="299" ht="15.75" customHeight="1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</row>
    <row r="300" ht="15.75" customHeight="1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</row>
    <row r="301" ht="15.75" customHeight="1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</row>
    <row r="302" ht="15.75" customHeight="1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</row>
    <row r="303" ht="15.75" customHeight="1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</row>
    <row r="304" ht="15.75" customHeight="1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</row>
    <row r="305" ht="15.75" customHeight="1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</row>
    <row r="306" ht="15.75" customHeight="1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</row>
    <row r="307" ht="15.75" customHeight="1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</row>
    <row r="308" ht="15.75" customHeight="1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</row>
    <row r="309" ht="15.75" customHeight="1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</row>
    <row r="310" ht="15.75" customHeight="1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</row>
    <row r="311" ht="15.75" customHeight="1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</row>
    <row r="312" ht="15.75" customHeight="1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</row>
    <row r="313" ht="15.75" customHeight="1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</row>
    <row r="314" ht="15.75" customHeight="1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</row>
    <row r="315" ht="15.75" customHeight="1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</row>
    <row r="316" ht="15.75" customHeight="1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</row>
    <row r="317" ht="15.75" customHeight="1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</row>
    <row r="318" ht="15.75" customHeight="1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</row>
    <row r="319" ht="15.75" customHeight="1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</row>
    <row r="320" ht="15.75" customHeight="1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</row>
    <row r="321" ht="15.75" customHeight="1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</row>
    <row r="322" ht="15.75" customHeight="1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</row>
    <row r="323" ht="15.75" customHeight="1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B5"/>
    <mergeCell ref="C4:C5"/>
    <mergeCell ref="D4:I4"/>
    <mergeCell ref="J4:O4"/>
    <mergeCell ref="P4:U4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4.0" topLeftCell="D15" activePane="bottomRight" state="frozen"/>
      <selection activeCell="D1" sqref="D1" pane="topRight"/>
      <selection activeCell="A15" sqref="A15" pane="bottomLeft"/>
      <selection activeCell="D15" sqref="D15" pane="bottomRight"/>
    </sheetView>
  </sheetViews>
  <sheetFormatPr customHeight="1" defaultColWidth="12.63" defaultRowHeight="15.0"/>
  <cols>
    <col customWidth="1" min="1" max="1" width="5.63"/>
    <col customWidth="1" min="2" max="2" width="12.38"/>
    <col customWidth="1" min="3" max="3" width="46.88"/>
    <col customWidth="1" min="4" max="4" width="11.88"/>
    <col customWidth="1" hidden="1" min="5" max="5" width="9.25"/>
    <col customWidth="1" hidden="1" min="6" max="6" width="11.0"/>
    <col customWidth="1" hidden="1" min="7" max="7" width="8.25"/>
    <col customWidth="1" hidden="1" min="8" max="8" width="12.38"/>
    <col customWidth="1" hidden="1" min="9" max="9" width="9.38"/>
    <col customWidth="1" min="10" max="10" width="10.88"/>
    <col customWidth="1" hidden="1" min="11" max="11" width="9.25"/>
    <col customWidth="1" hidden="1" min="12" max="12" width="11.0"/>
    <col customWidth="1" hidden="1" min="13" max="13" width="8.25"/>
    <col customWidth="1" hidden="1" min="14" max="14" width="12.38"/>
    <col customWidth="1" hidden="1" min="15" max="15" width="9.38"/>
    <col customWidth="1" min="16" max="16" width="11.88"/>
    <col customWidth="1" hidden="1" min="17" max="17" width="9.25"/>
    <col customWidth="1" hidden="1" min="18" max="18" width="11.0"/>
    <col customWidth="1" hidden="1" min="19" max="19" width="8.25"/>
    <col customWidth="1" hidden="1" min="20" max="20" width="12.38"/>
    <col customWidth="1" hidden="1" min="21" max="21" width="9.38"/>
  </cols>
  <sheetData>
    <row r="1" ht="15.75" customHeight="1">
      <c r="A1" s="529" t="s">
        <v>256</v>
      </c>
      <c r="B1" s="440" t="s">
        <v>0</v>
      </c>
      <c r="C1" s="439"/>
      <c r="D1" s="530"/>
      <c r="E1" s="439"/>
      <c r="F1" s="530"/>
      <c r="G1" s="439"/>
      <c r="H1" s="530"/>
      <c r="I1" s="439"/>
      <c r="J1" s="530"/>
      <c r="K1" s="439"/>
      <c r="L1" s="530"/>
      <c r="M1" s="439"/>
      <c r="N1" s="530"/>
      <c r="O1" s="439"/>
      <c r="P1" s="530"/>
      <c r="Q1" s="439"/>
      <c r="R1" s="530"/>
      <c r="S1" s="439"/>
      <c r="T1" s="530"/>
      <c r="U1" s="439"/>
    </row>
    <row r="2" ht="15.75" customHeight="1">
      <c r="A2" s="439"/>
      <c r="B2" s="441" t="s">
        <v>257</v>
      </c>
      <c r="C2" s="439"/>
      <c r="D2" s="530"/>
      <c r="E2" s="439"/>
      <c r="F2" s="530"/>
      <c r="G2" s="439"/>
      <c r="H2" s="530"/>
      <c r="I2" s="439"/>
      <c r="J2" s="530"/>
      <c r="K2" s="439"/>
      <c r="L2" s="530"/>
      <c r="M2" s="439"/>
      <c r="N2" s="530"/>
      <c r="O2" s="439"/>
      <c r="P2" s="530"/>
      <c r="Q2" s="439"/>
      <c r="R2" s="530"/>
      <c r="S2" s="439"/>
      <c r="T2" s="530"/>
      <c r="U2" s="439"/>
    </row>
    <row r="3" ht="15.75" customHeight="1">
      <c r="A3" s="439"/>
      <c r="B3" s="439"/>
      <c r="C3" s="439"/>
      <c r="D3" s="530"/>
      <c r="E3" s="439"/>
      <c r="F3" s="530"/>
      <c r="G3" s="439"/>
      <c r="H3" s="530"/>
      <c r="I3" s="439"/>
      <c r="J3" s="530"/>
      <c r="K3" s="439"/>
      <c r="L3" s="530"/>
      <c r="M3" s="439"/>
      <c r="N3" s="530"/>
      <c r="O3" s="439"/>
      <c r="P3" s="530"/>
      <c r="Q3" s="439"/>
      <c r="R3" s="530"/>
      <c r="S3" s="439"/>
      <c r="T3" s="530"/>
      <c r="U3" s="439"/>
    </row>
    <row r="4" ht="15.75" customHeight="1">
      <c r="A4" s="439"/>
      <c r="B4" s="443" t="s">
        <v>162</v>
      </c>
      <c r="C4" s="443" t="s">
        <v>163</v>
      </c>
      <c r="D4" s="446" t="s">
        <v>258</v>
      </c>
      <c r="E4" s="10"/>
      <c r="F4" s="10"/>
      <c r="G4" s="10"/>
      <c r="H4" s="10"/>
      <c r="I4" s="13"/>
      <c r="J4" s="531" t="s">
        <v>165</v>
      </c>
      <c r="K4" s="10"/>
      <c r="L4" s="10"/>
      <c r="M4" s="10"/>
      <c r="N4" s="10"/>
      <c r="O4" s="13"/>
      <c r="P4" s="446" t="s">
        <v>259</v>
      </c>
      <c r="Q4" s="10"/>
      <c r="R4" s="10"/>
      <c r="S4" s="10"/>
      <c r="T4" s="10"/>
      <c r="U4" s="13"/>
    </row>
    <row r="5" ht="21.75" customHeight="1">
      <c r="A5" s="532"/>
      <c r="B5" s="533"/>
      <c r="C5" s="533"/>
      <c r="D5" s="534" t="s">
        <v>167</v>
      </c>
      <c r="E5" s="535" t="s">
        <v>18</v>
      </c>
      <c r="F5" s="536" t="s">
        <v>168</v>
      </c>
      <c r="G5" s="535" t="s">
        <v>18</v>
      </c>
      <c r="H5" s="536" t="s">
        <v>169</v>
      </c>
      <c r="I5" s="537" t="s">
        <v>260</v>
      </c>
      <c r="J5" s="534" t="s">
        <v>167</v>
      </c>
      <c r="K5" s="535" t="s">
        <v>18</v>
      </c>
      <c r="L5" s="536" t="s">
        <v>168</v>
      </c>
      <c r="M5" s="535" t="s">
        <v>18</v>
      </c>
      <c r="N5" s="536" t="s">
        <v>169</v>
      </c>
      <c r="O5" s="537" t="s">
        <v>260</v>
      </c>
      <c r="P5" s="538" t="s">
        <v>167</v>
      </c>
      <c r="Q5" s="451" t="s">
        <v>18</v>
      </c>
      <c r="R5" s="538" t="s">
        <v>168</v>
      </c>
      <c r="S5" s="451" t="s">
        <v>18</v>
      </c>
      <c r="T5" s="538" t="s">
        <v>169</v>
      </c>
      <c r="U5" s="451" t="s">
        <v>260</v>
      </c>
    </row>
    <row r="6" ht="15.75" hidden="1" customHeight="1">
      <c r="A6" s="439"/>
      <c r="B6" s="469"/>
      <c r="C6" s="465" t="s">
        <v>73</v>
      </c>
      <c r="D6" s="467">
        <v>4700.0</v>
      </c>
      <c r="E6" s="539"/>
      <c r="F6" s="521"/>
      <c r="G6" s="539"/>
      <c r="H6" s="521"/>
      <c r="I6" s="479"/>
      <c r="J6" s="467">
        <v>4700.0</v>
      </c>
      <c r="K6" s="539"/>
      <c r="L6" s="521"/>
      <c r="M6" s="539"/>
      <c r="N6" s="521"/>
      <c r="O6" s="479"/>
      <c r="P6" s="463">
        <v>4700.0</v>
      </c>
      <c r="Q6" s="540"/>
      <c r="R6" s="541"/>
      <c r="S6" s="540"/>
      <c r="T6" s="541"/>
      <c r="U6" s="542"/>
    </row>
    <row r="7" ht="15.75" hidden="1" customHeight="1">
      <c r="A7" s="439"/>
      <c r="B7" s="469"/>
      <c r="C7" s="465" t="s">
        <v>80</v>
      </c>
      <c r="D7" s="467">
        <v>348.0</v>
      </c>
      <c r="E7" s="539"/>
      <c r="F7" s="521"/>
      <c r="G7" s="539"/>
      <c r="H7" s="521"/>
      <c r="I7" s="479"/>
      <c r="J7" s="467">
        <v>348.0</v>
      </c>
      <c r="K7" s="539"/>
      <c r="L7" s="521"/>
      <c r="M7" s="539"/>
      <c r="N7" s="521"/>
      <c r="O7" s="479"/>
      <c r="P7" s="467">
        <v>348.0</v>
      </c>
      <c r="Q7" s="539"/>
      <c r="R7" s="521"/>
      <c r="S7" s="539"/>
      <c r="T7" s="521"/>
      <c r="U7" s="479"/>
    </row>
    <row r="8" ht="15.75" hidden="1" customHeight="1">
      <c r="A8" s="439"/>
      <c r="B8" s="469"/>
      <c r="C8" s="465" t="s">
        <v>87</v>
      </c>
      <c r="D8" s="467">
        <f>D24+D25+D28+D16</f>
        <v>19734167.61</v>
      </c>
      <c r="E8" s="539"/>
      <c r="F8" s="521"/>
      <c r="G8" s="539"/>
      <c r="H8" s="521"/>
      <c r="I8" s="479"/>
      <c r="J8" s="467">
        <f>J24+J25+J28+J16</f>
        <v>20071542</v>
      </c>
      <c r="K8" s="539"/>
      <c r="L8" s="521"/>
      <c r="M8" s="539"/>
      <c r="N8" s="521"/>
      <c r="O8" s="479"/>
      <c r="P8" s="467">
        <f>P24+P25+P28+P16</f>
        <v>17619836</v>
      </c>
      <c r="Q8" s="539"/>
      <c r="R8" s="521"/>
      <c r="S8" s="539"/>
      <c r="T8" s="521"/>
      <c r="U8" s="479"/>
    </row>
    <row r="9" ht="15.75" hidden="1" customHeight="1">
      <c r="A9" s="439"/>
      <c r="B9" s="469"/>
      <c r="C9" s="465" t="s">
        <v>94</v>
      </c>
      <c r="D9" s="467">
        <f>D17+D19+D20+D21</f>
        <v>792545.26</v>
      </c>
      <c r="E9" s="539"/>
      <c r="F9" s="521"/>
      <c r="G9" s="539"/>
      <c r="H9" s="521"/>
      <c r="I9" s="479"/>
      <c r="J9" s="467">
        <f>J17+J19+J20+J21</f>
        <v>2061980</v>
      </c>
      <c r="K9" s="539"/>
      <c r="L9" s="521"/>
      <c r="M9" s="539"/>
      <c r="N9" s="521"/>
      <c r="O9" s="479"/>
      <c r="P9" s="467">
        <f>P17+P19+P20+P21</f>
        <v>2071935</v>
      </c>
      <c r="Q9" s="539"/>
      <c r="R9" s="521"/>
      <c r="S9" s="539"/>
      <c r="T9" s="521"/>
      <c r="U9" s="479"/>
    </row>
    <row r="10" ht="15.75" hidden="1" customHeight="1">
      <c r="A10" s="439"/>
      <c r="B10" s="469"/>
      <c r="C10" s="465" t="s">
        <v>101</v>
      </c>
      <c r="D10" s="467">
        <f>SUM(D8:D9)-D29</f>
        <v>-45600</v>
      </c>
      <c r="E10" s="539"/>
      <c r="F10" s="521"/>
      <c r="G10" s="539"/>
      <c r="H10" s="521"/>
      <c r="I10" s="479"/>
      <c r="J10" s="467">
        <f>SUM(J8:J9)-J29</f>
        <v>-40800</v>
      </c>
      <c r="K10" s="539"/>
      <c r="L10" s="521"/>
      <c r="M10" s="539"/>
      <c r="N10" s="521"/>
      <c r="O10" s="479"/>
      <c r="P10" s="467">
        <f>SUM(P8:P9)-P29</f>
        <v>-45900</v>
      </c>
      <c r="Q10" s="539"/>
      <c r="R10" s="521"/>
      <c r="S10" s="539"/>
      <c r="T10" s="521"/>
      <c r="U10" s="479"/>
    </row>
    <row r="11" ht="15.75" hidden="1" customHeight="1">
      <c r="A11" s="439"/>
      <c r="B11" s="469"/>
      <c r="C11" s="465" t="s">
        <v>108</v>
      </c>
      <c r="D11" s="467">
        <f t="shared" ref="D11:D12" si="1">D8/D6</f>
        <v>4198.759066</v>
      </c>
      <c r="E11" s="539"/>
      <c r="F11" s="521"/>
      <c r="G11" s="539"/>
      <c r="H11" s="521"/>
      <c r="I11" s="479"/>
      <c r="J11" s="467">
        <f t="shared" ref="J11:J12" si="2">J8/J6</f>
        <v>4270.540851</v>
      </c>
      <c r="K11" s="539"/>
      <c r="L11" s="521"/>
      <c r="M11" s="539"/>
      <c r="N11" s="521"/>
      <c r="O11" s="479"/>
      <c r="P11" s="467">
        <f t="shared" ref="P11:P12" si="3">P8/P6</f>
        <v>3748.901277</v>
      </c>
      <c r="Q11" s="539"/>
      <c r="R11" s="521"/>
      <c r="S11" s="539"/>
      <c r="T11" s="521"/>
      <c r="U11" s="479"/>
    </row>
    <row r="12" ht="15.75" hidden="1" customHeight="1">
      <c r="A12" s="439"/>
      <c r="B12" s="469"/>
      <c r="C12" s="465" t="s">
        <v>115</v>
      </c>
      <c r="D12" s="467">
        <f t="shared" si="1"/>
        <v>2277.428908</v>
      </c>
      <c r="E12" s="539"/>
      <c r="F12" s="521"/>
      <c r="G12" s="539"/>
      <c r="H12" s="521"/>
      <c r="I12" s="479"/>
      <c r="J12" s="467">
        <f t="shared" si="2"/>
        <v>5925.229885</v>
      </c>
      <c r="K12" s="539"/>
      <c r="L12" s="521"/>
      <c r="M12" s="539"/>
      <c r="N12" s="521"/>
      <c r="O12" s="479"/>
      <c r="P12" s="467">
        <f t="shared" si="3"/>
        <v>5953.836207</v>
      </c>
      <c r="Q12" s="539"/>
      <c r="R12" s="521"/>
      <c r="S12" s="539"/>
      <c r="T12" s="521"/>
      <c r="U12" s="479"/>
    </row>
    <row r="13" ht="15.75" hidden="1" customHeight="1">
      <c r="A13" s="439"/>
      <c r="B13" s="469"/>
      <c r="C13" s="465"/>
      <c r="D13" s="467"/>
      <c r="E13" s="539"/>
      <c r="F13" s="521"/>
      <c r="G13" s="539"/>
      <c r="H13" s="521"/>
      <c r="I13" s="479"/>
      <c r="J13" s="467"/>
      <c r="K13" s="539"/>
      <c r="L13" s="521"/>
      <c r="M13" s="539"/>
      <c r="N13" s="521"/>
      <c r="O13" s="479"/>
      <c r="P13" s="467"/>
      <c r="Q13" s="539"/>
      <c r="R13" s="521"/>
      <c r="S13" s="539"/>
      <c r="T13" s="521"/>
      <c r="U13" s="479"/>
    </row>
    <row r="14" ht="15.75" hidden="1" customHeight="1">
      <c r="A14" s="439"/>
      <c r="B14" s="543"/>
      <c r="C14" s="483"/>
      <c r="D14" s="485"/>
      <c r="E14" s="544"/>
      <c r="F14" s="545"/>
      <c r="G14" s="544"/>
      <c r="H14" s="545"/>
      <c r="I14" s="546"/>
      <c r="J14" s="485"/>
      <c r="K14" s="544"/>
      <c r="L14" s="545"/>
      <c r="M14" s="544"/>
      <c r="N14" s="545"/>
      <c r="O14" s="546"/>
      <c r="P14" s="485"/>
      <c r="Q14" s="544"/>
      <c r="R14" s="545"/>
      <c r="S14" s="544"/>
      <c r="T14" s="545"/>
      <c r="U14" s="546"/>
    </row>
    <row r="15" ht="15.75" customHeight="1">
      <c r="A15" s="439"/>
      <c r="B15" s="457" t="s">
        <v>170</v>
      </c>
      <c r="C15" s="490"/>
      <c r="D15" s="459">
        <f t="shared" ref="D15:E15" si="4">SUM(D16:D22)</f>
        <v>12691723.87</v>
      </c>
      <c r="E15" s="547">
        <f t="shared" si="4"/>
        <v>20400.9977</v>
      </c>
      <c r="F15" s="548">
        <f t="shared" ref="F15:H15" si="5">SUM(F16:F21)</f>
        <v>0</v>
      </c>
      <c r="G15" s="547" t="str">
        <f t="shared" si="5"/>
        <v>#DIV/0!</v>
      </c>
      <c r="H15" s="548">
        <f t="shared" si="5"/>
        <v>12668923.87</v>
      </c>
      <c r="I15" s="549" t="str">
        <f>(H15/F15)</f>
        <v>#DIV/0!</v>
      </c>
      <c r="J15" s="459">
        <f t="shared" ref="J15:K15" si="6">SUM(J16:J22)</f>
        <v>14320634</v>
      </c>
      <c r="K15" s="547">
        <f t="shared" si="6"/>
        <v>20401.01866</v>
      </c>
      <c r="L15" s="548">
        <f t="shared" ref="L15:N15" si="7">SUM(L16:L21)</f>
        <v>0</v>
      </c>
      <c r="M15" s="547" t="str">
        <f t="shared" si="7"/>
        <v>#DIV/0!</v>
      </c>
      <c r="N15" s="548">
        <f t="shared" si="7"/>
        <v>14300234</v>
      </c>
      <c r="O15" s="549" t="str">
        <f>(N15/L15)</f>
        <v>#DIV/0!</v>
      </c>
      <c r="P15" s="550">
        <f t="shared" ref="P15:Q15" si="8">SUM(P16:P22)</f>
        <v>13158747</v>
      </c>
      <c r="Q15" s="551">
        <f t="shared" si="8"/>
        <v>20401.00586</v>
      </c>
      <c r="R15" s="548">
        <f t="shared" ref="R15:T15" si="9">SUM(R16:R21)</f>
        <v>0</v>
      </c>
      <c r="S15" s="547" t="str">
        <f t="shared" si="9"/>
        <v>#DIV/0!</v>
      </c>
      <c r="T15" s="548">
        <f t="shared" si="9"/>
        <v>13135797</v>
      </c>
      <c r="U15" s="549" t="str">
        <f>(T15/R15)</f>
        <v>#DIV/0!</v>
      </c>
    </row>
    <row r="16" ht="15.75" customHeight="1">
      <c r="A16" s="439"/>
      <c r="B16" s="461" t="s">
        <v>23</v>
      </c>
      <c r="C16" s="497" t="s">
        <v>172</v>
      </c>
      <c r="D16" s="463">
        <v>1.187637861E7</v>
      </c>
      <c r="E16" s="552">
        <f>D16/D$15</f>
        <v>0.9357577215</v>
      </c>
      <c r="F16" s="541"/>
      <c r="G16" s="552" t="str">
        <f t="shared" ref="G16:G21" si="10">F16/$F$15</f>
        <v>#DIV/0!</v>
      </c>
      <c r="H16" s="541">
        <f t="shared" ref="H16:H22" si="11">D16-F16</f>
        <v>11876378.61</v>
      </c>
      <c r="I16" s="553" t="str">
        <f t="shared" ref="I16:I17" si="12">H16/F16</f>
        <v>#DIV/0!</v>
      </c>
      <c r="J16" s="467">
        <v>1.2238254E7</v>
      </c>
      <c r="K16" s="554">
        <f>J16/J$15</f>
        <v>0.8545888401</v>
      </c>
      <c r="L16" s="541"/>
      <c r="M16" s="552" t="str">
        <f t="shared" ref="M16:M21" si="13">L16/$F$15</f>
        <v>#DIV/0!</v>
      </c>
      <c r="N16" s="541">
        <f t="shared" ref="N16:N22" si="14">J16-L16</f>
        <v>12238254</v>
      </c>
      <c r="O16" s="553" t="str">
        <f t="shared" ref="O16:O17" si="15">N16/L16</f>
        <v>#DIV/0!</v>
      </c>
      <c r="P16" s="555">
        <v>1.1063862E7</v>
      </c>
      <c r="Q16" s="554">
        <f>P16/P$15</f>
        <v>0.8407990518</v>
      </c>
      <c r="R16" s="541"/>
      <c r="S16" s="552" t="str">
        <f t="shared" ref="S16:S21" si="16">R16/$F$15</f>
        <v>#DIV/0!</v>
      </c>
      <c r="T16" s="541">
        <f t="shared" ref="T16:T22" si="17">P16-R16</f>
        <v>11063862</v>
      </c>
      <c r="U16" s="556" t="str">
        <f t="shared" ref="U16:U17" si="18">T16/R16</f>
        <v>#DIV/0!</v>
      </c>
    </row>
    <row r="17" ht="15.75" customHeight="1">
      <c r="A17" s="439"/>
      <c r="B17" s="465"/>
      <c r="C17" s="465" t="s">
        <v>173</v>
      </c>
      <c r="D17" s="467">
        <f>131070+455241+127679</f>
        <v>713990</v>
      </c>
      <c r="E17" s="557">
        <f t="shared" ref="E17:E20" si="19">D17/$D$15</f>
        <v>0.05625634526</v>
      </c>
      <c r="F17" s="521"/>
      <c r="G17" s="557" t="str">
        <f t="shared" si="10"/>
        <v>#DIV/0!</v>
      </c>
      <c r="H17" s="521">
        <f t="shared" si="11"/>
        <v>713990</v>
      </c>
      <c r="I17" s="558" t="str">
        <f t="shared" si="12"/>
        <v>#DIV/0!</v>
      </c>
      <c r="J17" s="559">
        <v>719580.0</v>
      </c>
      <c r="K17" s="560">
        <f t="shared" ref="K17:K20" si="20">J17/$D$15</f>
        <v>0.05669678976</v>
      </c>
      <c r="L17" s="521"/>
      <c r="M17" s="557" t="str">
        <f t="shared" si="13"/>
        <v>#DIV/0!</v>
      </c>
      <c r="N17" s="521">
        <f t="shared" si="14"/>
        <v>719580</v>
      </c>
      <c r="O17" s="558" t="str">
        <f t="shared" si="15"/>
        <v>#DIV/0!</v>
      </c>
      <c r="P17" s="561">
        <v>626221.0</v>
      </c>
      <c r="Q17" s="560">
        <f t="shared" ref="Q17:Q20" si="21">P17/$D$15</f>
        <v>0.04934089383</v>
      </c>
      <c r="R17" s="521"/>
      <c r="S17" s="557" t="str">
        <f t="shared" si="16"/>
        <v>#DIV/0!</v>
      </c>
      <c r="T17" s="521">
        <f t="shared" si="17"/>
        <v>626221</v>
      </c>
      <c r="U17" s="562" t="str">
        <f t="shared" si="18"/>
        <v>#DIV/0!</v>
      </c>
    </row>
    <row r="18" ht="15.75" customHeight="1">
      <c r="A18" s="439"/>
      <c r="B18" s="465"/>
      <c r="C18" s="465" t="s">
        <v>261</v>
      </c>
      <c r="D18" s="467">
        <v>0.0</v>
      </c>
      <c r="E18" s="557">
        <f t="shared" si="19"/>
        <v>0</v>
      </c>
      <c r="F18" s="521"/>
      <c r="G18" s="557" t="str">
        <f t="shared" si="10"/>
        <v>#DIV/0!</v>
      </c>
      <c r="H18" s="521">
        <f t="shared" si="11"/>
        <v>0</v>
      </c>
      <c r="I18" s="558"/>
      <c r="J18" s="467">
        <v>0.0</v>
      </c>
      <c r="K18" s="560">
        <f t="shared" si="20"/>
        <v>0</v>
      </c>
      <c r="L18" s="521"/>
      <c r="M18" s="557" t="str">
        <f t="shared" si="13"/>
        <v>#DIV/0!</v>
      </c>
      <c r="N18" s="521">
        <f t="shared" si="14"/>
        <v>0</v>
      </c>
      <c r="O18" s="562"/>
      <c r="P18" s="505">
        <v>0.0</v>
      </c>
      <c r="Q18" s="560">
        <f t="shared" si="21"/>
        <v>0</v>
      </c>
      <c r="R18" s="521"/>
      <c r="S18" s="557" t="str">
        <f t="shared" si="16"/>
        <v>#DIV/0!</v>
      </c>
      <c r="T18" s="521">
        <f t="shared" si="17"/>
        <v>0</v>
      </c>
      <c r="U18" s="562"/>
    </row>
    <row r="19" ht="15.75" customHeight="1">
      <c r="A19" s="439"/>
      <c r="B19" s="465"/>
      <c r="C19" s="465" t="s">
        <v>262</v>
      </c>
      <c r="D19" s="467">
        <v>42857.0</v>
      </c>
      <c r="E19" s="557">
        <f t="shared" si="19"/>
        <v>0.003376767446</v>
      </c>
      <c r="F19" s="521"/>
      <c r="G19" s="557" t="str">
        <f t="shared" si="10"/>
        <v>#DIV/0!</v>
      </c>
      <c r="H19" s="521">
        <f t="shared" si="11"/>
        <v>42857</v>
      </c>
      <c r="I19" s="558"/>
      <c r="J19" s="51">
        <v>1342400.0</v>
      </c>
      <c r="K19" s="560">
        <f t="shared" si="20"/>
        <v>0.1057697137</v>
      </c>
      <c r="L19" s="521"/>
      <c r="M19" s="557" t="str">
        <f t="shared" si="13"/>
        <v>#DIV/0!</v>
      </c>
      <c r="N19" s="521">
        <f t="shared" si="14"/>
        <v>1342400</v>
      </c>
      <c r="O19" s="562"/>
      <c r="P19" s="563">
        <v>1445714.0</v>
      </c>
      <c r="Q19" s="560">
        <f t="shared" si="21"/>
        <v>0.113909979</v>
      </c>
      <c r="R19" s="521"/>
      <c r="S19" s="557" t="str">
        <f t="shared" si="16"/>
        <v>#DIV/0!</v>
      </c>
      <c r="T19" s="521">
        <f t="shared" si="17"/>
        <v>1445714</v>
      </c>
      <c r="U19" s="562"/>
    </row>
    <row r="20" ht="15.75" customHeight="1">
      <c r="A20" s="439"/>
      <c r="B20" s="465"/>
      <c r="C20" s="465" t="s">
        <v>175</v>
      </c>
      <c r="D20" s="485">
        <v>6553.51</v>
      </c>
      <c r="E20" s="564">
        <f t="shared" si="19"/>
        <v>0.0005163609031</v>
      </c>
      <c r="F20" s="545"/>
      <c r="G20" s="564" t="str">
        <f t="shared" si="10"/>
        <v>#DIV/0!</v>
      </c>
      <c r="H20" s="545">
        <f t="shared" si="11"/>
        <v>6553.51</v>
      </c>
      <c r="I20" s="565" t="str">
        <f t="shared" ref="I20:I21" si="22">H20/F20</f>
        <v>#DIV/0!</v>
      </c>
      <c r="J20" s="566">
        <v>0.0</v>
      </c>
      <c r="K20" s="557">
        <f t="shared" si="20"/>
        <v>0</v>
      </c>
      <c r="L20" s="521"/>
      <c r="M20" s="557" t="str">
        <f t="shared" si="13"/>
        <v>#DIV/0!</v>
      </c>
      <c r="N20" s="521">
        <f t="shared" si="14"/>
        <v>0</v>
      </c>
      <c r="O20" s="562" t="str">
        <f t="shared" ref="O20:O21" si="23">N20/L20</f>
        <v>#DIV/0!</v>
      </c>
      <c r="P20" s="516">
        <v>0.0</v>
      </c>
      <c r="Q20" s="560">
        <f t="shared" si="21"/>
        <v>0</v>
      </c>
      <c r="R20" s="521"/>
      <c r="S20" s="557" t="str">
        <f t="shared" si="16"/>
        <v>#DIV/0!</v>
      </c>
      <c r="T20" s="521">
        <f t="shared" si="17"/>
        <v>0</v>
      </c>
      <c r="U20" s="562" t="str">
        <f t="shared" ref="U20:U21" si="24">T20/R20</f>
        <v>#DIV/0!</v>
      </c>
    </row>
    <row r="21" ht="15.75" customHeight="1">
      <c r="A21" s="439"/>
      <c r="B21" s="465"/>
      <c r="C21" s="465" t="s">
        <v>176</v>
      </c>
      <c r="D21" s="567">
        <v>29144.75</v>
      </c>
      <c r="E21" s="568">
        <v>20400.0</v>
      </c>
      <c r="F21" s="521"/>
      <c r="G21" s="557" t="str">
        <f t="shared" si="10"/>
        <v>#DIV/0!</v>
      </c>
      <c r="H21" s="521">
        <f t="shared" si="11"/>
        <v>29144.75</v>
      </c>
      <c r="I21" s="558" t="str">
        <f t="shared" si="22"/>
        <v>#DIV/0!</v>
      </c>
      <c r="J21" s="569">
        <v>0.0</v>
      </c>
      <c r="K21" s="148">
        <v>20400.0</v>
      </c>
      <c r="L21" s="521"/>
      <c r="M21" s="557" t="str">
        <f t="shared" si="13"/>
        <v>#DIV/0!</v>
      </c>
      <c r="N21" s="521">
        <f t="shared" si="14"/>
        <v>0</v>
      </c>
      <c r="O21" s="562" t="str">
        <f t="shared" si="23"/>
        <v>#DIV/0!</v>
      </c>
      <c r="P21" s="570">
        <v>0.0</v>
      </c>
      <c r="Q21" s="148">
        <v>20400.0</v>
      </c>
      <c r="R21" s="521"/>
      <c r="S21" s="557" t="str">
        <f t="shared" si="16"/>
        <v>#DIV/0!</v>
      </c>
      <c r="T21" s="521">
        <f t="shared" si="17"/>
        <v>0</v>
      </c>
      <c r="U21" s="562" t="str">
        <f t="shared" si="24"/>
        <v>#DIV/0!</v>
      </c>
    </row>
    <row r="22" ht="15.75" customHeight="1">
      <c r="A22" s="439"/>
      <c r="B22" s="465"/>
      <c r="C22" s="465" t="s">
        <v>263</v>
      </c>
      <c r="D22" s="567">
        <v>22800.0</v>
      </c>
      <c r="E22" s="552">
        <f>D22/$D$15</f>
        <v>0.00179644627</v>
      </c>
      <c r="F22" s="541"/>
      <c r="G22" s="552"/>
      <c r="H22" s="541">
        <f t="shared" si="11"/>
        <v>22800</v>
      </c>
      <c r="I22" s="571" t="str">
        <f>IFERROR(H22/F22,"")</f>
        <v/>
      </c>
      <c r="J22" s="572">
        <v>20400.0</v>
      </c>
      <c r="K22" s="557">
        <f>J22/$D$15</f>
        <v>0.001607346662</v>
      </c>
      <c r="L22" s="521"/>
      <c r="M22" s="557"/>
      <c r="N22" s="521">
        <f t="shared" si="14"/>
        <v>20400</v>
      </c>
      <c r="O22" s="573" t="str">
        <f>IFERROR(N22/L22,"")</f>
        <v/>
      </c>
      <c r="P22" s="505">
        <v>22950.0</v>
      </c>
      <c r="Q22" s="560">
        <f>P22/$D$15</f>
        <v>0.001808264995</v>
      </c>
      <c r="R22" s="521"/>
      <c r="S22" s="557"/>
      <c r="T22" s="521">
        <f t="shared" si="17"/>
        <v>22950</v>
      </c>
      <c r="U22" s="573" t="str">
        <f>IFERROR(T22/R22,"")</f>
        <v/>
      </c>
    </row>
    <row r="23" ht="15.75" customHeight="1">
      <c r="A23" s="439"/>
      <c r="B23" s="469"/>
      <c r="C23" s="465"/>
      <c r="D23" s="467"/>
      <c r="E23" s="539"/>
      <c r="F23" s="521"/>
      <c r="G23" s="539"/>
      <c r="H23" s="521"/>
      <c r="I23" s="574"/>
      <c r="J23" s="467"/>
      <c r="K23" s="539"/>
      <c r="L23" s="521"/>
      <c r="M23" s="539"/>
      <c r="N23" s="521"/>
      <c r="O23" s="479"/>
      <c r="P23" s="474"/>
      <c r="Q23" s="575"/>
      <c r="R23" s="521"/>
      <c r="S23" s="539"/>
      <c r="T23" s="521"/>
      <c r="U23" s="479"/>
    </row>
    <row r="24" ht="15.75" customHeight="1">
      <c r="A24" s="439"/>
      <c r="B24" s="469" t="s">
        <v>21</v>
      </c>
      <c r="C24" s="465" t="s">
        <v>21</v>
      </c>
      <c r="D24" s="467">
        <v>1172105.0</v>
      </c>
      <c r="E24" s="557">
        <f>D24/D29</f>
        <v>0.05697487722</v>
      </c>
      <c r="F24" s="521"/>
      <c r="G24" s="557" t="str">
        <f>F24/F29</f>
        <v>#DIV/0!</v>
      </c>
      <c r="H24" s="521">
        <f t="shared" ref="H24:H25" si="25">D24-F24</f>
        <v>1172105</v>
      </c>
      <c r="I24" s="558" t="str">
        <f t="shared" ref="I24:I26" si="26">H24/F24</f>
        <v>#DIV/0!</v>
      </c>
      <c r="J24" s="51">
        <v>1235475.0</v>
      </c>
      <c r="K24" s="557">
        <f>J24/J29</f>
        <v>0.05571647241</v>
      </c>
      <c r="L24" s="521"/>
      <c r="M24" s="557" t="str">
        <f>L24/L29</f>
        <v>#DIV/0!</v>
      </c>
      <c r="N24" s="521">
        <f t="shared" ref="N24:N25" si="27">J24-L24</f>
        <v>1235475</v>
      </c>
      <c r="O24" s="562" t="str">
        <f t="shared" ref="O24:O26" si="28">N24/L24</f>
        <v>#DIV/0!</v>
      </c>
      <c r="P24" s="563">
        <v>1116385.0</v>
      </c>
      <c r="Q24" s="560">
        <f>P24/P29</f>
        <v>0.05656113125</v>
      </c>
      <c r="R24" s="521"/>
      <c r="S24" s="557" t="str">
        <f>R24/R29</f>
        <v>#DIV/0!</v>
      </c>
      <c r="T24" s="521">
        <f t="shared" ref="T24:T25" si="29">P24-R24</f>
        <v>1116385</v>
      </c>
      <c r="U24" s="562" t="str">
        <f t="shared" ref="U24:U26" si="30">T24/R24</f>
        <v>#DIV/0!</v>
      </c>
    </row>
    <row r="25" ht="15.75" customHeight="1">
      <c r="A25" s="439"/>
      <c r="B25" s="469" t="s">
        <v>22</v>
      </c>
      <c r="C25" s="465" t="s">
        <v>22</v>
      </c>
      <c r="D25" s="467">
        <v>4966546.0</v>
      </c>
      <c r="E25" s="557">
        <f>D25/D29</f>
        <v>0.2414189416</v>
      </c>
      <c r="F25" s="521"/>
      <c r="G25" s="557" t="str">
        <f>F25/F29</f>
        <v>#DIV/0!</v>
      </c>
      <c r="H25" s="521">
        <f t="shared" si="25"/>
        <v>4966546</v>
      </c>
      <c r="I25" s="558" t="str">
        <f t="shared" si="26"/>
        <v>#DIV/0!</v>
      </c>
      <c r="J25" s="51">
        <v>4851470.0</v>
      </c>
      <c r="K25" s="557">
        <f>J25/J29</f>
        <v>0.2187877492</v>
      </c>
      <c r="L25" s="521"/>
      <c r="M25" s="557" t="str">
        <f>L25/L29</f>
        <v>#DIV/0!</v>
      </c>
      <c r="N25" s="521">
        <f t="shared" si="27"/>
        <v>4851470</v>
      </c>
      <c r="O25" s="562" t="str">
        <f t="shared" si="28"/>
        <v>#DIV/0!</v>
      </c>
      <c r="P25" s="563">
        <v>3932015.0</v>
      </c>
      <c r="Q25" s="560">
        <f>P25/P29</f>
        <v>0.1992137269</v>
      </c>
      <c r="R25" s="521"/>
      <c r="S25" s="557" t="str">
        <f>R25/R29</f>
        <v>#DIV/0!</v>
      </c>
      <c r="T25" s="521">
        <f t="shared" si="29"/>
        <v>3932015</v>
      </c>
      <c r="U25" s="562" t="str">
        <f t="shared" si="30"/>
        <v>#DIV/0!</v>
      </c>
    </row>
    <row r="26" ht="15.75" customHeight="1">
      <c r="A26" s="439"/>
      <c r="B26" s="469" t="s">
        <v>23</v>
      </c>
      <c r="C26" s="465" t="s">
        <v>177</v>
      </c>
      <c r="D26" s="576">
        <f>SUM(D16:D22)</f>
        <v>12691723.87</v>
      </c>
      <c r="E26" s="577">
        <f>D26/D29</f>
        <v>0.6169322793</v>
      </c>
      <c r="F26" s="578"/>
      <c r="G26" s="577" t="str">
        <f>F26/F29</f>
        <v>#DIV/0!</v>
      </c>
      <c r="H26" s="579">
        <f>SUM(H16:H21)</f>
        <v>12668923.87</v>
      </c>
      <c r="I26" s="580" t="str">
        <f t="shared" si="26"/>
        <v>#DIV/0!</v>
      </c>
      <c r="J26" s="576">
        <f>SUM(J16:J22)</f>
        <v>14320634</v>
      </c>
      <c r="K26" s="577">
        <f>J26/J29</f>
        <v>0.6458206028</v>
      </c>
      <c r="L26" s="578"/>
      <c r="M26" s="577" t="str">
        <f>L26/L29</f>
        <v>#DIV/0!</v>
      </c>
      <c r="N26" s="579">
        <f>SUM(N16:N21)</f>
        <v>14300234</v>
      </c>
      <c r="O26" s="580" t="str">
        <f t="shared" si="28"/>
        <v>#DIV/0!</v>
      </c>
      <c r="P26" s="581">
        <f>SUM(P16:P22)</f>
        <v>13158747</v>
      </c>
      <c r="Q26" s="560">
        <f>P26/P29</f>
        <v>0.6666818491</v>
      </c>
      <c r="R26" s="521"/>
      <c r="S26" s="557" t="str">
        <f>R26/R29</f>
        <v>#DIV/0!</v>
      </c>
      <c r="T26" s="582">
        <f>SUM(T16:T21)</f>
        <v>13135797</v>
      </c>
      <c r="U26" s="562" t="str">
        <f t="shared" si="30"/>
        <v>#DIV/0!</v>
      </c>
    </row>
    <row r="27" ht="15.75" customHeight="1">
      <c r="A27" s="439"/>
      <c r="B27" s="465"/>
      <c r="C27" s="465"/>
      <c r="D27" s="467"/>
      <c r="E27" s="539"/>
      <c r="F27" s="521"/>
      <c r="G27" s="557"/>
      <c r="H27" s="521"/>
      <c r="I27" s="479"/>
      <c r="J27" s="467"/>
      <c r="K27" s="539"/>
      <c r="L27" s="521"/>
      <c r="M27" s="557"/>
      <c r="N27" s="521"/>
      <c r="O27" s="479"/>
      <c r="P27" s="474"/>
      <c r="Q27" s="575"/>
      <c r="R27" s="521"/>
      <c r="S27" s="557"/>
      <c r="T27" s="521"/>
      <c r="U27" s="479"/>
    </row>
    <row r="28" ht="15.75" customHeight="1">
      <c r="A28" s="439"/>
      <c r="B28" s="483"/>
      <c r="C28" s="483" t="s">
        <v>178</v>
      </c>
      <c r="D28" s="485">
        <v>1719138.0</v>
      </c>
      <c r="E28" s="564">
        <f>D28/D29</f>
        <v>0.08356561612</v>
      </c>
      <c r="F28" s="545"/>
      <c r="G28" s="564" t="str">
        <f>F28/F29</f>
        <v>#DIV/0!</v>
      </c>
      <c r="H28" s="545">
        <f>D28-F28</f>
        <v>1719138</v>
      </c>
      <c r="I28" s="565" t="str">
        <f>H28/F28</f>
        <v>#DIV/0!</v>
      </c>
      <c r="J28" s="487">
        <v>1746343.0</v>
      </c>
      <c r="K28" s="564">
        <f>J28/J29</f>
        <v>0.07875519261</v>
      </c>
      <c r="L28" s="545"/>
      <c r="M28" s="564" t="str">
        <f>L28/L29</f>
        <v>#DIV/0!</v>
      </c>
      <c r="N28" s="545">
        <f>J28-L28</f>
        <v>1746343</v>
      </c>
      <c r="O28" s="565" t="str">
        <f>N28/L28</f>
        <v>#DIV/0!</v>
      </c>
      <c r="P28" s="488">
        <v>1507574.0</v>
      </c>
      <c r="Q28" s="583">
        <f>P28/P29</f>
        <v>0.07638054155</v>
      </c>
      <c r="R28" s="545"/>
      <c r="S28" s="564" t="str">
        <f>R28/R29</f>
        <v>#DIV/0!</v>
      </c>
      <c r="T28" s="545">
        <f>P28-R28</f>
        <v>1507574</v>
      </c>
      <c r="U28" s="565" t="str">
        <f>T28/R28</f>
        <v>#DIV/0!</v>
      </c>
    </row>
    <row r="29" ht="15.75" customHeight="1">
      <c r="A29" s="439"/>
      <c r="B29" s="490"/>
      <c r="C29" s="490" t="s">
        <v>179</v>
      </c>
      <c r="D29" s="459">
        <f>D24+D25+D26+D28+D22</f>
        <v>20572312.87</v>
      </c>
      <c r="E29" s="584"/>
      <c r="F29" s="459">
        <f>F24+F25+F26+F28</f>
        <v>0</v>
      </c>
      <c r="G29" s="584"/>
      <c r="H29" s="459">
        <f>H24+H25+H26+H28</f>
        <v>20526712.87</v>
      </c>
      <c r="I29" s="585"/>
      <c r="J29" s="459">
        <f>J24+J25+J26+J28+J22</f>
        <v>22174322</v>
      </c>
      <c r="K29" s="584"/>
      <c r="L29" s="459">
        <f>L24+L25+L26+L28</f>
        <v>0</v>
      </c>
      <c r="M29" s="584"/>
      <c r="N29" s="459">
        <f>N24+N25+N26+N28</f>
        <v>22133522</v>
      </c>
      <c r="O29" s="585"/>
      <c r="P29" s="491">
        <f>P24+P25+P26+P28+P22</f>
        <v>19737671</v>
      </c>
      <c r="Q29" s="586"/>
      <c r="R29" s="459">
        <f>R24+R25+R26+R28</f>
        <v>0</v>
      </c>
      <c r="S29" s="584"/>
      <c r="T29" s="459">
        <f>T24+T25+T26+T28</f>
        <v>19691771</v>
      </c>
      <c r="U29" s="585"/>
    </row>
    <row r="30" ht="15.75" customHeight="1">
      <c r="A30" s="439"/>
      <c r="B30" s="469"/>
      <c r="C30" s="469"/>
      <c r="D30" s="467"/>
      <c r="E30" s="539"/>
      <c r="F30" s="521"/>
      <c r="G30" s="539"/>
      <c r="H30" s="521"/>
      <c r="I30" s="479"/>
      <c r="J30" s="467"/>
      <c r="K30" s="539"/>
      <c r="L30" s="521"/>
      <c r="M30" s="539"/>
      <c r="N30" s="521"/>
      <c r="O30" s="479"/>
      <c r="P30" s="474"/>
      <c r="Q30" s="575"/>
      <c r="R30" s="521"/>
      <c r="S30" s="539"/>
      <c r="T30" s="521"/>
      <c r="U30" s="479"/>
    </row>
    <row r="31" ht="15.75" customHeight="1">
      <c r="A31" s="439"/>
      <c r="B31" s="481" t="s">
        <v>183</v>
      </c>
      <c r="C31" s="465"/>
      <c r="D31" s="467"/>
      <c r="E31" s="539"/>
      <c r="F31" s="521"/>
      <c r="G31" s="539"/>
      <c r="H31" s="521"/>
      <c r="I31" s="479"/>
      <c r="J31" s="467"/>
      <c r="K31" s="539"/>
      <c r="L31" s="521"/>
      <c r="M31" s="539"/>
      <c r="N31" s="521"/>
      <c r="O31" s="479"/>
      <c r="P31" s="474"/>
      <c r="Q31" s="575"/>
      <c r="R31" s="521"/>
      <c r="S31" s="539"/>
      <c r="T31" s="521"/>
      <c r="U31" s="479"/>
    </row>
    <row r="32" ht="15.75" customHeight="1">
      <c r="A32" s="439"/>
      <c r="B32" s="469" t="s">
        <v>28</v>
      </c>
      <c r="C32" s="465"/>
      <c r="D32" s="467"/>
      <c r="E32" s="539"/>
      <c r="F32" s="521"/>
      <c r="G32" s="539"/>
      <c r="H32" s="521"/>
      <c r="I32" s="479"/>
      <c r="J32" s="467"/>
      <c r="K32" s="539"/>
      <c r="L32" s="521"/>
      <c r="M32" s="539"/>
      <c r="N32" s="521"/>
      <c r="O32" s="479"/>
      <c r="P32" s="474"/>
      <c r="Q32" s="575"/>
      <c r="R32" s="521"/>
      <c r="S32" s="539"/>
      <c r="T32" s="521"/>
      <c r="U32" s="479"/>
    </row>
    <row r="33" ht="15.75" customHeight="1">
      <c r="A33" s="439"/>
      <c r="B33" s="465"/>
      <c r="C33" s="587" t="s">
        <v>184</v>
      </c>
      <c r="D33" s="467"/>
      <c r="E33" s="539"/>
      <c r="F33" s="521"/>
      <c r="G33" s="539"/>
      <c r="H33" s="521"/>
      <c r="I33" s="479"/>
      <c r="J33" s="485"/>
      <c r="K33" s="539"/>
      <c r="L33" s="521"/>
      <c r="M33" s="539"/>
      <c r="N33" s="521"/>
      <c r="O33" s="479"/>
      <c r="P33" s="501"/>
      <c r="Q33" s="575"/>
      <c r="R33" s="521"/>
      <c r="S33" s="539"/>
      <c r="T33" s="521"/>
      <c r="U33" s="479"/>
    </row>
    <row r="34" ht="15.75" customHeight="1">
      <c r="A34" s="439"/>
      <c r="B34" s="465"/>
      <c r="C34" s="465" t="s">
        <v>185</v>
      </c>
      <c r="D34" s="467">
        <f>'MSBC CK Allocation'!B30</f>
        <v>252641.7707</v>
      </c>
      <c r="E34" s="557">
        <f t="shared" ref="E34:E37" si="31">D34/D26</f>
        <v>0.01990602484</v>
      </c>
      <c r="F34" s="521"/>
      <c r="G34" s="588" t="str">
        <f t="shared" ref="G34:G38" si="32">F34/$F$29</f>
        <v>#DIV/0!</v>
      </c>
      <c r="H34" s="521">
        <f t="shared" ref="H34:H38" si="33">D34-F34</f>
        <v>252641.7707</v>
      </c>
      <c r="I34" s="558" t="str">
        <f t="shared" ref="I34:I41" si="34">H34/F34</f>
        <v>#DIV/0!</v>
      </c>
      <c r="J34" s="467">
        <f>'MSBC CK Allocation'!B30</f>
        <v>252641.7707</v>
      </c>
      <c r="K34" s="560">
        <f t="shared" ref="K34:K37" si="35">J34/J26</f>
        <v>0.01764180068</v>
      </c>
      <c r="L34" s="521"/>
      <c r="M34" s="588" t="str">
        <f t="shared" ref="M34:M38" si="36">L34/$F$29</f>
        <v>#DIV/0!</v>
      </c>
      <c r="N34" s="521">
        <f t="shared" ref="N34:N38" si="37">J34-L34</f>
        <v>252641.7707</v>
      </c>
      <c r="O34" s="562" t="str">
        <f t="shared" ref="O34:O41" si="38">N34/L34</f>
        <v>#DIV/0!</v>
      </c>
      <c r="P34" s="474">
        <f>'MSBC CK Allocation'!C30</f>
        <v>242159.4217</v>
      </c>
      <c r="Q34" s="560">
        <f t="shared" ref="Q34:Q37" si="39">P34/P26</f>
        <v>0.01840292405</v>
      </c>
      <c r="R34" s="521"/>
      <c r="S34" s="588" t="str">
        <f t="shared" ref="S34:S38" si="40">R34/$F$29</f>
        <v>#DIV/0!</v>
      </c>
      <c r="T34" s="521">
        <f t="shared" ref="T34:T38" si="41">P34-R34</f>
        <v>242159.4217</v>
      </c>
      <c r="U34" s="562" t="str">
        <f t="shared" ref="U34:U41" si="42">T34/R34</f>
        <v>#DIV/0!</v>
      </c>
    </row>
    <row r="35" ht="15.75" customHeight="1">
      <c r="A35" s="439"/>
      <c r="B35" s="465"/>
      <c r="C35" s="465" t="s">
        <v>264</v>
      </c>
      <c r="D35" s="514">
        <v>4573279.0</v>
      </c>
      <c r="E35" s="557" t="str">
        <f t="shared" si="31"/>
        <v>#DIV/0!</v>
      </c>
      <c r="F35" s="521"/>
      <c r="G35" s="588" t="str">
        <f t="shared" si="32"/>
        <v>#DIV/0!</v>
      </c>
      <c r="H35" s="521">
        <f t="shared" si="33"/>
        <v>4573279</v>
      </c>
      <c r="I35" s="558" t="str">
        <f t="shared" si="34"/>
        <v>#DIV/0!</v>
      </c>
      <c r="J35" s="569">
        <v>4914006.0</v>
      </c>
      <c r="K35" s="560" t="str">
        <f t="shared" si="35"/>
        <v>#DIV/0!</v>
      </c>
      <c r="L35" s="521"/>
      <c r="M35" s="588" t="str">
        <f t="shared" si="36"/>
        <v>#DIV/0!</v>
      </c>
      <c r="N35" s="521">
        <f t="shared" si="37"/>
        <v>4914006</v>
      </c>
      <c r="O35" s="562" t="str">
        <f t="shared" si="38"/>
        <v>#DIV/0!</v>
      </c>
      <c r="P35" s="474">
        <v>4988600.0</v>
      </c>
      <c r="Q35" s="560" t="str">
        <f t="shared" si="39"/>
        <v>#DIV/0!</v>
      </c>
      <c r="R35" s="521"/>
      <c r="S35" s="588" t="str">
        <f t="shared" si="40"/>
        <v>#DIV/0!</v>
      </c>
      <c r="T35" s="521">
        <f t="shared" si="41"/>
        <v>4988600</v>
      </c>
      <c r="U35" s="562" t="str">
        <f t="shared" si="42"/>
        <v>#DIV/0!</v>
      </c>
    </row>
    <row r="36" ht="15.75" customHeight="1">
      <c r="A36" s="439"/>
      <c r="B36" s="465"/>
      <c r="C36" s="465" t="s">
        <v>21</v>
      </c>
      <c r="D36" s="514">
        <v>262428.0</v>
      </c>
      <c r="E36" s="557">
        <f t="shared" si="31"/>
        <v>0.1526509216</v>
      </c>
      <c r="F36" s="521"/>
      <c r="G36" s="588" t="str">
        <f t="shared" si="32"/>
        <v>#DIV/0!</v>
      </c>
      <c r="H36" s="521">
        <f t="shared" si="33"/>
        <v>262428</v>
      </c>
      <c r="I36" s="558" t="str">
        <f t="shared" si="34"/>
        <v>#DIV/0!</v>
      </c>
      <c r="J36" s="467">
        <v>252306.0</v>
      </c>
      <c r="K36" s="560">
        <f t="shared" si="35"/>
        <v>0.1444767723</v>
      </c>
      <c r="L36" s="521"/>
      <c r="M36" s="588" t="str">
        <f t="shared" si="36"/>
        <v>#DIV/0!</v>
      </c>
      <c r="N36" s="521">
        <f t="shared" si="37"/>
        <v>252306</v>
      </c>
      <c r="O36" s="562" t="str">
        <f t="shared" si="38"/>
        <v>#DIV/0!</v>
      </c>
      <c r="P36" s="474">
        <v>265140.0</v>
      </c>
      <c r="Q36" s="560">
        <f t="shared" si="39"/>
        <v>0.1758719638</v>
      </c>
      <c r="R36" s="521"/>
      <c r="S36" s="588" t="str">
        <f t="shared" si="40"/>
        <v>#DIV/0!</v>
      </c>
      <c r="T36" s="521">
        <f t="shared" si="41"/>
        <v>265140</v>
      </c>
      <c r="U36" s="562" t="str">
        <f t="shared" si="42"/>
        <v>#DIV/0!</v>
      </c>
    </row>
    <row r="37" ht="15.75" customHeight="1">
      <c r="A37" s="439"/>
      <c r="B37" s="465"/>
      <c r="C37" s="465" t="s">
        <v>22</v>
      </c>
      <c r="D37" s="467">
        <v>1707488.82</v>
      </c>
      <c r="E37" s="557">
        <f t="shared" si="31"/>
        <v>0.08299936088</v>
      </c>
      <c r="F37" s="521"/>
      <c r="G37" s="588" t="str">
        <f t="shared" si="32"/>
        <v>#DIV/0!</v>
      </c>
      <c r="H37" s="521">
        <f t="shared" si="33"/>
        <v>1707488.82</v>
      </c>
      <c r="I37" s="558" t="str">
        <f t="shared" si="34"/>
        <v>#DIV/0!</v>
      </c>
      <c r="J37" s="514">
        <v>1524577.0</v>
      </c>
      <c r="K37" s="560">
        <f t="shared" si="35"/>
        <v>0.06875416529</v>
      </c>
      <c r="L37" s="521"/>
      <c r="M37" s="588" t="str">
        <f t="shared" si="36"/>
        <v>#DIV/0!</v>
      </c>
      <c r="N37" s="521">
        <f t="shared" si="37"/>
        <v>1524577</v>
      </c>
      <c r="O37" s="562" t="str">
        <f t="shared" si="38"/>
        <v>#DIV/0!</v>
      </c>
      <c r="P37" s="474">
        <v>1173345.0</v>
      </c>
      <c r="Q37" s="560">
        <f t="shared" si="39"/>
        <v>0.05944698339</v>
      </c>
      <c r="R37" s="521"/>
      <c r="S37" s="588" t="str">
        <f t="shared" si="40"/>
        <v>#DIV/0!</v>
      </c>
      <c r="T37" s="521">
        <f t="shared" si="41"/>
        <v>1173345</v>
      </c>
      <c r="U37" s="562" t="str">
        <f t="shared" si="42"/>
        <v>#DIV/0!</v>
      </c>
    </row>
    <row r="38" ht="15.75" customHeight="1">
      <c r="A38" s="439"/>
      <c r="B38" s="483"/>
      <c r="C38" s="483" t="s">
        <v>265</v>
      </c>
      <c r="D38" s="485">
        <f>'Calculation Sheet for GST on Pu'!C21</f>
        <v>274857.9684</v>
      </c>
      <c r="E38" s="564">
        <f>D38/D29</f>
        <v>0.01336057691</v>
      </c>
      <c r="F38" s="545"/>
      <c r="G38" s="588" t="str">
        <f t="shared" si="32"/>
        <v>#DIV/0!</v>
      </c>
      <c r="H38" s="545">
        <f t="shared" si="33"/>
        <v>274857.9684</v>
      </c>
      <c r="I38" s="565" t="str">
        <f t="shared" si="34"/>
        <v>#DIV/0!</v>
      </c>
      <c r="J38" s="485">
        <f>'Calculation Sheet for GST on Pu'!D21</f>
        <v>275713.8178</v>
      </c>
      <c r="K38" s="564">
        <f>J38/J29</f>
        <v>0.01243392325</v>
      </c>
      <c r="L38" s="545"/>
      <c r="M38" s="588" t="str">
        <f t="shared" si="36"/>
        <v>#DIV/0!</v>
      </c>
      <c r="N38" s="545">
        <f t="shared" si="37"/>
        <v>275713.8178</v>
      </c>
      <c r="O38" s="565" t="str">
        <f t="shared" si="38"/>
        <v>#DIV/0!</v>
      </c>
      <c r="P38" s="501">
        <f>'Calculation Sheet for GST on Pu'!E21</f>
        <v>324738.0137</v>
      </c>
      <c r="Q38" s="583">
        <f>P38/P29</f>
        <v>0.01645270172</v>
      </c>
      <c r="R38" s="545"/>
      <c r="S38" s="588" t="str">
        <f t="shared" si="40"/>
        <v>#DIV/0!</v>
      </c>
      <c r="T38" s="545">
        <f t="shared" si="41"/>
        <v>324738.0137</v>
      </c>
      <c r="U38" s="565" t="str">
        <f t="shared" si="42"/>
        <v>#DIV/0!</v>
      </c>
    </row>
    <row r="39" ht="15.75" customHeight="1">
      <c r="A39" s="439"/>
      <c r="B39" s="490"/>
      <c r="C39" s="490" t="s">
        <v>188</v>
      </c>
      <c r="D39" s="459">
        <f>SUM(D34:D38)</f>
        <v>7070695.559</v>
      </c>
      <c r="E39" s="547">
        <f>D39/D29</f>
        <v>0.3436995929</v>
      </c>
      <c r="F39" s="548">
        <f>SUM(F34:F38)</f>
        <v>0</v>
      </c>
      <c r="G39" s="547" t="str">
        <f>F39/F29</f>
        <v>#DIV/0!</v>
      </c>
      <c r="H39" s="548">
        <f>SUM(H34:H38)</f>
        <v>7070695.559</v>
      </c>
      <c r="I39" s="549" t="str">
        <f t="shared" si="34"/>
        <v>#DIV/0!</v>
      </c>
      <c r="J39" s="459">
        <f>SUM(J34:J38)</f>
        <v>7219244.588</v>
      </c>
      <c r="K39" s="547">
        <f>J39/J29</f>
        <v>0.3255677711</v>
      </c>
      <c r="L39" s="548">
        <f>SUM(L34:L38)</f>
        <v>0</v>
      </c>
      <c r="M39" s="547" t="str">
        <f>L39/L29</f>
        <v>#DIV/0!</v>
      </c>
      <c r="N39" s="548">
        <f>SUM(N34:N38)</f>
        <v>7219244.588</v>
      </c>
      <c r="O39" s="549" t="str">
        <f t="shared" si="38"/>
        <v>#DIV/0!</v>
      </c>
      <c r="P39" s="491">
        <f>SUM(P34:P38)</f>
        <v>6993982.435</v>
      </c>
      <c r="Q39" s="551">
        <f>P39/P29</f>
        <v>0.3543468951</v>
      </c>
      <c r="R39" s="548">
        <f>SUM(R34:R38)</f>
        <v>0</v>
      </c>
      <c r="S39" s="547" t="str">
        <f>R39/R29</f>
        <v>#DIV/0!</v>
      </c>
      <c r="T39" s="548">
        <f>SUM(T34:T38)</f>
        <v>6993982.435</v>
      </c>
      <c r="U39" s="549" t="str">
        <f t="shared" si="42"/>
        <v>#DIV/0!</v>
      </c>
    </row>
    <row r="40" ht="15.75" customHeight="1">
      <c r="A40" s="439"/>
      <c r="B40" s="526"/>
      <c r="C40" s="526" t="s">
        <v>189</v>
      </c>
      <c r="D40" s="515">
        <v>47598.75</v>
      </c>
      <c r="E40" s="589">
        <f>D40/D$29</f>
        <v>0.002313728665</v>
      </c>
      <c r="F40" s="590">
        <f>G40*SUM(F24:F26)</f>
        <v>0</v>
      </c>
      <c r="G40" s="589"/>
      <c r="H40" s="590">
        <f>D40-F40</f>
        <v>47598.75</v>
      </c>
      <c r="I40" s="591" t="str">
        <f t="shared" si="34"/>
        <v>#DIV/0!</v>
      </c>
      <c r="J40" s="592">
        <f>57274.25+1675</f>
        <v>58949.25</v>
      </c>
      <c r="K40" s="593">
        <f>J40/J$29</f>
        <v>0.002658446558</v>
      </c>
      <c r="L40" s="590">
        <f>M40*SUM(L24:L26)</f>
        <v>0</v>
      </c>
      <c r="M40" s="589"/>
      <c r="N40" s="590">
        <f>J40-L40</f>
        <v>58949.25</v>
      </c>
      <c r="O40" s="591" t="str">
        <f t="shared" si="38"/>
        <v>#DIV/0!</v>
      </c>
      <c r="P40" s="594">
        <v>71360.0</v>
      </c>
      <c r="Q40" s="593">
        <f>P40/P$29</f>
        <v>0.003615421495</v>
      </c>
      <c r="R40" s="590">
        <f>S40*SUM(R24:R26)</f>
        <v>0</v>
      </c>
      <c r="S40" s="589"/>
      <c r="T40" s="590">
        <f>P40-R40</f>
        <v>71360</v>
      </c>
      <c r="U40" s="591" t="str">
        <f t="shared" si="42"/>
        <v>#DIV/0!</v>
      </c>
    </row>
    <row r="41" ht="15.75" customHeight="1">
      <c r="A41" s="439"/>
      <c r="B41" s="595"/>
      <c r="C41" s="595" t="s">
        <v>190</v>
      </c>
      <c r="D41" s="596">
        <f>D39+D40</f>
        <v>7118294.309</v>
      </c>
      <c r="E41" s="597">
        <f>D41/D29</f>
        <v>0.3460133216</v>
      </c>
      <c r="F41" s="598">
        <f>F39+F40</f>
        <v>0</v>
      </c>
      <c r="G41" s="597" t="str">
        <f>F41/F29</f>
        <v>#DIV/0!</v>
      </c>
      <c r="H41" s="598">
        <f>H39+H40</f>
        <v>7118294.309</v>
      </c>
      <c r="I41" s="599" t="str">
        <f t="shared" si="34"/>
        <v>#DIV/0!</v>
      </c>
      <c r="J41" s="491">
        <f>J39+J40</f>
        <v>7278193.838</v>
      </c>
      <c r="K41" s="600">
        <f>J41/J29</f>
        <v>0.3282262176</v>
      </c>
      <c r="L41" s="598">
        <f>L39+L40</f>
        <v>0</v>
      </c>
      <c r="M41" s="597" t="str">
        <f>L41/L29</f>
        <v>#DIV/0!</v>
      </c>
      <c r="N41" s="598">
        <f>N39+N40</f>
        <v>7278193.838</v>
      </c>
      <c r="O41" s="599" t="str">
        <f t="shared" si="38"/>
        <v>#DIV/0!</v>
      </c>
      <c r="P41" s="491">
        <f>P39+P40</f>
        <v>7065342.435</v>
      </c>
      <c r="Q41" s="600">
        <f>P41/P29</f>
        <v>0.3579623166</v>
      </c>
      <c r="R41" s="598">
        <f>R39+R40</f>
        <v>0</v>
      </c>
      <c r="S41" s="597" t="str">
        <f>R41/R29</f>
        <v>#DIV/0!</v>
      </c>
      <c r="T41" s="598">
        <f>T39+T40</f>
        <v>7065342.435</v>
      </c>
      <c r="U41" s="599" t="str">
        <f t="shared" si="42"/>
        <v>#DIV/0!</v>
      </c>
    </row>
    <row r="42" ht="15.75" customHeight="1">
      <c r="A42" s="439"/>
      <c r="B42" s="490"/>
      <c r="C42" s="490" t="s">
        <v>32</v>
      </c>
      <c r="D42" s="459">
        <f>D29-D41</f>
        <v>13454018.56</v>
      </c>
      <c r="E42" s="547">
        <f>D42/D29</f>
        <v>0.6539866784</v>
      </c>
      <c r="F42" s="548">
        <f>F29-F41</f>
        <v>0</v>
      </c>
      <c r="G42" s="547" t="str">
        <f>F42/F29</f>
        <v>#DIV/0!</v>
      </c>
      <c r="H42" s="548">
        <f>H29-H41</f>
        <v>13408418.56</v>
      </c>
      <c r="I42" s="549"/>
      <c r="J42" s="491">
        <f>J29-J41</f>
        <v>14896128.16</v>
      </c>
      <c r="K42" s="551">
        <f>J42/J29</f>
        <v>0.6717737824</v>
      </c>
      <c r="L42" s="548">
        <f>L29-L41</f>
        <v>0</v>
      </c>
      <c r="M42" s="547" t="str">
        <f>L42/L29</f>
        <v>#DIV/0!</v>
      </c>
      <c r="N42" s="548">
        <f>N29-N41</f>
        <v>14855328.16</v>
      </c>
      <c r="O42" s="549"/>
      <c r="P42" s="491">
        <f>P29-P41</f>
        <v>12672328.56</v>
      </c>
      <c r="Q42" s="551">
        <f>P42/P29</f>
        <v>0.6420376834</v>
      </c>
      <c r="R42" s="548">
        <f>R29-R41</f>
        <v>0</v>
      </c>
      <c r="S42" s="547" t="str">
        <f>R42/R29</f>
        <v>#DIV/0!</v>
      </c>
      <c r="T42" s="548">
        <f>T29-T41</f>
        <v>12626428.56</v>
      </c>
      <c r="U42" s="549"/>
    </row>
    <row r="43" ht="15.75" customHeight="1">
      <c r="A43" s="439"/>
      <c r="B43" s="465"/>
      <c r="C43" s="465"/>
      <c r="D43" s="467"/>
      <c r="E43" s="557"/>
      <c r="F43" s="521"/>
      <c r="G43" s="557"/>
      <c r="H43" s="521"/>
      <c r="I43" s="562"/>
      <c r="J43" s="463"/>
      <c r="K43" s="557"/>
      <c r="L43" s="521"/>
      <c r="M43" s="557"/>
      <c r="N43" s="521"/>
      <c r="O43" s="562"/>
      <c r="P43" s="498"/>
      <c r="Q43" s="560"/>
      <c r="R43" s="521"/>
      <c r="S43" s="557"/>
      <c r="T43" s="521"/>
      <c r="U43" s="562"/>
    </row>
    <row r="44" ht="15.75" customHeight="1">
      <c r="A44" s="439"/>
      <c r="B44" s="465"/>
      <c r="C44" s="601" t="s">
        <v>191</v>
      </c>
      <c r="D44" s="467"/>
      <c r="E44" s="539"/>
      <c r="F44" s="521"/>
      <c r="G44" s="539"/>
      <c r="H44" s="521"/>
      <c r="I44" s="479"/>
      <c r="J44" s="485"/>
      <c r="K44" s="539"/>
      <c r="L44" s="521"/>
      <c r="M44" s="539"/>
      <c r="N44" s="521"/>
      <c r="O44" s="479"/>
      <c r="P44" s="501"/>
      <c r="Q44" s="575"/>
      <c r="R44" s="521"/>
      <c r="S44" s="539"/>
      <c r="T44" s="521"/>
      <c r="U44" s="479"/>
    </row>
    <row r="45" ht="15.75" customHeight="1">
      <c r="A45" s="439"/>
      <c r="B45" s="465"/>
      <c r="C45" s="465" t="s">
        <v>192</v>
      </c>
      <c r="D45" s="467">
        <v>70347.38</v>
      </c>
      <c r="E45" s="557">
        <f t="shared" ref="E45:E46" si="43">D45/D$29</f>
        <v>0.003419517312</v>
      </c>
      <c r="F45" s="521"/>
      <c r="G45" s="588" t="str">
        <f t="shared" ref="G45:G50" si="44">F45/$F$29</f>
        <v>#DIV/0!</v>
      </c>
      <c r="H45" s="521"/>
      <c r="I45" s="558" t="str">
        <f t="shared" ref="I45:I50" si="45">H45/F45</f>
        <v>#DIV/0!</v>
      </c>
      <c r="J45" s="572">
        <v>88270.94</v>
      </c>
      <c r="K45" s="560">
        <f t="shared" ref="K45:K46" si="46">J45/J$29</f>
        <v>0.003980772896</v>
      </c>
      <c r="L45" s="521"/>
      <c r="M45" s="588" t="str">
        <f t="shared" ref="M45:M50" si="47">L45/$F$29</f>
        <v>#DIV/0!</v>
      </c>
      <c r="N45" s="521"/>
      <c r="O45" s="562" t="str">
        <f t="shared" ref="O45:O50" si="48">N45/L45</f>
        <v>#DIV/0!</v>
      </c>
      <c r="P45" s="570">
        <v>75339.0</v>
      </c>
      <c r="Q45" s="560">
        <f t="shared" ref="Q45:Q50" si="49">P45/P$29</f>
        <v>0.003817015696</v>
      </c>
      <c r="R45" s="521"/>
      <c r="S45" s="588" t="str">
        <f t="shared" ref="S45:S50" si="50">R45/$F$29</f>
        <v>#DIV/0!</v>
      </c>
      <c r="T45" s="521"/>
      <c r="U45" s="562" t="str">
        <f t="shared" ref="U45:U50" si="51">T45/R45</f>
        <v>#DIV/0!</v>
      </c>
    </row>
    <row r="46" ht="15.75" customHeight="1">
      <c r="A46" s="439"/>
      <c r="B46" s="465"/>
      <c r="C46" s="465" t="s">
        <v>193</v>
      </c>
      <c r="D46" s="467">
        <v>152439.45</v>
      </c>
      <c r="E46" s="557">
        <f t="shared" si="43"/>
        <v>0.007409932513</v>
      </c>
      <c r="F46" s="521"/>
      <c r="G46" s="588" t="str">
        <f t="shared" si="44"/>
        <v>#DIV/0!</v>
      </c>
      <c r="H46" s="521"/>
      <c r="I46" s="562" t="str">
        <f t="shared" si="45"/>
        <v>#DIV/0!</v>
      </c>
      <c r="J46" s="463">
        <v>180825.0</v>
      </c>
      <c r="K46" s="557">
        <f t="shared" si="46"/>
        <v>0.008154702543</v>
      </c>
      <c r="L46" s="521"/>
      <c r="M46" s="588" t="str">
        <f t="shared" si="47"/>
        <v>#DIV/0!</v>
      </c>
      <c r="N46" s="521"/>
      <c r="O46" s="562" t="str">
        <f t="shared" si="48"/>
        <v>#DIV/0!</v>
      </c>
      <c r="P46" s="505">
        <v>198120.0</v>
      </c>
      <c r="Q46" s="560">
        <f t="shared" si="49"/>
        <v>0.01003765845</v>
      </c>
      <c r="R46" s="521"/>
      <c r="S46" s="588" t="str">
        <f t="shared" si="50"/>
        <v>#DIV/0!</v>
      </c>
      <c r="T46" s="521"/>
      <c r="U46" s="562" t="str">
        <f t="shared" si="51"/>
        <v>#DIV/0!</v>
      </c>
    </row>
    <row r="47" ht="15.75" customHeight="1">
      <c r="A47" s="439"/>
      <c r="B47" s="465"/>
      <c r="C47" s="465" t="s">
        <v>266</v>
      </c>
      <c r="D47" s="602">
        <v>81108.0</v>
      </c>
      <c r="E47" s="603">
        <v>169851.0</v>
      </c>
      <c r="F47" s="602">
        <v>17189.0</v>
      </c>
      <c r="G47" s="604" t="str">
        <f t="shared" si="44"/>
        <v>#DIV/0!</v>
      </c>
      <c r="H47" s="474"/>
      <c r="I47" s="605">
        <f t="shared" si="45"/>
        <v>0</v>
      </c>
      <c r="J47" s="602">
        <v>169851.0</v>
      </c>
      <c r="K47" s="603">
        <v>169851.0</v>
      </c>
      <c r="L47" s="602">
        <v>17189.0</v>
      </c>
      <c r="M47" s="604" t="str">
        <f t="shared" si="47"/>
        <v>#DIV/0!</v>
      </c>
      <c r="N47" s="474"/>
      <c r="O47" s="605">
        <f t="shared" si="48"/>
        <v>0</v>
      </c>
      <c r="P47" s="602">
        <v>17189.0</v>
      </c>
      <c r="Q47" s="560">
        <f t="shared" si="49"/>
        <v>0.000870872759</v>
      </c>
      <c r="R47" s="521"/>
      <c r="S47" s="588" t="str">
        <f t="shared" si="50"/>
        <v>#DIV/0!</v>
      </c>
      <c r="T47" s="521"/>
      <c r="U47" s="562" t="str">
        <f t="shared" si="51"/>
        <v>#DIV/0!</v>
      </c>
    </row>
    <row r="48" ht="15.75" customHeight="1">
      <c r="A48" s="439"/>
      <c r="B48" s="465"/>
      <c r="C48" s="465" t="s">
        <v>267</v>
      </c>
      <c r="D48" s="467">
        <v>92239.96</v>
      </c>
      <c r="E48" s="557">
        <f t="shared" ref="E48:E50" si="52">D48/D$29</f>
        <v>0.004483694205</v>
      </c>
      <c r="F48" s="521"/>
      <c r="G48" s="588" t="str">
        <f t="shared" si="44"/>
        <v>#DIV/0!</v>
      </c>
      <c r="H48" s="521"/>
      <c r="I48" s="562" t="str">
        <f t="shared" si="45"/>
        <v>#DIV/0!</v>
      </c>
      <c r="J48" s="467">
        <v>105159.0</v>
      </c>
      <c r="K48" s="557">
        <f t="shared" ref="K48:K50" si="53">J48/J$29</f>
        <v>0.004742377242</v>
      </c>
      <c r="L48" s="521"/>
      <c r="M48" s="588" t="str">
        <f t="shared" si="47"/>
        <v>#DIV/0!</v>
      </c>
      <c r="N48" s="521"/>
      <c r="O48" s="562" t="str">
        <f t="shared" si="48"/>
        <v>#DIV/0!</v>
      </c>
      <c r="P48" s="506">
        <v>115239.0</v>
      </c>
      <c r="Q48" s="560">
        <f t="shared" si="49"/>
        <v>0.005838530797</v>
      </c>
      <c r="R48" s="521"/>
      <c r="S48" s="588" t="str">
        <f t="shared" si="50"/>
        <v>#DIV/0!</v>
      </c>
      <c r="T48" s="521"/>
      <c r="U48" s="562" t="str">
        <f t="shared" si="51"/>
        <v>#DIV/0!</v>
      </c>
    </row>
    <row r="49" ht="15.75" customHeight="1">
      <c r="A49" s="439"/>
      <c r="B49" s="465"/>
      <c r="C49" s="465" t="s">
        <v>195</v>
      </c>
      <c r="D49" s="467">
        <v>209615.5</v>
      </c>
      <c r="E49" s="557">
        <f t="shared" si="52"/>
        <v>0.01018920436</v>
      </c>
      <c r="F49" s="521"/>
      <c r="G49" s="588" t="str">
        <f t="shared" si="44"/>
        <v>#DIV/0!</v>
      </c>
      <c r="H49" s="521"/>
      <c r="I49" s="562" t="str">
        <f t="shared" si="45"/>
        <v>#DIV/0!</v>
      </c>
      <c r="J49" s="467">
        <v>46519.0</v>
      </c>
      <c r="K49" s="557">
        <f t="shared" si="53"/>
        <v>0.002097876995</v>
      </c>
      <c r="L49" s="521"/>
      <c r="M49" s="588" t="str">
        <f t="shared" si="47"/>
        <v>#DIV/0!</v>
      </c>
      <c r="N49" s="521"/>
      <c r="O49" s="562" t="str">
        <f t="shared" si="48"/>
        <v>#DIV/0!</v>
      </c>
      <c r="P49" s="506">
        <v>83500.0</v>
      </c>
      <c r="Q49" s="560">
        <f t="shared" si="49"/>
        <v>0.004230488997</v>
      </c>
      <c r="R49" s="521"/>
      <c r="S49" s="588" t="str">
        <f t="shared" si="50"/>
        <v>#DIV/0!</v>
      </c>
      <c r="T49" s="521"/>
      <c r="U49" s="562" t="str">
        <f t="shared" si="51"/>
        <v>#DIV/0!</v>
      </c>
    </row>
    <row r="50" ht="15.75" customHeight="1">
      <c r="A50" s="439"/>
      <c r="B50" s="483"/>
      <c r="C50" s="483" t="s">
        <v>196</v>
      </c>
      <c r="D50" s="485">
        <v>3553.3333333333335</v>
      </c>
      <c r="E50" s="564">
        <f t="shared" si="52"/>
        <v>0.0001727240566</v>
      </c>
      <c r="F50" s="545"/>
      <c r="G50" s="588" t="str">
        <f t="shared" si="44"/>
        <v>#DIV/0!</v>
      </c>
      <c r="H50" s="545"/>
      <c r="I50" s="565" t="str">
        <f t="shared" si="45"/>
        <v>#DIV/0!</v>
      </c>
      <c r="J50" s="485">
        <v>611.0</v>
      </c>
      <c r="K50" s="564">
        <f t="shared" si="53"/>
        <v>0.00002755439377</v>
      </c>
      <c r="L50" s="545"/>
      <c r="M50" s="588" t="str">
        <f t="shared" si="47"/>
        <v>#DIV/0!</v>
      </c>
      <c r="N50" s="545"/>
      <c r="O50" s="565" t="str">
        <f t="shared" si="48"/>
        <v>#DIV/0!</v>
      </c>
      <c r="P50" s="488">
        <v>3489.0</v>
      </c>
      <c r="Q50" s="583">
        <f t="shared" si="49"/>
        <v>0.0001767685762</v>
      </c>
      <c r="R50" s="545"/>
      <c r="S50" s="588" t="str">
        <f t="shared" si="50"/>
        <v>#DIV/0!</v>
      </c>
      <c r="T50" s="545"/>
      <c r="U50" s="565" t="str">
        <f t="shared" si="51"/>
        <v>#DIV/0!</v>
      </c>
    </row>
    <row r="51" ht="15.75" customHeight="1">
      <c r="A51" s="439"/>
      <c r="B51" s="490"/>
      <c r="C51" s="490" t="s">
        <v>197</v>
      </c>
      <c r="D51" s="459">
        <f>SUM(D45:D50)</f>
        <v>609303.6233</v>
      </c>
      <c r="E51" s="547">
        <f>D51/D29</f>
        <v>0.02961765297</v>
      </c>
      <c r="F51" s="548">
        <f>SUM(F45:F50)</f>
        <v>17189</v>
      </c>
      <c r="G51" s="547" t="str">
        <f>F51/F29</f>
        <v>#DIV/0!</v>
      </c>
      <c r="H51" s="548">
        <f>SUM(H45:H50)</f>
        <v>0</v>
      </c>
      <c r="I51" s="549">
        <f>H51/H29</f>
        <v>0</v>
      </c>
      <c r="J51" s="459">
        <f>SUM(J45:J50)</f>
        <v>591235.94</v>
      </c>
      <c r="K51" s="547">
        <f>J51/J29</f>
        <v>0.02666308986</v>
      </c>
      <c r="L51" s="548">
        <f>SUM(L45:L50)</f>
        <v>17189</v>
      </c>
      <c r="M51" s="547" t="str">
        <f>L51/L29</f>
        <v>#DIV/0!</v>
      </c>
      <c r="N51" s="548">
        <f>SUM(N45:N50)</f>
        <v>0</v>
      </c>
      <c r="O51" s="549">
        <f>N51/N29</f>
        <v>0</v>
      </c>
      <c r="P51" s="491">
        <f>SUM(P45:P50)</f>
        <v>492876</v>
      </c>
      <c r="Q51" s="551">
        <f>P51/P29</f>
        <v>0.02497133527</v>
      </c>
      <c r="R51" s="548">
        <f>SUM(R45:R50)</f>
        <v>0</v>
      </c>
      <c r="S51" s="547" t="str">
        <f>R51/R29</f>
        <v>#DIV/0!</v>
      </c>
      <c r="T51" s="548">
        <f>SUM(T45:T50)</f>
        <v>0</v>
      </c>
      <c r="U51" s="549">
        <f>T51/T29</f>
        <v>0</v>
      </c>
    </row>
    <row r="52" ht="15.75" hidden="1" customHeight="1">
      <c r="A52" s="439"/>
      <c r="B52" s="497"/>
      <c r="C52" s="497"/>
      <c r="D52" s="463"/>
      <c r="E52" s="540"/>
      <c r="F52" s="541"/>
      <c r="G52" s="540"/>
      <c r="H52" s="541"/>
      <c r="I52" s="542"/>
      <c r="J52" s="463"/>
      <c r="K52" s="540"/>
      <c r="L52" s="541"/>
      <c r="M52" s="540"/>
      <c r="N52" s="541"/>
      <c r="O52" s="542"/>
      <c r="P52" s="498"/>
      <c r="Q52" s="606"/>
      <c r="R52" s="541"/>
      <c r="S52" s="540"/>
      <c r="T52" s="541"/>
      <c r="U52" s="542"/>
    </row>
    <row r="53" ht="15.75" hidden="1" customHeight="1">
      <c r="A53" s="439"/>
      <c r="B53" s="465"/>
      <c r="C53" s="465"/>
      <c r="D53" s="467"/>
      <c r="E53" s="557"/>
      <c r="F53" s="521"/>
      <c r="G53" s="539"/>
      <c r="H53" s="521"/>
      <c r="I53" s="479"/>
      <c r="J53" s="467"/>
      <c r="K53" s="557"/>
      <c r="L53" s="521"/>
      <c r="M53" s="539"/>
      <c r="N53" s="521"/>
      <c r="O53" s="479"/>
      <c r="P53" s="474"/>
      <c r="Q53" s="560"/>
      <c r="R53" s="521"/>
      <c r="S53" s="539"/>
      <c r="T53" s="521"/>
      <c r="U53" s="479"/>
    </row>
    <row r="54" ht="15.75" hidden="1" customHeight="1">
      <c r="A54" s="439"/>
      <c r="B54" s="465"/>
      <c r="C54" s="465"/>
      <c r="D54" s="467"/>
      <c r="E54" s="557"/>
      <c r="F54" s="521"/>
      <c r="G54" s="539"/>
      <c r="H54" s="521"/>
      <c r="I54" s="479"/>
      <c r="J54" s="467"/>
      <c r="K54" s="557"/>
      <c r="L54" s="521"/>
      <c r="M54" s="539"/>
      <c r="N54" s="521"/>
      <c r="O54" s="479"/>
      <c r="P54" s="474"/>
      <c r="Q54" s="560"/>
      <c r="R54" s="521"/>
      <c r="S54" s="539"/>
      <c r="T54" s="521"/>
      <c r="U54" s="479"/>
    </row>
    <row r="55" ht="15.75" hidden="1" customHeight="1">
      <c r="A55" s="439"/>
      <c r="B55" s="465"/>
      <c r="C55" s="465"/>
      <c r="D55" s="467"/>
      <c r="E55" s="539"/>
      <c r="F55" s="521"/>
      <c r="G55" s="539"/>
      <c r="H55" s="521"/>
      <c r="I55" s="479"/>
      <c r="J55" s="467"/>
      <c r="K55" s="539"/>
      <c r="L55" s="521"/>
      <c r="M55" s="539"/>
      <c r="N55" s="521"/>
      <c r="O55" s="479"/>
      <c r="P55" s="474"/>
      <c r="Q55" s="575"/>
      <c r="R55" s="521"/>
      <c r="S55" s="539"/>
      <c r="T55" s="521"/>
      <c r="U55" s="479"/>
    </row>
    <row r="56" ht="15.75" hidden="1" customHeight="1">
      <c r="A56" s="439"/>
      <c r="B56" s="465"/>
      <c r="C56" s="465"/>
      <c r="D56" s="467"/>
      <c r="E56" s="539"/>
      <c r="F56" s="521"/>
      <c r="G56" s="539"/>
      <c r="H56" s="521"/>
      <c r="I56" s="479"/>
      <c r="J56" s="467"/>
      <c r="K56" s="539"/>
      <c r="L56" s="521"/>
      <c r="M56" s="539"/>
      <c r="N56" s="521"/>
      <c r="O56" s="479"/>
      <c r="P56" s="474"/>
      <c r="Q56" s="575"/>
      <c r="R56" s="521"/>
      <c r="S56" s="539"/>
      <c r="T56" s="521"/>
      <c r="U56" s="479"/>
    </row>
    <row r="57" ht="15.75" hidden="1" customHeight="1">
      <c r="A57" s="439"/>
      <c r="B57" s="465"/>
      <c r="C57" s="465"/>
      <c r="D57" s="467"/>
      <c r="E57" s="539"/>
      <c r="F57" s="521"/>
      <c r="G57" s="539"/>
      <c r="H57" s="521"/>
      <c r="I57" s="479"/>
      <c r="J57" s="467"/>
      <c r="K57" s="539"/>
      <c r="L57" s="521"/>
      <c r="M57" s="539"/>
      <c r="N57" s="521"/>
      <c r="O57" s="479"/>
      <c r="P57" s="474"/>
      <c r="Q57" s="575"/>
      <c r="R57" s="521"/>
      <c r="S57" s="539"/>
      <c r="T57" s="521"/>
      <c r="U57" s="479"/>
    </row>
    <row r="58" ht="15.75" hidden="1" customHeight="1">
      <c r="A58" s="439"/>
      <c r="B58" s="465"/>
      <c r="C58" s="465"/>
      <c r="D58" s="467"/>
      <c r="E58" s="539"/>
      <c r="F58" s="521"/>
      <c r="G58" s="539"/>
      <c r="H58" s="521"/>
      <c r="I58" s="479"/>
      <c r="J58" s="467"/>
      <c r="K58" s="539"/>
      <c r="L58" s="521"/>
      <c r="M58" s="539"/>
      <c r="N58" s="521"/>
      <c r="O58" s="479"/>
      <c r="P58" s="474"/>
      <c r="Q58" s="575"/>
      <c r="R58" s="521"/>
      <c r="S58" s="539"/>
      <c r="T58" s="521"/>
      <c r="U58" s="479"/>
    </row>
    <row r="59" ht="15.75" customHeight="1">
      <c r="A59" s="439"/>
      <c r="B59" s="607" t="s">
        <v>201</v>
      </c>
      <c r="C59" s="608"/>
      <c r="D59" s="485"/>
      <c r="E59" s="544"/>
      <c r="F59" s="545"/>
      <c r="G59" s="544"/>
      <c r="H59" s="545"/>
      <c r="I59" s="546"/>
      <c r="J59" s="485"/>
      <c r="K59" s="544"/>
      <c r="L59" s="545"/>
      <c r="M59" s="544"/>
      <c r="N59" s="545"/>
      <c r="O59" s="546"/>
      <c r="P59" s="501"/>
      <c r="Q59" s="609"/>
      <c r="R59" s="545"/>
      <c r="S59" s="544"/>
      <c r="T59" s="545"/>
      <c r="U59" s="546"/>
    </row>
    <row r="60" ht="15.75" customHeight="1">
      <c r="A60" s="439"/>
      <c r="B60" s="490"/>
      <c r="C60" s="511" t="s">
        <v>202</v>
      </c>
      <c r="D60" s="459">
        <f>SUM(D61:D67)</f>
        <v>72049</v>
      </c>
      <c r="E60" s="547">
        <f t="shared" ref="E60:E67" si="54">D60/D$29</f>
        <v>0.003502231395</v>
      </c>
      <c r="F60" s="548">
        <f>SUM(F61:F67)</f>
        <v>0</v>
      </c>
      <c r="G60" s="547" t="str">
        <f t="shared" ref="G60:G67" si="55">F60/F$29</f>
        <v>#DIV/0!</v>
      </c>
      <c r="H60" s="548">
        <f>SUM(H61:H67)</f>
        <v>72049</v>
      </c>
      <c r="I60" s="549">
        <f>H60/H$29</f>
        <v>0.003510011586</v>
      </c>
      <c r="J60" s="459">
        <f>SUM(J61:J67)</f>
        <v>0</v>
      </c>
      <c r="K60" s="547">
        <f t="shared" ref="K60:K67" si="56">J60/J$29</f>
        <v>0</v>
      </c>
      <c r="L60" s="548">
        <f>SUM(L61:L67)</f>
        <v>0</v>
      </c>
      <c r="M60" s="547" t="str">
        <f t="shared" ref="M60:M67" si="57">L60/L$29</f>
        <v>#DIV/0!</v>
      </c>
      <c r="N60" s="548">
        <f>SUM(N61:N67)</f>
        <v>0</v>
      </c>
      <c r="O60" s="549">
        <f>N60/N$29</f>
        <v>0</v>
      </c>
      <c r="P60" s="491">
        <f>SUM(P61:P67)</f>
        <v>0</v>
      </c>
      <c r="Q60" s="551">
        <f t="shared" ref="Q60:Q67" si="58">P60/P$29</f>
        <v>0</v>
      </c>
      <c r="R60" s="548">
        <f>SUM(R61:R67)</f>
        <v>0</v>
      </c>
      <c r="S60" s="547" t="str">
        <f t="shared" ref="S60:S67" si="59">R60/R$29</f>
        <v>#DIV/0!</v>
      </c>
      <c r="T60" s="548">
        <f>SUM(T61:T67)</f>
        <v>0</v>
      </c>
      <c r="U60" s="549">
        <f>T60/T$29</f>
        <v>0</v>
      </c>
    </row>
    <row r="61" ht="15.75" customHeight="1">
      <c r="A61" s="439"/>
      <c r="B61" s="497"/>
      <c r="C61" s="497" t="s">
        <v>268</v>
      </c>
      <c r="D61" s="463">
        <v>72049.0</v>
      </c>
      <c r="E61" s="552">
        <f t="shared" si="54"/>
        <v>0.003502231395</v>
      </c>
      <c r="F61" s="541"/>
      <c r="G61" s="552" t="str">
        <f t="shared" si="55"/>
        <v>#DIV/0!</v>
      </c>
      <c r="H61" s="541">
        <f t="shared" ref="H61:H63" si="60">D61-F61</f>
        <v>72049</v>
      </c>
      <c r="I61" s="562" t="str">
        <f t="shared" ref="I61:I67" si="61">H61/F61</f>
        <v>#DIV/0!</v>
      </c>
      <c r="J61" s="513">
        <v>0.0</v>
      </c>
      <c r="K61" s="552">
        <f t="shared" si="56"/>
        <v>0</v>
      </c>
      <c r="L61" s="541"/>
      <c r="M61" s="552" t="str">
        <f t="shared" si="57"/>
        <v>#DIV/0!</v>
      </c>
      <c r="N61" s="541">
        <f t="shared" ref="N61:N63" si="62">J61-L61</f>
        <v>0</v>
      </c>
      <c r="O61" s="562" t="str">
        <f t="shared" ref="O61:O67" si="63">N61/L61</f>
        <v>#DIV/0!</v>
      </c>
      <c r="P61" s="505">
        <v>0.0</v>
      </c>
      <c r="Q61" s="554">
        <f t="shared" si="58"/>
        <v>0</v>
      </c>
      <c r="R61" s="541"/>
      <c r="S61" s="552" t="str">
        <f t="shared" si="59"/>
        <v>#DIV/0!</v>
      </c>
      <c r="T61" s="541">
        <f t="shared" ref="T61:T63" si="64">P61-R61</f>
        <v>0</v>
      </c>
      <c r="U61" s="562" t="str">
        <f t="shared" ref="U61:U67" si="65">T61/R61</f>
        <v>#DIV/0!</v>
      </c>
    </row>
    <row r="62" ht="15.75" customHeight="1">
      <c r="A62" s="439"/>
      <c r="B62" s="465"/>
      <c r="C62" s="465" t="s">
        <v>269</v>
      </c>
      <c r="D62" s="514">
        <v>0.0</v>
      </c>
      <c r="E62" s="557">
        <f t="shared" si="54"/>
        <v>0</v>
      </c>
      <c r="F62" s="521"/>
      <c r="G62" s="557" t="str">
        <f t="shared" si="55"/>
        <v>#DIV/0!</v>
      </c>
      <c r="H62" s="521">
        <f t="shared" si="60"/>
        <v>0</v>
      </c>
      <c r="I62" s="562" t="str">
        <f t="shared" si="61"/>
        <v>#DIV/0!</v>
      </c>
      <c r="J62" s="514">
        <v>0.0</v>
      </c>
      <c r="K62" s="557">
        <f t="shared" si="56"/>
        <v>0</v>
      </c>
      <c r="L62" s="521"/>
      <c r="M62" s="557" t="str">
        <f t="shared" si="57"/>
        <v>#DIV/0!</v>
      </c>
      <c r="N62" s="521">
        <f t="shared" si="62"/>
        <v>0</v>
      </c>
      <c r="O62" s="562" t="str">
        <f t="shared" si="63"/>
        <v>#DIV/0!</v>
      </c>
      <c r="P62" s="506">
        <v>0.0</v>
      </c>
      <c r="Q62" s="560">
        <f t="shared" si="58"/>
        <v>0</v>
      </c>
      <c r="R62" s="521"/>
      <c r="S62" s="557" t="str">
        <f t="shared" si="59"/>
        <v>#DIV/0!</v>
      </c>
      <c r="T62" s="521">
        <f t="shared" si="64"/>
        <v>0</v>
      </c>
      <c r="U62" s="562" t="str">
        <f t="shared" si="65"/>
        <v>#DIV/0!</v>
      </c>
    </row>
    <row r="63" ht="15.75" customHeight="1">
      <c r="A63" s="439"/>
      <c r="B63" s="465"/>
      <c r="C63" s="465" t="s">
        <v>210</v>
      </c>
      <c r="D63" s="514">
        <v>0.0</v>
      </c>
      <c r="E63" s="557">
        <f t="shared" si="54"/>
        <v>0</v>
      </c>
      <c r="F63" s="521"/>
      <c r="G63" s="557" t="str">
        <f t="shared" si="55"/>
        <v>#DIV/0!</v>
      </c>
      <c r="H63" s="521">
        <f t="shared" si="60"/>
        <v>0</v>
      </c>
      <c r="I63" s="562" t="str">
        <f t="shared" si="61"/>
        <v>#DIV/0!</v>
      </c>
      <c r="J63" s="514">
        <v>0.0</v>
      </c>
      <c r="K63" s="557">
        <f t="shared" si="56"/>
        <v>0</v>
      </c>
      <c r="L63" s="521"/>
      <c r="M63" s="557" t="str">
        <f t="shared" si="57"/>
        <v>#DIV/0!</v>
      </c>
      <c r="N63" s="521">
        <f t="shared" si="62"/>
        <v>0</v>
      </c>
      <c r="O63" s="562" t="str">
        <f t="shared" si="63"/>
        <v>#DIV/0!</v>
      </c>
      <c r="P63" s="506">
        <v>0.0</v>
      </c>
      <c r="Q63" s="560">
        <f t="shared" si="58"/>
        <v>0</v>
      </c>
      <c r="R63" s="521"/>
      <c r="S63" s="557" t="str">
        <f t="shared" si="59"/>
        <v>#DIV/0!</v>
      </c>
      <c r="T63" s="521">
        <f t="shared" si="64"/>
        <v>0</v>
      </c>
      <c r="U63" s="562" t="str">
        <f t="shared" si="65"/>
        <v>#DIV/0!</v>
      </c>
    </row>
    <row r="64" ht="15.75" customHeight="1">
      <c r="A64" s="439"/>
      <c r="B64" s="465"/>
      <c r="C64" s="465" t="s">
        <v>209</v>
      </c>
      <c r="D64" s="514">
        <v>0.0</v>
      </c>
      <c r="E64" s="557">
        <f t="shared" si="54"/>
        <v>0</v>
      </c>
      <c r="F64" s="521"/>
      <c r="G64" s="557" t="str">
        <f t="shared" si="55"/>
        <v>#DIV/0!</v>
      </c>
      <c r="H64" s="521"/>
      <c r="I64" s="562" t="str">
        <f t="shared" si="61"/>
        <v>#DIV/0!</v>
      </c>
      <c r="J64" s="514">
        <v>0.0</v>
      </c>
      <c r="K64" s="557">
        <f t="shared" si="56"/>
        <v>0</v>
      </c>
      <c r="L64" s="521"/>
      <c r="M64" s="557" t="str">
        <f t="shared" si="57"/>
        <v>#DIV/0!</v>
      </c>
      <c r="N64" s="521"/>
      <c r="O64" s="562" t="str">
        <f t="shared" si="63"/>
        <v>#DIV/0!</v>
      </c>
      <c r="P64" s="506">
        <v>0.0</v>
      </c>
      <c r="Q64" s="560">
        <f t="shared" si="58"/>
        <v>0</v>
      </c>
      <c r="R64" s="521"/>
      <c r="S64" s="557" t="str">
        <f t="shared" si="59"/>
        <v>#DIV/0!</v>
      </c>
      <c r="T64" s="521"/>
      <c r="U64" s="562" t="str">
        <f t="shared" si="65"/>
        <v>#DIV/0!</v>
      </c>
    </row>
    <row r="65" ht="15.75" customHeight="1">
      <c r="A65" s="439"/>
      <c r="B65" s="465"/>
      <c r="C65" s="465" t="s">
        <v>204</v>
      </c>
      <c r="D65" s="514">
        <v>0.0</v>
      </c>
      <c r="E65" s="557">
        <f t="shared" si="54"/>
        <v>0</v>
      </c>
      <c r="F65" s="521"/>
      <c r="G65" s="557" t="str">
        <f t="shared" si="55"/>
        <v>#DIV/0!</v>
      </c>
      <c r="H65" s="521">
        <f t="shared" ref="H65:H67" si="66">D65-F65</f>
        <v>0</v>
      </c>
      <c r="I65" s="562" t="str">
        <f t="shared" si="61"/>
        <v>#DIV/0!</v>
      </c>
      <c r="J65" s="514">
        <v>0.0</v>
      </c>
      <c r="K65" s="557">
        <f t="shared" si="56"/>
        <v>0</v>
      </c>
      <c r="L65" s="521"/>
      <c r="M65" s="557" t="str">
        <f t="shared" si="57"/>
        <v>#DIV/0!</v>
      </c>
      <c r="N65" s="521">
        <f t="shared" ref="N65:N67" si="67">J65-L65</f>
        <v>0</v>
      </c>
      <c r="O65" s="562" t="str">
        <f t="shared" si="63"/>
        <v>#DIV/0!</v>
      </c>
      <c r="P65" s="506">
        <v>0.0</v>
      </c>
      <c r="Q65" s="560">
        <f t="shared" si="58"/>
        <v>0</v>
      </c>
      <c r="R65" s="521"/>
      <c r="S65" s="557" t="str">
        <f t="shared" si="59"/>
        <v>#DIV/0!</v>
      </c>
      <c r="T65" s="521">
        <f t="shared" ref="T65:T67" si="68">P65-R65</f>
        <v>0</v>
      </c>
      <c r="U65" s="562" t="str">
        <f t="shared" si="65"/>
        <v>#DIV/0!</v>
      </c>
    </row>
    <row r="66" ht="15.75" customHeight="1">
      <c r="A66" s="439"/>
      <c r="B66" s="465"/>
      <c r="C66" s="465" t="s">
        <v>270</v>
      </c>
      <c r="D66" s="514">
        <v>0.0</v>
      </c>
      <c r="E66" s="557">
        <f t="shared" si="54"/>
        <v>0</v>
      </c>
      <c r="F66" s="521"/>
      <c r="G66" s="557" t="str">
        <f t="shared" si="55"/>
        <v>#DIV/0!</v>
      </c>
      <c r="H66" s="521">
        <f t="shared" si="66"/>
        <v>0</v>
      </c>
      <c r="I66" s="562" t="str">
        <f t="shared" si="61"/>
        <v>#DIV/0!</v>
      </c>
      <c r="J66" s="514">
        <v>0.0</v>
      </c>
      <c r="K66" s="557">
        <f t="shared" si="56"/>
        <v>0</v>
      </c>
      <c r="L66" s="521"/>
      <c r="M66" s="557" t="str">
        <f t="shared" si="57"/>
        <v>#DIV/0!</v>
      </c>
      <c r="N66" s="521">
        <f t="shared" si="67"/>
        <v>0</v>
      </c>
      <c r="O66" s="562" t="str">
        <f t="shared" si="63"/>
        <v>#DIV/0!</v>
      </c>
      <c r="P66" s="506">
        <v>0.0</v>
      </c>
      <c r="Q66" s="560">
        <f t="shared" si="58"/>
        <v>0</v>
      </c>
      <c r="R66" s="521"/>
      <c r="S66" s="557" t="str">
        <f t="shared" si="59"/>
        <v>#DIV/0!</v>
      </c>
      <c r="T66" s="521">
        <f t="shared" si="68"/>
        <v>0</v>
      </c>
      <c r="U66" s="562" t="str">
        <f t="shared" si="65"/>
        <v>#DIV/0!</v>
      </c>
    </row>
    <row r="67" ht="15.75" customHeight="1">
      <c r="A67" s="439"/>
      <c r="B67" s="465"/>
      <c r="C67" s="465" t="s">
        <v>271</v>
      </c>
      <c r="D67" s="514">
        <v>0.0</v>
      </c>
      <c r="E67" s="557">
        <f t="shared" si="54"/>
        <v>0</v>
      </c>
      <c r="F67" s="521"/>
      <c r="G67" s="557" t="str">
        <f t="shared" si="55"/>
        <v>#DIV/0!</v>
      </c>
      <c r="H67" s="521">
        <f t="shared" si="66"/>
        <v>0</v>
      </c>
      <c r="I67" s="562" t="str">
        <f t="shared" si="61"/>
        <v>#DIV/0!</v>
      </c>
      <c r="J67" s="514">
        <v>0.0</v>
      </c>
      <c r="K67" s="557">
        <f t="shared" si="56"/>
        <v>0</v>
      </c>
      <c r="L67" s="521"/>
      <c r="M67" s="557" t="str">
        <f t="shared" si="57"/>
        <v>#DIV/0!</v>
      </c>
      <c r="N67" s="521">
        <f t="shared" si="67"/>
        <v>0</v>
      </c>
      <c r="O67" s="562" t="str">
        <f t="shared" si="63"/>
        <v>#DIV/0!</v>
      </c>
      <c r="P67" s="506">
        <v>0.0</v>
      </c>
      <c r="Q67" s="560">
        <f t="shared" si="58"/>
        <v>0</v>
      </c>
      <c r="R67" s="521"/>
      <c r="S67" s="557" t="str">
        <f t="shared" si="59"/>
        <v>#DIV/0!</v>
      </c>
      <c r="T67" s="521">
        <f t="shared" si="68"/>
        <v>0</v>
      </c>
      <c r="U67" s="562" t="str">
        <f t="shared" si="65"/>
        <v>#DIV/0!</v>
      </c>
    </row>
    <row r="68" ht="15.75" customHeight="1">
      <c r="A68" s="439"/>
      <c r="B68" s="483"/>
      <c r="C68" s="610"/>
      <c r="D68" s="485"/>
      <c r="E68" s="544"/>
      <c r="F68" s="545"/>
      <c r="G68" s="544"/>
      <c r="H68" s="545"/>
      <c r="I68" s="546"/>
      <c r="J68" s="485"/>
      <c r="K68" s="544"/>
      <c r="L68" s="545"/>
      <c r="M68" s="544"/>
      <c r="N68" s="545"/>
      <c r="O68" s="546"/>
      <c r="P68" s="501"/>
      <c r="Q68" s="609"/>
      <c r="R68" s="545"/>
      <c r="S68" s="544"/>
      <c r="T68" s="545"/>
      <c r="U68" s="546"/>
    </row>
    <row r="69" ht="15.75" customHeight="1">
      <c r="A69" s="439"/>
      <c r="B69" s="490"/>
      <c r="C69" s="511" t="s">
        <v>35</v>
      </c>
      <c r="D69" s="459">
        <f>SUM(D70:D73)</f>
        <v>89700</v>
      </c>
      <c r="E69" s="547">
        <f>D69/D29</f>
        <v>0.004360229235</v>
      </c>
      <c r="F69" s="548">
        <f>SUM(F70:F73)</f>
        <v>0</v>
      </c>
      <c r="G69" s="547" t="str">
        <f>F69/F29</f>
        <v>#DIV/0!</v>
      </c>
      <c r="H69" s="548">
        <f>SUM(H70:H73)</f>
        <v>89700</v>
      </c>
      <c r="I69" s="549">
        <f>H69/H29</f>
        <v>0.004369915464</v>
      </c>
      <c r="J69" s="459">
        <f>SUM(J70:J73)</f>
        <v>83781</v>
      </c>
      <c r="K69" s="547">
        <f>J69/J29</f>
        <v>0.00377828914</v>
      </c>
      <c r="L69" s="548">
        <f>SUM(L70:L73)</f>
        <v>0</v>
      </c>
      <c r="M69" s="547" t="str">
        <f>L69/L29</f>
        <v>#DIV/0!</v>
      </c>
      <c r="N69" s="548">
        <f>SUM(N70:N73)</f>
        <v>83781</v>
      </c>
      <c r="O69" s="549">
        <f>N69/N29</f>
        <v>0.003785253879</v>
      </c>
      <c r="P69" s="491">
        <f>SUM(P70:P73)</f>
        <v>79188</v>
      </c>
      <c r="Q69" s="551">
        <f>P69/P29</f>
        <v>0.004012023506</v>
      </c>
      <c r="R69" s="548">
        <f>SUM(R70:R73)</f>
        <v>0</v>
      </c>
      <c r="S69" s="547" t="str">
        <f>R69/R29</f>
        <v>#DIV/0!</v>
      </c>
      <c r="T69" s="548">
        <f>SUM(T70:T73)</f>
        <v>79188</v>
      </c>
      <c r="U69" s="549">
        <f>T69/T29</f>
        <v>0.004021375223</v>
      </c>
    </row>
    <row r="70" ht="15.75" customHeight="1">
      <c r="A70" s="439"/>
      <c r="B70" s="497"/>
      <c r="C70" s="611" t="s">
        <v>212</v>
      </c>
      <c r="D70" s="513">
        <v>0.0</v>
      </c>
      <c r="E70" s="552">
        <f t="shared" ref="E70:E71" si="69">D70/D$29</f>
        <v>0</v>
      </c>
      <c r="F70" s="541"/>
      <c r="G70" s="557" t="str">
        <f t="shared" ref="G70:G73" si="70">F70/F$29</f>
        <v>#DIV/0!</v>
      </c>
      <c r="H70" s="541">
        <f t="shared" ref="H70:H73" si="71">D70-F70</f>
        <v>0</v>
      </c>
      <c r="I70" s="556" t="str">
        <f t="shared" ref="I70:I73" si="72">IFERROR((H70/F70),"")</f>
        <v/>
      </c>
      <c r="J70" s="513">
        <v>0.0</v>
      </c>
      <c r="K70" s="552">
        <f t="shared" ref="K70:K71" si="73">J70/J$29</f>
        <v>0</v>
      </c>
      <c r="L70" s="541"/>
      <c r="M70" s="557" t="str">
        <f t="shared" ref="M70:M73" si="74">L70/L$29</f>
        <v>#DIV/0!</v>
      </c>
      <c r="N70" s="541">
        <f t="shared" ref="N70:N73" si="75">J70-L70</f>
        <v>0</v>
      </c>
      <c r="O70" s="556" t="str">
        <f t="shared" ref="O70:O73" si="76">IFERROR((N70/L70),"")</f>
        <v/>
      </c>
      <c r="P70" s="505">
        <v>0.0</v>
      </c>
      <c r="Q70" s="554">
        <f t="shared" ref="Q70:Q71" si="77">P70/P$29</f>
        <v>0</v>
      </c>
      <c r="R70" s="541"/>
      <c r="S70" s="557" t="str">
        <f t="shared" ref="S70:S73" si="78">R70/R$29</f>
        <v>#DIV/0!</v>
      </c>
      <c r="T70" s="541">
        <f t="shared" ref="T70:T73" si="79">P70-R70</f>
        <v>0</v>
      </c>
      <c r="U70" s="556" t="str">
        <f t="shared" ref="U70:U73" si="80">IFERROR((T70/R70),"")</f>
        <v/>
      </c>
    </row>
    <row r="71" ht="15.75" customHeight="1">
      <c r="A71" s="439"/>
      <c r="B71" s="465"/>
      <c r="C71" s="465" t="s">
        <v>213</v>
      </c>
      <c r="D71" s="514">
        <v>0.0</v>
      </c>
      <c r="E71" s="557">
        <f t="shared" si="69"/>
        <v>0</v>
      </c>
      <c r="F71" s="521"/>
      <c r="G71" s="557" t="str">
        <f t="shared" si="70"/>
        <v>#DIV/0!</v>
      </c>
      <c r="H71" s="521">
        <f t="shared" si="71"/>
        <v>0</v>
      </c>
      <c r="I71" s="562" t="str">
        <f t="shared" si="72"/>
        <v/>
      </c>
      <c r="J71" s="514">
        <v>0.0</v>
      </c>
      <c r="K71" s="557">
        <f t="shared" si="73"/>
        <v>0</v>
      </c>
      <c r="L71" s="521"/>
      <c r="M71" s="557" t="str">
        <f t="shared" si="74"/>
        <v>#DIV/0!</v>
      </c>
      <c r="N71" s="521">
        <f t="shared" si="75"/>
        <v>0</v>
      </c>
      <c r="O71" s="562" t="str">
        <f t="shared" si="76"/>
        <v/>
      </c>
      <c r="P71" s="506">
        <v>0.0</v>
      </c>
      <c r="Q71" s="560">
        <f t="shared" si="77"/>
        <v>0</v>
      </c>
      <c r="R71" s="521"/>
      <c r="S71" s="557" t="str">
        <f t="shared" si="78"/>
        <v>#DIV/0!</v>
      </c>
      <c r="T71" s="521">
        <f t="shared" si="79"/>
        <v>0</v>
      </c>
      <c r="U71" s="562" t="str">
        <f t="shared" si="80"/>
        <v/>
      </c>
    </row>
    <row r="72" ht="15.75" customHeight="1">
      <c r="A72" s="439"/>
      <c r="B72" s="465"/>
      <c r="C72" s="465" t="s">
        <v>272</v>
      </c>
      <c r="D72" s="514">
        <v>70825.0</v>
      </c>
      <c r="E72" s="557">
        <f>D72/D17</f>
        <v>0.09919606717</v>
      </c>
      <c r="F72" s="521"/>
      <c r="G72" s="557" t="str">
        <f t="shared" si="70"/>
        <v>#DIV/0!</v>
      </c>
      <c r="H72" s="521">
        <f t="shared" si="71"/>
        <v>70825</v>
      </c>
      <c r="I72" s="562" t="str">
        <f t="shared" si="72"/>
        <v/>
      </c>
      <c r="J72" s="514">
        <v>63821.0</v>
      </c>
      <c r="K72" s="557">
        <f>J72/J17</f>
        <v>0.08869201479</v>
      </c>
      <c r="L72" s="521"/>
      <c r="M72" s="557" t="str">
        <f t="shared" si="74"/>
        <v>#DIV/0!</v>
      </c>
      <c r="N72" s="521">
        <f t="shared" si="75"/>
        <v>63821</v>
      </c>
      <c r="O72" s="562" t="str">
        <f t="shared" si="76"/>
        <v/>
      </c>
      <c r="P72" s="506">
        <v>64057.0</v>
      </c>
      <c r="Q72" s="560">
        <f>P72/P17</f>
        <v>0.1022913636</v>
      </c>
      <c r="R72" s="521"/>
      <c r="S72" s="557" t="str">
        <f t="shared" si="78"/>
        <v>#DIV/0!</v>
      </c>
      <c r="T72" s="521">
        <f t="shared" si="79"/>
        <v>64057</v>
      </c>
      <c r="U72" s="562" t="str">
        <f t="shared" si="80"/>
        <v/>
      </c>
    </row>
    <row r="73" ht="15.75" customHeight="1">
      <c r="A73" s="439"/>
      <c r="B73" s="465"/>
      <c r="C73" s="465" t="s">
        <v>273</v>
      </c>
      <c r="D73" s="514">
        <v>18875.0</v>
      </c>
      <c r="E73" s="557">
        <f>D73/D$29</f>
        <v>0.0009174952821</v>
      </c>
      <c r="F73" s="521"/>
      <c r="G73" s="557" t="str">
        <f t="shared" si="70"/>
        <v>#DIV/0!</v>
      </c>
      <c r="H73" s="521">
        <f t="shared" si="71"/>
        <v>18875</v>
      </c>
      <c r="I73" s="562" t="str">
        <f t="shared" si="72"/>
        <v/>
      </c>
      <c r="J73" s="467">
        <v>19960.0</v>
      </c>
      <c r="K73" s="557">
        <f>J73/J$29</f>
        <v>0.0009001402613</v>
      </c>
      <c r="L73" s="521"/>
      <c r="M73" s="557" t="str">
        <f t="shared" si="74"/>
        <v>#DIV/0!</v>
      </c>
      <c r="N73" s="521">
        <f t="shared" si="75"/>
        <v>19960</v>
      </c>
      <c r="O73" s="562" t="str">
        <f t="shared" si="76"/>
        <v/>
      </c>
      <c r="P73" s="506">
        <v>15131.0</v>
      </c>
      <c r="Q73" s="560">
        <f>P73/P$29</f>
        <v>0.000766605138</v>
      </c>
      <c r="R73" s="521"/>
      <c r="S73" s="557" t="str">
        <f t="shared" si="78"/>
        <v>#DIV/0!</v>
      </c>
      <c r="T73" s="521">
        <f t="shared" si="79"/>
        <v>15131</v>
      </c>
      <c r="U73" s="562" t="str">
        <f t="shared" si="80"/>
        <v/>
      </c>
    </row>
    <row r="74" ht="15.75" customHeight="1">
      <c r="A74" s="439"/>
      <c r="B74" s="483"/>
      <c r="C74" s="483"/>
      <c r="D74" s="485"/>
      <c r="E74" s="544"/>
      <c r="F74" s="545"/>
      <c r="G74" s="544"/>
      <c r="H74" s="545"/>
      <c r="I74" s="546"/>
      <c r="J74" s="485"/>
      <c r="K74" s="544"/>
      <c r="L74" s="545"/>
      <c r="M74" s="544"/>
      <c r="N74" s="545"/>
      <c r="O74" s="546"/>
      <c r="P74" s="501"/>
      <c r="Q74" s="609"/>
      <c r="R74" s="545"/>
      <c r="S74" s="544"/>
      <c r="T74" s="545"/>
      <c r="U74" s="546"/>
    </row>
    <row r="75" ht="15.75" customHeight="1">
      <c r="A75" s="439"/>
      <c r="B75" s="490"/>
      <c r="C75" s="511" t="s">
        <v>36</v>
      </c>
      <c r="D75" s="459">
        <f>SUM(D76:D79)</f>
        <v>1820401.333</v>
      </c>
      <c r="E75" s="547">
        <f>D75/D$29</f>
        <v>0.08848792767</v>
      </c>
      <c r="F75" s="548">
        <f>SUM(F76:F79)</f>
        <v>1419717</v>
      </c>
      <c r="G75" s="547" t="str">
        <f>F75/F$29</f>
        <v>#DIV/0!</v>
      </c>
      <c r="H75" s="548">
        <f>SUM(H76:H79)</f>
        <v>1820401.333</v>
      </c>
      <c r="I75" s="549">
        <f>H75/H$29</f>
        <v>0.08868450321</v>
      </c>
      <c r="J75" s="459">
        <f>SUM(J76:J79)</f>
        <v>2115365</v>
      </c>
      <c r="K75" s="547">
        <f t="shared" ref="K75:K79" si="81">J75/J$29</f>
        <v>0.0953970543</v>
      </c>
      <c r="L75" s="548">
        <f>SUM(L76:L79)</f>
        <v>0</v>
      </c>
      <c r="M75" s="547" t="str">
        <f t="shared" ref="M75:M79" si="82">L75/L$29</f>
        <v>#DIV/0!</v>
      </c>
      <c r="N75" s="548">
        <f>SUM(N76:N79)</f>
        <v>2115365</v>
      </c>
      <c r="O75" s="549">
        <f>N75/N$29</f>
        <v>0.09557290521</v>
      </c>
      <c r="P75" s="491">
        <f>SUM(P76:P79)</f>
        <v>2107105</v>
      </c>
      <c r="Q75" s="551">
        <f t="shared" ref="Q75:Q79" si="83">P75/P$29</f>
        <v>0.1067555032</v>
      </c>
      <c r="R75" s="548">
        <f>SUM(R76:R79)</f>
        <v>0</v>
      </c>
      <c r="S75" s="547" t="str">
        <f t="shared" ref="S75:S79" si="84">R75/R$29</f>
        <v>#DIV/0!</v>
      </c>
      <c r="T75" s="548">
        <f>SUM(T76:T79)</f>
        <v>2107105</v>
      </c>
      <c r="U75" s="549">
        <f>T75/T$29</f>
        <v>0.1070043421</v>
      </c>
    </row>
    <row r="76" ht="15.75" customHeight="1">
      <c r="A76" s="439"/>
      <c r="B76" s="497"/>
      <c r="C76" s="497" t="s">
        <v>217</v>
      </c>
      <c r="D76" s="463">
        <v>1419717.0</v>
      </c>
      <c r="E76" s="463">
        <v>1419717.0</v>
      </c>
      <c r="F76" s="463">
        <v>1419717.0</v>
      </c>
      <c r="G76" s="463">
        <v>1419717.0</v>
      </c>
      <c r="H76" s="463">
        <v>1419717.0</v>
      </c>
      <c r="I76" s="612">
        <v>1419717.0</v>
      </c>
      <c r="J76" s="513">
        <v>1712217.0</v>
      </c>
      <c r="K76" s="552">
        <f t="shared" si="81"/>
        <v>0.0772162053</v>
      </c>
      <c r="L76" s="541"/>
      <c r="M76" s="552" t="str">
        <f t="shared" si="82"/>
        <v>#DIV/0!</v>
      </c>
      <c r="N76" s="541">
        <f t="shared" ref="N76:N79" si="85">J76-L76</f>
        <v>1712217</v>
      </c>
      <c r="O76" s="556" t="str">
        <f t="shared" ref="O76:O79" si="86">IFERROR((N76/L76),"")</f>
        <v/>
      </c>
      <c r="P76" s="505">
        <v>1712217.0</v>
      </c>
      <c r="Q76" s="554">
        <f t="shared" si="83"/>
        <v>0.08674868479</v>
      </c>
      <c r="R76" s="541"/>
      <c r="S76" s="552" t="str">
        <f t="shared" si="84"/>
        <v>#DIV/0!</v>
      </c>
      <c r="T76" s="541">
        <f t="shared" ref="T76:T79" si="87">P76-R76</f>
        <v>1712217</v>
      </c>
      <c r="U76" s="556" t="str">
        <f t="shared" ref="U76:U79" si="88">IFERROR((T76/R76),"")</f>
        <v/>
      </c>
    </row>
    <row r="77" ht="15.75" customHeight="1">
      <c r="A77" s="439"/>
      <c r="B77" s="465"/>
      <c r="C77" s="465" t="s">
        <v>218</v>
      </c>
      <c r="D77" s="514">
        <v>347637.0</v>
      </c>
      <c r="E77" s="557">
        <f t="shared" ref="E77:E79" si="89">D77/D$29</f>
        <v>0.01689829443</v>
      </c>
      <c r="F77" s="521"/>
      <c r="G77" s="557" t="str">
        <f t="shared" ref="G77:G79" si="90">F77/F$29</f>
        <v>#DIV/0!</v>
      </c>
      <c r="H77" s="521">
        <f t="shared" ref="H77:H79" si="91">D77-F77</f>
        <v>347637</v>
      </c>
      <c r="I77" s="562" t="str">
        <f t="shared" ref="I77:I79" si="92">IFERROR((H77/F77),"")</f>
        <v/>
      </c>
      <c r="J77" s="514">
        <v>363547.0</v>
      </c>
      <c r="K77" s="557">
        <f t="shared" si="81"/>
        <v>0.01639495449</v>
      </c>
      <c r="L77" s="521"/>
      <c r="M77" s="557" t="str">
        <f t="shared" si="82"/>
        <v>#DIV/0!</v>
      </c>
      <c r="N77" s="521">
        <f t="shared" si="85"/>
        <v>363547</v>
      </c>
      <c r="O77" s="562" t="str">
        <f t="shared" si="86"/>
        <v/>
      </c>
      <c r="P77" s="506">
        <v>354726.0</v>
      </c>
      <c r="Q77" s="560">
        <f t="shared" si="83"/>
        <v>0.01797202922</v>
      </c>
      <c r="R77" s="521"/>
      <c r="S77" s="557" t="str">
        <f t="shared" si="84"/>
        <v>#DIV/0!</v>
      </c>
      <c r="T77" s="521">
        <f t="shared" si="87"/>
        <v>354726</v>
      </c>
      <c r="U77" s="562" t="str">
        <f t="shared" si="88"/>
        <v/>
      </c>
    </row>
    <row r="78" ht="15.75" customHeight="1">
      <c r="A78" s="439"/>
      <c r="B78" s="465"/>
      <c r="C78" s="465" t="s">
        <v>219</v>
      </c>
      <c r="D78" s="467">
        <v>50096.0</v>
      </c>
      <c r="E78" s="557">
        <f t="shared" si="89"/>
        <v>0.002435117544</v>
      </c>
      <c r="F78" s="521"/>
      <c r="G78" s="557" t="str">
        <f t="shared" si="90"/>
        <v>#DIV/0!</v>
      </c>
      <c r="H78" s="521">
        <f t="shared" si="91"/>
        <v>50096</v>
      </c>
      <c r="I78" s="562" t="str">
        <f t="shared" si="92"/>
        <v/>
      </c>
      <c r="J78" s="467">
        <v>36100.0</v>
      </c>
      <c r="K78" s="557">
        <f t="shared" si="81"/>
        <v>0.00162800919</v>
      </c>
      <c r="L78" s="521"/>
      <c r="M78" s="557" t="str">
        <f t="shared" si="82"/>
        <v>#DIV/0!</v>
      </c>
      <c r="N78" s="521">
        <f t="shared" si="85"/>
        <v>36100</v>
      </c>
      <c r="O78" s="562" t="str">
        <f t="shared" si="86"/>
        <v/>
      </c>
      <c r="P78" s="506">
        <v>36860.0</v>
      </c>
      <c r="Q78" s="560">
        <f t="shared" si="83"/>
        <v>0.001867494904</v>
      </c>
      <c r="R78" s="521"/>
      <c r="S78" s="557" t="str">
        <f t="shared" si="84"/>
        <v>#DIV/0!</v>
      </c>
      <c r="T78" s="521">
        <f t="shared" si="87"/>
        <v>36860</v>
      </c>
      <c r="U78" s="562" t="str">
        <f t="shared" si="88"/>
        <v/>
      </c>
    </row>
    <row r="79" ht="15.75" customHeight="1">
      <c r="A79" s="439"/>
      <c r="B79" s="465"/>
      <c r="C79" s="465" t="s">
        <v>220</v>
      </c>
      <c r="D79" s="467">
        <v>2951.333333333333</v>
      </c>
      <c r="E79" s="557">
        <f t="shared" si="89"/>
        <v>0.0001434614257</v>
      </c>
      <c r="F79" s="521"/>
      <c r="G79" s="557" t="str">
        <f t="shared" si="90"/>
        <v>#DIV/0!</v>
      </c>
      <c r="H79" s="521">
        <f t="shared" si="91"/>
        <v>2951.333333</v>
      </c>
      <c r="I79" s="562" t="str">
        <f t="shared" si="92"/>
        <v/>
      </c>
      <c r="J79" s="467">
        <v>3501.0</v>
      </c>
      <c r="K79" s="557">
        <f t="shared" si="81"/>
        <v>0.0001578853234</v>
      </c>
      <c r="L79" s="521"/>
      <c r="M79" s="557" t="str">
        <f t="shared" si="82"/>
        <v>#DIV/0!</v>
      </c>
      <c r="N79" s="521">
        <f t="shared" si="85"/>
        <v>3501</v>
      </c>
      <c r="O79" s="562" t="str">
        <f t="shared" si="86"/>
        <v/>
      </c>
      <c r="P79" s="506">
        <v>3302.0</v>
      </c>
      <c r="Q79" s="560">
        <f t="shared" si="83"/>
        <v>0.0001672943074</v>
      </c>
      <c r="R79" s="521"/>
      <c r="S79" s="557" t="str">
        <f t="shared" si="84"/>
        <v>#DIV/0!</v>
      </c>
      <c r="T79" s="521">
        <f t="shared" si="87"/>
        <v>3302</v>
      </c>
      <c r="U79" s="562" t="str">
        <f t="shared" si="88"/>
        <v/>
      </c>
    </row>
    <row r="80" ht="15.75" customHeight="1">
      <c r="A80" s="439"/>
      <c r="B80" s="483"/>
      <c r="C80" s="610"/>
      <c r="D80" s="485"/>
      <c r="E80" s="544"/>
      <c r="F80" s="545"/>
      <c r="G80" s="544"/>
      <c r="H80" s="545"/>
      <c r="I80" s="546"/>
      <c r="J80" s="485"/>
      <c r="K80" s="544"/>
      <c r="L80" s="545"/>
      <c r="M80" s="544"/>
      <c r="N80" s="545"/>
      <c r="O80" s="546"/>
      <c r="P80" s="501"/>
      <c r="Q80" s="609"/>
      <c r="R80" s="545"/>
      <c r="S80" s="544"/>
      <c r="T80" s="545"/>
      <c r="U80" s="546"/>
    </row>
    <row r="81" ht="15.75" customHeight="1">
      <c r="A81" s="439"/>
      <c r="B81" s="490"/>
      <c r="C81" s="511" t="s">
        <v>37</v>
      </c>
      <c r="D81" s="459">
        <f>SUM(D82:D90)</f>
        <v>5544486.66</v>
      </c>
      <c r="E81" s="547">
        <f>D81/D$29</f>
        <v>0.2695120716</v>
      </c>
      <c r="F81" s="548">
        <f>SUM(F82:F90)</f>
        <v>663750</v>
      </c>
      <c r="G81" s="547" t="str">
        <f>F81/F$29</f>
        <v>#DIV/0!</v>
      </c>
      <c r="H81" s="548">
        <f>SUM(H82:H90)</f>
        <v>5544486.66</v>
      </c>
      <c r="I81" s="549">
        <f>H81/H$29</f>
        <v>0.2701107915</v>
      </c>
      <c r="J81" s="491">
        <f>SUM(J82:J90)</f>
        <v>5020724.75</v>
      </c>
      <c r="K81" s="613">
        <f>J81/J$29</f>
        <v>0.2264206658</v>
      </c>
      <c r="L81" s="491">
        <f>SUM(L82:L90)</f>
        <v>703750</v>
      </c>
      <c r="M81" s="613" t="str">
        <f>L81/L$29</f>
        <v>#DIV/0!</v>
      </c>
      <c r="N81" s="491">
        <f>SUM(N82:N90)</f>
        <v>5020616.75</v>
      </c>
      <c r="O81" s="613">
        <f>N81/N$29</f>
        <v>0.2268331606</v>
      </c>
      <c r="P81" s="491">
        <f>SUM(P82:P90)</f>
        <v>4827862.27</v>
      </c>
      <c r="Q81" s="551">
        <f>P81/P$29</f>
        <v>0.2446014157</v>
      </c>
      <c r="R81" s="548">
        <f>SUM(R82:R90)</f>
        <v>0</v>
      </c>
      <c r="S81" s="547" t="str">
        <f>R81/R$29</f>
        <v>#DIV/0!</v>
      </c>
      <c r="T81" s="548">
        <f>SUM(T82:T90)</f>
        <v>4164112.27</v>
      </c>
      <c r="U81" s="549">
        <f>T81/T$29</f>
        <v>0.2114645894</v>
      </c>
    </row>
    <row r="82" ht="15.75" customHeight="1">
      <c r="A82" s="439"/>
      <c r="B82" s="497"/>
      <c r="C82" s="497" t="s">
        <v>222</v>
      </c>
      <c r="D82" s="463">
        <f>4341104.5</f>
        <v>4341104.5</v>
      </c>
      <c r="E82" s="552" t="str">
        <f>D82/$F$29</f>
        <v>#DIV/0!</v>
      </c>
      <c r="F82" s="541"/>
      <c r="G82" s="552" t="str">
        <f>F82/$F$29</f>
        <v>#DIV/0!</v>
      </c>
      <c r="H82" s="541">
        <f>D82-F82</f>
        <v>4341104.5</v>
      </c>
      <c r="I82" s="553" t="str">
        <f>IFERROR((H82/F82),"")</f>
        <v/>
      </c>
      <c r="J82" s="614">
        <v>4007465.75</v>
      </c>
      <c r="K82" s="554" t="str">
        <f>J82/$F$29</f>
        <v>#DIV/0!</v>
      </c>
      <c r="L82" s="541"/>
      <c r="M82" s="552" t="str">
        <f>L82/$F$29</f>
        <v>#DIV/0!</v>
      </c>
      <c r="N82" s="541">
        <f>J82-L82</f>
        <v>4007465.75</v>
      </c>
      <c r="O82" s="556" t="str">
        <f>IFERROR((N82/L82),"")</f>
        <v/>
      </c>
      <c r="P82" s="498">
        <v>3855100.0</v>
      </c>
      <c r="Q82" s="554" t="str">
        <f t="shared" ref="Q82:Q89" si="93">P82/$F$29</f>
        <v>#DIV/0!</v>
      </c>
      <c r="R82" s="541"/>
      <c r="S82" s="552" t="str">
        <f>R82/$F$29</f>
        <v>#DIV/0!</v>
      </c>
      <c r="T82" s="541">
        <f>P82-R82</f>
        <v>3855100</v>
      </c>
      <c r="U82" s="556" t="str">
        <f>IFERROR((T82/R82),"")</f>
        <v/>
      </c>
    </row>
    <row r="83" ht="15.75" customHeight="1">
      <c r="A83" s="439"/>
      <c r="B83" s="497"/>
      <c r="C83" s="497" t="s">
        <v>274</v>
      </c>
      <c r="D83" s="463">
        <v>663750.0</v>
      </c>
      <c r="E83" s="463">
        <v>663750.0</v>
      </c>
      <c r="F83" s="463">
        <v>663750.0</v>
      </c>
      <c r="G83" s="463">
        <v>663750.0</v>
      </c>
      <c r="H83" s="463">
        <v>663750.0</v>
      </c>
      <c r="I83" s="612">
        <v>663750.0</v>
      </c>
      <c r="J83" s="463">
        <v>663750.0</v>
      </c>
      <c r="K83" s="463">
        <v>663750.0</v>
      </c>
      <c r="L83" s="463">
        <v>663750.0</v>
      </c>
      <c r="M83" s="463">
        <v>663750.0</v>
      </c>
      <c r="N83" s="463">
        <v>663750.0</v>
      </c>
      <c r="O83" s="612">
        <v>663750.0</v>
      </c>
      <c r="P83" s="498">
        <v>663750.0</v>
      </c>
      <c r="Q83" s="554" t="str">
        <f t="shared" si="93"/>
        <v>#DIV/0!</v>
      </c>
      <c r="R83" s="541"/>
      <c r="S83" s="552"/>
      <c r="T83" s="541"/>
      <c r="U83" s="556"/>
    </row>
    <row r="84" ht="15.75" customHeight="1">
      <c r="A84" s="439"/>
      <c r="B84" s="465"/>
      <c r="C84" s="465" t="s">
        <v>223</v>
      </c>
      <c r="D84" s="467">
        <v>5000.0</v>
      </c>
      <c r="E84" s="557" t="str">
        <f t="shared" ref="E84:E85" si="94">D84/$F$29</f>
        <v>#DIV/0!</v>
      </c>
      <c r="F84" s="521"/>
      <c r="G84" s="557" t="str">
        <f t="shared" ref="G84:G85" si="95">F84/$F$29</f>
        <v>#DIV/0!</v>
      </c>
      <c r="H84" s="521">
        <f t="shared" ref="H84:H85" si="96">D84-F84</f>
        <v>5000</v>
      </c>
      <c r="I84" s="562" t="str">
        <f t="shared" ref="I84:I85" si="97">IFERROR((H84/F84),"")</f>
        <v/>
      </c>
      <c r="J84" s="467">
        <v>5935.0</v>
      </c>
      <c r="K84" s="557" t="str">
        <f t="shared" ref="K84:K86" si="98">J84/$F$29</f>
        <v>#DIV/0!</v>
      </c>
      <c r="L84" s="521"/>
      <c r="M84" s="557" t="str">
        <f t="shared" ref="M84:M85" si="99">L84/$F$29</f>
        <v>#DIV/0!</v>
      </c>
      <c r="N84" s="521">
        <f t="shared" ref="N84:N85" si="100">J84-L84</f>
        <v>5935</v>
      </c>
      <c r="O84" s="562" t="str">
        <f t="shared" ref="O84:O85" si="101">IFERROR((N84/L84),"")</f>
        <v/>
      </c>
      <c r="P84" s="506">
        <v>60930.0</v>
      </c>
      <c r="Q84" s="560" t="str">
        <f t="shared" si="93"/>
        <v>#DIV/0!</v>
      </c>
      <c r="R84" s="521"/>
      <c r="S84" s="557" t="str">
        <f t="shared" ref="S84:S85" si="102">R84/$F$29</f>
        <v>#DIV/0!</v>
      </c>
      <c r="T84" s="521">
        <f t="shared" ref="T84:T85" si="103">P84-R84</f>
        <v>60930</v>
      </c>
      <c r="U84" s="562" t="str">
        <f t="shared" ref="U84:U85" si="104">IFERROR((T84/R84),"")</f>
        <v/>
      </c>
    </row>
    <row r="85" ht="15.75" customHeight="1">
      <c r="A85" s="439"/>
      <c r="B85" s="465"/>
      <c r="C85" s="465" t="s">
        <v>225</v>
      </c>
      <c r="D85" s="467">
        <v>91235.15999999999</v>
      </c>
      <c r="E85" s="557" t="str">
        <f t="shared" si="94"/>
        <v>#DIV/0!</v>
      </c>
      <c r="F85" s="521"/>
      <c r="G85" s="557" t="str">
        <f t="shared" si="95"/>
        <v>#DIV/0!</v>
      </c>
      <c r="H85" s="521">
        <f t="shared" si="96"/>
        <v>91235.16</v>
      </c>
      <c r="I85" s="562" t="str">
        <f t="shared" si="97"/>
        <v/>
      </c>
      <c r="J85" s="615">
        <v>91953.0</v>
      </c>
      <c r="K85" s="557" t="str">
        <f t="shared" si="98"/>
        <v>#DIV/0!</v>
      </c>
      <c r="L85" s="521"/>
      <c r="M85" s="557" t="str">
        <f t="shared" si="99"/>
        <v>#DIV/0!</v>
      </c>
      <c r="N85" s="521">
        <f t="shared" si="100"/>
        <v>91953</v>
      </c>
      <c r="O85" s="562" t="str">
        <f t="shared" si="101"/>
        <v/>
      </c>
      <c r="P85" s="506">
        <v>118096.27</v>
      </c>
      <c r="Q85" s="560" t="str">
        <f t="shared" si="93"/>
        <v>#DIV/0!</v>
      </c>
      <c r="R85" s="521"/>
      <c r="S85" s="557" t="str">
        <f t="shared" si="102"/>
        <v>#DIV/0!</v>
      </c>
      <c r="T85" s="521">
        <f t="shared" si="103"/>
        <v>118096.27</v>
      </c>
      <c r="U85" s="562" t="str">
        <f t="shared" si="104"/>
        <v/>
      </c>
    </row>
    <row r="86" ht="15.75" customHeight="1">
      <c r="A86" s="439"/>
      <c r="B86" s="465"/>
      <c r="C86" s="465" t="s">
        <v>275</v>
      </c>
      <c r="D86" s="467">
        <v>0.0</v>
      </c>
      <c r="E86" s="557"/>
      <c r="F86" s="521"/>
      <c r="G86" s="557"/>
      <c r="H86" s="521"/>
      <c r="I86" s="562"/>
      <c r="J86" s="467">
        <v>108.0</v>
      </c>
      <c r="K86" s="557" t="str">
        <f t="shared" si="98"/>
        <v>#DIV/0!</v>
      </c>
      <c r="L86" s="521"/>
      <c r="M86" s="557"/>
      <c r="N86" s="521"/>
      <c r="O86" s="562"/>
      <c r="P86" s="506">
        <v>0.0</v>
      </c>
      <c r="Q86" s="560" t="str">
        <f t="shared" si="93"/>
        <v>#DIV/0!</v>
      </c>
      <c r="R86" s="521"/>
      <c r="S86" s="557"/>
      <c r="T86" s="521"/>
      <c r="U86" s="562"/>
    </row>
    <row r="87" ht="15.75" customHeight="1">
      <c r="A87" s="439"/>
      <c r="B87" s="465"/>
      <c r="C87" s="465" t="s">
        <v>226</v>
      </c>
      <c r="D87" s="467">
        <v>40000.0</v>
      </c>
      <c r="E87" s="557" t="str">
        <f t="shared" ref="E87:E89" si="105">D87/$F$29</f>
        <v>#DIV/0!</v>
      </c>
      <c r="F87" s="521"/>
      <c r="G87" s="557" t="str">
        <f t="shared" ref="G87:G89" si="106">F87/$F$29</f>
        <v>#DIV/0!</v>
      </c>
      <c r="H87" s="521">
        <f t="shared" ref="H87:H89" si="107">D87-F87</f>
        <v>40000</v>
      </c>
      <c r="I87" s="562" t="str">
        <f t="shared" ref="I87:I90" si="108">IFERROR((H87/F87),"")</f>
        <v/>
      </c>
      <c r="J87" s="467">
        <v>40000.0</v>
      </c>
      <c r="K87" s="467">
        <v>40000.0</v>
      </c>
      <c r="L87" s="467">
        <v>40000.0</v>
      </c>
      <c r="M87" s="467">
        <v>40000.0</v>
      </c>
      <c r="N87" s="467">
        <v>40000.0</v>
      </c>
      <c r="O87" s="467">
        <v>40000.0</v>
      </c>
      <c r="P87" s="474">
        <v>40000.0</v>
      </c>
      <c r="Q87" s="560" t="str">
        <f t="shared" si="93"/>
        <v>#DIV/0!</v>
      </c>
      <c r="R87" s="521"/>
      <c r="S87" s="557" t="str">
        <f t="shared" ref="S87:S89" si="109">R87/$F$29</f>
        <v>#DIV/0!</v>
      </c>
      <c r="T87" s="521">
        <f t="shared" ref="T87:T89" si="110">P87-R87</f>
        <v>40000</v>
      </c>
      <c r="U87" s="562" t="str">
        <f t="shared" ref="U87:U90" si="111">IFERROR((T87/R87),"")</f>
        <v/>
      </c>
    </row>
    <row r="88" ht="15.75" customHeight="1">
      <c r="A88" s="439"/>
      <c r="B88" s="465"/>
      <c r="C88" s="465" t="s">
        <v>227</v>
      </c>
      <c r="D88" s="514">
        <v>396113.0</v>
      </c>
      <c r="E88" s="557" t="str">
        <f t="shared" si="105"/>
        <v>#DIV/0!</v>
      </c>
      <c r="F88" s="521"/>
      <c r="G88" s="557" t="str">
        <f t="shared" si="106"/>
        <v>#DIV/0!</v>
      </c>
      <c r="H88" s="521">
        <f t="shared" si="107"/>
        <v>396113</v>
      </c>
      <c r="I88" s="562" t="str">
        <f t="shared" si="108"/>
        <v/>
      </c>
      <c r="J88" s="467">
        <f>211513</f>
        <v>211513</v>
      </c>
      <c r="K88" s="557" t="str">
        <f t="shared" ref="K88:K89" si="112">J88/$F$29</f>
        <v>#DIV/0!</v>
      </c>
      <c r="L88" s="521"/>
      <c r="M88" s="557" t="str">
        <f t="shared" ref="M88:M89" si="113">L88/$F$29</f>
        <v>#DIV/0!</v>
      </c>
      <c r="N88" s="521">
        <f t="shared" ref="N88:N89" si="114">J88-L88</f>
        <v>211513</v>
      </c>
      <c r="O88" s="562" t="str">
        <f t="shared" ref="O88:O90" si="115">IFERROR((N88/L88),"")</f>
        <v/>
      </c>
      <c r="P88" s="506">
        <v>60166.0</v>
      </c>
      <c r="Q88" s="560" t="str">
        <f t="shared" si="93"/>
        <v>#DIV/0!</v>
      </c>
      <c r="R88" s="521"/>
      <c r="S88" s="557" t="str">
        <f t="shared" si="109"/>
        <v>#DIV/0!</v>
      </c>
      <c r="T88" s="521">
        <f t="shared" si="110"/>
        <v>60166</v>
      </c>
      <c r="U88" s="562" t="str">
        <f t="shared" si="111"/>
        <v/>
      </c>
    </row>
    <row r="89" ht="15.75" customHeight="1">
      <c r="A89" s="439"/>
      <c r="B89" s="465"/>
      <c r="C89" s="465" t="s">
        <v>228</v>
      </c>
      <c r="D89" s="467">
        <v>7284.0</v>
      </c>
      <c r="E89" s="557" t="str">
        <f t="shared" si="105"/>
        <v>#DIV/0!</v>
      </c>
      <c r="F89" s="521"/>
      <c r="G89" s="557" t="str">
        <f t="shared" si="106"/>
        <v>#DIV/0!</v>
      </c>
      <c r="H89" s="521">
        <f t="shared" si="107"/>
        <v>7284</v>
      </c>
      <c r="I89" s="562" t="str">
        <f t="shared" si="108"/>
        <v/>
      </c>
      <c r="J89" s="467">
        <v>0.0</v>
      </c>
      <c r="K89" s="557" t="str">
        <f t="shared" si="112"/>
        <v>#DIV/0!</v>
      </c>
      <c r="L89" s="521"/>
      <c r="M89" s="557" t="str">
        <f t="shared" si="113"/>
        <v>#DIV/0!</v>
      </c>
      <c r="N89" s="521">
        <f t="shared" si="114"/>
        <v>0</v>
      </c>
      <c r="O89" s="562" t="str">
        <f t="shared" si="115"/>
        <v/>
      </c>
      <c r="P89" s="506">
        <v>29820.0</v>
      </c>
      <c r="Q89" s="560" t="str">
        <f t="shared" si="93"/>
        <v>#DIV/0!</v>
      </c>
      <c r="R89" s="521"/>
      <c r="S89" s="557" t="str">
        <f t="shared" si="109"/>
        <v>#DIV/0!</v>
      </c>
      <c r="T89" s="521">
        <f t="shared" si="110"/>
        <v>29820</v>
      </c>
      <c r="U89" s="562" t="str">
        <f t="shared" si="111"/>
        <v/>
      </c>
    </row>
    <row r="90" ht="15.75" customHeight="1">
      <c r="A90" s="439"/>
      <c r="B90" s="465"/>
      <c r="C90" s="616" t="s">
        <v>276</v>
      </c>
      <c r="D90" s="467"/>
      <c r="E90" s="539"/>
      <c r="F90" s="521"/>
      <c r="G90" s="539"/>
      <c r="H90" s="521"/>
      <c r="I90" s="562" t="str">
        <f t="shared" si="108"/>
        <v/>
      </c>
      <c r="J90" s="467"/>
      <c r="K90" s="539"/>
      <c r="L90" s="521"/>
      <c r="M90" s="539"/>
      <c r="N90" s="521"/>
      <c r="O90" s="562" t="str">
        <f t="shared" si="115"/>
        <v/>
      </c>
      <c r="P90" s="474"/>
      <c r="Q90" s="575"/>
      <c r="R90" s="521"/>
      <c r="S90" s="539"/>
      <c r="T90" s="521"/>
      <c r="U90" s="562" t="str">
        <f t="shared" si="111"/>
        <v/>
      </c>
    </row>
    <row r="91" ht="15.75" customHeight="1">
      <c r="A91" s="439"/>
      <c r="B91" s="483"/>
      <c r="C91" s="610"/>
      <c r="D91" s="485"/>
      <c r="E91" s="544"/>
      <c r="F91" s="545"/>
      <c r="G91" s="544"/>
      <c r="H91" s="545"/>
      <c r="I91" s="546"/>
      <c r="J91" s="485"/>
      <c r="K91" s="544"/>
      <c r="L91" s="545"/>
      <c r="M91" s="544"/>
      <c r="N91" s="545"/>
      <c r="O91" s="546"/>
      <c r="P91" s="501"/>
      <c r="Q91" s="609"/>
      <c r="R91" s="545"/>
      <c r="S91" s="544"/>
      <c r="T91" s="545"/>
      <c r="U91" s="546"/>
    </row>
    <row r="92" ht="15.75" customHeight="1">
      <c r="A92" s="439"/>
      <c r="B92" s="490"/>
      <c r="C92" s="511" t="s">
        <v>38</v>
      </c>
      <c r="D92" s="459">
        <f>SUM(D93)</f>
        <v>492478</v>
      </c>
      <c r="E92" s="547">
        <f t="shared" ref="E92:E93" si="116">D92/D$29</f>
        <v>0.02393887372</v>
      </c>
      <c r="F92" s="548">
        <f>SUM(F93)</f>
        <v>0</v>
      </c>
      <c r="G92" s="547" t="str">
        <f>F92/F$29</f>
        <v>#DIV/0!</v>
      </c>
      <c r="H92" s="548">
        <f>SUM(H93)</f>
        <v>492478</v>
      </c>
      <c r="I92" s="549">
        <f>H92/H$29</f>
        <v>0.02399205382</v>
      </c>
      <c r="J92" s="459">
        <f>SUM(J93)</f>
        <v>521738</v>
      </c>
      <c r="K92" s="547">
        <f t="shared" ref="K92:K93" si="117">J92/J$29</f>
        <v>0.02352892684</v>
      </c>
      <c r="L92" s="548">
        <f>SUM(L93)</f>
        <v>0</v>
      </c>
      <c r="M92" s="547" t="str">
        <f>L92/L$29</f>
        <v>#DIV/0!</v>
      </c>
      <c r="N92" s="548">
        <f>SUM(N93)</f>
        <v>521738</v>
      </c>
      <c r="O92" s="549">
        <f>N92/N$29</f>
        <v>0.02357229907</v>
      </c>
      <c r="P92" s="491">
        <f>SUM(P93)</f>
        <v>419155</v>
      </c>
      <c r="Q92" s="551">
        <f t="shared" ref="Q92:Q93" si="118">P92/P$29</f>
        <v>0.0212362948</v>
      </c>
      <c r="R92" s="548">
        <f>SUM(R93)</f>
        <v>0</v>
      </c>
      <c r="S92" s="547" t="str">
        <f>R92/R$29</f>
        <v>#DIV/0!</v>
      </c>
      <c r="T92" s="548">
        <f>SUM(T93)</f>
        <v>419155</v>
      </c>
      <c r="U92" s="549">
        <f>T92/T$29</f>
        <v>0.02128579496</v>
      </c>
    </row>
    <row r="93" ht="15.75" customHeight="1">
      <c r="A93" s="439"/>
      <c r="B93" s="497"/>
      <c r="C93" s="497" t="s">
        <v>277</v>
      </c>
      <c r="D93" s="513">
        <v>492478.0</v>
      </c>
      <c r="E93" s="552">
        <f t="shared" si="116"/>
        <v>0.02393887372</v>
      </c>
      <c r="F93" s="541">
        <f>G93*(F$16+F$24+F$25)</f>
        <v>0</v>
      </c>
      <c r="G93" s="552"/>
      <c r="H93" s="541">
        <f>D93-F93</f>
        <v>492478</v>
      </c>
      <c r="I93" s="556" t="str">
        <f>IFERROR((H93/F93),"")</f>
        <v/>
      </c>
      <c r="J93" s="463">
        <v>521738.0</v>
      </c>
      <c r="K93" s="552">
        <f t="shared" si="117"/>
        <v>0.02352892684</v>
      </c>
      <c r="L93" s="541">
        <f>M93*(L$16+L$24+L$25)</f>
        <v>0</v>
      </c>
      <c r="M93" s="552"/>
      <c r="N93" s="541">
        <f>J93-L93</f>
        <v>521738</v>
      </c>
      <c r="O93" s="556" t="str">
        <f>IFERROR((N93/L93),"")</f>
        <v/>
      </c>
      <c r="P93" s="505">
        <v>419155.0</v>
      </c>
      <c r="Q93" s="554">
        <f t="shared" si="118"/>
        <v>0.0212362948</v>
      </c>
      <c r="R93" s="541">
        <f>S93*(R$16+R$24+R$25)</f>
        <v>0</v>
      </c>
      <c r="S93" s="552"/>
      <c r="T93" s="541">
        <f>P93-R93</f>
        <v>419155</v>
      </c>
      <c r="U93" s="556" t="str">
        <f>IFERROR((T93/R93),"")</f>
        <v/>
      </c>
    </row>
    <row r="94" ht="15.75" customHeight="1">
      <c r="A94" s="439"/>
      <c r="B94" s="483"/>
      <c r="C94" s="483"/>
      <c r="D94" s="485"/>
      <c r="E94" s="544"/>
      <c r="F94" s="545"/>
      <c r="G94" s="544"/>
      <c r="H94" s="545"/>
      <c r="I94" s="546"/>
      <c r="J94" s="485"/>
      <c r="K94" s="544"/>
      <c r="L94" s="545"/>
      <c r="M94" s="544"/>
      <c r="N94" s="545"/>
      <c r="O94" s="546"/>
      <c r="P94" s="501"/>
      <c r="Q94" s="609"/>
      <c r="R94" s="545"/>
      <c r="S94" s="544"/>
      <c r="T94" s="545"/>
      <c r="U94" s="546"/>
    </row>
    <row r="95" ht="15.75" customHeight="1">
      <c r="A95" s="439"/>
      <c r="B95" s="490"/>
      <c r="C95" s="511" t="s">
        <v>235</v>
      </c>
      <c r="D95" s="459">
        <f>SUM(D96:D97)</f>
        <v>22505</v>
      </c>
      <c r="E95" s="547">
        <f>D95/D$29</f>
        <v>0.00109394603</v>
      </c>
      <c r="F95" s="548">
        <f>SUM(F96:F97)</f>
        <v>0</v>
      </c>
      <c r="G95" s="547" t="str">
        <f>F95/F$29</f>
        <v>#DIV/0!</v>
      </c>
      <c r="H95" s="548">
        <f>SUM(H96:H97)</f>
        <v>21338</v>
      </c>
      <c r="I95" s="549">
        <f>H95/H$29</f>
        <v>0.00103952348</v>
      </c>
      <c r="J95" s="459">
        <f>SUM(J96:J97)</f>
        <v>24193</v>
      </c>
      <c r="K95" s="547">
        <f>J95/J$29</f>
        <v>0.001091036741</v>
      </c>
      <c r="L95" s="548">
        <f>SUM(L96:L97)</f>
        <v>0</v>
      </c>
      <c r="M95" s="547" t="str">
        <f>L95/L$29</f>
        <v>#DIV/0!</v>
      </c>
      <c r="N95" s="548">
        <f>SUM(N96:N97)</f>
        <v>23026</v>
      </c>
      <c r="O95" s="549">
        <f>N95/N$29</f>
        <v>0.001040322457</v>
      </c>
      <c r="P95" s="491">
        <f>SUM(P96:P97)</f>
        <v>25722</v>
      </c>
      <c r="Q95" s="551">
        <f>P95/P$29</f>
        <v>0.001303193269</v>
      </c>
      <c r="R95" s="548">
        <f>SUM(R96:R97)</f>
        <v>0</v>
      </c>
      <c r="S95" s="547" t="str">
        <f>R95/R$29</f>
        <v>#DIV/0!</v>
      </c>
      <c r="T95" s="548">
        <f>SUM(T96:T97)</f>
        <v>24555</v>
      </c>
      <c r="U95" s="549">
        <f>T95/T$29</f>
        <v>0.001246967578</v>
      </c>
    </row>
    <row r="96" ht="15.75" customHeight="1">
      <c r="A96" s="439"/>
      <c r="B96" s="497"/>
      <c r="C96" s="497" t="s">
        <v>236</v>
      </c>
      <c r="D96" s="514">
        <v>21338.0</v>
      </c>
      <c r="E96" s="552" t="str">
        <f t="shared" ref="E96:E97" si="119">D96/$F$29</f>
        <v>#DIV/0!</v>
      </c>
      <c r="F96" s="541"/>
      <c r="G96" s="552" t="str">
        <f>F96/$F$29</f>
        <v>#DIV/0!</v>
      </c>
      <c r="H96" s="541">
        <f>D96-F96</f>
        <v>21338</v>
      </c>
      <c r="I96" s="556" t="str">
        <f>IFERROR((H96/F96),"")</f>
        <v/>
      </c>
      <c r="J96" s="514">
        <v>23026.0</v>
      </c>
      <c r="K96" s="552" t="str">
        <f t="shared" ref="K96:K97" si="120">J96/$F$29</f>
        <v>#DIV/0!</v>
      </c>
      <c r="L96" s="541"/>
      <c r="M96" s="552" t="str">
        <f>L96/$F$29</f>
        <v>#DIV/0!</v>
      </c>
      <c r="N96" s="541">
        <f>J96-L96</f>
        <v>23026</v>
      </c>
      <c r="O96" s="556" t="str">
        <f>IFERROR((N96/L96),"")</f>
        <v/>
      </c>
      <c r="P96" s="505">
        <v>24555.0</v>
      </c>
      <c r="Q96" s="554" t="str">
        <f t="shared" ref="Q96:Q97" si="121">P96/$F$29</f>
        <v>#DIV/0!</v>
      </c>
      <c r="R96" s="541"/>
      <c r="S96" s="552" t="str">
        <f>R96/$F$29</f>
        <v>#DIV/0!</v>
      </c>
      <c r="T96" s="541">
        <f>P96-R96</f>
        <v>24555</v>
      </c>
      <c r="U96" s="556" t="str">
        <f>IFERROR((T96/R96),"")</f>
        <v/>
      </c>
    </row>
    <row r="97" ht="15.75" customHeight="1">
      <c r="A97" s="439"/>
      <c r="B97" s="465"/>
      <c r="C97" s="465" t="s">
        <v>278</v>
      </c>
      <c r="D97" s="506">
        <v>1167.0</v>
      </c>
      <c r="E97" s="552" t="str">
        <f t="shared" si="119"/>
        <v>#DIV/0!</v>
      </c>
      <c r="F97" s="521"/>
      <c r="G97" s="557"/>
      <c r="H97" s="521"/>
      <c r="I97" s="562"/>
      <c r="J97" s="506">
        <v>1167.0</v>
      </c>
      <c r="K97" s="552" t="str">
        <f t="shared" si="120"/>
        <v>#DIV/0!</v>
      </c>
      <c r="L97" s="521"/>
      <c r="M97" s="557"/>
      <c r="N97" s="521"/>
      <c r="O97" s="562"/>
      <c r="P97" s="506">
        <v>1167.0</v>
      </c>
      <c r="Q97" s="554" t="str">
        <f t="shared" si="121"/>
        <v>#DIV/0!</v>
      </c>
      <c r="R97" s="521"/>
      <c r="S97" s="557"/>
      <c r="T97" s="521"/>
      <c r="U97" s="562"/>
    </row>
    <row r="98" ht="15.75" customHeight="1">
      <c r="A98" s="439"/>
      <c r="B98" s="483"/>
      <c r="C98" s="483"/>
      <c r="D98" s="485"/>
      <c r="E98" s="544"/>
      <c r="F98" s="545"/>
      <c r="G98" s="544"/>
      <c r="H98" s="545"/>
      <c r="I98" s="546"/>
      <c r="J98" s="485"/>
      <c r="K98" s="544"/>
      <c r="L98" s="545"/>
      <c r="M98" s="544"/>
      <c r="N98" s="545"/>
      <c r="O98" s="546"/>
      <c r="P98" s="501"/>
      <c r="Q98" s="609"/>
      <c r="R98" s="545"/>
      <c r="S98" s="544"/>
      <c r="T98" s="545"/>
      <c r="U98" s="546"/>
    </row>
    <row r="99" ht="15.75" customHeight="1">
      <c r="A99" s="439"/>
      <c r="B99" s="490"/>
      <c r="C99" s="511" t="s">
        <v>40</v>
      </c>
      <c r="D99" s="459">
        <f>SUM(D100:D105)</f>
        <v>205979.55</v>
      </c>
      <c r="E99" s="547">
        <f t="shared" ref="E99:E102" si="122">D99/D$29</f>
        <v>0.01001246439</v>
      </c>
      <c r="F99" s="548">
        <f>SUM(F100:F118)</f>
        <v>276654.75</v>
      </c>
      <c r="G99" s="547" t="str">
        <f t="shared" ref="G99:G101" si="123">F99/F$29</f>
        <v>#DIV/0!</v>
      </c>
      <c r="H99" s="459">
        <f>SUM(H100:H105)</f>
        <v>124871.75</v>
      </c>
      <c r="I99" s="549">
        <f>H99/H$29</f>
        <v>0.00608337783</v>
      </c>
      <c r="J99" s="459">
        <f>SUM(J100:J105)</f>
        <v>304744.75</v>
      </c>
      <c r="K99" s="547">
        <f t="shared" ref="K99:K102" si="124">J99/J$29</f>
        <v>0.01374313722</v>
      </c>
      <c r="L99" s="548">
        <f>SUM(L100:L118)</f>
        <v>95043.75</v>
      </c>
      <c r="M99" s="547" t="str">
        <f t="shared" ref="M99:M101" si="125">L99/L$29</f>
        <v>#DIV/0!</v>
      </c>
      <c r="N99" s="459">
        <f>SUM(N100:N105)</f>
        <v>134893.75</v>
      </c>
      <c r="O99" s="549">
        <f>N99/N$29</f>
        <v>0.006094545188</v>
      </c>
      <c r="P99" s="491">
        <f>SUM(P100:P105)</f>
        <v>137605.75</v>
      </c>
      <c r="Q99" s="551">
        <f t="shared" ref="Q99:Q104" si="126">P99/P$29</f>
        <v>0.006971731873</v>
      </c>
      <c r="R99" s="548">
        <f>SUM(R100:R118)</f>
        <v>0</v>
      </c>
      <c r="S99" s="547" t="str">
        <f t="shared" ref="S99:S101" si="127">R99/R$29</f>
        <v>#DIV/0!</v>
      </c>
      <c r="T99" s="459">
        <f>SUM(T100:T105)</f>
        <v>120416.75</v>
      </c>
      <c r="U99" s="549">
        <f>T99/T$29</f>
        <v>0.006115079746</v>
      </c>
    </row>
    <row r="100" ht="15.75" customHeight="1">
      <c r="A100" s="439"/>
      <c r="B100" s="497"/>
      <c r="C100" s="497" t="s">
        <v>238</v>
      </c>
      <c r="D100" s="463">
        <v>0.0</v>
      </c>
      <c r="E100" s="552">
        <f t="shared" si="122"/>
        <v>0</v>
      </c>
      <c r="F100" s="541"/>
      <c r="G100" s="552" t="str">
        <f t="shared" si="123"/>
        <v>#DIV/0!</v>
      </c>
      <c r="H100" s="541">
        <f t="shared" ref="H100:H101" si="128">D100-F100</f>
        <v>0</v>
      </c>
      <c r="I100" s="556" t="str">
        <f t="shared" ref="I100:I101" si="129">IFERROR((H100/F100),"")</f>
        <v/>
      </c>
      <c r="J100" s="463">
        <v>0.0</v>
      </c>
      <c r="K100" s="552">
        <f t="shared" si="124"/>
        <v>0</v>
      </c>
      <c r="L100" s="541"/>
      <c r="M100" s="552" t="str">
        <f t="shared" si="125"/>
        <v>#DIV/0!</v>
      </c>
      <c r="N100" s="541">
        <f t="shared" ref="N100:N101" si="130">J100-L100</f>
        <v>0</v>
      </c>
      <c r="O100" s="556" t="str">
        <f t="shared" ref="O100:O101" si="131">IFERROR((N100/L100),"")</f>
        <v/>
      </c>
      <c r="P100" s="505">
        <v>0.0</v>
      </c>
      <c r="Q100" s="554">
        <f t="shared" si="126"/>
        <v>0</v>
      </c>
      <c r="R100" s="541"/>
      <c r="S100" s="552" t="str">
        <f t="shared" si="127"/>
        <v>#DIV/0!</v>
      </c>
      <c r="T100" s="541">
        <f t="shared" ref="T100:T101" si="132">P100-R100</f>
        <v>0</v>
      </c>
      <c r="U100" s="556" t="str">
        <f t="shared" ref="U100:U101" si="133">IFERROR((T100/R100),"")</f>
        <v/>
      </c>
    </row>
    <row r="101" ht="15.75" customHeight="1">
      <c r="A101" s="439"/>
      <c r="B101" s="465"/>
      <c r="C101" s="465" t="s">
        <v>239</v>
      </c>
      <c r="D101" s="514">
        <v>2495.0</v>
      </c>
      <c r="E101" s="557">
        <f t="shared" si="122"/>
        <v>0.0001212795088</v>
      </c>
      <c r="F101" s="521"/>
      <c r="G101" s="557" t="str">
        <f t="shared" si="123"/>
        <v>#DIV/0!</v>
      </c>
      <c r="H101" s="521">
        <f t="shared" si="128"/>
        <v>2495</v>
      </c>
      <c r="I101" s="562" t="str">
        <f t="shared" si="129"/>
        <v/>
      </c>
      <c r="J101" s="514">
        <v>12517.0</v>
      </c>
      <c r="K101" s="557">
        <f t="shared" si="124"/>
        <v>0.000564481746</v>
      </c>
      <c r="L101" s="521"/>
      <c r="M101" s="557" t="str">
        <f t="shared" si="125"/>
        <v>#DIV/0!</v>
      </c>
      <c r="N101" s="521">
        <f t="shared" si="130"/>
        <v>12517</v>
      </c>
      <c r="O101" s="562" t="str">
        <f t="shared" si="131"/>
        <v/>
      </c>
      <c r="P101" s="506">
        <v>5290.0</v>
      </c>
      <c r="Q101" s="560">
        <f t="shared" si="126"/>
        <v>0.0002680154107</v>
      </c>
      <c r="R101" s="521"/>
      <c r="S101" s="557" t="str">
        <f t="shared" si="127"/>
        <v>#DIV/0!</v>
      </c>
      <c r="T101" s="521">
        <f t="shared" si="132"/>
        <v>5290</v>
      </c>
      <c r="U101" s="562" t="str">
        <f t="shared" si="133"/>
        <v/>
      </c>
    </row>
    <row r="102" ht="15.75" customHeight="1">
      <c r="A102" s="439"/>
      <c r="B102" s="465"/>
      <c r="C102" s="465" t="s">
        <v>248</v>
      </c>
      <c r="D102" s="467">
        <v>81107.8</v>
      </c>
      <c r="E102" s="557">
        <f t="shared" si="122"/>
        <v>0.0039425708</v>
      </c>
      <c r="F102" s="521"/>
      <c r="G102" s="557"/>
      <c r="H102" s="521"/>
      <c r="I102" s="562"/>
      <c r="J102" s="467">
        <v>169851.0</v>
      </c>
      <c r="K102" s="557">
        <f t="shared" si="124"/>
        <v>0.007659805788</v>
      </c>
      <c r="L102" s="521"/>
      <c r="M102" s="557"/>
      <c r="N102" s="521"/>
      <c r="O102" s="562"/>
      <c r="P102" s="506">
        <v>17189.0</v>
      </c>
      <c r="Q102" s="560">
        <f t="shared" si="126"/>
        <v>0.000870872759</v>
      </c>
      <c r="R102" s="521"/>
      <c r="S102" s="557"/>
      <c r="T102" s="521"/>
      <c r="U102" s="562"/>
    </row>
    <row r="103" ht="15.75" customHeight="1">
      <c r="A103" s="439"/>
      <c r="B103" s="465"/>
      <c r="C103" s="465" t="s">
        <v>240</v>
      </c>
      <c r="D103" s="467">
        <v>95043.75</v>
      </c>
      <c r="E103" s="467">
        <v>95043.75</v>
      </c>
      <c r="F103" s="467">
        <v>95043.75</v>
      </c>
      <c r="G103" s="467">
        <v>95043.75</v>
      </c>
      <c r="H103" s="467">
        <v>95043.75</v>
      </c>
      <c r="I103" s="617">
        <v>95043.75</v>
      </c>
      <c r="J103" s="467">
        <v>95043.75</v>
      </c>
      <c r="K103" s="467">
        <v>95043.75</v>
      </c>
      <c r="L103" s="467">
        <v>95043.75</v>
      </c>
      <c r="M103" s="467">
        <v>95043.75</v>
      </c>
      <c r="N103" s="467">
        <v>95043.75</v>
      </c>
      <c r="O103" s="467">
        <v>95043.75</v>
      </c>
      <c r="P103" s="474">
        <v>95043.75</v>
      </c>
      <c r="Q103" s="560">
        <f t="shared" si="126"/>
        <v>0.004815347768</v>
      </c>
      <c r="R103" s="521"/>
      <c r="S103" s="557" t="str">
        <f t="shared" ref="S103:S104" si="134">R103/R$29</f>
        <v>#DIV/0!</v>
      </c>
      <c r="T103" s="521">
        <f t="shared" ref="T103:T104" si="135">P103-R103</f>
        <v>95043.75</v>
      </c>
      <c r="U103" s="562" t="str">
        <f t="shared" ref="U103:U104" si="136">IFERROR((T103/R103),"")</f>
        <v/>
      </c>
    </row>
    <row r="104" ht="15.75" customHeight="1">
      <c r="A104" s="439"/>
      <c r="B104" s="465"/>
      <c r="C104" s="465" t="s">
        <v>279</v>
      </c>
      <c r="D104" s="467">
        <v>27333.0</v>
      </c>
      <c r="E104" s="467">
        <v>27333.0</v>
      </c>
      <c r="F104" s="467">
        <v>27333.0</v>
      </c>
      <c r="G104" s="467">
        <v>27333.0</v>
      </c>
      <c r="H104" s="467">
        <v>27333.0</v>
      </c>
      <c r="I104" s="617">
        <v>27333.0</v>
      </c>
      <c r="J104" s="467">
        <v>27333.0</v>
      </c>
      <c r="K104" s="557">
        <f>J104/J$29</f>
        <v>0.001232641972</v>
      </c>
      <c r="L104" s="521"/>
      <c r="M104" s="557" t="str">
        <f>L104/L$29</f>
        <v>#DIV/0!</v>
      </c>
      <c r="N104" s="521">
        <f>J104-L104</f>
        <v>27333</v>
      </c>
      <c r="O104" s="562" t="str">
        <f>IFERROR((N104/L104),"")</f>
        <v/>
      </c>
      <c r="P104" s="506">
        <v>20083.0</v>
      </c>
      <c r="Q104" s="560">
        <f t="shared" si="126"/>
        <v>0.001017495935</v>
      </c>
      <c r="R104" s="521"/>
      <c r="S104" s="557" t="str">
        <f t="shared" si="134"/>
        <v>#DIV/0!</v>
      </c>
      <c r="T104" s="521">
        <f t="shared" si="135"/>
        <v>20083</v>
      </c>
      <c r="U104" s="562" t="str">
        <f t="shared" si="136"/>
        <v/>
      </c>
    </row>
    <row r="105" ht="15.75" customHeight="1">
      <c r="A105" s="439"/>
      <c r="B105" s="483"/>
      <c r="C105" s="483"/>
      <c r="D105" s="485"/>
      <c r="E105" s="564"/>
      <c r="F105" s="545"/>
      <c r="G105" s="564"/>
      <c r="H105" s="545"/>
      <c r="I105" s="565"/>
      <c r="J105" s="485"/>
      <c r="K105" s="564"/>
      <c r="L105" s="545"/>
      <c r="M105" s="564"/>
      <c r="N105" s="545"/>
      <c r="O105" s="565"/>
      <c r="P105" s="501"/>
      <c r="Q105" s="583"/>
      <c r="R105" s="545"/>
      <c r="S105" s="564"/>
      <c r="T105" s="545"/>
      <c r="U105" s="565"/>
    </row>
    <row r="106" ht="15.75" customHeight="1">
      <c r="A106" s="439"/>
      <c r="B106" s="490"/>
      <c r="C106" s="511" t="s">
        <v>244</v>
      </c>
      <c r="D106" s="459">
        <f>SUM(D107:D120)</f>
        <v>443276</v>
      </c>
      <c r="E106" s="547">
        <f>D106/D$29</f>
        <v>0.02154721264</v>
      </c>
      <c r="F106" s="459">
        <f>SUM(F107)</f>
        <v>77139</v>
      </c>
      <c r="G106" s="547" t="str">
        <f>F106/F$29</f>
        <v>#DIV/0!</v>
      </c>
      <c r="H106" s="548">
        <f>D106-F106</f>
        <v>366137</v>
      </c>
      <c r="I106" s="549">
        <f>IFERROR((H106/F106),"")</f>
        <v>4.746457693</v>
      </c>
      <c r="J106" s="459">
        <f>SUM(J107:J120)</f>
        <v>496933</v>
      </c>
      <c r="K106" s="547">
        <f t="shared" ref="K106:K108" si="137">J106/J$29</f>
        <v>0.02241029061</v>
      </c>
      <c r="L106" s="459">
        <f>SUM(L107)</f>
        <v>0</v>
      </c>
      <c r="M106" s="547" t="str">
        <f>L106/L$29</f>
        <v>#DIV/0!</v>
      </c>
      <c r="N106" s="548">
        <f>J106-L106</f>
        <v>496933</v>
      </c>
      <c r="O106" s="549" t="str">
        <f>IFERROR((N106/L106),"")</f>
        <v/>
      </c>
      <c r="P106" s="491">
        <f>SUM(P107:P120)</f>
        <v>380224</v>
      </c>
      <c r="Q106" s="551">
        <f t="shared" ref="Q106:Q108" si="138">P106/P$29</f>
        <v>0.01926387364</v>
      </c>
      <c r="R106" s="459">
        <f>SUM(R107)</f>
        <v>0</v>
      </c>
      <c r="S106" s="547" t="str">
        <f>R106/R$29</f>
        <v>#DIV/0!</v>
      </c>
      <c r="T106" s="548">
        <f>P106-R106</f>
        <v>380224</v>
      </c>
      <c r="U106" s="549" t="str">
        <f>IFERROR((T106/R106),"")</f>
        <v/>
      </c>
    </row>
    <row r="107" ht="15.75" customHeight="1">
      <c r="A107" s="439"/>
      <c r="B107" s="497"/>
      <c r="C107" s="497" t="s">
        <v>243</v>
      </c>
      <c r="D107" s="513">
        <v>77139.0</v>
      </c>
      <c r="E107" s="513">
        <v>77139.0</v>
      </c>
      <c r="F107" s="513">
        <v>77139.0</v>
      </c>
      <c r="G107" s="513">
        <v>77139.0</v>
      </c>
      <c r="H107" s="513">
        <v>77139.0</v>
      </c>
      <c r="I107" s="513">
        <v>77139.0</v>
      </c>
      <c r="J107" s="513">
        <v>77139.0</v>
      </c>
      <c r="K107" s="552">
        <f t="shared" si="137"/>
        <v>0.003478753488</v>
      </c>
      <c r="L107" s="541"/>
      <c r="M107" s="552"/>
      <c r="N107" s="541"/>
      <c r="O107" s="556"/>
      <c r="P107" s="505">
        <v>77139.0</v>
      </c>
      <c r="Q107" s="554">
        <f t="shared" si="138"/>
        <v>0.003908211866</v>
      </c>
      <c r="R107" s="541"/>
      <c r="S107" s="552"/>
      <c r="T107" s="541"/>
      <c r="U107" s="556"/>
    </row>
    <row r="108" ht="15.75" customHeight="1">
      <c r="A108" s="439"/>
      <c r="B108" s="497"/>
      <c r="C108" s="497" t="s">
        <v>280</v>
      </c>
      <c r="D108" s="513">
        <v>260687.0</v>
      </c>
      <c r="E108" s="552"/>
      <c r="F108" s="541"/>
      <c r="G108" s="552"/>
      <c r="H108" s="541"/>
      <c r="I108" s="556"/>
      <c r="J108" s="513">
        <v>247333.0</v>
      </c>
      <c r="K108" s="552">
        <f t="shared" si="137"/>
        <v>0.01115402762</v>
      </c>
      <c r="L108" s="541"/>
      <c r="M108" s="552"/>
      <c r="N108" s="541"/>
      <c r="O108" s="556"/>
      <c r="P108" s="505">
        <v>144711.0</v>
      </c>
      <c r="Q108" s="554">
        <f t="shared" si="138"/>
        <v>0.007331716087</v>
      </c>
      <c r="R108" s="541"/>
      <c r="S108" s="552"/>
      <c r="T108" s="541"/>
      <c r="U108" s="556"/>
    </row>
    <row r="109" ht="15.75" customHeight="1">
      <c r="A109" s="439"/>
      <c r="B109" s="497"/>
      <c r="C109" s="497"/>
      <c r="D109" s="463"/>
      <c r="E109" s="552"/>
      <c r="F109" s="541"/>
      <c r="G109" s="552"/>
      <c r="H109" s="541"/>
      <c r="I109" s="556"/>
      <c r="J109" s="463"/>
      <c r="K109" s="552"/>
      <c r="L109" s="541"/>
      <c r="M109" s="552"/>
      <c r="N109" s="541"/>
      <c r="O109" s="556"/>
      <c r="P109" s="498"/>
      <c r="Q109" s="554"/>
      <c r="R109" s="541"/>
      <c r="S109" s="552"/>
      <c r="T109" s="541"/>
      <c r="U109" s="556"/>
    </row>
    <row r="110" ht="15.75" customHeight="1">
      <c r="A110" s="439"/>
      <c r="B110" s="497"/>
      <c r="C110" s="497"/>
      <c r="D110" s="463"/>
      <c r="E110" s="552"/>
      <c r="F110" s="541"/>
      <c r="G110" s="552"/>
      <c r="H110" s="541"/>
      <c r="I110" s="556"/>
      <c r="J110" s="463"/>
      <c r="K110" s="552"/>
      <c r="L110" s="541"/>
      <c r="M110" s="552"/>
      <c r="N110" s="541"/>
      <c r="O110" s="556"/>
      <c r="P110" s="498"/>
      <c r="Q110" s="554"/>
      <c r="R110" s="541"/>
      <c r="S110" s="552"/>
      <c r="T110" s="541"/>
      <c r="U110" s="556"/>
    </row>
    <row r="111" ht="15.75" customHeight="1">
      <c r="A111" s="439"/>
      <c r="B111" s="497"/>
      <c r="C111" s="497"/>
      <c r="D111" s="463"/>
      <c r="E111" s="552"/>
      <c r="F111" s="541"/>
      <c r="G111" s="552"/>
      <c r="H111" s="541"/>
      <c r="I111" s="556"/>
      <c r="J111" s="463"/>
      <c r="K111" s="552"/>
      <c r="L111" s="541"/>
      <c r="M111" s="552"/>
      <c r="N111" s="541"/>
      <c r="O111" s="556"/>
      <c r="P111" s="498"/>
      <c r="Q111" s="554"/>
      <c r="R111" s="541"/>
      <c r="S111" s="552"/>
      <c r="T111" s="541"/>
      <c r="U111" s="556"/>
    </row>
    <row r="112" ht="15.75" customHeight="1">
      <c r="A112" s="439"/>
      <c r="B112" s="465"/>
      <c r="C112" s="465" t="s">
        <v>246</v>
      </c>
      <c r="D112" s="514">
        <v>0.0</v>
      </c>
      <c r="E112" s="557">
        <f>D112/D$29</f>
        <v>0</v>
      </c>
      <c r="F112" s="521"/>
      <c r="G112" s="557" t="str">
        <f>F112/F$29</f>
        <v>#DIV/0!</v>
      </c>
      <c r="H112" s="521">
        <f>D112-F112</f>
        <v>0</v>
      </c>
      <c r="I112" s="562" t="str">
        <f>IFERROR((H112/F112),"")</f>
        <v/>
      </c>
      <c r="J112" s="467">
        <v>4213.0</v>
      </c>
      <c r="K112" s="557">
        <f>J112/J$29</f>
        <v>0.0001899945351</v>
      </c>
      <c r="L112" s="521"/>
      <c r="M112" s="557" t="str">
        <f>L112/L$29</f>
        <v>#DIV/0!</v>
      </c>
      <c r="N112" s="521">
        <f>J112-L112</f>
        <v>4213</v>
      </c>
      <c r="O112" s="562" t="str">
        <f>IFERROR((N112/L112),"")</f>
        <v/>
      </c>
      <c r="P112" s="506">
        <v>46320.0</v>
      </c>
      <c r="Q112" s="560">
        <f>P112/P$29</f>
        <v>0.002346781441</v>
      </c>
      <c r="R112" s="521"/>
      <c r="S112" s="557" t="str">
        <f>R112/R$29</f>
        <v>#DIV/0!</v>
      </c>
      <c r="T112" s="521">
        <f>P112-R112</f>
        <v>46320</v>
      </c>
      <c r="U112" s="562" t="str">
        <f>IFERROR((T112/R112),"")</f>
        <v/>
      </c>
    </row>
    <row r="113" ht="15.75" customHeight="1">
      <c r="A113" s="439"/>
      <c r="B113" s="465"/>
      <c r="C113" s="465"/>
      <c r="D113" s="467"/>
      <c r="E113" s="557"/>
      <c r="F113" s="521"/>
      <c r="G113" s="557"/>
      <c r="H113" s="521"/>
      <c r="I113" s="562"/>
      <c r="J113" s="467"/>
      <c r="K113" s="557"/>
      <c r="L113" s="521"/>
      <c r="M113" s="557"/>
      <c r="N113" s="521"/>
      <c r="O113" s="562"/>
      <c r="P113" s="474"/>
      <c r="Q113" s="560"/>
      <c r="R113" s="521"/>
      <c r="S113" s="557"/>
      <c r="T113" s="521"/>
      <c r="U113" s="562"/>
    </row>
    <row r="114" ht="15.75" customHeight="1">
      <c r="A114" s="439"/>
      <c r="B114" s="465"/>
      <c r="C114" s="465" t="s">
        <v>247</v>
      </c>
      <c r="D114" s="467">
        <v>45828.0</v>
      </c>
      <c r="E114" s="557">
        <f>D114/D$29</f>
        <v>0.00222765424</v>
      </c>
      <c r="F114" s="521"/>
      <c r="G114" s="557" t="str">
        <f>F114/F$29</f>
        <v>#DIV/0!</v>
      </c>
      <c r="H114" s="521">
        <f>D114-F114</f>
        <v>45828</v>
      </c>
      <c r="I114" s="562" t="str">
        <f>IFERROR((H114/F114),"")</f>
        <v/>
      </c>
      <c r="J114" s="467">
        <v>63876.0</v>
      </c>
      <c r="K114" s="557">
        <f>J114/J$29</f>
        <v>0.002880629225</v>
      </c>
      <c r="L114" s="521"/>
      <c r="M114" s="557" t="str">
        <f>L114/L$29</f>
        <v>#DIV/0!</v>
      </c>
      <c r="N114" s="521">
        <f>J114-L114</f>
        <v>63876</v>
      </c>
      <c r="O114" s="562" t="str">
        <f>IFERROR((N114/L114),"")</f>
        <v/>
      </c>
      <c r="P114" s="506">
        <v>47732.0</v>
      </c>
      <c r="Q114" s="560">
        <f>P114/P$29</f>
        <v>0.00241831977</v>
      </c>
      <c r="R114" s="521"/>
      <c r="S114" s="557" t="str">
        <f>R114/R$29</f>
        <v>#DIV/0!</v>
      </c>
      <c r="T114" s="521">
        <f>P114-R114</f>
        <v>47732</v>
      </c>
      <c r="U114" s="562" t="str">
        <f>IFERROR((T114/R114),"")</f>
        <v/>
      </c>
    </row>
    <row r="115" ht="15.75" customHeight="1">
      <c r="A115" s="439"/>
      <c r="B115" s="465"/>
      <c r="C115" s="465"/>
      <c r="D115" s="467"/>
      <c r="E115" s="557"/>
      <c r="F115" s="521"/>
      <c r="G115" s="557"/>
      <c r="H115" s="521"/>
      <c r="I115" s="562"/>
      <c r="J115" s="467"/>
      <c r="K115" s="557"/>
      <c r="L115" s="521"/>
      <c r="M115" s="557"/>
      <c r="N115" s="521"/>
      <c r="O115" s="562"/>
      <c r="P115" s="474"/>
      <c r="Q115" s="560"/>
      <c r="R115" s="521"/>
      <c r="S115" s="557"/>
      <c r="T115" s="521"/>
      <c r="U115" s="562"/>
    </row>
    <row r="116" ht="15.75" customHeight="1">
      <c r="A116" s="439"/>
      <c r="B116" s="465"/>
      <c r="C116" s="465" t="s">
        <v>249</v>
      </c>
      <c r="D116" s="514">
        <v>15700.0</v>
      </c>
      <c r="E116" s="557">
        <f>D116/D$29</f>
        <v>0.0007631616386</v>
      </c>
      <c r="F116" s="521"/>
      <c r="G116" s="557" t="str">
        <f>F116/F$29</f>
        <v>#DIV/0!</v>
      </c>
      <c r="H116" s="521">
        <f>D116-F116</f>
        <v>15700</v>
      </c>
      <c r="I116" s="562" t="str">
        <f>IFERROR((H116/F116),"")</f>
        <v/>
      </c>
      <c r="J116" s="514">
        <v>22700.0</v>
      </c>
      <c r="K116" s="557">
        <f>J116/J$29</f>
        <v>0.00102370661</v>
      </c>
      <c r="L116" s="521"/>
      <c r="M116" s="557" t="str">
        <f>L116/L$29</f>
        <v>#DIV/0!</v>
      </c>
      <c r="N116" s="521">
        <f>J116-L116</f>
        <v>22700</v>
      </c>
      <c r="O116" s="562" t="str">
        <f>IFERROR((N116/L116),"")</f>
        <v/>
      </c>
      <c r="P116" s="506">
        <v>17200.0</v>
      </c>
      <c r="Q116" s="560">
        <f>P116/P$29</f>
        <v>0.0008714300689</v>
      </c>
      <c r="R116" s="521"/>
      <c r="S116" s="557" t="str">
        <f>R116/R$29</f>
        <v>#DIV/0!</v>
      </c>
      <c r="T116" s="521">
        <f>P116-R116</f>
        <v>17200</v>
      </c>
      <c r="U116" s="562" t="str">
        <f>IFERROR((T116/R116),"")</f>
        <v/>
      </c>
    </row>
    <row r="117" ht="15.75" customHeight="1">
      <c r="A117" s="439"/>
      <c r="B117" s="465"/>
      <c r="C117" s="465"/>
      <c r="D117" s="467"/>
      <c r="E117" s="557"/>
      <c r="F117" s="521"/>
      <c r="G117" s="557"/>
      <c r="H117" s="521"/>
      <c r="I117" s="562"/>
      <c r="J117" s="467"/>
      <c r="K117" s="557"/>
      <c r="L117" s="521"/>
      <c r="M117" s="557"/>
      <c r="N117" s="521"/>
      <c r="O117" s="562"/>
      <c r="P117" s="474"/>
      <c r="Q117" s="560"/>
      <c r="R117" s="521"/>
      <c r="S117" s="557"/>
      <c r="T117" s="521"/>
      <c r="U117" s="562"/>
    </row>
    <row r="118" ht="15.75" customHeight="1">
      <c r="A118" s="439"/>
      <c r="B118" s="465"/>
      <c r="C118" s="465" t="s">
        <v>281</v>
      </c>
      <c r="D118" s="514">
        <v>43922.0</v>
      </c>
      <c r="E118" s="557">
        <f>D118/D$29</f>
        <v>0.002135005445</v>
      </c>
      <c r="F118" s="521"/>
      <c r="G118" s="557" t="str">
        <f>F118/F$29</f>
        <v>#DIV/0!</v>
      </c>
      <c r="H118" s="521">
        <f>D118-F118</f>
        <v>43922</v>
      </c>
      <c r="I118" s="562" t="str">
        <f>IFERROR((H118/F118),"")</f>
        <v/>
      </c>
      <c r="J118" s="467">
        <v>45692.0</v>
      </c>
      <c r="K118" s="557">
        <f>J118/J$29</f>
        <v>0.002060581604</v>
      </c>
      <c r="L118" s="521"/>
      <c r="M118" s="557" t="str">
        <f>L118/L$29</f>
        <v>#DIV/0!</v>
      </c>
      <c r="N118" s="521">
        <f>J118-L118</f>
        <v>45692</v>
      </c>
      <c r="O118" s="562" t="str">
        <f>IFERROR((N118/L118),"")</f>
        <v/>
      </c>
      <c r="P118" s="506">
        <v>43922.0</v>
      </c>
      <c r="Q118" s="560">
        <f>P118/P$29</f>
        <v>0.002225287877</v>
      </c>
      <c r="R118" s="521"/>
      <c r="S118" s="557" t="str">
        <f>R118/R$29</f>
        <v>#DIV/0!</v>
      </c>
      <c r="T118" s="521">
        <f>P118-R118</f>
        <v>43922</v>
      </c>
      <c r="U118" s="562" t="str">
        <f>IFERROR((T118/R118),"")</f>
        <v/>
      </c>
    </row>
    <row r="119" ht="15.75" customHeight="1">
      <c r="A119" s="439"/>
      <c r="B119" s="465"/>
      <c r="C119" s="465"/>
      <c r="D119" s="467"/>
      <c r="E119" s="557"/>
      <c r="F119" s="521"/>
      <c r="G119" s="557"/>
      <c r="H119" s="521"/>
      <c r="I119" s="562"/>
      <c r="J119" s="467"/>
      <c r="K119" s="557"/>
      <c r="L119" s="521"/>
      <c r="M119" s="557"/>
      <c r="N119" s="521"/>
      <c r="O119" s="562"/>
      <c r="P119" s="474"/>
      <c r="Q119" s="560"/>
      <c r="R119" s="521"/>
      <c r="S119" s="557"/>
      <c r="T119" s="521"/>
      <c r="U119" s="562"/>
    </row>
    <row r="120" ht="15.75" customHeight="1">
      <c r="A120" s="439"/>
      <c r="B120" s="465"/>
      <c r="C120" s="465" t="s">
        <v>282</v>
      </c>
      <c r="D120" s="514">
        <v>0.0</v>
      </c>
      <c r="E120" s="557">
        <f>D120/D$29</f>
        <v>0</v>
      </c>
      <c r="F120" s="521"/>
      <c r="G120" s="539"/>
      <c r="H120" s="521"/>
      <c r="I120" s="479"/>
      <c r="J120" s="514">
        <v>35980.0</v>
      </c>
      <c r="K120" s="557">
        <f>J120/J$29</f>
        <v>0.001622597525</v>
      </c>
      <c r="L120" s="521"/>
      <c r="M120" s="539"/>
      <c r="N120" s="521"/>
      <c r="O120" s="479"/>
      <c r="P120" s="506">
        <v>3200.0</v>
      </c>
      <c r="Q120" s="560">
        <f>P120/P$29</f>
        <v>0.0001621265245</v>
      </c>
      <c r="R120" s="521"/>
      <c r="S120" s="539"/>
      <c r="T120" s="521"/>
      <c r="U120" s="479"/>
    </row>
    <row r="121" ht="15.75" customHeight="1">
      <c r="A121" s="439"/>
      <c r="B121" s="483"/>
      <c r="C121" s="618"/>
      <c r="D121" s="485"/>
      <c r="E121" s="544"/>
      <c r="F121" s="545"/>
      <c r="G121" s="544"/>
      <c r="H121" s="545"/>
      <c r="I121" s="546"/>
      <c r="J121" s="485"/>
      <c r="K121" s="544"/>
      <c r="L121" s="545"/>
      <c r="M121" s="544"/>
      <c r="N121" s="545"/>
      <c r="O121" s="546"/>
      <c r="P121" s="501"/>
      <c r="Q121" s="609"/>
      <c r="R121" s="545"/>
      <c r="S121" s="544"/>
      <c r="T121" s="545"/>
      <c r="U121" s="546"/>
    </row>
    <row r="122" ht="15.75" customHeight="1">
      <c r="A122" s="439"/>
      <c r="B122" s="526"/>
      <c r="C122" s="619"/>
      <c r="D122" s="515"/>
      <c r="E122" s="620"/>
      <c r="F122" s="621"/>
      <c r="G122" s="620"/>
      <c r="H122" s="621"/>
      <c r="I122" s="455"/>
      <c r="J122" s="515"/>
      <c r="K122" s="620"/>
      <c r="L122" s="621"/>
      <c r="M122" s="620"/>
      <c r="N122" s="621"/>
      <c r="O122" s="455"/>
      <c r="P122" s="522"/>
      <c r="Q122" s="622"/>
      <c r="R122" s="621"/>
      <c r="S122" s="620"/>
      <c r="T122" s="621"/>
      <c r="U122" s="455"/>
    </row>
    <row r="123" ht="15.75" customHeight="1">
      <c r="A123" s="439"/>
      <c r="B123" s="490"/>
      <c r="C123" s="511" t="s">
        <v>41</v>
      </c>
      <c r="D123" s="459">
        <f>SUM(D124:D126)</f>
        <v>14325</v>
      </c>
      <c r="E123" s="547">
        <f t="shared" ref="E123:E125" si="139">D123/D$29</f>
        <v>0.000696324234</v>
      </c>
      <c r="F123" s="459">
        <f>SUM(F124:F126)</f>
        <v>0</v>
      </c>
      <c r="G123" s="547" t="str">
        <f t="shared" ref="G123:G124" si="140">F123/F$29</f>
        <v>#DIV/0!</v>
      </c>
      <c r="H123" s="459">
        <f>SUM(H124:H126)</f>
        <v>0</v>
      </c>
      <c r="I123" s="549">
        <f>H123/H$29</f>
        <v>0</v>
      </c>
      <c r="J123" s="459">
        <f>SUM(J124:J126)</f>
        <v>31754</v>
      </c>
      <c r="K123" s="547">
        <f t="shared" ref="K123:K125" si="141">J123/J$29</f>
        <v>0.001432016726</v>
      </c>
      <c r="L123" s="459">
        <f>SUM(L124:L126)</f>
        <v>0</v>
      </c>
      <c r="M123" s="547" t="str">
        <f t="shared" ref="M123:M124" si="142">L123/L$29</f>
        <v>#DIV/0!</v>
      </c>
      <c r="N123" s="459">
        <f>SUM(N124:N126)</f>
        <v>0</v>
      </c>
      <c r="O123" s="549">
        <f>N123/N$29</f>
        <v>0</v>
      </c>
      <c r="P123" s="491">
        <f>SUM(P124:P126)</f>
        <v>10325</v>
      </c>
      <c r="Q123" s="551">
        <f t="shared" ref="Q123:Q125" si="143">P123/P$29</f>
        <v>0.0005231113641</v>
      </c>
      <c r="R123" s="459">
        <f>SUM(R124:R126)</f>
        <v>0</v>
      </c>
      <c r="S123" s="547" t="str">
        <f t="shared" ref="S123:S124" si="144">R123/R$29</f>
        <v>#DIV/0!</v>
      </c>
      <c r="T123" s="459">
        <f>SUM(T124:T126)</f>
        <v>0</v>
      </c>
      <c r="U123" s="549">
        <f>T123/T$29</f>
        <v>0</v>
      </c>
    </row>
    <row r="124" ht="15.75" customHeight="1">
      <c r="A124" s="439"/>
      <c r="B124" s="497"/>
      <c r="C124" s="497" t="s">
        <v>283</v>
      </c>
      <c r="D124" s="463"/>
      <c r="E124" s="552">
        <f t="shared" si="139"/>
        <v>0</v>
      </c>
      <c r="F124" s="541"/>
      <c r="G124" s="552" t="str">
        <f t="shared" si="140"/>
        <v>#DIV/0!</v>
      </c>
      <c r="H124" s="541"/>
      <c r="I124" s="556" t="str">
        <f>IFERROR((H124/F124),"")</f>
        <v/>
      </c>
      <c r="J124" s="463"/>
      <c r="K124" s="552">
        <f t="shared" si="141"/>
        <v>0</v>
      </c>
      <c r="L124" s="541"/>
      <c r="M124" s="552" t="str">
        <f t="shared" si="142"/>
        <v>#DIV/0!</v>
      </c>
      <c r="N124" s="541"/>
      <c r="O124" s="556" t="str">
        <f>IFERROR((N124/L124),"")</f>
        <v/>
      </c>
      <c r="P124" s="498"/>
      <c r="Q124" s="554">
        <f t="shared" si="143"/>
        <v>0</v>
      </c>
      <c r="R124" s="541"/>
      <c r="S124" s="552" t="str">
        <f t="shared" si="144"/>
        <v>#DIV/0!</v>
      </c>
      <c r="T124" s="541"/>
      <c r="U124" s="556" t="str">
        <f>IFERROR((T124/R124),"")</f>
        <v/>
      </c>
    </row>
    <row r="125" ht="15.75" customHeight="1">
      <c r="A125" s="439"/>
      <c r="B125" s="483"/>
      <c r="C125" s="483" t="s">
        <v>41</v>
      </c>
      <c r="D125" s="487">
        <v>10325.0</v>
      </c>
      <c r="E125" s="552">
        <f t="shared" si="139"/>
        <v>0.0005018881477</v>
      </c>
      <c r="F125" s="545"/>
      <c r="G125" s="564"/>
      <c r="H125" s="545"/>
      <c r="I125" s="565"/>
      <c r="J125" s="487">
        <v>31754.0</v>
      </c>
      <c r="K125" s="552">
        <f t="shared" si="141"/>
        <v>0.001432016726</v>
      </c>
      <c r="L125" s="545"/>
      <c r="M125" s="564"/>
      <c r="N125" s="545"/>
      <c r="O125" s="565"/>
      <c r="P125" s="488">
        <v>10325.0</v>
      </c>
      <c r="Q125" s="554">
        <f t="shared" si="143"/>
        <v>0.0005231113641</v>
      </c>
      <c r="R125" s="545"/>
      <c r="S125" s="564"/>
      <c r="T125" s="545"/>
      <c r="U125" s="565"/>
    </row>
    <row r="126" ht="15.75" customHeight="1">
      <c r="A126" s="439"/>
      <c r="B126" s="483"/>
      <c r="C126" s="623" t="s">
        <v>284</v>
      </c>
      <c r="D126" s="487">
        <v>4000.0</v>
      </c>
      <c r="E126" s="544"/>
      <c r="F126" s="545"/>
      <c r="G126" s="544"/>
      <c r="H126" s="545"/>
      <c r="I126" s="565" t="str">
        <f>IFERROR((H126/F126),"")</f>
        <v/>
      </c>
      <c r="J126" s="487">
        <v>0.0</v>
      </c>
      <c r="K126" s="544"/>
      <c r="L126" s="545"/>
      <c r="M126" s="544"/>
      <c r="N126" s="545"/>
      <c r="O126" s="565" t="str">
        <f>IFERROR((N126/L126),"")</f>
        <v/>
      </c>
      <c r="P126" s="488">
        <v>0.0</v>
      </c>
      <c r="Q126" s="609"/>
      <c r="R126" s="545"/>
      <c r="S126" s="544"/>
      <c r="T126" s="545"/>
      <c r="U126" s="565" t="str">
        <f>IFERROR((T126/R126),"")</f>
        <v/>
      </c>
    </row>
    <row r="127" ht="15.75" customHeight="1">
      <c r="A127" s="439"/>
      <c r="B127" s="490"/>
      <c r="C127" s="511" t="s">
        <v>42</v>
      </c>
      <c r="D127" s="459">
        <f>SUM(D128)</f>
        <v>0</v>
      </c>
      <c r="E127" s="547">
        <f t="shared" ref="E127:E128" si="145">D127/D$29</f>
        <v>0</v>
      </c>
      <c r="F127" s="548">
        <f>SUM(F128)</f>
        <v>0</v>
      </c>
      <c r="G127" s="547" t="str">
        <f>F127/F$29</f>
        <v>#DIV/0!</v>
      </c>
      <c r="H127" s="548">
        <f>SUM(H128)</f>
        <v>0</v>
      </c>
      <c r="I127" s="549">
        <f>H127/H$29</f>
        <v>0</v>
      </c>
      <c r="J127" s="459">
        <f>SUM(J128)</f>
        <v>0</v>
      </c>
      <c r="K127" s="547">
        <f t="shared" ref="K127:K128" si="146">J127/J$29</f>
        <v>0</v>
      </c>
      <c r="L127" s="548">
        <f>SUM(L128)</f>
        <v>0</v>
      </c>
      <c r="M127" s="547" t="str">
        <f>L127/L$29</f>
        <v>#DIV/0!</v>
      </c>
      <c r="N127" s="548">
        <f>SUM(N128)</f>
        <v>0</v>
      </c>
      <c r="O127" s="549">
        <f>N127/N$29</f>
        <v>0</v>
      </c>
      <c r="P127" s="491">
        <f>SUM(P128)</f>
        <v>0</v>
      </c>
      <c r="Q127" s="551">
        <f t="shared" ref="Q127:Q128" si="147">P127/P$29</f>
        <v>0</v>
      </c>
      <c r="R127" s="548">
        <f>SUM(R128)</f>
        <v>0</v>
      </c>
      <c r="S127" s="547" t="str">
        <f>R127/R$29</f>
        <v>#DIV/0!</v>
      </c>
      <c r="T127" s="548">
        <f>SUM(T128)</f>
        <v>0</v>
      </c>
      <c r="U127" s="549">
        <f>T127/T$29</f>
        <v>0</v>
      </c>
    </row>
    <row r="128" ht="15.75" customHeight="1">
      <c r="A128" s="439"/>
      <c r="B128" s="497"/>
      <c r="C128" s="497" t="s">
        <v>285</v>
      </c>
      <c r="D128" s="463">
        <v>0.0</v>
      </c>
      <c r="E128" s="552">
        <f t="shared" si="145"/>
        <v>0</v>
      </c>
      <c r="F128" s="541"/>
      <c r="G128" s="540"/>
      <c r="H128" s="541"/>
      <c r="I128" s="556" t="str">
        <f>IFERROR((H128/F128),"")</f>
        <v/>
      </c>
      <c r="J128" s="463">
        <v>0.0</v>
      </c>
      <c r="K128" s="552">
        <f t="shared" si="146"/>
        <v>0</v>
      </c>
      <c r="L128" s="541"/>
      <c r="M128" s="540"/>
      <c r="N128" s="541"/>
      <c r="O128" s="556" t="str">
        <f>IFERROR((N128/L128),"")</f>
        <v/>
      </c>
      <c r="P128" s="498">
        <v>0.0</v>
      </c>
      <c r="Q128" s="554">
        <f t="shared" si="147"/>
        <v>0</v>
      </c>
      <c r="R128" s="541"/>
      <c r="S128" s="540"/>
      <c r="T128" s="541"/>
      <c r="U128" s="556" t="str">
        <f>IFERROR((T128/R128),"")</f>
        <v/>
      </c>
    </row>
    <row r="129" ht="15.75" customHeight="1">
      <c r="A129" s="439"/>
      <c r="B129" s="465"/>
      <c r="C129" s="465"/>
      <c r="D129" s="467"/>
      <c r="E129" s="539"/>
      <c r="F129" s="521"/>
      <c r="G129" s="539"/>
      <c r="H129" s="521"/>
      <c r="I129" s="479"/>
      <c r="J129" s="467"/>
      <c r="K129" s="539"/>
      <c r="L129" s="521"/>
      <c r="M129" s="539"/>
      <c r="N129" s="521"/>
      <c r="O129" s="479"/>
      <c r="P129" s="474"/>
      <c r="Q129" s="575"/>
      <c r="R129" s="521"/>
      <c r="S129" s="539"/>
      <c r="T129" s="521"/>
      <c r="U129" s="479"/>
    </row>
    <row r="130" ht="15.75" customHeight="1">
      <c r="A130" s="439"/>
      <c r="B130" s="483"/>
      <c r="C130" s="483"/>
      <c r="D130" s="485"/>
      <c r="E130" s="544"/>
      <c r="F130" s="545"/>
      <c r="G130" s="544"/>
      <c r="H130" s="545"/>
      <c r="I130" s="546"/>
      <c r="J130" s="485"/>
      <c r="K130" s="544"/>
      <c r="L130" s="545"/>
      <c r="M130" s="544"/>
      <c r="N130" s="545"/>
      <c r="O130" s="546"/>
      <c r="P130" s="501"/>
      <c r="Q130" s="609"/>
      <c r="R130" s="545"/>
      <c r="S130" s="544"/>
      <c r="T130" s="545"/>
      <c r="U130" s="546"/>
    </row>
    <row r="131" ht="15.75" customHeight="1">
      <c r="A131" s="439"/>
      <c r="B131" s="490"/>
      <c r="C131" s="490" t="s">
        <v>254</v>
      </c>
      <c r="D131" s="459">
        <f>D51+D60+D69+D75+D81+D92+D95+D99+D123+D127+D106+D112+D114+D116+D118+D120</f>
        <v>9419954.167</v>
      </c>
      <c r="E131" s="547">
        <f>D131/D$29</f>
        <v>0.4578947553</v>
      </c>
      <c r="F131" s="459">
        <f>F51+F60+F69+F75+F81+F92+F95+F99+F123+F127+F106+F112+F114+F116+F118+F120</f>
        <v>2454449.75</v>
      </c>
      <c r="G131" s="547" t="str">
        <f>F131/F$29</f>
        <v>#DIV/0!</v>
      </c>
      <c r="H131" s="459">
        <f>H51+H60+H69+H75+H81+H92+H95+H99+H123+H127+H106</f>
        <v>8531461.743</v>
      </c>
      <c r="I131" s="549">
        <f>IFERROR((H131/F131),"")</f>
        <v>3.475916239</v>
      </c>
      <c r="J131" s="459">
        <f>J51+J60+J69+J75+J81+J92+J95+J99+J123+J127+J106+J112+J114+J116+J118+J120</f>
        <v>9362930.44</v>
      </c>
      <c r="K131" s="547">
        <f>J131/J$29</f>
        <v>0.4222420167</v>
      </c>
      <c r="L131" s="459">
        <f>L51+L60+L69+L75+L81+L92+L95+L99+L123+L127+L106+L112+L114+L116+L118+L120</f>
        <v>815982.75</v>
      </c>
      <c r="M131" s="547" t="str">
        <f>L131/L$29</f>
        <v>#DIV/0!</v>
      </c>
      <c r="N131" s="459">
        <f>N51+N60+N69+N75+N81+N92+N95+N99+N123+N127+N106</f>
        <v>8396353.5</v>
      </c>
      <c r="O131" s="549">
        <f>IFERROR((N131/L131),"")</f>
        <v>10.28986642</v>
      </c>
      <c r="P131" s="491">
        <f>P51+P60+P69+P75+P81+P92+P95+P99+P123+P127+P106+P112+P114+P116+P118+P120</f>
        <v>8638437.02</v>
      </c>
      <c r="Q131" s="551">
        <f>P131/P$29</f>
        <v>0.4376624284</v>
      </c>
      <c r="R131" s="459">
        <f>R51+R60+R69+R75+R81+R92+R95+R99+R123+R127+R106+R112+R114+R116+R118+R120</f>
        <v>0</v>
      </c>
      <c r="S131" s="547" t="str">
        <f>R131/R$29</f>
        <v>#DIV/0!</v>
      </c>
      <c r="T131" s="459">
        <f>T51+T60+T69+T75+T81+T92+T95+T99+T123+T127+T106</f>
        <v>7294756.02</v>
      </c>
      <c r="U131" s="549" t="str">
        <f>IFERROR((T131/R131),"")</f>
        <v/>
      </c>
    </row>
    <row r="132" ht="15.75" customHeight="1">
      <c r="A132" s="439"/>
      <c r="B132" s="526"/>
      <c r="C132" s="526"/>
      <c r="D132" s="515"/>
      <c r="E132" s="620"/>
      <c r="F132" s="590"/>
      <c r="G132" s="620"/>
      <c r="H132" s="590"/>
      <c r="I132" s="455"/>
      <c r="J132" s="515"/>
      <c r="K132" s="620"/>
      <c r="L132" s="590"/>
      <c r="M132" s="620"/>
      <c r="N132" s="590"/>
      <c r="O132" s="455"/>
      <c r="P132" s="522"/>
      <c r="Q132" s="622"/>
      <c r="R132" s="590"/>
      <c r="S132" s="620"/>
      <c r="T132" s="590"/>
      <c r="U132" s="455"/>
    </row>
    <row r="133" ht="15.75" customHeight="1">
      <c r="A133" s="439"/>
      <c r="B133" s="490"/>
      <c r="C133" s="490" t="s">
        <v>255</v>
      </c>
      <c r="D133" s="459">
        <f>D42-D131</f>
        <v>4034064.394</v>
      </c>
      <c r="E133" s="547">
        <f>D133/D$29</f>
        <v>0.1960919231</v>
      </c>
      <c r="F133" s="459">
        <f>F42-F131</f>
        <v>-2454449.75</v>
      </c>
      <c r="G133" s="547" t="str">
        <f>F133/F$29</f>
        <v>#DIV/0!</v>
      </c>
      <c r="H133" s="459">
        <f>H42-H131</f>
        <v>4876956.818</v>
      </c>
      <c r="I133" s="549">
        <f>IFERROR((H133/F133),"")</f>
        <v>-1.986985807</v>
      </c>
      <c r="J133" s="459">
        <f>J42-J131</f>
        <v>5533197.722</v>
      </c>
      <c r="K133" s="547">
        <f>J133/J$29</f>
        <v>0.2495317657</v>
      </c>
      <c r="L133" s="459">
        <f>L42-L131</f>
        <v>-815982.75</v>
      </c>
      <c r="M133" s="547" t="str">
        <f>L133/L$29</f>
        <v>#DIV/0!</v>
      </c>
      <c r="N133" s="459">
        <f>N42-N131</f>
        <v>6458974.662</v>
      </c>
      <c r="O133" s="549">
        <f>IFERROR((N133/L133),"")</f>
        <v>-7.915577457</v>
      </c>
      <c r="P133" s="491">
        <f>P42-P131</f>
        <v>4033891.545</v>
      </c>
      <c r="Q133" s="551">
        <f>P133/P$29</f>
        <v>0.204375255</v>
      </c>
      <c r="R133" s="459">
        <f>R42-R131</f>
        <v>0</v>
      </c>
      <c r="S133" s="547" t="str">
        <f>R133/R$29</f>
        <v>#DIV/0!</v>
      </c>
      <c r="T133" s="459">
        <f>T42-T131</f>
        <v>5331672.545</v>
      </c>
      <c r="U133" s="549" t="str">
        <f>IFERROR((T133/R133),"")</f>
        <v/>
      </c>
    </row>
    <row r="134" ht="15.75" customHeight="1">
      <c r="A134" s="439"/>
      <c r="B134" s="439"/>
      <c r="C134" s="439"/>
      <c r="D134" s="530"/>
      <c r="E134" s="439"/>
      <c r="F134" s="530"/>
      <c r="G134" s="439"/>
      <c r="H134" s="530"/>
      <c r="I134" s="439"/>
      <c r="J134" s="530"/>
      <c r="K134" s="439"/>
      <c r="L134" s="530"/>
      <c r="M134" s="439"/>
      <c r="N134" s="530"/>
      <c r="O134" s="439"/>
      <c r="P134" s="530"/>
      <c r="Q134" s="439"/>
      <c r="R134" s="530"/>
      <c r="S134" s="439"/>
      <c r="T134" s="530"/>
      <c r="U134" s="439"/>
    </row>
    <row r="135" ht="15.75" customHeight="1">
      <c r="A135" s="439"/>
      <c r="B135" s="439"/>
      <c r="C135" s="439"/>
      <c r="D135" s="624"/>
      <c r="E135" s="439"/>
      <c r="F135" s="530"/>
      <c r="G135" s="439"/>
      <c r="H135" s="530"/>
      <c r="I135" s="439"/>
      <c r="J135" s="624"/>
      <c r="K135" s="439"/>
      <c r="L135" s="530"/>
      <c r="M135" s="439"/>
      <c r="N135" s="530"/>
      <c r="O135" s="439"/>
      <c r="P135" s="624"/>
      <c r="Q135" s="439"/>
      <c r="R135" s="530"/>
      <c r="S135" s="439"/>
      <c r="T135" s="530"/>
      <c r="U135" s="439"/>
    </row>
    <row r="136" ht="15.75" customHeight="1">
      <c r="A136" s="439"/>
      <c r="B136" s="439"/>
      <c r="C136" s="439"/>
      <c r="D136" s="530"/>
      <c r="E136" s="439"/>
      <c r="F136" s="530"/>
      <c r="G136" s="439"/>
      <c r="H136" s="530"/>
      <c r="I136" s="439"/>
      <c r="J136" s="530"/>
      <c r="K136" s="439"/>
      <c r="L136" s="530"/>
      <c r="M136" s="439"/>
      <c r="N136" s="530"/>
      <c r="O136" s="439"/>
      <c r="P136" s="530"/>
      <c r="Q136" s="439"/>
      <c r="R136" s="530"/>
      <c r="S136" s="439"/>
      <c r="T136" s="530"/>
      <c r="U136" s="439"/>
    </row>
    <row r="137" ht="15.75" customHeight="1">
      <c r="A137" s="439"/>
      <c r="B137" s="439"/>
      <c r="C137" s="439"/>
      <c r="D137" s="530"/>
      <c r="E137" s="439"/>
      <c r="F137" s="530"/>
      <c r="G137" s="439"/>
      <c r="H137" s="530"/>
      <c r="I137" s="439"/>
      <c r="J137" s="530"/>
      <c r="K137" s="439"/>
      <c r="L137" s="530"/>
      <c r="M137" s="439"/>
      <c r="N137" s="530"/>
      <c r="O137" s="439"/>
      <c r="P137" s="530"/>
      <c r="Q137" s="439"/>
      <c r="R137" s="530"/>
      <c r="S137" s="439"/>
      <c r="T137" s="530"/>
      <c r="U137" s="439"/>
    </row>
    <row r="138" ht="15.75" customHeight="1">
      <c r="A138" s="439"/>
      <c r="B138" s="439"/>
      <c r="C138" s="439"/>
      <c r="D138" s="530"/>
      <c r="E138" s="439"/>
      <c r="F138" s="530"/>
      <c r="G138" s="439"/>
      <c r="H138" s="530"/>
      <c r="I138" s="439"/>
      <c r="J138" s="530"/>
      <c r="K138" s="439"/>
      <c r="L138" s="530"/>
      <c r="M138" s="439"/>
      <c r="N138" s="530"/>
      <c r="O138" s="439"/>
      <c r="P138" s="530"/>
      <c r="Q138" s="439"/>
      <c r="R138" s="530"/>
      <c r="S138" s="439"/>
      <c r="T138" s="530"/>
      <c r="U138" s="439"/>
    </row>
    <row r="139" ht="15.75" customHeight="1">
      <c r="A139" s="439"/>
      <c r="B139" s="439"/>
      <c r="C139" s="439"/>
      <c r="D139" s="530"/>
      <c r="E139" s="439"/>
      <c r="F139" s="530"/>
      <c r="G139" s="439"/>
      <c r="H139" s="530"/>
      <c r="I139" s="439"/>
      <c r="J139" s="530"/>
      <c r="K139" s="439"/>
      <c r="L139" s="530"/>
      <c r="M139" s="439"/>
      <c r="N139" s="530"/>
      <c r="O139" s="439"/>
      <c r="P139" s="530"/>
      <c r="Q139" s="439"/>
      <c r="R139" s="530"/>
      <c r="S139" s="439"/>
      <c r="T139" s="530"/>
      <c r="U139" s="439"/>
    </row>
    <row r="140" ht="15.75" customHeight="1">
      <c r="A140" s="439"/>
      <c r="B140" s="439"/>
      <c r="C140" s="439"/>
      <c r="D140" s="530"/>
      <c r="E140" s="439"/>
      <c r="F140" s="530"/>
      <c r="G140" s="439"/>
      <c r="H140" s="530"/>
      <c r="I140" s="439"/>
      <c r="J140" s="530"/>
      <c r="K140" s="439"/>
      <c r="L140" s="530"/>
      <c r="M140" s="439"/>
      <c r="N140" s="530"/>
      <c r="O140" s="439"/>
      <c r="P140" s="530"/>
      <c r="Q140" s="439"/>
      <c r="R140" s="530"/>
      <c r="S140" s="439"/>
      <c r="T140" s="530"/>
      <c r="U140" s="439"/>
    </row>
    <row r="141" ht="15.75" customHeight="1">
      <c r="A141" s="439"/>
      <c r="B141" s="439"/>
      <c r="C141" s="439"/>
      <c r="D141" s="530"/>
      <c r="E141" s="439"/>
      <c r="F141" s="530"/>
      <c r="G141" s="439"/>
      <c r="H141" s="530"/>
      <c r="I141" s="439"/>
      <c r="J141" s="530"/>
      <c r="K141" s="439"/>
      <c r="L141" s="530"/>
      <c r="M141" s="439"/>
      <c r="N141" s="530"/>
      <c r="O141" s="439"/>
      <c r="P141" s="530"/>
      <c r="Q141" s="439"/>
      <c r="R141" s="530"/>
      <c r="S141" s="439"/>
      <c r="T141" s="530"/>
      <c r="U141" s="439"/>
    </row>
    <row r="142" ht="15.75" customHeight="1">
      <c r="A142" s="439"/>
      <c r="B142" s="439"/>
      <c r="C142" s="439"/>
      <c r="D142" s="530"/>
      <c r="E142" s="439"/>
      <c r="F142" s="530"/>
      <c r="G142" s="439"/>
      <c r="H142" s="530"/>
      <c r="I142" s="439"/>
      <c r="J142" s="530"/>
      <c r="K142" s="439"/>
      <c r="L142" s="530"/>
      <c r="M142" s="439"/>
      <c r="N142" s="530"/>
      <c r="O142" s="439"/>
      <c r="P142" s="530"/>
      <c r="Q142" s="439"/>
      <c r="R142" s="530"/>
      <c r="S142" s="439"/>
      <c r="T142" s="530"/>
      <c r="U142" s="439"/>
    </row>
    <row r="143" ht="15.75" customHeight="1">
      <c r="A143" s="439"/>
      <c r="B143" s="439"/>
      <c r="C143" s="439"/>
      <c r="D143" s="530"/>
      <c r="E143" s="439"/>
      <c r="F143" s="530"/>
      <c r="G143" s="439"/>
      <c r="H143" s="530"/>
      <c r="I143" s="439"/>
      <c r="J143" s="530"/>
      <c r="K143" s="439"/>
      <c r="L143" s="530"/>
      <c r="M143" s="439"/>
      <c r="N143" s="530"/>
      <c r="O143" s="439"/>
      <c r="P143" s="530"/>
      <c r="Q143" s="439"/>
      <c r="R143" s="530"/>
      <c r="S143" s="439"/>
      <c r="T143" s="530"/>
      <c r="U143" s="439"/>
    </row>
    <row r="144" ht="15.75" customHeight="1">
      <c r="A144" s="439"/>
      <c r="B144" s="439"/>
      <c r="C144" s="439"/>
      <c r="D144" s="530"/>
      <c r="E144" s="439"/>
      <c r="F144" s="530"/>
      <c r="G144" s="439"/>
      <c r="H144" s="530"/>
      <c r="I144" s="439"/>
      <c r="J144" s="530"/>
      <c r="K144" s="439"/>
      <c r="L144" s="530"/>
      <c r="M144" s="439"/>
      <c r="N144" s="530"/>
      <c r="O144" s="439"/>
      <c r="P144" s="530"/>
      <c r="Q144" s="439"/>
      <c r="R144" s="530"/>
      <c r="S144" s="439"/>
      <c r="T144" s="530"/>
      <c r="U144" s="439"/>
    </row>
    <row r="145" ht="15.75" customHeight="1">
      <c r="A145" s="439"/>
      <c r="B145" s="439"/>
      <c r="C145" s="439"/>
      <c r="D145" s="530"/>
      <c r="E145" s="439"/>
      <c r="F145" s="530"/>
      <c r="G145" s="439"/>
      <c r="H145" s="530"/>
      <c r="I145" s="439"/>
      <c r="J145" s="530"/>
      <c r="K145" s="439"/>
      <c r="L145" s="530"/>
      <c r="M145" s="439"/>
      <c r="N145" s="530"/>
      <c r="O145" s="439"/>
      <c r="P145" s="530"/>
      <c r="Q145" s="439"/>
      <c r="R145" s="530"/>
      <c r="S145" s="439"/>
      <c r="T145" s="530"/>
      <c r="U145" s="439"/>
    </row>
    <row r="146" ht="15.75" customHeight="1">
      <c r="A146" s="439"/>
      <c r="B146" s="439"/>
      <c r="C146" s="439"/>
      <c r="D146" s="530"/>
      <c r="E146" s="439"/>
      <c r="F146" s="530"/>
      <c r="G146" s="439"/>
      <c r="H146" s="530"/>
      <c r="I146" s="439"/>
      <c r="J146" s="530"/>
      <c r="K146" s="439"/>
      <c r="L146" s="530"/>
      <c r="M146" s="439"/>
      <c r="N146" s="530"/>
      <c r="O146" s="439"/>
      <c r="P146" s="530"/>
      <c r="Q146" s="439"/>
      <c r="R146" s="530"/>
      <c r="S146" s="439"/>
      <c r="T146" s="530"/>
      <c r="U146" s="439"/>
    </row>
    <row r="147" ht="15.75" customHeight="1">
      <c r="A147" s="439"/>
      <c r="B147" s="439"/>
      <c r="C147" s="439"/>
      <c r="D147" s="530"/>
      <c r="E147" s="439"/>
      <c r="F147" s="530"/>
      <c r="G147" s="439"/>
      <c r="H147" s="530"/>
      <c r="I147" s="439"/>
      <c r="J147" s="530"/>
      <c r="K147" s="439"/>
      <c r="L147" s="530"/>
      <c r="M147" s="439"/>
      <c r="N147" s="530"/>
      <c r="O147" s="439"/>
      <c r="P147" s="530"/>
      <c r="Q147" s="439"/>
      <c r="R147" s="530"/>
      <c r="S147" s="439"/>
      <c r="T147" s="530"/>
      <c r="U147" s="439"/>
    </row>
    <row r="148" ht="15.75" customHeight="1">
      <c r="A148" s="439"/>
      <c r="B148" s="439"/>
      <c r="C148" s="439"/>
      <c r="D148" s="530"/>
      <c r="E148" s="439"/>
      <c r="F148" s="530"/>
      <c r="G148" s="439"/>
      <c r="H148" s="530"/>
      <c r="I148" s="439"/>
      <c r="J148" s="530"/>
      <c r="K148" s="439"/>
      <c r="L148" s="530"/>
      <c r="M148" s="439"/>
      <c r="N148" s="530"/>
      <c r="O148" s="439"/>
      <c r="P148" s="530"/>
      <c r="Q148" s="439"/>
      <c r="R148" s="530"/>
      <c r="S148" s="439"/>
      <c r="T148" s="530"/>
      <c r="U148" s="439"/>
    </row>
    <row r="149" ht="15.75" customHeight="1">
      <c r="A149" s="439"/>
      <c r="B149" s="439"/>
      <c r="C149" s="439"/>
      <c r="D149" s="530"/>
      <c r="E149" s="439"/>
      <c r="F149" s="530"/>
      <c r="G149" s="439"/>
      <c r="H149" s="530"/>
      <c r="I149" s="439"/>
      <c r="J149" s="530"/>
      <c r="K149" s="439"/>
      <c r="L149" s="530"/>
      <c r="M149" s="439"/>
      <c r="N149" s="530"/>
      <c r="O149" s="439"/>
      <c r="P149" s="530"/>
      <c r="Q149" s="439"/>
      <c r="R149" s="530"/>
      <c r="S149" s="439"/>
      <c r="T149" s="530"/>
      <c r="U149" s="439"/>
    </row>
    <row r="150" ht="15.75" customHeight="1">
      <c r="A150" s="439"/>
      <c r="B150" s="439"/>
      <c r="C150" s="439"/>
      <c r="D150" s="530"/>
      <c r="E150" s="439"/>
      <c r="F150" s="530"/>
      <c r="G150" s="439"/>
      <c r="H150" s="530"/>
      <c r="I150" s="439"/>
      <c r="J150" s="530"/>
      <c r="K150" s="439"/>
      <c r="L150" s="530"/>
      <c r="M150" s="439"/>
      <c r="N150" s="530"/>
      <c r="O150" s="439"/>
      <c r="P150" s="530"/>
      <c r="Q150" s="439"/>
      <c r="R150" s="530"/>
      <c r="S150" s="439"/>
      <c r="T150" s="530"/>
      <c r="U150" s="439"/>
    </row>
    <row r="151" ht="15.75" customHeight="1">
      <c r="A151" s="439"/>
      <c r="B151" s="439"/>
      <c r="C151" s="439"/>
      <c r="D151" s="530"/>
      <c r="E151" s="439"/>
      <c r="F151" s="530"/>
      <c r="G151" s="439"/>
      <c r="H151" s="530"/>
      <c r="I151" s="439"/>
      <c r="J151" s="530"/>
      <c r="K151" s="439"/>
      <c r="L151" s="530"/>
      <c r="M151" s="439"/>
      <c r="N151" s="530"/>
      <c r="O151" s="439"/>
      <c r="P151" s="530"/>
      <c r="Q151" s="439"/>
      <c r="R151" s="530"/>
      <c r="S151" s="439"/>
      <c r="T151" s="530"/>
      <c r="U151" s="439"/>
    </row>
    <row r="152" ht="15.75" customHeight="1">
      <c r="A152" s="439"/>
      <c r="B152" s="439"/>
      <c r="C152" s="439"/>
      <c r="D152" s="530"/>
      <c r="E152" s="439"/>
      <c r="F152" s="530"/>
      <c r="G152" s="439"/>
      <c r="H152" s="530"/>
      <c r="I152" s="439"/>
      <c r="J152" s="530"/>
      <c r="K152" s="439"/>
      <c r="L152" s="530"/>
      <c r="M152" s="439"/>
      <c r="N152" s="530"/>
      <c r="O152" s="439"/>
      <c r="P152" s="530"/>
      <c r="Q152" s="439"/>
      <c r="R152" s="530"/>
      <c r="S152" s="439"/>
      <c r="T152" s="530"/>
      <c r="U152" s="439"/>
    </row>
    <row r="153" ht="15.75" customHeight="1">
      <c r="A153" s="439"/>
      <c r="B153" s="439"/>
      <c r="C153" s="439"/>
      <c r="D153" s="530"/>
      <c r="E153" s="439"/>
      <c r="F153" s="530"/>
      <c r="G153" s="439"/>
      <c r="H153" s="530"/>
      <c r="I153" s="439"/>
      <c r="J153" s="530"/>
      <c r="K153" s="439"/>
      <c r="L153" s="530"/>
      <c r="M153" s="439"/>
      <c r="N153" s="530"/>
      <c r="O153" s="439"/>
      <c r="P153" s="530"/>
      <c r="Q153" s="439"/>
      <c r="R153" s="530"/>
      <c r="S153" s="439"/>
      <c r="T153" s="530"/>
      <c r="U153" s="439"/>
    </row>
    <row r="154" ht="15.75" customHeight="1">
      <c r="A154" s="439"/>
      <c r="B154" s="439"/>
      <c r="C154" s="439"/>
      <c r="D154" s="530"/>
      <c r="E154" s="439"/>
      <c r="F154" s="530"/>
      <c r="G154" s="439"/>
      <c r="H154" s="530"/>
      <c r="I154" s="439"/>
      <c r="J154" s="530"/>
      <c r="K154" s="439"/>
      <c r="L154" s="530"/>
      <c r="M154" s="439"/>
      <c r="N154" s="530"/>
      <c r="O154" s="439"/>
      <c r="P154" s="530"/>
      <c r="Q154" s="439"/>
      <c r="R154" s="530"/>
      <c r="S154" s="439"/>
      <c r="T154" s="530"/>
      <c r="U154" s="439"/>
    </row>
    <row r="155" ht="15.75" customHeight="1">
      <c r="A155" s="439"/>
      <c r="B155" s="439"/>
      <c r="C155" s="439"/>
      <c r="D155" s="530"/>
      <c r="E155" s="439"/>
      <c r="F155" s="530"/>
      <c r="G155" s="439"/>
      <c r="H155" s="530"/>
      <c r="I155" s="439"/>
      <c r="J155" s="530"/>
      <c r="K155" s="439"/>
      <c r="L155" s="530"/>
      <c r="M155" s="439"/>
      <c r="N155" s="530"/>
      <c r="O155" s="439"/>
      <c r="P155" s="530"/>
      <c r="Q155" s="439"/>
      <c r="R155" s="530"/>
      <c r="S155" s="439"/>
      <c r="T155" s="530"/>
      <c r="U155" s="439"/>
    </row>
    <row r="156" ht="15.75" customHeight="1">
      <c r="A156" s="439"/>
      <c r="B156" s="439"/>
      <c r="C156" s="439"/>
      <c r="D156" s="530"/>
      <c r="E156" s="439"/>
      <c r="F156" s="530"/>
      <c r="G156" s="439"/>
      <c r="H156" s="530"/>
      <c r="I156" s="439"/>
      <c r="J156" s="530"/>
      <c r="K156" s="439"/>
      <c r="L156" s="530"/>
      <c r="M156" s="439"/>
      <c r="N156" s="530"/>
      <c r="O156" s="439"/>
      <c r="P156" s="530"/>
      <c r="Q156" s="439"/>
      <c r="R156" s="530"/>
      <c r="S156" s="439"/>
      <c r="T156" s="530"/>
      <c r="U156" s="439"/>
    </row>
    <row r="157" ht="15.75" customHeight="1">
      <c r="A157" s="439"/>
      <c r="B157" s="439"/>
      <c r="C157" s="439"/>
      <c r="D157" s="530"/>
      <c r="E157" s="439"/>
      <c r="F157" s="530"/>
      <c r="G157" s="439"/>
      <c r="H157" s="530"/>
      <c r="I157" s="439"/>
      <c r="J157" s="530"/>
      <c r="K157" s="439"/>
      <c r="L157" s="530"/>
      <c r="M157" s="439"/>
      <c r="N157" s="530"/>
      <c r="O157" s="439"/>
      <c r="P157" s="530"/>
      <c r="Q157" s="439"/>
      <c r="R157" s="530"/>
      <c r="S157" s="439"/>
      <c r="T157" s="530"/>
      <c r="U157" s="439"/>
    </row>
    <row r="158" ht="15.75" customHeight="1">
      <c r="A158" s="439"/>
      <c r="B158" s="439"/>
      <c r="C158" s="439"/>
      <c r="D158" s="530"/>
      <c r="E158" s="439"/>
      <c r="F158" s="530"/>
      <c r="G158" s="439"/>
      <c r="H158" s="530"/>
      <c r="I158" s="439"/>
      <c r="J158" s="530"/>
      <c r="K158" s="439"/>
      <c r="L158" s="530"/>
      <c r="M158" s="439"/>
      <c r="N158" s="530"/>
      <c r="O158" s="439"/>
      <c r="P158" s="530"/>
      <c r="Q158" s="439"/>
      <c r="R158" s="530"/>
      <c r="S158" s="439"/>
      <c r="T158" s="530"/>
      <c r="U158" s="439"/>
    </row>
    <row r="159" ht="15.75" customHeight="1">
      <c r="A159" s="439"/>
      <c r="B159" s="439"/>
      <c r="C159" s="439"/>
      <c r="D159" s="530"/>
      <c r="E159" s="439"/>
      <c r="F159" s="530"/>
      <c r="G159" s="439"/>
      <c r="H159" s="530"/>
      <c r="I159" s="439"/>
      <c r="J159" s="530"/>
      <c r="K159" s="439"/>
      <c r="L159" s="530"/>
      <c r="M159" s="439"/>
      <c r="N159" s="530"/>
      <c r="O159" s="439"/>
      <c r="P159" s="530"/>
      <c r="Q159" s="439"/>
      <c r="R159" s="530"/>
      <c r="S159" s="439"/>
      <c r="T159" s="530"/>
      <c r="U159" s="439"/>
    </row>
    <row r="160" ht="15.75" customHeight="1">
      <c r="A160" s="439"/>
      <c r="B160" s="439"/>
      <c r="C160" s="439"/>
      <c r="D160" s="530"/>
      <c r="E160" s="439"/>
      <c r="F160" s="530"/>
      <c r="G160" s="439"/>
      <c r="H160" s="530"/>
      <c r="I160" s="439"/>
      <c r="J160" s="530"/>
      <c r="K160" s="439"/>
      <c r="L160" s="530"/>
      <c r="M160" s="439"/>
      <c r="N160" s="530"/>
      <c r="O160" s="439"/>
      <c r="P160" s="530"/>
      <c r="Q160" s="439"/>
      <c r="R160" s="530"/>
      <c r="S160" s="439"/>
      <c r="T160" s="530"/>
      <c r="U160" s="439"/>
    </row>
    <row r="161" ht="15.75" customHeight="1">
      <c r="A161" s="439"/>
      <c r="B161" s="439"/>
      <c r="C161" s="439"/>
      <c r="D161" s="530"/>
      <c r="E161" s="439"/>
      <c r="F161" s="530"/>
      <c r="G161" s="439"/>
      <c r="H161" s="530"/>
      <c r="I161" s="439"/>
      <c r="J161" s="530"/>
      <c r="K161" s="439"/>
      <c r="L161" s="530"/>
      <c r="M161" s="439"/>
      <c r="N161" s="530"/>
      <c r="O161" s="439"/>
      <c r="P161" s="530"/>
      <c r="Q161" s="439"/>
      <c r="R161" s="530"/>
      <c r="S161" s="439"/>
      <c r="T161" s="530"/>
      <c r="U161" s="439"/>
    </row>
    <row r="162" ht="15.75" customHeight="1">
      <c r="A162" s="439"/>
      <c r="B162" s="439"/>
      <c r="C162" s="439"/>
      <c r="D162" s="530"/>
      <c r="E162" s="439"/>
      <c r="F162" s="530"/>
      <c r="G162" s="439"/>
      <c r="H162" s="530"/>
      <c r="I162" s="439"/>
      <c r="J162" s="530"/>
      <c r="K162" s="439"/>
      <c r="L162" s="530"/>
      <c r="M162" s="439"/>
      <c r="N162" s="530"/>
      <c r="O162" s="439"/>
      <c r="P162" s="530"/>
      <c r="Q162" s="439"/>
      <c r="R162" s="530"/>
      <c r="S162" s="439"/>
      <c r="T162" s="530"/>
      <c r="U162" s="439"/>
    </row>
    <row r="163" ht="15.75" customHeight="1">
      <c r="A163" s="439"/>
      <c r="B163" s="439"/>
      <c r="C163" s="439"/>
      <c r="D163" s="530"/>
      <c r="E163" s="439"/>
      <c r="F163" s="530"/>
      <c r="G163" s="439"/>
      <c r="H163" s="530"/>
      <c r="I163" s="439"/>
      <c r="J163" s="530"/>
      <c r="K163" s="439"/>
      <c r="L163" s="530"/>
      <c r="M163" s="439"/>
      <c r="N163" s="530"/>
      <c r="O163" s="439"/>
      <c r="P163" s="530"/>
      <c r="Q163" s="439"/>
      <c r="R163" s="530"/>
      <c r="S163" s="439"/>
      <c r="T163" s="530"/>
      <c r="U163" s="439"/>
    </row>
    <row r="164" ht="15.75" customHeight="1">
      <c r="A164" s="439"/>
      <c r="B164" s="439"/>
      <c r="C164" s="439"/>
      <c r="D164" s="530"/>
      <c r="E164" s="439"/>
      <c r="F164" s="530"/>
      <c r="G164" s="439"/>
      <c r="H164" s="530"/>
      <c r="I164" s="439"/>
      <c r="J164" s="530"/>
      <c r="K164" s="439"/>
      <c r="L164" s="530"/>
      <c r="M164" s="439"/>
      <c r="N164" s="530"/>
      <c r="O164" s="439"/>
      <c r="P164" s="530"/>
      <c r="Q164" s="439"/>
      <c r="R164" s="530"/>
      <c r="S164" s="439"/>
      <c r="T164" s="530"/>
      <c r="U164" s="439"/>
    </row>
    <row r="165" ht="15.75" customHeight="1">
      <c r="A165" s="439"/>
      <c r="B165" s="439"/>
      <c r="C165" s="439"/>
      <c r="D165" s="530"/>
      <c r="E165" s="439"/>
      <c r="F165" s="530"/>
      <c r="G165" s="439"/>
      <c r="H165" s="530"/>
      <c r="I165" s="439"/>
      <c r="J165" s="530"/>
      <c r="K165" s="439"/>
      <c r="L165" s="530"/>
      <c r="M165" s="439"/>
      <c r="N165" s="530"/>
      <c r="O165" s="439"/>
      <c r="P165" s="530"/>
      <c r="Q165" s="439"/>
      <c r="R165" s="530"/>
      <c r="S165" s="439"/>
      <c r="T165" s="530"/>
      <c r="U165" s="439"/>
    </row>
    <row r="166" ht="15.75" customHeight="1">
      <c r="A166" s="439"/>
      <c r="B166" s="439"/>
      <c r="C166" s="439"/>
      <c r="D166" s="530"/>
      <c r="E166" s="439"/>
      <c r="F166" s="530"/>
      <c r="G166" s="439"/>
      <c r="H166" s="530"/>
      <c r="I166" s="439"/>
      <c r="J166" s="530"/>
      <c r="K166" s="439"/>
      <c r="L166" s="530"/>
      <c r="M166" s="439"/>
      <c r="N166" s="530"/>
      <c r="O166" s="439"/>
      <c r="P166" s="530"/>
      <c r="Q166" s="439"/>
      <c r="R166" s="530"/>
      <c r="S166" s="439"/>
      <c r="T166" s="530"/>
      <c r="U166" s="439"/>
    </row>
    <row r="167" ht="15.75" customHeight="1">
      <c r="A167" s="439"/>
      <c r="B167" s="439"/>
      <c r="C167" s="439"/>
      <c r="D167" s="530"/>
      <c r="E167" s="439"/>
      <c r="F167" s="530"/>
      <c r="G167" s="439"/>
      <c r="H167" s="530"/>
      <c r="I167" s="439"/>
      <c r="J167" s="530"/>
      <c r="K167" s="439"/>
      <c r="L167" s="530"/>
      <c r="M167" s="439"/>
      <c r="N167" s="530"/>
      <c r="O167" s="439"/>
      <c r="P167" s="530"/>
      <c r="Q167" s="439"/>
      <c r="R167" s="530"/>
      <c r="S167" s="439"/>
      <c r="T167" s="530"/>
      <c r="U167" s="439"/>
    </row>
    <row r="168" ht="15.75" customHeight="1">
      <c r="A168" s="439"/>
      <c r="B168" s="439"/>
      <c r="C168" s="439"/>
      <c r="D168" s="530"/>
      <c r="E168" s="439"/>
      <c r="F168" s="530"/>
      <c r="G168" s="439"/>
      <c r="H168" s="530"/>
      <c r="I168" s="439"/>
      <c r="J168" s="530"/>
      <c r="K168" s="439"/>
      <c r="L168" s="530"/>
      <c r="M168" s="439"/>
      <c r="N168" s="530"/>
      <c r="O168" s="439"/>
      <c r="P168" s="530"/>
      <c r="Q168" s="439"/>
      <c r="R168" s="530"/>
      <c r="S168" s="439"/>
      <c r="T168" s="530"/>
      <c r="U168" s="439"/>
    </row>
    <row r="169" ht="15.75" customHeight="1">
      <c r="A169" s="439"/>
      <c r="B169" s="439"/>
      <c r="C169" s="439"/>
      <c r="D169" s="530"/>
      <c r="E169" s="439"/>
      <c r="F169" s="530"/>
      <c r="G169" s="439"/>
      <c r="H169" s="530"/>
      <c r="I169" s="439"/>
      <c r="J169" s="530"/>
      <c r="K169" s="439"/>
      <c r="L169" s="530"/>
      <c r="M169" s="439"/>
      <c r="N169" s="530"/>
      <c r="O169" s="439"/>
      <c r="P169" s="530"/>
      <c r="Q169" s="439"/>
      <c r="R169" s="530"/>
      <c r="S169" s="439"/>
      <c r="T169" s="530"/>
      <c r="U169" s="439"/>
    </row>
    <row r="170" ht="15.75" customHeight="1">
      <c r="A170" s="439"/>
      <c r="B170" s="439"/>
      <c r="C170" s="439"/>
      <c r="D170" s="530"/>
      <c r="E170" s="439"/>
      <c r="F170" s="530"/>
      <c r="G170" s="439"/>
      <c r="H170" s="530"/>
      <c r="I170" s="439"/>
      <c r="J170" s="530"/>
      <c r="K170" s="439"/>
      <c r="L170" s="530"/>
      <c r="M170" s="439"/>
      <c r="N170" s="530"/>
      <c r="O170" s="439"/>
      <c r="P170" s="530"/>
      <c r="Q170" s="439"/>
      <c r="R170" s="530"/>
      <c r="S170" s="439"/>
      <c r="T170" s="530"/>
      <c r="U170" s="439"/>
    </row>
    <row r="171" ht="15.75" customHeight="1">
      <c r="A171" s="439"/>
      <c r="B171" s="439"/>
      <c r="C171" s="439"/>
      <c r="D171" s="530"/>
      <c r="E171" s="439"/>
      <c r="F171" s="530"/>
      <c r="G171" s="439"/>
      <c r="H171" s="530"/>
      <c r="I171" s="439"/>
      <c r="J171" s="530"/>
      <c r="K171" s="439"/>
      <c r="L171" s="530"/>
      <c r="M171" s="439"/>
      <c r="N171" s="530"/>
      <c r="O171" s="439"/>
      <c r="P171" s="530"/>
      <c r="Q171" s="439"/>
      <c r="R171" s="530"/>
      <c r="S171" s="439"/>
      <c r="T171" s="530"/>
      <c r="U171" s="439"/>
    </row>
    <row r="172" ht="15.75" customHeight="1">
      <c r="A172" s="439"/>
      <c r="B172" s="439"/>
      <c r="C172" s="439"/>
      <c r="D172" s="530"/>
      <c r="E172" s="439"/>
      <c r="F172" s="530"/>
      <c r="G172" s="439"/>
      <c r="H172" s="530"/>
      <c r="I172" s="439"/>
      <c r="J172" s="530"/>
      <c r="K172" s="439"/>
      <c r="L172" s="530"/>
      <c r="M172" s="439"/>
      <c r="N172" s="530"/>
      <c r="O172" s="439"/>
      <c r="P172" s="530"/>
      <c r="Q172" s="439"/>
      <c r="R172" s="530"/>
      <c r="S172" s="439"/>
      <c r="T172" s="530"/>
      <c r="U172" s="439"/>
    </row>
    <row r="173" ht="15.75" customHeight="1">
      <c r="A173" s="439"/>
      <c r="B173" s="439"/>
      <c r="C173" s="439"/>
      <c r="D173" s="530"/>
      <c r="E173" s="439"/>
      <c r="F173" s="530"/>
      <c r="G173" s="439"/>
      <c r="H173" s="530"/>
      <c r="I173" s="439"/>
      <c r="J173" s="530"/>
      <c r="K173" s="439"/>
      <c r="L173" s="530"/>
      <c r="M173" s="439"/>
      <c r="N173" s="530"/>
      <c r="O173" s="439"/>
      <c r="P173" s="530"/>
      <c r="Q173" s="439"/>
      <c r="R173" s="530"/>
      <c r="S173" s="439"/>
      <c r="T173" s="530"/>
      <c r="U173" s="439"/>
    </row>
    <row r="174" ht="15.75" customHeight="1">
      <c r="A174" s="439"/>
      <c r="B174" s="439"/>
      <c r="C174" s="439"/>
      <c r="D174" s="530"/>
      <c r="E174" s="439"/>
      <c r="F174" s="530"/>
      <c r="G174" s="439"/>
      <c r="H174" s="530"/>
      <c r="I174" s="439"/>
      <c r="J174" s="530"/>
      <c r="K174" s="439"/>
      <c r="L174" s="530"/>
      <c r="M174" s="439"/>
      <c r="N174" s="530"/>
      <c r="O174" s="439"/>
      <c r="P174" s="530"/>
      <c r="Q174" s="439"/>
      <c r="R174" s="530"/>
      <c r="S174" s="439"/>
      <c r="T174" s="530"/>
      <c r="U174" s="439"/>
    </row>
    <row r="175" ht="15.75" customHeight="1">
      <c r="A175" s="439"/>
      <c r="B175" s="439"/>
      <c r="C175" s="439"/>
      <c r="D175" s="530"/>
      <c r="E175" s="439"/>
      <c r="F175" s="530"/>
      <c r="G175" s="439"/>
      <c r="H175" s="530"/>
      <c r="I175" s="439"/>
      <c r="J175" s="530"/>
      <c r="K175" s="439"/>
      <c r="L175" s="530"/>
      <c r="M175" s="439"/>
      <c r="N175" s="530"/>
      <c r="O175" s="439"/>
      <c r="P175" s="530"/>
      <c r="Q175" s="439"/>
      <c r="R175" s="530"/>
      <c r="S175" s="439"/>
      <c r="T175" s="530"/>
      <c r="U175" s="439"/>
    </row>
    <row r="176" ht="15.75" customHeight="1">
      <c r="A176" s="439"/>
      <c r="B176" s="439"/>
      <c r="C176" s="439"/>
      <c r="D176" s="530"/>
      <c r="E176" s="439"/>
      <c r="F176" s="530"/>
      <c r="G176" s="439"/>
      <c r="H176" s="530"/>
      <c r="I176" s="439"/>
      <c r="J176" s="530"/>
      <c r="K176" s="439"/>
      <c r="L176" s="530"/>
      <c r="M176" s="439"/>
      <c r="N176" s="530"/>
      <c r="O176" s="439"/>
      <c r="P176" s="530"/>
      <c r="Q176" s="439"/>
      <c r="R176" s="530"/>
      <c r="S176" s="439"/>
      <c r="T176" s="530"/>
      <c r="U176" s="439"/>
    </row>
    <row r="177" ht="15.75" customHeight="1">
      <c r="A177" s="439"/>
      <c r="B177" s="439"/>
      <c r="C177" s="439"/>
      <c r="D177" s="530"/>
      <c r="E177" s="439"/>
      <c r="F177" s="530"/>
      <c r="G177" s="439"/>
      <c r="H177" s="530"/>
      <c r="I177" s="439"/>
      <c r="J177" s="530"/>
      <c r="K177" s="439"/>
      <c r="L177" s="530"/>
      <c r="M177" s="439"/>
      <c r="N177" s="530"/>
      <c r="O177" s="439"/>
      <c r="P177" s="530"/>
      <c r="Q177" s="439"/>
      <c r="R177" s="530"/>
      <c r="S177" s="439"/>
      <c r="T177" s="530"/>
      <c r="U177" s="439"/>
    </row>
    <row r="178" ht="15.75" customHeight="1">
      <c r="A178" s="439"/>
      <c r="B178" s="439"/>
      <c r="C178" s="439"/>
      <c r="D178" s="530"/>
      <c r="E178" s="439"/>
      <c r="F178" s="530"/>
      <c r="G178" s="439"/>
      <c r="H178" s="530"/>
      <c r="I178" s="439"/>
      <c r="J178" s="530"/>
      <c r="K178" s="439"/>
      <c r="L178" s="530"/>
      <c r="M178" s="439"/>
      <c r="N178" s="530"/>
      <c r="O178" s="439"/>
      <c r="P178" s="530"/>
      <c r="Q178" s="439"/>
      <c r="R178" s="530"/>
      <c r="S178" s="439"/>
      <c r="T178" s="530"/>
      <c r="U178" s="439"/>
    </row>
    <row r="179" ht="15.75" customHeight="1">
      <c r="A179" s="439"/>
      <c r="B179" s="439"/>
      <c r="C179" s="439"/>
      <c r="D179" s="530"/>
      <c r="E179" s="439"/>
      <c r="F179" s="530"/>
      <c r="G179" s="439"/>
      <c r="H179" s="530"/>
      <c r="I179" s="439"/>
      <c r="J179" s="530"/>
      <c r="K179" s="439"/>
      <c r="L179" s="530"/>
      <c r="M179" s="439"/>
      <c r="N179" s="530"/>
      <c r="O179" s="439"/>
      <c r="P179" s="530"/>
      <c r="Q179" s="439"/>
      <c r="R179" s="530"/>
      <c r="S179" s="439"/>
      <c r="T179" s="530"/>
      <c r="U179" s="439"/>
    </row>
    <row r="180" ht="15.75" customHeight="1">
      <c r="A180" s="439"/>
      <c r="B180" s="439"/>
      <c r="C180" s="439"/>
      <c r="D180" s="530"/>
      <c r="E180" s="439"/>
      <c r="F180" s="530"/>
      <c r="G180" s="439"/>
      <c r="H180" s="530"/>
      <c r="I180" s="439"/>
      <c r="J180" s="530"/>
      <c r="K180" s="439"/>
      <c r="L180" s="530"/>
      <c r="M180" s="439"/>
      <c r="N180" s="530"/>
      <c r="O180" s="439"/>
      <c r="P180" s="530"/>
      <c r="Q180" s="439"/>
      <c r="R180" s="530"/>
      <c r="S180" s="439"/>
      <c r="T180" s="530"/>
      <c r="U180" s="439"/>
    </row>
    <row r="181" ht="15.75" customHeight="1">
      <c r="A181" s="439"/>
      <c r="B181" s="439"/>
      <c r="C181" s="439"/>
      <c r="D181" s="530"/>
      <c r="E181" s="439"/>
      <c r="F181" s="530"/>
      <c r="G181" s="439"/>
      <c r="H181" s="530"/>
      <c r="I181" s="439"/>
      <c r="J181" s="530"/>
      <c r="K181" s="439"/>
      <c r="L181" s="530"/>
      <c r="M181" s="439"/>
      <c r="N181" s="530"/>
      <c r="O181" s="439"/>
      <c r="P181" s="530"/>
      <c r="Q181" s="439"/>
      <c r="R181" s="530"/>
      <c r="S181" s="439"/>
      <c r="T181" s="530"/>
      <c r="U181" s="439"/>
    </row>
    <row r="182" ht="15.75" customHeight="1">
      <c r="A182" s="439"/>
      <c r="B182" s="439"/>
      <c r="C182" s="439"/>
      <c r="D182" s="530"/>
      <c r="E182" s="439"/>
      <c r="F182" s="530"/>
      <c r="G182" s="439"/>
      <c r="H182" s="530"/>
      <c r="I182" s="439"/>
      <c r="J182" s="530"/>
      <c r="K182" s="439"/>
      <c r="L182" s="530"/>
      <c r="M182" s="439"/>
      <c r="N182" s="530"/>
      <c r="O182" s="439"/>
      <c r="P182" s="530"/>
      <c r="Q182" s="439"/>
      <c r="R182" s="530"/>
      <c r="S182" s="439"/>
      <c r="T182" s="530"/>
      <c r="U182" s="439"/>
    </row>
    <row r="183" ht="15.75" customHeight="1">
      <c r="A183" s="439"/>
      <c r="B183" s="439"/>
      <c r="C183" s="439"/>
      <c r="D183" s="530"/>
      <c r="E183" s="439"/>
      <c r="F183" s="530"/>
      <c r="G183" s="439"/>
      <c r="H183" s="530"/>
      <c r="I183" s="439"/>
      <c r="J183" s="530"/>
      <c r="K183" s="439"/>
      <c r="L183" s="530"/>
      <c r="M183" s="439"/>
      <c r="N183" s="530"/>
      <c r="O183" s="439"/>
      <c r="P183" s="530"/>
      <c r="Q183" s="439"/>
      <c r="R183" s="530"/>
      <c r="S183" s="439"/>
      <c r="T183" s="530"/>
      <c r="U183" s="439"/>
    </row>
    <row r="184" ht="15.75" customHeight="1">
      <c r="A184" s="439"/>
      <c r="B184" s="439"/>
      <c r="C184" s="439"/>
      <c r="D184" s="530"/>
      <c r="E184" s="439"/>
      <c r="F184" s="530"/>
      <c r="G184" s="439"/>
      <c r="H184" s="530"/>
      <c r="I184" s="439"/>
      <c r="J184" s="530"/>
      <c r="K184" s="439"/>
      <c r="L184" s="530"/>
      <c r="M184" s="439"/>
      <c r="N184" s="530"/>
      <c r="O184" s="439"/>
      <c r="P184" s="530"/>
      <c r="Q184" s="439"/>
      <c r="R184" s="530"/>
      <c r="S184" s="439"/>
      <c r="T184" s="530"/>
      <c r="U184" s="439"/>
    </row>
    <row r="185" ht="15.75" customHeight="1">
      <c r="A185" s="439"/>
      <c r="B185" s="439"/>
      <c r="C185" s="439"/>
      <c r="D185" s="530"/>
      <c r="E185" s="439"/>
      <c r="F185" s="530"/>
      <c r="G185" s="439"/>
      <c r="H185" s="530"/>
      <c r="I185" s="439"/>
      <c r="J185" s="530"/>
      <c r="K185" s="439"/>
      <c r="L185" s="530"/>
      <c r="M185" s="439"/>
      <c r="N185" s="530"/>
      <c r="O185" s="439"/>
      <c r="P185" s="530"/>
      <c r="Q185" s="439"/>
      <c r="R185" s="530"/>
      <c r="S185" s="439"/>
      <c r="T185" s="530"/>
      <c r="U185" s="439"/>
    </row>
    <row r="186" ht="15.75" customHeight="1">
      <c r="A186" s="439"/>
      <c r="B186" s="439"/>
      <c r="C186" s="439"/>
      <c r="D186" s="530"/>
      <c r="E186" s="439"/>
      <c r="F186" s="530"/>
      <c r="G186" s="439"/>
      <c r="H186" s="530"/>
      <c r="I186" s="439"/>
      <c r="J186" s="530"/>
      <c r="K186" s="439"/>
      <c r="L186" s="530"/>
      <c r="M186" s="439"/>
      <c r="N186" s="530"/>
      <c r="O186" s="439"/>
      <c r="P186" s="530"/>
      <c r="Q186" s="439"/>
      <c r="R186" s="530"/>
      <c r="S186" s="439"/>
      <c r="T186" s="530"/>
      <c r="U186" s="439"/>
    </row>
    <row r="187" ht="15.75" customHeight="1">
      <c r="A187" s="439"/>
      <c r="B187" s="439"/>
      <c r="C187" s="439"/>
      <c r="D187" s="530"/>
      <c r="E187" s="439"/>
      <c r="F187" s="530"/>
      <c r="G187" s="439"/>
      <c r="H187" s="530"/>
      <c r="I187" s="439"/>
      <c r="J187" s="530"/>
      <c r="K187" s="439"/>
      <c r="L187" s="530"/>
      <c r="M187" s="439"/>
      <c r="N187" s="530"/>
      <c r="O187" s="439"/>
      <c r="P187" s="530"/>
      <c r="Q187" s="439"/>
      <c r="R187" s="530"/>
      <c r="S187" s="439"/>
      <c r="T187" s="530"/>
      <c r="U187" s="439"/>
    </row>
    <row r="188" ht="15.75" customHeight="1">
      <c r="A188" s="439"/>
      <c r="B188" s="439"/>
      <c r="C188" s="439"/>
      <c r="D188" s="530"/>
      <c r="E188" s="439"/>
      <c r="F188" s="530"/>
      <c r="G188" s="439"/>
      <c r="H188" s="530"/>
      <c r="I188" s="439"/>
      <c r="J188" s="530"/>
      <c r="K188" s="439"/>
      <c r="L188" s="530"/>
      <c r="M188" s="439"/>
      <c r="N188" s="530"/>
      <c r="O188" s="439"/>
      <c r="P188" s="530"/>
      <c r="Q188" s="439"/>
      <c r="R188" s="530"/>
      <c r="S188" s="439"/>
      <c r="T188" s="530"/>
      <c r="U188" s="439"/>
    </row>
    <row r="189" ht="15.75" customHeight="1">
      <c r="A189" s="439"/>
      <c r="B189" s="439"/>
      <c r="C189" s="439"/>
      <c r="D189" s="530"/>
      <c r="E189" s="439"/>
      <c r="F189" s="530"/>
      <c r="G189" s="439"/>
      <c r="H189" s="530"/>
      <c r="I189" s="439"/>
      <c r="J189" s="530"/>
      <c r="K189" s="439"/>
      <c r="L189" s="530"/>
      <c r="M189" s="439"/>
      <c r="N189" s="530"/>
      <c r="O189" s="439"/>
      <c r="P189" s="530"/>
      <c r="Q189" s="439"/>
      <c r="R189" s="530"/>
      <c r="S189" s="439"/>
      <c r="T189" s="530"/>
      <c r="U189" s="439"/>
    </row>
    <row r="190" ht="15.75" customHeight="1">
      <c r="A190" s="439"/>
      <c r="B190" s="439"/>
      <c r="C190" s="439"/>
      <c r="D190" s="530"/>
      <c r="E190" s="439"/>
      <c r="F190" s="530"/>
      <c r="G190" s="439"/>
      <c r="H190" s="530"/>
      <c r="I190" s="439"/>
      <c r="J190" s="530"/>
      <c r="K190" s="439"/>
      <c r="L190" s="530"/>
      <c r="M190" s="439"/>
      <c r="N190" s="530"/>
      <c r="O190" s="439"/>
      <c r="P190" s="530"/>
      <c r="Q190" s="439"/>
      <c r="R190" s="530"/>
      <c r="S190" s="439"/>
      <c r="T190" s="530"/>
      <c r="U190" s="439"/>
    </row>
    <row r="191" ht="15.75" customHeight="1">
      <c r="A191" s="439"/>
      <c r="B191" s="439"/>
      <c r="C191" s="439"/>
      <c r="D191" s="530"/>
      <c r="E191" s="439"/>
      <c r="F191" s="530"/>
      <c r="G191" s="439"/>
      <c r="H191" s="530"/>
      <c r="I191" s="439"/>
      <c r="J191" s="530"/>
      <c r="K191" s="439"/>
      <c r="L191" s="530"/>
      <c r="M191" s="439"/>
      <c r="N191" s="530"/>
      <c r="O191" s="439"/>
      <c r="P191" s="530"/>
      <c r="Q191" s="439"/>
      <c r="R191" s="530"/>
      <c r="S191" s="439"/>
      <c r="T191" s="530"/>
      <c r="U191" s="439"/>
    </row>
    <row r="192" ht="15.75" customHeight="1">
      <c r="A192" s="439"/>
      <c r="B192" s="439"/>
      <c r="C192" s="439"/>
      <c r="D192" s="530"/>
      <c r="E192" s="439"/>
      <c r="F192" s="530"/>
      <c r="G192" s="439"/>
      <c r="H192" s="530"/>
      <c r="I192" s="439"/>
      <c r="J192" s="530"/>
      <c r="K192" s="439"/>
      <c r="L192" s="530"/>
      <c r="M192" s="439"/>
      <c r="N192" s="530"/>
      <c r="O192" s="439"/>
      <c r="P192" s="530"/>
      <c r="Q192" s="439"/>
      <c r="R192" s="530"/>
      <c r="S192" s="439"/>
      <c r="T192" s="530"/>
      <c r="U192" s="439"/>
    </row>
    <row r="193" ht="15.75" customHeight="1">
      <c r="A193" s="439"/>
      <c r="B193" s="439"/>
      <c r="C193" s="439"/>
      <c r="D193" s="530"/>
      <c r="E193" s="439"/>
      <c r="F193" s="530"/>
      <c r="G193" s="439"/>
      <c r="H193" s="530"/>
      <c r="I193" s="439"/>
      <c r="J193" s="530"/>
      <c r="K193" s="439"/>
      <c r="L193" s="530"/>
      <c r="M193" s="439"/>
      <c r="N193" s="530"/>
      <c r="O193" s="439"/>
      <c r="P193" s="530"/>
      <c r="Q193" s="439"/>
      <c r="R193" s="530"/>
      <c r="S193" s="439"/>
      <c r="T193" s="530"/>
      <c r="U193" s="439"/>
    </row>
    <row r="194" ht="15.75" customHeight="1">
      <c r="A194" s="439"/>
      <c r="B194" s="439"/>
      <c r="C194" s="439"/>
      <c r="D194" s="530"/>
      <c r="E194" s="439"/>
      <c r="F194" s="530"/>
      <c r="G194" s="439"/>
      <c r="H194" s="530"/>
      <c r="I194" s="439"/>
      <c r="J194" s="530"/>
      <c r="K194" s="439"/>
      <c r="L194" s="530"/>
      <c r="M194" s="439"/>
      <c r="N194" s="530"/>
      <c r="O194" s="439"/>
      <c r="P194" s="530"/>
      <c r="Q194" s="439"/>
      <c r="R194" s="530"/>
      <c r="S194" s="439"/>
      <c r="T194" s="530"/>
      <c r="U194" s="439"/>
    </row>
    <row r="195" ht="15.75" customHeight="1">
      <c r="A195" s="439"/>
      <c r="B195" s="439"/>
      <c r="C195" s="439"/>
      <c r="D195" s="530"/>
      <c r="E195" s="439"/>
      <c r="F195" s="530"/>
      <c r="G195" s="439"/>
      <c r="H195" s="530"/>
      <c r="I195" s="439"/>
      <c r="J195" s="530"/>
      <c r="K195" s="439"/>
      <c r="L195" s="530"/>
      <c r="M195" s="439"/>
      <c r="N195" s="530"/>
      <c r="O195" s="439"/>
      <c r="P195" s="530"/>
      <c r="Q195" s="439"/>
      <c r="R195" s="530"/>
      <c r="S195" s="439"/>
      <c r="T195" s="530"/>
      <c r="U195" s="439"/>
    </row>
    <row r="196" ht="15.75" customHeight="1">
      <c r="A196" s="439"/>
      <c r="B196" s="439"/>
      <c r="C196" s="439"/>
      <c r="D196" s="530"/>
      <c r="E196" s="439"/>
      <c r="F196" s="530"/>
      <c r="G196" s="439"/>
      <c r="H196" s="530"/>
      <c r="I196" s="439"/>
      <c r="J196" s="530"/>
      <c r="K196" s="439"/>
      <c r="L196" s="530"/>
      <c r="M196" s="439"/>
      <c r="N196" s="530"/>
      <c r="O196" s="439"/>
      <c r="P196" s="530"/>
      <c r="Q196" s="439"/>
      <c r="R196" s="530"/>
      <c r="S196" s="439"/>
      <c r="T196" s="530"/>
      <c r="U196" s="439"/>
    </row>
    <row r="197" ht="15.75" customHeight="1">
      <c r="A197" s="439"/>
      <c r="B197" s="439"/>
      <c r="C197" s="439"/>
      <c r="D197" s="530"/>
      <c r="E197" s="439"/>
      <c r="F197" s="530"/>
      <c r="G197" s="439"/>
      <c r="H197" s="530"/>
      <c r="I197" s="439"/>
      <c r="J197" s="530"/>
      <c r="K197" s="439"/>
      <c r="L197" s="530"/>
      <c r="M197" s="439"/>
      <c r="N197" s="530"/>
      <c r="O197" s="439"/>
      <c r="P197" s="530"/>
      <c r="Q197" s="439"/>
      <c r="R197" s="530"/>
      <c r="S197" s="439"/>
      <c r="T197" s="530"/>
      <c r="U197" s="439"/>
    </row>
    <row r="198" ht="15.75" customHeight="1">
      <c r="A198" s="439"/>
      <c r="B198" s="439"/>
      <c r="C198" s="439"/>
      <c r="D198" s="530"/>
      <c r="E198" s="439"/>
      <c r="F198" s="530"/>
      <c r="G198" s="439"/>
      <c r="H198" s="530"/>
      <c r="I198" s="439"/>
      <c r="J198" s="530"/>
      <c r="K198" s="439"/>
      <c r="L198" s="530"/>
      <c r="M198" s="439"/>
      <c r="N198" s="530"/>
      <c r="O198" s="439"/>
      <c r="P198" s="530"/>
      <c r="Q198" s="439"/>
      <c r="R198" s="530"/>
      <c r="S198" s="439"/>
      <c r="T198" s="530"/>
      <c r="U198" s="439"/>
    </row>
    <row r="199" ht="15.75" customHeight="1">
      <c r="A199" s="439"/>
      <c r="B199" s="439"/>
      <c r="C199" s="439"/>
      <c r="D199" s="530"/>
      <c r="E199" s="439"/>
      <c r="F199" s="530"/>
      <c r="G199" s="439"/>
      <c r="H199" s="530"/>
      <c r="I199" s="439"/>
      <c r="J199" s="530"/>
      <c r="K199" s="439"/>
      <c r="L199" s="530"/>
      <c r="M199" s="439"/>
      <c r="N199" s="530"/>
      <c r="O199" s="439"/>
      <c r="P199" s="530"/>
      <c r="Q199" s="439"/>
      <c r="R199" s="530"/>
      <c r="S199" s="439"/>
      <c r="T199" s="530"/>
      <c r="U199" s="439"/>
    </row>
    <row r="200" ht="15.75" customHeight="1">
      <c r="A200" s="439"/>
      <c r="B200" s="439"/>
      <c r="C200" s="439"/>
      <c r="D200" s="530"/>
      <c r="E200" s="439"/>
      <c r="F200" s="530"/>
      <c r="G200" s="439"/>
      <c r="H200" s="530"/>
      <c r="I200" s="439"/>
      <c r="J200" s="530"/>
      <c r="K200" s="439"/>
      <c r="L200" s="530"/>
      <c r="M200" s="439"/>
      <c r="N200" s="530"/>
      <c r="O200" s="439"/>
      <c r="P200" s="530"/>
      <c r="Q200" s="439"/>
      <c r="R200" s="530"/>
      <c r="S200" s="439"/>
      <c r="T200" s="530"/>
      <c r="U200" s="439"/>
    </row>
    <row r="201" ht="15.75" customHeight="1">
      <c r="A201" s="439"/>
      <c r="B201" s="439"/>
      <c r="C201" s="439"/>
      <c r="D201" s="530"/>
      <c r="E201" s="439"/>
      <c r="F201" s="530"/>
      <c r="G201" s="439"/>
      <c r="H201" s="530"/>
      <c r="I201" s="439"/>
      <c r="J201" s="530"/>
      <c r="K201" s="439"/>
      <c r="L201" s="530"/>
      <c r="M201" s="439"/>
      <c r="N201" s="530"/>
      <c r="O201" s="439"/>
      <c r="P201" s="530"/>
      <c r="Q201" s="439"/>
      <c r="R201" s="530"/>
      <c r="S201" s="439"/>
      <c r="T201" s="530"/>
      <c r="U201" s="439"/>
    </row>
    <row r="202" ht="15.75" customHeight="1">
      <c r="A202" s="439"/>
      <c r="B202" s="439"/>
      <c r="C202" s="439"/>
      <c r="D202" s="530"/>
      <c r="E202" s="439"/>
      <c r="F202" s="530"/>
      <c r="G202" s="439"/>
      <c r="H202" s="530"/>
      <c r="I202" s="439"/>
      <c r="J202" s="530"/>
      <c r="K202" s="439"/>
      <c r="L202" s="530"/>
      <c r="M202" s="439"/>
      <c r="N202" s="530"/>
      <c r="O202" s="439"/>
      <c r="P202" s="530"/>
      <c r="Q202" s="439"/>
      <c r="R202" s="530"/>
      <c r="S202" s="439"/>
      <c r="T202" s="530"/>
      <c r="U202" s="439"/>
    </row>
    <row r="203" ht="15.75" customHeight="1">
      <c r="A203" s="439"/>
      <c r="B203" s="439"/>
      <c r="C203" s="439"/>
      <c r="D203" s="530"/>
      <c r="E203" s="439"/>
      <c r="F203" s="530"/>
      <c r="G203" s="439"/>
      <c r="H203" s="530"/>
      <c r="I203" s="439"/>
      <c r="J203" s="530"/>
      <c r="K203" s="439"/>
      <c r="L203" s="530"/>
      <c r="M203" s="439"/>
      <c r="N203" s="530"/>
      <c r="O203" s="439"/>
      <c r="P203" s="530"/>
      <c r="Q203" s="439"/>
      <c r="R203" s="530"/>
      <c r="S203" s="439"/>
      <c r="T203" s="530"/>
      <c r="U203" s="439"/>
    </row>
    <row r="204" ht="15.75" customHeight="1">
      <c r="A204" s="439"/>
      <c r="B204" s="439"/>
      <c r="C204" s="439"/>
      <c r="D204" s="530"/>
      <c r="E204" s="439"/>
      <c r="F204" s="530"/>
      <c r="G204" s="439"/>
      <c r="H204" s="530"/>
      <c r="I204" s="439"/>
      <c r="J204" s="530"/>
      <c r="K204" s="439"/>
      <c r="L204" s="530"/>
      <c r="M204" s="439"/>
      <c r="N204" s="530"/>
      <c r="O204" s="439"/>
      <c r="P204" s="530"/>
      <c r="Q204" s="439"/>
      <c r="R204" s="530"/>
      <c r="S204" s="439"/>
      <c r="T204" s="530"/>
      <c r="U204" s="439"/>
    </row>
    <row r="205" ht="15.75" customHeight="1">
      <c r="A205" s="439"/>
      <c r="B205" s="439"/>
      <c r="C205" s="439"/>
      <c r="D205" s="530"/>
      <c r="E205" s="439"/>
      <c r="F205" s="530"/>
      <c r="G205" s="439"/>
      <c r="H205" s="530"/>
      <c r="I205" s="439"/>
      <c r="J205" s="530"/>
      <c r="K205" s="439"/>
      <c r="L205" s="530"/>
      <c r="M205" s="439"/>
      <c r="N205" s="530"/>
      <c r="O205" s="439"/>
      <c r="P205" s="530"/>
      <c r="Q205" s="439"/>
      <c r="R205" s="530"/>
      <c r="S205" s="439"/>
      <c r="T205" s="530"/>
      <c r="U205" s="439"/>
    </row>
    <row r="206" ht="15.75" customHeight="1">
      <c r="A206" s="439"/>
      <c r="B206" s="439"/>
      <c r="C206" s="439"/>
      <c r="D206" s="530"/>
      <c r="E206" s="439"/>
      <c r="F206" s="530"/>
      <c r="G206" s="439"/>
      <c r="H206" s="530"/>
      <c r="I206" s="439"/>
      <c r="J206" s="530"/>
      <c r="K206" s="439"/>
      <c r="L206" s="530"/>
      <c r="M206" s="439"/>
      <c r="N206" s="530"/>
      <c r="O206" s="439"/>
      <c r="P206" s="530"/>
      <c r="Q206" s="439"/>
      <c r="R206" s="530"/>
      <c r="S206" s="439"/>
      <c r="T206" s="530"/>
      <c r="U206" s="439"/>
    </row>
    <row r="207" ht="15.75" customHeight="1">
      <c r="A207" s="439"/>
      <c r="B207" s="439"/>
      <c r="C207" s="439"/>
      <c r="D207" s="530"/>
      <c r="E207" s="439"/>
      <c r="F207" s="530"/>
      <c r="G207" s="439"/>
      <c r="H207" s="530"/>
      <c r="I207" s="439"/>
      <c r="J207" s="530"/>
      <c r="K207" s="439"/>
      <c r="L207" s="530"/>
      <c r="M207" s="439"/>
      <c r="N207" s="530"/>
      <c r="O207" s="439"/>
      <c r="P207" s="530"/>
      <c r="Q207" s="439"/>
      <c r="R207" s="530"/>
      <c r="S207" s="439"/>
      <c r="T207" s="530"/>
      <c r="U207" s="439"/>
    </row>
    <row r="208" ht="15.75" customHeight="1">
      <c r="A208" s="439"/>
      <c r="B208" s="439"/>
      <c r="C208" s="439"/>
      <c r="D208" s="530"/>
      <c r="E208" s="439"/>
      <c r="F208" s="530"/>
      <c r="G208" s="439"/>
      <c r="H208" s="530"/>
      <c r="I208" s="439"/>
      <c r="J208" s="530"/>
      <c r="K208" s="439"/>
      <c r="L208" s="530"/>
      <c r="M208" s="439"/>
      <c r="N208" s="530"/>
      <c r="O208" s="439"/>
      <c r="P208" s="530"/>
      <c r="Q208" s="439"/>
      <c r="R208" s="530"/>
      <c r="S208" s="439"/>
      <c r="T208" s="530"/>
      <c r="U208" s="439"/>
    </row>
    <row r="209" ht="15.75" customHeight="1">
      <c r="A209" s="439"/>
      <c r="B209" s="439"/>
      <c r="C209" s="439"/>
      <c r="D209" s="530"/>
      <c r="E209" s="439"/>
      <c r="F209" s="530"/>
      <c r="G209" s="439"/>
      <c r="H209" s="530"/>
      <c r="I209" s="439"/>
      <c r="J209" s="530"/>
      <c r="K209" s="439"/>
      <c r="L209" s="530"/>
      <c r="M209" s="439"/>
      <c r="N209" s="530"/>
      <c r="O209" s="439"/>
      <c r="P209" s="530"/>
      <c r="Q209" s="439"/>
      <c r="R209" s="530"/>
      <c r="S209" s="439"/>
      <c r="T209" s="530"/>
      <c r="U209" s="439"/>
    </row>
    <row r="210" ht="15.75" customHeight="1">
      <c r="A210" s="439"/>
      <c r="B210" s="439"/>
      <c r="C210" s="439"/>
      <c r="D210" s="530"/>
      <c r="E210" s="439"/>
      <c r="F210" s="530"/>
      <c r="G210" s="439"/>
      <c r="H210" s="530"/>
      <c r="I210" s="439"/>
      <c r="J210" s="530"/>
      <c r="K210" s="439"/>
      <c r="L210" s="530"/>
      <c r="M210" s="439"/>
      <c r="N210" s="530"/>
      <c r="O210" s="439"/>
      <c r="P210" s="530"/>
      <c r="Q210" s="439"/>
      <c r="R210" s="530"/>
      <c r="S210" s="439"/>
      <c r="T210" s="530"/>
      <c r="U210" s="439"/>
    </row>
    <row r="211" ht="15.75" customHeight="1">
      <c r="A211" s="439"/>
      <c r="B211" s="439"/>
      <c r="C211" s="439"/>
      <c r="D211" s="530"/>
      <c r="E211" s="439"/>
      <c r="F211" s="530"/>
      <c r="G211" s="439"/>
      <c r="H211" s="530"/>
      <c r="I211" s="439"/>
      <c r="J211" s="530"/>
      <c r="K211" s="439"/>
      <c r="L211" s="530"/>
      <c r="M211" s="439"/>
      <c r="N211" s="530"/>
      <c r="O211" s="439"/>
      <c r="P211" s="530"/>
      <c r="Q211" s="439"/>
      <c r="R211" s="530"/>
      <c r="S211" s="439"/>
      <c r="T211" s="530"/>
      <c r="U211" s="439"/>
    </row>
    <row r="212" ht="15.75" customHeight="1">
      <c r="A212" s="439"/>
      <c r="B212" s="439"/>
      <c r="C212" s="439"/>
      <c r="D212" s="530"/>
      <c r="E212" s="439"/>
      <c r="F212" s="530"/>
      <c r="G212" s="439"/>
      <c r="H212" s="530"/>
      <c r="I212" s="439"/>
      <c r="J212" s="530"/>
      <c r="K212" s="439"/>
      <c r="L212" s="530"/>
      <c r="M212" s="439"/>
      <c r="N212" s="530"/>
      <c r="O212" s="439"/>
      <c r="P212" s="530"/>
      <c r="Q212" s="439"/>
      <c r="R212" s="530"/>
      <c r="S212" s="439"/>
      <c r="T212" s="530"/>
      <c r="U212" s="439"/>
    </row>
    <row r="213" ht="15.75" customHeight="1">
      <c r="A213" s="439"/>
      <c r="B213" s="439"/>
      <c r="C213" s="439"/>
      <c r="D213" s="530"/>
      <c r="E213" s="439"/>
      <c r="F213" s="530"/>
      <c r="G213" s="439"/>
      <c r="H213" s="530"/>
      <c r="I213" s="439"/>
      <c r="J213" s="530"/>
      <c r="K213" s="439"/>
      <c r="L213" s="530"/>
      <c r="M213" s="439"/>
      <c r="N213" s="530"/>
      <c r="O213" s="439"/>
      <c r="P213" s="530"/>
      <c r="Q213" s="439"/>
      <c r="R213" s="530"/>
      <c r="S213" s="439"/>
      <c r="T213" s="530"/>
      <c r="U213" s="439"/>
    </row>
    <row r="214" ht="15.75" customHeight="1">
      <c r="A214" s="439"/>
      <c r="B214" s="439"/>
      <c r="C214" s="439"/>
      <c r="D214" s="530"/>
      <c r="E214" s="439"/>
      <c r="F214" s="530"/>
      <c r="G214" s="439"/>
      <c r="H214" s="530"/>
      <c r="I214" s="439"/>
      <c r="J214" s="530"/>
      <c r="K214" s="439"/>
      <c r="L214" s="530"/>
      <c r="M214" s="439"/>
      <c r="N214" s="530"/>
      <c r="O214" s="439"/>
      <c r="P214" s="530"/>
      <c r="Q214" s="439"/>
      <c r="R214" s="530"/>
      <c r="S214" s="439"/>
      <c r="T214" s="530"/>
      <c r="U214" s="439"/>
    </row>
    <row r="215" ht="15.75" customHeight="1">
      <c r="A215" s="439"/>
      <c r="B215" s="439"/>
      <c r="C215" s="439"/>
      <c r="D215" s="530"/>
      <c r="E215" s="439"/>
      <c r="F215" s="530"/>
      <c r="G215" s="439"/>
      <c r="H215" s="530"/>
      <c r="I215" s="439"/>
      <c r="J215" s="530"/>
      <c r="K215" s="439"/>
      <c r="L215" s="530"/>
      <c r="M215" s="439"/>
      <c r="N215" s="530"/>
      <c r="O215" s="439"/>
      <c r="P215" s="530"/>
      <c r="Q215" s="439"/>
      <c r="R215" s="530"/>
      <c r="S215" s="439"/>
      <c r="T215" s="530"/>
      <c r="U215" s="439"/>
    </row>
    <row r="216" ht="15.75" customHeight="1">
      <c r="A216" s="439"/>
      <c r="B216" s="439"/>
      <c r="C216" s="439"/>
      <c r="D216" s="530"/>
      <c r="E216" s="439"/>
      <c r="F216" s="530"/>
      <c r="G216" s="439"/>
      <c r="H216" s="530"/>
      <c r="I216" s="439"/>
      <c r="J216" s="530"/>
      <c r="K216" s="439"/>
      <c r="L216" s="530"/>
      <c r="M216" s="439"/>
      <c r="N216" s="530"/>
      <c r="O216" s="439"/>
      <c r="P216" s="530"/>
      <c r="Q216" s="439"/>
      <c r="R216" s="530"/>
      <c r="S216" s="439"/>
      <c r="T216" s="530"/>
      <c r="U216" s="439"/>
    </row>
    <row r="217" ht="15.75" customHeight="1">
      <c r="A217" s="439"/>
      <c r="B217" s="439"/>
      <c r="C217" s="439"/>
      <c r="D217" s="530"/>
      <c r="E217" s="439"/>
      <c r="F217" s="530"/>
      <c r="G217" s="439"/>
      <c r="H217" s="530"/>
      <c r="I217" s="439"/>
      <c r="J217" s="530"/>
      <c r="K217" s="439"/>
      <c r="L217" s="530"/>
      <c r="M217" s="439"/>
      <c r="N217" s="530"/>
      <c r="O217" s="439"/>
      <c r="P217" s="530"/>
      <c r="Q217" s="439"/>
      <c r="R217" s="530"/>
      <c r="S217" s="439"/>
      <c r="T217" s="530"/>
      <c r="U217" s="439"/>
    </row>
    <row r="218" ht="15.75" customHeight="1">
      <c r="A218" s="439"/>
      <c r="B218" s="439"/>
      <c r="C218" s="439"/>
      <c r="D218" s="530"/>
      <c r="E218" s="439"/>
      <c r="F218" s="530"/>
      <c r="G218" s="439"/>
      <c r="H218" s="530"/>
      <c r="I218" s="439"/>
      <c r="J218" s="530"/>
      <c r="K218" s="439"/>
      <c r="L218" s="530"/>
      <c r="M218" s="439"/>
      <c r="N218" s="530"/>
      <c r="O218" s="439"/>
      <c r="P218" s="530"/>
      <c r="Q218" s="439"/>
      <c r="R218" s="530"/>
      <c r="S218" s="439"/>
      <c r="T218" s="530"/>
      <c r="U218" s="439"/>
    </row>
    <row r="219" ht="15.75" customHeight="1">
      <c r="A219" s="439"/>
      <c r="B219" s="439"/>
      <c r="C219" s="439"/>
      <c r="D219" s="530"/>
      <c r="E219" s="439"/>
      <c r="F219" s="530"/>
      <c r="G219" s="439"/>
      <c r="H219" s="530"/>
      <c r="I219" s="439"/>
      <c r="J219" s="530"/>
      <c r="K219" s="439"/>
      <c r="L219" s="530"/>
      <c r="M219" s="439"/>
      <c r="N219" s="530"/>
      <c r="O219" s="439"/>
      <c r="P219" s="530"/>
      <c r="Q219" s="439"/>
      <c r="R219" s="530"/>
      <c r="S219" s="439"/>
      <c r="T219" s="530"/>
      <c r="U219" s="439"/>
    </row>
    <row r="220" ht="15.75" customHeight="1">
      <c r="A220" s="439"/>
      <c r="B220" s="439"/>
      <c r="C220" s="439"/>
      <c r="D220" s="530"/>
      <c r="E220" s="439"/>
      <c r="F220" s="530"/>
      <c r="G220" s="439"/>
      <c r="H220" s="530"/>
      <c r="I220" s="439"/>
      <c r="J220" s="530"/>
      <c r="K220" s="439"/>
      <c r="L220" s="530"/>
      <c r="M220" s="439"/>
      <c r="N220" s="530"/>
      <c r="O220" s="439"/>
      <c r="P220" s="530"/>
      <c r="Q220" s="439"/>
      <c r="R220" s="530"/>
      <c r="S220" s="439"/>
      <c r="T220" s="530"/>
      <c r="U220" s="439"/>
    </row>
    <row r="221" ht="15.75" customHeight="1">
      <c r="A221" s="439"/>
      <c r="B221" s="439"/>
      <c r="C221" s="439"/>
      <c r="D221" s="530"/>
      <c r="E221" s="439"/>
      <c r="F221" s="530"/>
      <c r="G221" s="439"/>
      <c r="H221" s="530"/>
      <c r="I221" s="439"/>
      <c r="J221" s="530"/>
      <c r="K221" s="439"/>
      <c r="L221" s="530"/>
      <c r="M221" s="439"/>
      <c r="N221" s="530"/>
      <c r="O221" s="439"/>
      <c r="P221" s="530"/>
      <c r="Q221" s="439"/>
      <c r="R221" s="530"/>
      <c r="S221" s="439"/>
      <c r="T221" s="530"/>
      <c r="U221" s="439"/>
    </row>
    <row r="222" ht="15.75" customHeight="1">
      <c r="A222" s="439"/>
      <c r="B222" s="439"/>
      <c r="C222" s="439"/>
      <c r="D222" s="530"/>
      <c r="E222" s="439"/>
      <c r="F222" s="530"/>
      <c r="G222" s="439"/>
      <c r="H222" s="530"/>
      <c r="I222" s="439"/>
      <c r="J222" s="530"/>
      <c r="K222" s="439"/>
      <c r="L222" s="530"/>
      <c r="M222" s="439"/>
      <c r="N222" s="530"/>
      <c r="O222" s="439"/>
      <c r="P222" s="530"/>
      <c r="Q222" s="439"/>
      <c r="R222" s="530"/>
      <c r="S222" s="439"/>
      <c r="T222" s="530"/>
      <c r="U222" s="439"/>
    </row>
    <row r="223" ht="15.75" customHeight="1">
      <c r="A223" s="439"/>
      <c r="B223" s="439"/>
      <c r="C223" s="439"/>
      <c r="D223" s="530"/>
      <c r="E223" s="439"/>
      <c r="F223" s="530"/>
      <c r="G223" s="439"/>
      <c r="H223" s="530"/>
      <c r="I223" s="439"/>
      <c r="J223" s="530"/>
      <c r="K223" s="439"/>
      <c r="L223" s="530"/>
      <c r="M223" s="439"/>
      <c r="N223" s="530"/>
      <c r="O223" s="439"/>
      <c r="P223" s="530"/>
      <c r="Q223" s="439"/>
      <c r="R223" s="530"/>
      <c r="S223" s="439"/>
      <c r="T223" s="530"/>
      <c r="U223" s="439"/>
    </row>
    <row r="224" ht="15.75" customHeight="1">
      <c r="A224" s="439"/>
      <c r="B224" s="439"/>
      <c r="C224" s="439"/>
      <c r="D224" s="530"/>
      <c r="E224" s="439"/>
      <c r="F224" s="530"/>
      <c r="G224" s="439"/>
      <c r="H224" s="530"/>
      <c r="I224" s="439"/>
      <c r="J224" s="530"/>
      <c r="K224" s="439"/>
      <c r="L224" s="530"/>
      <c r="M224" s="439"/>
      <c r="N224" s="530"/>
      <c r="O224" s="439"/>
      <c r="P224" s="530"/>
      <c r="Q224" s="439"/>
      <c r="R224" s="530"/>
      <c r="S224" s="439"/>
      <c r="T224" s="530"/>
      <c r="U224" s="439"/>
    </row>
    <row r="225" ht="15.75" customHeight="1">
      <c r="A225" s="439"/>
      <c r="B225" s="439"/>
      <c r="C225" s="439"/>
      <c r="D225" s="530"/>
      <c r="E225" s="439"/>
      <c r="F225" s="530"/>
      <c r="G225" s="439"/>
      <c r="H225" s="530"/>
      <c r="I225" s="439"/>
      <c r="J225" s="530"/>
      <c r="K225" s="439"/>
      <c r="L225" s="530"/>
      <c r="M225" s="439"/>
      <c r="N225" s="530"/>
      <c r="O225" s="439"/>
      <c r="P225" s="530"/>
      <c r="Q225" s="439"/>
      <c r="R225" s="530"/>
      <c r="S225" s="439"/>
      <c r="T225" s="530"/>
      <c r="U225" s="439"/>
    </row>
    <row r="226" ht="15.75" customHeight="1">
      <c r="A226" s="439"/>
      <c r="B226" s="439"/>
      <c r="C226" s="439"/>
      <c r="D226" s="530"/>
      <c r="E226" s="439"/>
      <c r="F226" s="530"/>
      <c r="G226" s="439"/>
      <c r="H226" s="530"/>
      <c r="I226" s="439"/>
      <c r="J226" s="530"/>
      <c r="K226" s="439"/>
      <c r="L226" s="530"/>
      <c r="M226" s="439"/>
      <c r="N226" s="530"/>
      <c r="O226" s="439"/>
      <c r="P226" s="530"/>
      <c r="Q226" s="439"/>
      <c r="R226" s="530"/>
      <c r="S226" s="439"/>
      <c r="T226" s="530"/>
      <c r="U226" s="439"/>
    </row>
    <row r="227" ht="15.75" customHeight="1">
      <c r="A227" s="439"/>
      <c r="B227" s="439"/>
      <c r="C227" s="439"/>
      <c r="D227" s="530"/>
      <c r="E227" s="439"/>
      <c r="F227" s="530"/>
      <c r="G227" s="439"/>
      <c r="H227" s="530"/>
      <c r="I227" s="439"/>
      <c r="J227" s="530"/>
      <c r="K227" s="439"/>
      <c r="L227" s="530"/>
      <c r="M227" s="439"/>
      <c r="N227" s="530"/>
      <c r="O227" s="439"/>
      <c r="P227" s="530"/>
      <c r="Q227" s="439"/>
      <c r="R227" s="530"/>
      <c r="S227" s="439"/>
      <c r="T227" s="530"/>
      <c r="U227" s="439"/>
    </row>
    <row r="228" ht="15.75" customHeight="1">
      <c r="A228" s="439"/>
      <c r="B228" s="439"/>
      <c r="C228" s="439"/>
      <c r="D228" s="530"/>
      <c r="E228" s="439"/>
      <c r="F228" s="530"/>
      <c r="G228" s="439"/>
      <c r="H228" s="530"/>
      <c r="I228" s="439"/>
      <c r="J228" s="530"/>
      <c r="K228" s="439"/>
      <c r="L228" s="530"/>
      <c r="M228" s="439"/>
      <c r="N228" s="530"/>
      <c r="O228" s="439"/>
      <c r="P228" s="530"/>
      <c r="Q228" s="439"/>
      <c r="R228" s="530"/>
      <c r="S228" s="439"/>
      <c r="T228" s="530"/>
      <c r="U228" s="439"/>
    </row>
    <row r="229" ht="15.75" customHeight="1">
      <c r="A229" s="439"/>
      <c r="B229" s="439"/>
      <c r="C229" s="439"/>
      <c r="D229" s="530"/>
      <c r="E229" s="439"/>
      <c r="F229" s="530"/>
      <c r="G229" s="439"/>
      <c r="H229" s="530"/>
      <c r="I229" s="439"/>
      <c r="J229" s="530"/>
      <c r="K229" s="439"/>
      <c r="L229" s="530"/>
      <c r="M229" s="439"/>
      <c r="N229" s="530"/>
      <c r="O229" s="439"/>
      <c r="P229" s="530"/>
      <c r="Q229" s="439"/>
      <c r="R229" s="530"/>
      <c r="S229" s="439"/>
      <c r="T229" s="530"/>
      <c r="U229" s="439"/>
    </row>
    <row r="230" ht="15.75" customHeight="1">
      <c r="A230" s="439"/>
      <c r="B230" s="439"/>
      <c r="C230" s="439"/>
      <c r="D230" s="530"/>
      <c r="E230" s="439"/>
      <c r="F230" s="530"/>
      <c r="G230" s="439"/>
      <c r="H230" s="530"/>
      <c r="I230" s="439"/>
      <c r="J230" s="530"/>
      <c r="K230" s="439"/>
      <c r="L230" s="530"/>
      <c r="M230" s="439"/>
      <c r="N230" s="530"/>
      <c r="O230" s="439"/>
      <c r="P230" s="530"/>
      <c r="Q230" s="439"/>
      <c r="R230" s="530"/>
      <c r="S230" s="439"/>
      <c r="T230" s="530"/>
      <c r="U230" s="439"/>
    </row>
    <row r="231" ht="15.75" customHeight="1">
      <c r="A231" s="439"/>
      <c r="B231" s="439"/>
      <c r="C231" s="439"/>
      <c r="D231" s="530"/>
      <c r="E231" s="439"/>
      <c r="F231" s="530"/>
      <c r="G231" s="439"/>
      <c r="H231" s="530"/>
      <c r="I231" s="439"/>
      <c r="J231" s="530"/>
      <c r="K231" s="439"/>
      <c r="L231" s="530"/>
      <c r="M231" s="439"/>
      <c r="N231" s="530"/>
      <c r="O231" s="439"/>
      <c r="P231" s="530"/>
      <c r="Q231" s="439"/>
      <c r="R231" s="530"/>
      <c r="S231" s="439"/>
      <c r="T231" s="530"/>
      <c r="U231" s="439"/>
    </row>
    <row r="232" ht="15.75" customHeight="1">
      <c r="A232" s="439"/>
      <c r="B232" s="439"/>
      <c r="C232" s="439"/>
      <c r="D232" s="530"/>
      <c r="E232" s="439"/>
      <c r="F232" s="530"/>
      <c r="G232" s="439"/>
      <c r="H232" s="530"/>
      <c r="I232" s="439"/>
      <c r="J232" s="530"/>
      <c r="K232" s="439"/>
      <c r="L232" s="530"/>
      <c r="M232" s="439"/>
      <c r="N232" s="530"/>
      <c r="O232" s="439"/>
      <c r="P232" s="530"/>
      <c r="Q232" s="439"/>
      <c r="R232" s="530"/>
      <c r="S232" s="439"/>
      <c r="T232" s="530"/>
      <c r="U232" s="439"/>
    </row>
    <row r="233" ht="15.75" customHeight="1">
      <c r="A233" s="439"/>
      <c r="B233" s="439"/>
      <c r="C233" s="439"/>
      <c r="D233" s="530"/>
      <c r="E233" s="439"/>
      <c r="F233" s="530"/>
      <c r="G233" s="439"/>
      <c r="H233" s="530"/>
      <c r="I233" s="439"/>
      <c r="J233" s="530"/>
      <c r="K233" s="439"/>
      <c r="L233" s="530"/>
      <c r="M233" s="439"/>
      <c r="N233" s="530"/>
      <c r="O233" s="439"/>
      <c r="P233" s="530"/>
      <c r="Q233" s="439"/>
      <c r="R233" s="530"/>
      <c r="S233" s="439"/>
      <c r="T233" s="530"/>
      <c r="U233" s="439"/>
    </row>
    <row r="234" ht="15.75" customHeight="1">
      <c r="A234" s="439"/>
      <c r="B234" s="439"/>
      <c r="C234" s="439"/>
      <c r="D234" s="530"/>
      <c r="E234" s="439"/>
      <c r="F234" s="530"/>
      <c r="G234" s="439"/>
      <c r="H234" s="530"/>
      <c r="I234" s="439"/>
      <c r="J234" s="530"/>
      <c r="K234" s="439"/>
      <c r="L234" s="530"/>
      <c r="M234" s="439"/>
      <c r="N234" s="530"/>
      <c r="O234" s="439"/>
      <c r="P234" s="530"/>
      <c r="Q234" s="439"/>
      <c r="R234" s="530"/>
      <c r="S234" s="439"/>
      <c r="T234" s="530"/>
      <c r="U234" s="439"/>
    </row>
    <row r="235" ht="15.75" customHeight="1">
      <c r="A235" s="439"/>
      <c r="B235" s="439"/>
      <c r="C235" s="439"/>
      <c r="D235" s="530"/>
      <c r="E235" s="439"/>
      <c r="F235" s="530"/>
      <c r="G235" s="439"/>
      <c r="H235" s="530"/>
      <c r="I235" s="439"/>
      <c r="J235" s="530"/>
      <c r="K235" s="439"/>
      <c r="L235" s="530"/>
      <c r="M235" s="439"/>
      <c r="N235" s="530"/>
      <c r="O235" s="439"/>
      <c r="P235" s="530"/>
      <c r="Q235" s="439"/>
      <c r="R235" s="530"/>
      <c r="S235" s="439"/>
      <c r="T235" s="530"/>
      <c r="U235" s="439"/>
    </row>
    <row r="236" ht="15.75" customHeight="1">
      <c r="A236" s="439"/>
      <c r="B236" s="439"/>
      <c r="C236" s="439"/>
      <c r="D236" s="530"/>
      <c r="E236" s="439"/>
      <c r="F236" s="530"/>
      <c r="G236" s="439"/>
      <c r="H236" s="530"/>
      <c r="I236" s="439"/>
      <c r="J236" s="530"/>
      <c r="K236" s="439"/>
      <c r="L236" s="530"/>
      <c r="M236" s="439"/>
      <c r="N236" s="530"/>
      <c r="O236" s="439"/>
      <c r="P236" s="530"/>
      <c r="Q236" s="439"/>
      <c r="R236" s="530"/>
      <c r="S236" s="439"/>
      <c r="T236" s="530"/>
      <c r="U236" s="439"/>
    </row>
    <row r="237" ht="15.75" customHeight="1">
      <c r="A237" s="439"/>
      <c r="B237" s="439"/>
      <c r="C237" s="439"/>
      <c r="D237" s="530"/>
      <c r="E237" s="439"/>
      <c r="F237" s="530"/>
      <c r="G237" s="439"/>
      <c r="H237" s="530"/>
      <c r="I237" s="439"/>
      <c r="J237" s="530"/>
      <c r="K237" s="439"/>
      <c r="L237" s="530"/>
      <c r="M237" s="439"/>
      <c r="N237" s="530"/>
      <c r="O237" s="439"/>
      <c r="P237" s="530"/>
      <c r="Q237" s="439"/>
      <c r="R237" s="530"/>
      <c r="S237" s="439"/>
      <c r="T237" s="530"/>
      <c r="U237" s="439"/>
    </row>
    <row r="238" ht="15.75" customHeight="1">
      <c r="A238" s="439"/>
      <c r="B238" s="439"/>
      <c r="C238" s="439"/>
      <c r="D238" s="530"/>
      <c r="E238" s="439"/>
      <c r="F238" s="530"/>
      <c r="G238" s="439"/>
      <c r="H238" s="530"/>
      <c r="I238" s="439"/>
      <c r="J238" s="530"/>
      <c r="K238" s="439"/>
      <c r="L238" s="530"/>
      <c r="M238" s="439"/>
      <c r="N238" s="530"/>
      <c r="O238" s="439"/>
      <c r="P238" s="530"/>
      <c r="Q238" s="439"/>
      <c r="R238" s="530"/>
      <c r="S238" s="439"/>
      <c r="T238" s="530"/>
      <c r="U238" s="439"/>
    </row>
    <row r="239" ht="15.75" customHeight="1">
      <c r="A239" s="439"/>
      <c r="B239" s="439"/>
      <c r="C239" s="439"/>
      <c r="D239" s="530"/>
      <c r="E239" s="439"/>
      <c r="F239" s="530"/>
      <c r="G239" s="439"/>
      <c r="H239" s="530"/>
      <c r="I239" s="439"/>
      <c r="J239" s="530"/>
      <c r="K239" s="439"/>
      <c r="L239" s="530"/>
      <c r="M239" s="439"/>
      <c r="N239" s="530"/>
      <c r="O239" s="439"/>
      <c r="P239" s="530"/>
      <c r="Q239" s="439"/>
      <c r="R239" s="530"/>
      <c r="S239" s="439"/>
      <c r="T239" s="530"/>
      <c r="U239" s="439"/>
    </row>
    <row r="240" ht="15.75" customHeight="1">
      <c r="A240" s="439"/>
      <c r="B240" s="439"/>
      <c r="C240" s="439"/>
      <c r="D240" s="530"/>
      <c r="E240" s="439"/>
      <c r="F240" s="530"/>
      <c r="G240" s="439"/>
      <c r="H240" s="530"/>
      <c r="I240" s="439"/>
      <c r="J240" s="530"/>
      <c r="K240" s="439"/>
      <c r="L240" s="530"/>
      <c r="M240" s="439"/>
      <c r="N240" s="530"/>
      <c r="O240" s="439"/>
      <c r="P240" s="530"/>
      <c r="Q240" s="439"/>
      <c r="R240" s="530"/>
      <c r="S240" s="439"/>
      <c r="T240" s="530"/>
      <c r="U240" s="439"/>
    </row>
    <row r="241" ht="15.75" customHeight="1">
      <c r="A241" s="439"/>
      <c r="B241" s="439"/>
      <c r="C241" s="439"/>
      <c r="D241" s="530"/>
      <c r="E241" s="439"/>
      <c r="F241" s="530"/>
      <c r="G241" s="439"/>
      <c r="H241" s="530"/>
      <c r="I241" s="439"/>
      <c r="J241" s="530"/>
      <c r="K241" s="439"/>
      <c r="L241" s="530"/>
      <c r="M241" s="439"/>
      <c r="N241" s="530"/>
      <c r="O241" s="439"/>
      <c r="P241" s="530"/>
      <c r="Q241" s="439"/>
      <c r="R241" s="530"/>
      <c r="S241" s="439"/>
      <c r="T241" s="530"/>
      <c r="U241" s="439"/>
    </row>
    <row r="242" ht="15.75" customHeight="1">
      <c r="A242" s="439"/>
      <c r="B242" s="439"/>
      <c r="C242" s="439"/>
      <c r="D242" s="530"/>
      <c r="E242" s="439"/>
      <c r="F242" s="530"/>
      <c r="G242" s="439"/>
      <c r="H242" s="530"/>
      <c r="I242" s="439"/>
      <c r="J242" s="530"/>
      <c r="K242" s="439"/>
      <c r="L242" s="530"/>
      <c r="M242" s="439"/>
      <c r="N242" s="530"/>
      <c r="O242" s="439"/>
      <c r="P242" s="530"/>
      <c r="Q242" s="439"/>
      <c r="R242" s="530"/>
      <c r="S242" s="439"/>
      <c r="T242" s="530"/>
      <c r="U242" s="439"/>
    </row>
    <row r="243" ht="15.75" customHeight="1">
      <c r="A243" s="439"/>
      <c r="B243" s="439"/>
      <c r="C243" s="439"/>
      <c r="D243" s="530"/>
      <c r="E243" s="439"/>
      <c r="F243" s="530"/>
      <c r="G243" s="439"/>
      <c r="H243" s="530"/>
      <c r="I243" s="439"/>
      <c r="J243" s="530"/>
      <c r="K243" s="439"/>
      <c r="L243" s="530"/>
      <c r="M243" s="439"/>
      <c r="N243" s="530"/>
      <c r="O243" s="439"/>
      <c r="P243" s="530"/>
      <c r="Q243" s="439"/>
      <c r="R243" s="530"/>
      <c r="S243" s="439"/>
      <c r="T243" s="530"/>
      <c r="U243" s="439"/>
    </row>
    <row r="244" ht="15.75" customHeight="1">
      <c r="A244" s="439"/>
      <c r="B244" s="439"/>
      <c r="C244" s="439"/>
      <c r="D244" s="530"/>
      <c r="E244" s="439"/>
      <c r="F244" s="530"/>
      <c r="G244" s="439"/>
      <c r="H244" s="530"/>
      <c r="I244" s="439"/>
      <c r="J244" s="530"/>
      <c r="K244" s="439"/>
      <c r="L244" s="530"/>
      <c r="M244" s="439"/>
      <c r="N244" s="530"/>
      <c r="O244" s="439"/>
      <c r="P244" s="530"/>
      <c r="Q244" s="439"/>
      <c r="R244" s="530"/>
      <c r="S244" s="439"/>
      <c r="T244" s="530"/>
      <c r="U244" s="439"/>
    </row>
    <row r="245" ht="15.75" customHeight="1">
      <c r="A245" s="439"/>
      <c r="B245" s="439"/>
      <c r="C245" s="439"/>
      <c r="D245" s="530"/>
      <c r="E245" s="439"/>
      <c r="F245" s="530"/>
      <c r="G245" s="439"/>
      <c r="H245" s="530"/>
      <c r="I245" s="439"/>
      <c r="J245" s="530"/>
      <c r="K245" s="439"/>
      <c r="L245" s="530"/>
      <c r="M245" s="439"/>
      <c r="N245" s="530"/>
      <c r="O245" s="439"/>
      <c r="P245" s="530"/>
      <c r="Q245" s="439"/>
      <c r="R245" s="530"/>
      <c r="S245" s="439"/>
      <c r="T245" s="530"/>
      <c r="U245" s="439"/>
    </row>
    <row r="246" ht="15.75" customHeight="1">
      <c r="A246" s="439"/>
      <c r="B246" s="439"/>
      <c r="C246" s="439"/>
      <c r="D246" s="530"/>
      <c r="E246" s="439"/>
      <c r="F246" s="530"/>
      <c r="G246" s="439"/>
      <c r="H246" s="530"/>
      <c r="I246" s="439"/>
      <c r="J246" s="530"/>
      <c r="K246" s="439"/>
      <c r="L246" s="530"/>
      <c r="M246" s="439"/>
      <c r="N246" s="530"/>
      <c r="O246" s="439"/>
      <c r="P246" s="530"/>
      <c r="Q246" s="439"/>
      <c r="R246" s="530"/>
      <c r="S246" s="439"/>
      <c r="T246" s="530"/>
      <c r="U246" s="439"/>
    </row>
    <row r="247" ht="15.75" customHeight="1">
      <c r="A247" s="439"/>
      <c r="B247" s="439"/>
      <c r="C247" s="439"/>
      <c r="D247" s="530"/>
      <c r="E247" s="439"/>
      <c r="F247" s="530"/>
      <c r="G247" s="439"/>
      <c r="H247" s="530"/>
      <c r="I247" s="439"/>
      <c r="J247" s="530"/>
      <c r="K247" s="439"/>
      <c r="L247" s="530"/>
      <c r="M247" s="439"/>
      <c r="N247" s="530"/>
      <c r="O247" s="439"/>
      <c r="P247" s="530"/>
      <c r="Q247" s="439"/>
      <c r="R247" s="530"/>
      <c r="S247" s="439"/>
      <c r="T247" s="530"/>
      <c r="U247" s="439"/>
    </row>
    <row r="248" ht="15.75" customHeight="1">
      <c r="A248" s="439"/>
      <c r="B248" s="439"/>
      <c r="C248" s="439"/>
      <c r="D248" s="530"/>
      <c r="E248" s="439"/>
      <c r="F248" s="530"/>
      <c r="G248" s="439"/>
      <c r="H248" s="530"/>
      <c r="I248" s="439"/>
      <c r="J248" s="530"/>
      <c r="K248" s="439"/>
      <c r="L248" s="530"/>
      <c r="M248" s="439"/>
      <c r="N248" s="530"/>
      <c r="O248" s="439"/>
      <c r="P248" s="530"/>
      <c r="Q248" s="439"/>
      <c r="R248" s="530"/>
      <c r="S248" s="439"/>
      <c r="T248" s="530"/>
      <c r="U248" s="439"/>
    </row>
    <row r="249" ht="15.75" customHeight="1">
      <c r="A249" s="439"/>
      <c r="B249" s="439"/>
      <c r="C249" s="439"/>
      <c r="D249" s="530"/>
      <c r="E249" s="439"/>
      <c r="F249" s="530"/>
      <c r="G249" s="439"/>
      <c r="H249" s="530"/>
      <c r="I249" s="439"/>
      <c r="J249" s="530"/>
      <c r="K249" s="439"/>
      <c r="L249" s="530"/>
      <c r="M249" s="439"/>
      <c r="N249" s="530"/>
      <c r="O249" s="439"/>
      <c r="P249" s="530"/>
      <c r="Q249" s="439"/>
      <c r="R249" s="530"/>
      <c r="S249" s="439"/>
      <c r="T249" s="530"/>
      <c r="U249" s="439"/>
    </row>
    <row r="250" ht="15.75" customHeight="1">
      <c r="A250" s="439"/>
      <c r="B250" s="439"/>
      <c r="C250" s="439"/>
      <c r="D250" s="530"/>
      <c r="E250" s="439"/>
      <c r="F250" s="530"/>
      <c r="G250" s="439"/>
      <c r="H250" s="530"/>
      <c r="I250" s="439"/>
      <c r="J250" s="530"/>
      <c r="K250" s="439"/>
      <c r="L250" s="530"/>
      <c r="M250" s="439"/>
      <c r="N250" s="530"/>
      <c r="O250" s="439"/>
      <c r="P250" s="530"/>
      <c r="Q250" s="439"/>
      <c r="R250" s="530"/>
      <c r="S250" s="439"/>
      <c r="T250" s="530"/>
      <c r="U250" s="439"/>
    </row>
    <row r="251" ht="15.75" customHeight="1">
      <c r="A251" s="439"/>
      <c r="B251" s="439"/>
      <c r="C251" s="439"/>
      <c r="D251" s="530"/>
      <c r="E251" s="439"/>
      <c r="F251" s="530"/>
      <c r="G251" s="439"/>
      <c r="H251" s="530"/>
      <c r="I251" s="439"/>
      <c r="J251" s="530"/>
      <c r="K251" s="439"/>
      <c r="L251" s="530"/>
      <c r="M251" s="439"/>
      <c r="N251" s="530"/>
      <c r="O251" s="439"/>
      <c r="P251" s="530"/>
      <c r="Q251" s="439"/>
      <c r="R251" s="530"/>
      <c r="S251" s="439"/>
      <c r="T251" s="530"/>
      <c r="U251" s="439"/>
    </row>
    <row r="252" ht="15.75" customHeight="1">
      <c r="A252" s="439"/>
      <c r="B252" s="439"/>
      <c r="C252" s="439"/>
      <c r="D252" s="530"/>
      <c r="E252" s="439"/>
      <c r="F252" s="530"/>
      <c r="G252" s="439"/>
      <c r="H252" s="530"/>
      <c r="I252" s="439"/>
      <c r="J252" s="530"/>
      <c r="K252" s="439"/>
      <c r="L252" s="530"/>
      <c r="M252" s="439"/>
      <c r="N252" s="530"/>
      <c r="O252" s="439"/>
      <c r="P252" s="530"/>
      <c r="Q252" s="439"/>
      <c r="R252" s="530"/>
      <c r="S252" s="439"/>
      <c r="T252" s="530"/>
      <c r="U252" s="439"/>
    </row>
    <row r="253" ht="15.75" customHeight="1">
      <c r="A253" s="439"/>
      <c r="B253" s="439"/>
      <c r="C253" s="439"/>
      <c r="D253" s="530"/>
      <c r="E253" s="439"/>
      <c r="F253" s="530"/>
      <c r="G253" s="439"/>
      <c r="H253" s="530"/>
      <c r="I253" s="439"/>
      <c r="J253" s="530"/>
      <c r="K253" s="439"/>
      <c r="L253" s="530"/>
      <c r="M253" s="439"/>
      <c r="N253" s="530"/>
      <c r="O253" s="439"/>
      <c r="P253" s="530"/>
      <c r="Q253" s="439"/>
      <c r="R253" s="530"/>
      <c r="S253" s="439"/>
      <c r="T253" s="530"/>
      <c r="U253" s="439"/>
    </row>
    <row r="254" ht="15.75" customHeight="1">
      <c r="A254" s="439"/>
      <c r="B254" s="439"/>
      <c r="C254" s="439"/>
      <c r="D254" s="530"/>
      <c r="E254" s="439"/>
      <c r="F254" s="530"/>
      <c r="G254" s="439"/>
      <c r="H254" s="530"/>
      <c r="I254" s="439"/>
      <c r="J254" s="530"/>
      <c r="K254" s="439"/>
      <c r="L254" s="530"/>
      <c r="M254" s="439"/>
      <c r="N254" s="530"/>
      <c r="O254" s="439"/>
      <c r="P254" s="530"/>
      <c r="Q254" s="439"/>
      <c r="R254" s="530"/>
      <c r="S254" s="439"/>
      <c r="T254" s="530"/>
      <c r="U254" s="439"/>
    </row>
    <row r="255" ht="15.75" customHeight="1">
      <c r="A255" s="439"/>
      <c r="B255" s="439"/>
      <c r="C255" s="439"/>
      <c r="D255" s="530"/>
      <c r="E255" s="439"/>
      <c r="F255" s="530"/>
      <c r="G255" s="439"/>
      <c r="H255" s="530"/>
      <c r="I255" s="439"/>
      <c r="J255" s="530"/>
      <c r="K255" s="439"/>
      <c r="L255" s="530"/>
      <c r="M255" s="439"/>
      <c r="N255" s="530"/>
      <c r="O255" s="439"/>
      <c r="P255" s="530"/>
      <c r="Q255" s="439"/>
      <c r="R255" s="530"/>
      <c r="S255" s="439"/>
      <c r="T255" s="530"/>
      <c r="U255" s="439"/>
    </row>
    <row r="256" ht="15.75" customHeight="1">
      <c r="A256" s="439"/>
      <c r="B256" s="439"/>
      <c r="C256" s="439"/>
      <c r="D256" s="530"/>
      <c r="E256" s="439"/>
      <c r="F256" s="530"/>
      <c r="G256" s="439"/>
      <c r="H256" s="530"/>
      <c r="I256" s="439"/>
      <c r="J256" s="530"/>
      <c r="K256" s="439"/>
      <c r="L256" s="530"/>
      <c r="M256" s="439"/>
      <c r="N256" s="530"/>
      <c r="O256" s="439"/>
      <c r="P256" s="530"/>
      <c r="Q256" s="439"/>
      <c r="R256" s="530"/>
      <c r="S256" s="439"/>
      <c r="T256" s="530"/>
      <c r="U256" s="439"/>
    </row>
    <row r="257" ht="15.75" customHeight="1">
      <c r="A257" s="439"/>
      <c r="B257" s="439"/>
      <c r="C257" s="439"/>
      <c r="D257" s="530"/>
      <c r="E257" s="439"/>
      <c r="F257" s="530"/>
      <c r="G257" s="439"/>
      <c r="H257" s="530"/>
      <c r="I257" s="439"/>
      <c r="J257" s="530"/>
      <c r="K257" s="439"/>
      <c r="L257" s="530"/>
      <c r="M257" s="439"/>
      <c r="N257" s="530"/>
      <c r="O257" s="439"/>
      <c r="P257" s="530"/>
      <c r="Q257" s="439"/>
      <c r="R257" s="530"/>
      <c r="S257" s="439"/>
      <c r="T257" s="530"/>
      <c r="U257" s="439"/>
    </row>
    <row r="258" ht="15.75" customHeight="1">
      <c r="A258" s="439"/>
      <c r="B258" s="439"/>
      <c r="C258" s="439"/>
      <c r="D258" s="530"/>
      <c r="E258" s="439"/>
      <c r="F258" s="530"/>
      <c r="G258" s="439"/>
      <c r="H258" s="530"/>
      <c r="I258" s="439"/>
      <c r="J258" s="530"/>
      <c r="K258" s="439"/>
      <c r="L258" s="530"/>
      <c r="M258" s="439"/>
      <c r="N258" s="530"/>
      <c r="O258" s="439"/>
      <c r="P258" s="530"/>
      <c r="Q258" s="439"/>
      <c r="R258" s="530"/>
      <c r="S258" s="439"/>
      <c r="T258" s="530"/>
      <c r="U258" s="439"/>
    </row>
    <row r="259" ht="15.75" customHeight="1">
      <c r="A259" s="439"/>
      <c r="B259" s="439"/>
      <c r="C259" s="439"/>
      <c r="D259" s="530"/>
      <c r="E259" s="439"/>
      <c r="F259" s="530"/>
      <c r="G259" s="439"/>
      <c r="H259" s="530"/>
      <c r="I259" s="439"/>
      <c r="J259" s="530"/>
      <c r="K259" s="439"/>
      <c r="L259" s="530"/>
      <c r="M259" s="439"/>
      <c r="N259" s="530"/>
      <c r="O259" s="439"/>
      <c r="P259" s="530"/>
      <c r="Q259" s="439"/>
      <c r="R259" s="530"/>
      <c r="S259" s="439"/>
      <c r="T259" s="530"/>
      <c r="U259" s="439"/>
    </row>
    <row r="260" ht="15.75" customHeight="1">
      <c r="A260" s="439"/>
      <c r="B260" s="439"/>
      <c r="C260" s="439"/>
      <c r="D260" s="530"/>
      <c r="E260" s="439"/>
      <c r="F260" s="530"/>
      <c r="G260" s="439"/>
      <c r="H260" s="530"/>
      <c r="I260" s="439"/>
      <c r="J260" s="530"/>
      <c r="K260" s="439"/>
      <c r="L260" s="530"/>
      <c r="M260" s="439"/>
      <c r="N260" s="530"/>
      <c r="O260" s="439"/>
      <c r="P260" s="530"/>
      <c r="Q260" s="439"/>
      <c r="R260" s="530"/>
      <c r="S260" s="439"/>
      <c r="T260" s="530"/>
      <c r="U260" s="439"/>
    </row>
    <row r="261" ht="15.75" customHeight="1">
      <c r="A261" s="439"/>
      <c r="B261" s="439"/>
      <c r="C261" s="439"/>
      <c r="D261" s="530"/>
      <c r="E261" s="439"/>
      <c r="F261" s="530"/>
      <c r="G261" s="439"/>
      <c r="H261" s="530"/>
      <c r="I261" s="439"/>
      <c r="J261" s="530"/>
      <c r="K261" s="439"/>
      <c r="L261" s="530"/>
      <c r="M261" s="439"/>
      <c r="N261" s="530"/>
      <c r="O261" s="439"/>
      <c r="P261" s="530"/>
      <c r="Q261" s="439"/>
      <c r="R261" s="530"/>
      <c r="S261" s="439"/>
      <c r="T261" s="530"/>
      <c r="U261" s="439"/>
    </row>
    <row r="262" ht="15.75" customHeight="1">
      <c r="A262" s="439"/>
      <c r="B262" s="439"/>
      <c r="C262" s="439"/>
      <c r="D262" s="530"/>
      <c r="E262" s="439"/>
      <c r="F262" s="530"/>
      <c r="G262" s="439"/>
      <c r="H262" s="530"/>
      <c r="I262" s="439"/>
      <c r="J262" s="530"/>
      <c r="K262" s="439"/>
      <c r="L262" s="530"/>
      <c r="M262" s="439"/>
      <c r="N262" s="530"/>
      <c r="O262" s="439"/>
      <c r="P262" s="530"/>
      <c r="Q262" s="439"/>
      <c r="R262" s="530"/>
      <c r="S262" s="439"/>
      <c r="T262" s="530"/>
      <c r="U262" s="439"/>
    </row>
    <row r="263" ht="15.75" customHeight="1">
      <c r="A263" s="439"/>
      <c r="B263" s="439"/>
      <c r="C263" s="439"/>
      <c r="D263" s="530"/>
      <c r="E263" s="439"/>
      <c r="F263" s="530"/>
      <c r="G263" s="439"/>
      <c r="H263" s="530"/>
      <c r="I263" s="439"/>
      <c r="J263" s="530"/>
      <c r="K263" s="439"/>
      <c r="L263" s="530"/>
      <c r="M263" s="439"/>
      <c r="N263" s="530"/>
      <c r="O263" s="439"/>
      <c r="P263" s="530"/>
      <c r="Q263" s="439"/>
      <c r="R263" s="530"/>
      <c r="S263" s="439"/>
      <c r="T263" s="530"/>
      <c r="U263" s="439"/>
    </row>
    <row r="264" ht="15.75" customHeight="1">
      <c r="A264" s="439"/>
      <c r="B264" s="439"/>
      <c r="C264" s="439"/>
      <c r="D264" s="530"/>
      <c r="E264" s="439"/>
      <c r="F264" s="530"/>
      <c r="G264" s="439"/>
      <c r="H264" s="530"/>
      <c r="I264" s="439"/>
      <c r="J264" s="530"/>
      <c r="K264" s="439"/>
      <c r="L264" s="530"/>
      <c r="M264" s="439"/>
      <c r="N264" s="530"/>
      <c r="O264" s="439"/>
      <c r="P264" s="530"/>
      <c r="Q264" s="439"/>
      <c r="R264" s="530"/>
      <c r="S264" s="439"/>
      <c r="T264" s="530"/>
      <c r="U264" s="439"/>
    </row>
    <row r="265" ht="15.75" customHeight="1">
      <c r="A265" s="439"/>
      <c r="B265" s="439"/>
      <c r="C265" s="439"/>
      <c r="D265" s="530"/>
      <c r="E265" s="439"/>
      <c r="F265" s="530"/>
      <c r="G265" s="439"/>
      <c r="H265" s="530"/>
      <c r="I265" s="439"/>
      <c r="J265" s="530"/>
      <c r="K265" s="439"/>
      <c r="L265" s="530"/>
      <c r="M265" s="439"/>
      <c r="N265" s="530"/>
      <c r="O265" s="439"/>
      <c r="P265" s="530"/>
      <c r="Q265" s="439"/>
      <c r="R265" s="530"/>
      <c r="S265" s="439"/>
      <c r="T265" s="530"/>
      <c r="U265" s="439"/>
    </row>
    <row r="266" ht="15.75" customHeight="1">
      <c r="A266" s="439"/>
      <c r="B266" s="439"/>
      <c r="C266" s="439"/>
      <c r="D266" s="530"/>
      <c r="E266" s="439"/>
      <c r="F266" s="530"/>
      <c r="G266" s="439"/>
      <c r="H266" s="530"/>
      <c r="I266" s="439"/>
      <c r="J266" s="530"/>
      <c r="K266" s="439"/>
      <c r="L266" s="530"/>
      <c r="M266" s="439"/>
      <c r="N266" s="530"/>
      <c r="O266" s="439"/>
      <c r="P266" s="530"/>
      <c r="Q266" s="439"/>
      <c r="R266" s="530"/>
      <c r="S266" s="439"/>
      <c r="T266" s="530"/>
      <c r="U266" s="439"/>
    </row>
    <row r="267" ht="15.75" customHeight="1">
      <c r="A267" s="439"/>
      <c r="B267" s="439"/>
      <c r="C267" s="439"/>
      <c r="D267" s="530"/>
      <c r="E267" s="439"/>
      <c r="F267" s="530"/>
      <c r="G267" s="439"/>
      <c r="H267" s="530"/>
      <c r="I267" s="439"/>
      <c r="J267" s="530"/>
      <c r="K267" s="439"/>
      <c r="L267" s="530"/>
      <c r="M267" s="439"/>
      <c r="N267" s="530"/>
      <c r="O267" s="439"/>
      <c r="P267" s="530"/>
      <c r="Q267" s="439"/>
      <c r="R267" s="530"/>
      <c r="S267" s="439"/>
      <c r="T267" s="530"/>
      <c r="U267" s="439"/>
    </row>
    <row r="268" ht="15.75" customHeight="1">
      <c r="A268" s="439"/>
      <c r="B268" s="439"/>
      <c r="C268" s="439"/>
      <c r="D268" s="530"/>
      <c r="E268" s="439"/>
      <c r="F268" s="530"/>
      <c r="G268" s="439"/>
      <c r="H268" s="530"/>
      <c r="I268" s="439"/>
      <c r="J268" s="530"/>
      <c r="K268" s="439"/>
      <c r="L268" s="530"/>
      <c r="M268" s="439"/>
      <c r="N268" s="530"/>
      <c r="O268" s="439"/>
      <c r="P268" s="530"/>
      <c r="Q268" s="439"/>
      <c r="R268" s="530"/>
      <c r="S268" s="439"/>
      <c r="T268" s="530"/>
      <c r="U268" s="439"/>
    </row>
    <row r="269" ht="15.75" customHeight="1">
      <c r="A269" s="439"/>
      <c r="B269" s="439"/>
      <c r="C269" s="439"/>
      <c r="D269" s="530"/>
      <c r="E269" s="439"/>
      <c r="F269" s="530"/>
      <c r="G269" s="439"/>
      <c r="H269" s="530"/>
      <c r="I269" s="439"/>
      <c r="J269" s="530"/>
      <c r="K269" s="439"/>
      <c r="L269" s="530"/>
      <c r="M269" s="439"/>
      <c r="N269" s="530"/>
      <c r="O269" s="439"/>
      <c r="P269" s="530"/>
      <c r="Q269" s="439"/>
      <c r="R269" s="530"/>
      <c r="S269" s="439"/>
      <c r="T269" s="530"/>
      <c r="U269" s="439"/>
    </row>
    <row r="270" ht="15.75" customHeight="1">
      <c r="A270" s="439"/>
      <c r="B270" s="439"/>
      <c r="C270" s="439"/>
      <c r="D270" s="530"/>
      <c r="E270" s="439"/>
      <c r="F270" s="530"/>
      <c r="G270" s="439"/>
      <c r="H270" s="530"/>
      <c r="I270" s="439"/>
      <c r="J270" s="530"/>
      <c r="K270" s="439"/>
      <c r="L270" s="530"/>
      <c r="M270" s="439"/>
      <c r="N270" s="530"/>
      <c r="O270" s="439"/>
      <c r="P270" s="530"/>
      <c r="Q270" s="439"/>
      <c r="R270" s="530"/>
      <c r="S270" s="439"/>
      <c r="T270" s="530"/>
      <c r="U270" s="439"/>
    </row>
    <row r="271" ht="15.75" customHeight="1">
      <c r="A271" s="439"/>
      <c r="B271" s="439"/>
      <c r="C271" s="439"/>
      <c r="D271" s="530"/>
      <c r="E271" s="439"/>
      <c r="F271" s="530"/>
      <c r="G271" s="439"/>
      <c r="H271" s="530"/>
      <c r="I271" s="439"/>
      <c r="J271" s="530"/>
      <c r="K271" s="439"/>
      <c r="L271" s="530"/>
      <c r="M271" s="439"/>
      <c r="N271" s="530"/>
      <c r="O271" s="439"/>
      <c r="P271" s="530"/>
      <c r="Q271" s="439"/>
      <c r="R271" s="530"/>
      <c r="S271" s="439"/>
      <c r="T271" s="530"/>
      <c r="U271" s="439"/>
    </row>
    <row r="272" ht="15.75" customHeight="1">
      <c r="A272" s="439"/>
      <c r="B272" s="439"/>
      <c r="C272" s="439"/>
      <c r="D272" s="530"/>
      <c r="E272" s="439"/>
      <c r="F272" s="530"/>
      <c r="G272" s="439"/>
      <c r="H272" s="530"/>
      <c r="I272" s="439"/>
      <c r="J272" s="530"/>
      <c r="K272" s="439"/>
      <c r="L272" s="530"/>
      <c r="M272" s="439"/>
      <c r="N272" s="530"/>
      <c r="O272" s="439"/>
      <c r="P272" s="530"/>
      <c r="Q272" s="439"/>
      <c r="R272" s="530"/>
      <c r="S272" s="439"/>
      <c r="T272" s="530"/>
      <c r="U272" s="439"/>
    </row>
    <row r="273" ht="15.75" customHeight="1">
      <c r="A273" s="439"/>
      <c r="B273" s="439"/>
      <c r="C273" s="439"/>
      <c r="D273" s="530"/>
      <c r="E273" s="439"/>
      <c r="F273" s="530"/>
      <c r="G273" s="439"/>
      <c r="H273" s="530"/>
      <c r="I273" s="439"/>
      <c r="J273" s="530"/>
      <c r="K273" s="439"/>
      <c r="L273" s="530"/>
      <c r="M273" s="439"/>
      <c r="N273" s="530"/>
      <c r="O273" s="439"/>
      <c r="P273" s="530"/>
      <c r="Q273" s="439"/>
      <c r="R273" s="530"/>
      <c r="S273" s="439"/>
      <c r="T273" s="530"/>
      <c r="U273" s="439"/>
    </row>
    <row r="274" ht="15.75" customHeight="1">
      <c r="A274" s="439"/>
      <c r="B274" s="439"/>
      <c r="C274" s="439"/>
      <c r="D274" s="530"/>
      <c r="E274" s="439"/>
      <c r="F274" s="530"/>
      <c r="G274" s="439"/>
      <c r="H274" s="530"/>
      <c r="I274" s="439"/>
      <c r="J274" s="530"/>
      <c r="K274" s="439"/>
      <c r="L274" s="530"/>
      <c r="M274" s="439"/>
      <c r="N274" s="530"/>
      <c r="O274" s="439"/>
      <c r="P274" s="530"/>
      <c r="Q274" s="439"/>
      <c r="R274" s="530"/>
      <c r="S274" s="439"/>
      <c r="T274" s="530"/>
      <c r="U274" s="439"/>
    </row>
    <row r="275" ht="15.75" customHeight="1">
      <c r="A275" s="439"/>
      <c r="B275" s="439"/>
      <c r="C275" s="439"/>
      <c r="D275" s="530"/>
      <c r="E275" s="439"/>
      <c r="F275" s="530"/>
      <c r="G275" s="439"/>
      <c r="H275" s="530"/>
      <c r="I275" s="439"/>
      <c r="J275" s="530"/>
      <c r="K275" s="439"/>
      <c r="L275" s="530"/>
      <c r="M275" s="439"/>
      <c r="N275" s="530"/>
      <c r="O275" s="439"/>
      <c r="P275" s="530"/>
      <c r="Q275" s="439"/>
      <c r="R275" s="530"/>
      <c r="S275" s="439"/>
      <c r="T275" s="530"/>
      <c r="U275" s="439"/>
    </row>
    <row r="276" ht="15.75" customHeight="1">
      <c r="A276" s="439"/>
      <c r="B276" s="439"/>
      <c r="C276" s="439"/>
      <c r="D276" s="530"/>
      <c r="E276" s="439"/>
      <c r="F276" s="530"/>
      <c r="G276" s="439"/>
      <c r="H276" s="530"/>
      <c r="I276" s="439"/>
      <c r="J276" s="530"/>
      <c r="K276" s="439"/>
      <c r="L276" s="530"/>
      <c r="M276" s="439"/>
      <c r="N276" s="530"/>
      <c r="O276" s="439"/>
      <c r="P276" s="530"/>
      <c r="Q276" s="439"/>
      <c r="R276" s="530"/>
      <c r="S276" s="439"/>
      <c r="T276" s="530"/>
      <c r="U276" s="439"/>
    </row>
    <row r="277" ht="15.75" customHeight="1">
      <c r="A277" s="439"/>
      <c r="B277" s="439"/>
      <c r="C277" s="439"/>
      <c r="D277" s="530"/>
      <c r="E277" s="439"/>
      <c r="F277" s="530"/>
      <c r="G277" s="439"/>
      <c r="H277" s="530"/>
      <c r="I277" s="439"/>
      <c r="J277" s="530"/>
      <c r="K277" s="439"/>
      <c r="L277" s="530"/>
      <c r="M277" s="439"/>
      <c r="N277" s="530"/>
      <c r="O277" s="439"/>
      <c r="P277" s="530"/>
      <c r="Q277" s="439"/>
      <c r="R277" s="530"/>
      <c r="S277" s="439"/>
      <c r="T277" s="530"/>
      <c r="U277" s="439"/>
    </row>
    <row r="278" ht="15.75" customHeight="1">
      <c r="A278" s="439"/>
      <c r="B278" s="439"/>
      <c r="C278" s="439"/>
      <c r="D278" s="530"/>
      <c r="E278" s="439"/>
      <c r="F278" s="530"/>
      <c r="G278" s="439"/>
      <c r="H278" s="530"/>
      <c r="I278" s="439"/>
      <c r="J278" s="530"/>
      <c r="K278" s="439"/>
      <c r="L278" s="530"/>
      <c r="M278" s="439"/>
      <c r="N278" s="530"/>
      <c r="O278" s="439"/>
      <c r="P278" s="530"/>
      <c r="Q278" s="439"/>
      <c r="R278" s="530"/>
      <c r="S278" s="439"/>
      <c r="T278" s="530"/>
      <c r="U278" s="439"/>
    </row>
    <row r="279" ht="15.75" customHeight="1">
      <c r="A279" s="439"/>
      <c r="B279" s="439"/>
      <c r="C279" s="439"/>
      <c r="D279" s="530"/>
      <c r="E279" s="439"/>
      <c r="F279" s="530"/>
      <c r="G279" s="439"/>
      <c r="H279" s="530"/>
      <c r="I279" s="439"/>
      <c r="J279" s="530"/>
      <c r="K279" s="439"/>
      <c r="L279" s="530"/>
      <c r="M279" s="439"/>
      <c r="N279" s="530"/>
      <c r="O279" s="439"/>
      <c r="P279" s="530"/>
      <c r="Q279" s="439"/>
      <c r="R279" s="530"/>
      <c r="S279" s="439"/>
      <c r="T279" s="530"/>
      <c r="U279" s="439"/>
    </row>
    <row r="280" ht="15.75" customHeight="1">
      <c r="A280" s="439"/>
      <c r="B280" s="439"/>
      <c r="C280" s="439"/>
      <c r="D280" s="530"/>
      <c r="E280" s="439"/>
      <c r="F280" s="530"/>
      <c r="G280" s="439"/>
      <c r="H280" s="530"/>
      <c r="I280" s="439"/>
      <c r="J280" s="530"/>
      <c r="K280" s="439"/>
      <c r="L280" s="530"/>
      <c r="M280" s="439"/>
      <c r="N280" s="530"/>
      <c r="O280" s="439"/>
      <c r="P280" s="530"/>
      <c r="Q280" s="439"/>
      <c r="R280" s="530"/>
      <c r="S280" s="439"/>
      <c r="T280" s="530"/>
      <c r="U280" s="439"/>
    </row>
    <row r="281" ht="15.75" customHeight="1">
      <c r="A281" s="439"/>
      <c r="B281" s="439"/>
      <c r="C281" s="439"/>
      <c r="D281" s="530"/>
      <c r="E281" s="439"/>
      <c r="F281" s="530"/>
      <c r="G281" s="439"/>
      <c r="H281" s="530"/>
      <c r="I281" s="439"/>
      <c r="J281" s="530"/>
      <c r="K281" s="439"/>
      <c r="L281" s="530"/>
      <c r="M281" s="439"/>
      <c r="N281" s="530"/>
      <c r="O281" s="439"/>
      <c r="P281" s="530"/>
      <c r="Q281" s="439"/>
      <c r="R281" s="530"/>
      <c r="S281" s="439"/>
      <c r="T281" s="530"/>
      <c r="U281" s="439"/>
    </row>
    <row r="282" ht="15.75" customHeight="1">
      <c r="A282" s="439"/>
      <c r="B282" s="439"/>
      <c r="C282" s="439"/>
      <c r="D282" s="530"/>
      <c r="E282" s="439"/>
      <c r="F282" s="530"/>
      <c r="G282" s="439"/>
      <c r="H282" s="530"/>
      <c r="I282" s="439"/>
      <c r="J282" s="530"/>
      <c r="K282" s="439"/>
      <c r="L282" s="530"/>
      <c r="M282" s="439"/>
      <c r="N282" s="530"/>
      <c r="O282" s="439"/>
      <c r="P282" s="530"/>
      <c r="Q282" s="439"/>
      <c r="R282" s="530"/>
      <c r="S282" s="439"/>
      <c r="T282" s="530"/>
      <c r="U282" s="439"/>
    </row>
    <row r="283" ht="15.75" customHeight="1">
      <c r="A283" s="439"/>
      <c r="B283" s="439"/>
      <c r="C283" s="439"/>
      <c r="D283" s="530"/>
      <c r="E283" s="439"/>
      <c r="F283" s="530"/>
      <c r="G283" s="439"/>
      <c r="H283" s="530"/>
      <c r="I283" s="439"/>
      <c r="J283" s="530"/>
      <c r="K283" s="439"/>
      <c r="L283" s="530"/>
      <c r="M283" s="439"/>
      <c r="N283" s="530"/>
      <c r="O283" s="439"/>
      <c r="P283" s="530"/>
      <c r="Q283" s="439"/>
      <c r="R283" s="530"/>
      <c r="S283" s="439"/>
      <c r="T283" s="530"/>
      <c r="U283" s="439"/>
    </row>
    <row r="284" ht="15.75" customHeight="1">
      <c r="A284" s="439"/>
      <c r="B284" s="439"/>
      <c r="C284" s="439"/>
      <c r="D284" s="530"/>
      <c r="E284" s="439"/>
      <c r="F284" s="530"/>
      <c r="G284" s="439"/>
      <c r="H284" s="530"/>
      <c r="I284" s="439"/>
      <c r="J284" s="530"/>
      <c r="K284" s="439"/>
      <c r="L284" s="530"/>
      <c r="M284" s="439"/>
      <c r="N284" s="530"/>
      <c r="O284" s="439"/>
      <c r="P284" s="530"/>
      <c r="Q284" s="439"/>
      <c r="R284" s="530"/>
      <c r="S284" s="439"/>
      <c r="T284" s="530"/>
      <c r="U284" s="439"/>
    </row>
    <row r="285" ht="15.75" customHeight="1">
      <c r="A285" s="439"/>
      <c r="B285" s="439"/>
      <c r="C285" s="439"/>
      <c r="D285" s="530"/>
      <c r="E285" s="439"/>
      <c r="F285" s="530"/>
      <c r="G285" s="439"/>
      <c r="H285" s="530"/>
      <c r="I285" s="439"/>
      <c r="J285" s="530"/>
      <c r="K285" s="439"/>
      <c r="L285" s="530"/>
      <c r="M285" s="439"/>
      <c r="N285" s="530"/>
      <c r="O285" s="439"/>
      <c r="P285" s="530"/>
      <c r="Q285" s="439"/>
      <c r="R285" s="530"/>
      <c r="S285" s="439"/>
      <c r="T285" s="530"/>
      <c r="U285" s="439"/>
    </row>
    <row r="286" ht="15.75" customHeight="1">
      <c r="A286" s="439"/>
      <c r="B286" s="439"/>
      <c r="C286" s="439"/>
      <c r="D286" s="530"/>
      <c r="E286" s="439"/>
      <c r="F286" s="530"/>
      <c r="G286" s="439"/>
      <c r="H286" s="530"/>
      <c r="I286" s="439"/>
      <c r="J286" s="530"/>
      <c r="K286" s="439"/>
      <c r="L286" s="530"/>
      <c r="M286" s="439"/>
      <c r="N286" s="530"/>
      <c r="O286" s="439"/>
      <c r="P286" s="530"/>
      <c r="Q286" s="439"/>
      <c r="R286" s="530"/>
      <c r="S286" s="439"/>
      <c r="T286" s="530"/>
      <c r="U286" s="439"/>
    </row>
    <row r="287" ht="15.75" customHeight="1">
      <c r="A287" s="439"/>
      <c r="B287" s="439"/>
      <c r="C287" s="439"/>
      <c r="D287" s="530"/>
      <c r="E287" s="439"/>
      <c r="F287" s="530"/>
      <c r="G287" s="439"/>
      <c r="H287" s="530"/>
      <c r="I287" s="439"/>
      <c r="J287" s="530"/>
      <c r="K287" s="439"/>
      <c r="L287" s="530"/>
      <c r="M287" s="439"/>
      <c r="N287" s="530"/>
      <c r="O287" s="439"/>
      <c r="P287" s="530"/>
      <c r="Q287" s="439"/>
      <c r="R287" s="530"/>
      <c r="S287" s="439"/>
      <c r="T287" s="530"/>
      <c r="U287" s="439"/>
    </row>
    <row r="288" ht="15.75" customHeight="1">
      <c r="A288" s="439"/>
      <c r="B288" s="439"/>
      <c r="C288" s="439"/>
      <c r="D288" s="530"/>
      <c r="E288" s="439"/>
      <c r="F288" s="530"/>
      <c r="G288" s="439"/>
      <c r="H288" s="530"/>
      <c r="I288" s="439"/>
      <c r="J288" s="530"/>
      <c r="K288" s="439"/>
      <c r="L288" s="530"/>
      <c r="M288" s="439"/>
      <c r="N288" s="530"/>
      <c r="O288" s="439"/>
      <c r="P288" s="530"/>
      <c r="Q288" s="439"/>
      <c r="R288" s="530"/>
      <c r="S288" s="439"/>
      <c r="T288" s="530"/>
      <c r="U288" s="439"/>
    </row>
    <row r="289" ht="15.75" customHeight="1">
      <c r="A289" s="439"/>
      <c r="B289" s="439"/>
      <c r="C289" s="439"/>
      <c r="D289" s="530"/>
      <c r="E289" s="439"/>
      <c r="F289" s="530"/>
      <c r="G289" s="439"/>
      <c r="H289" s="530"/>
      <c r="I289" s="439"/>
      <c r="J289" s="530"/>
      <c r="K289" s="439"/>
      <c r="L289" s="530"/>
      <c r="M289" s="439"/>
      <c r="N289" s="530"/>
      <c r="O289" s="439"/>
      <c r="P289" s="530"/>
      <c r="Q289" s="439"/>
      <c r="R289" s="530"/>
      <c r="S289" s="439"/>
      <c r="T289" s="530"/>
      <c r="U289" s="439"/>
    </row>
    <row r="290" ht="15.75" customHeight="1">
      <c r="A290" s="439"/>
      <c r="B290" s="439"/>
      <c r="C290" s="439"/>
      <c r="D290" s="530"/>
      <c r="E290" s="439"/>
      <c r="F290" s="530"/>
      <c r="G290" s="439"/>
      <c r="H290" s="530"/>
      <c r="I290" s="439"/>
      <c r="J290" s="530"/>
      <c r="K290" s="439"/>
      <c r="L290" s="530"/>
      <c r="M290" s="439"/>
      <c r="N290" s="530"/>
      <c r="O290" s="439"/>
      <c r="P290" s="530"/>
      <c r="Q290" s="439"/>
      <c r="R290" s="530"/>
      <c r="S290" s="439"/>
      <c r="T290" s="530"/>
      <c r="U290" s="439"/>
    </row>
    <row r="291" ht="15.75" customHeight="1">
      <c r="A291" s="439"/>
      <c r="B291" s="439"/>
      <c r="C291" s="439"/>
      <c r="D291" s="530"/>
      <c r="E291" s="439"/>
      <c r="F291" s="530"/>
      <c r="G291" s="439"/>
      <c r="H291" s="530"/>
      <c r="I291" s="439"/>
      <c r="J291" s="530"/>
      <c r="K291" s="439"/>
      <c r="L291" s="530"/>
      <c r="M291" s="439"/>
      <c r="N291" s="530"/>
      <c r="O291" s="439"/>
      <c r="P291" s="530"/>
      <c r="Q291" s="439"/>
      <c r="R291" s="530"/>
      <c r="S291" s="439"/>
      <c r="T291" s="530"/>
      <c r="U291" s="439"/>
    </row>
    <row r="292" ht="15.75" customHeight="1">
      <c r="A292" s="439"/>
      <c r="B292" s="439"/>
      <c r="C292" s="439"/>
      <c r="D292" s="530"/>
      <c r="E292" s="439"/>
      <c r="F292" s="530"/>
      <c r="G292" s="439"/>
      <c r="H292" s="530"/>
      <c r="I292" s="439"/>
      <c r="J292" s="530"/>
      <c r="K292" s="439"/>
      <c r="L292" s="530"/>
      <c r="M292" s="439"/>
      <c r="N292" s="530"/>
      <c r="O292" s="439"/>
      <c r="P292" s="530"/>
      <c r="Q292" s="439"/>
      <c r="R292" s="530"/>
      <c r="S292" s="439"/>
      <c r="T292" s="530"/>
      <c r="U292" s="439"/>
    </row>
    <row r="293" ht="15.75" customHeight="1">
      <c r="A293" s="439"/>
      <c r="B293" s="439"/>
      <c r="C293" s="439"/>
      <c r="D293" s="530"/>
      <c r="E293" s="439"/>
      <c r="F293" s="530"/>
      <c r="G293" s="439"/>
      <c r="H293" s="530"/>
      <c r="I293" s="439"/>
      <c r="J293" s="530"/>
      <c r="K293" s="439"/>
      <c r="L293" s="530"/>
      <c r="M293" s="439"/>
      <c r="N293" s="530"/>
      <c r="O293" s="439"/>
      <c r="P293" s="530"/>
      <c r="Q293" s="439"/>
      <c r="R293" s="530"/>
      <c r="S293" s="439"/>
      <c r="T293" s="530"/>
      <c r="U293" s="439"/>
    </row>
    <row r="294" ht="15.75" customHeight="1">
      <c r="A294" s="439"/>
      <c r="B294" s="439"/>
      <c r="C294" s="439"/>
      <c r="D294" s="530"/>
      <c r="E294" s="439"/>
      <c r="F294" s="530"/>
      <c r="G294" s="439"/>
      <c r="H294" s="530"/>
      <c r="I294" s="439"/>
      <c r="J294" s="530"/>
      <c r="K294" s="439"/>
      <c r="L294" s="530"/>
      <c r="M294" s="439"/>
      <c r="N294" s="530"/>
      <c r="O294" s="439"/>
      <c r="P294" s="530"/>
      <c r="Q294" s="439"/>
      <c r="R294" s="530"/>
      <c r="S294" s="439"/>
      <c r="T294" s="530"/>
      <c r="U294" s="439"/>
    </row>
    <row r="295" ht="15.75" customHeight="1">
      <c r="A295" s="439"/>
      <c r="B295" s="439"/>
      <c r="C295" s="439"/>
      <c r="D295" s="530"/>
      <c r="E295" s="439"/>
      <c r="F295" s="530"/>
      <c r="G295" s="439"/>
      <c r="H295" s="530"/>
      <c r="I295" s="439"/>
      <c r="J295" s="530"/>
      <c r="K295" s="439"/>
      <c r="L295" s="530"/>
      <c r="M295" s="439"/>
      <c r="N295" s="530"/>
      <c r="O295" s="439"/>
      <c r="P295" s="530"/>
      <c r="Q295" s="439"/>
      <c r="R295" s="530"/>
      <c r="S295" s="439"/>
      <c r="T295" s="530"/>
      <c r="U295" s="439"/>
    </row>
    <row r="296" ht="15.75" customHeight="1">
      <c r="A296" s="439"/>
      <c r="B296" s="439"/>
      <c r="C296" s="439"/>
      <c r="D296" s="530"/>
      <c r="E296" s="439"/>
      <c r="F296" s="530"/>
      <c r="G296" s="439"/>
      <c r="H296" s="530"/>
      <c r="I296" s="439"/>
      <c r="J296" s="530"/>
      <c r="K296" s="439"/>
      <c r="L296" s="530"/>
      <c r="M296" s="439"/>
      <c r="N296" s="530"/>
      <c r="O296" s="439"/>
      <c r="P296" s="530"/>
      <c r="Q296" s="439"/>
      <c r="R296" s="530"/>
      <c r="S296" s="439"/>
      <c r="T296" s="530"/>
      <c r="U296" s="439"/>
    </row>
    <row r="297" ht="15.75" customHeight="1">
      <c r="A297" s="439"/>
      <c r="B297" s="439"/>
      <c r="C297" s="439"/>
      <c r="D297" s="530"/>
      <c r="E297" s="439"/>
      <c r="F297" s="530"/>
      <c r="G297" s="439"/>
      <c r="H297" s="530"/>
      <c r="I297" s="439"/>
      <c r="J297" s="530"/>
      <c r="K297" s="439"/>
      <c r="L297" s="530"/>
      <c r="M297" s="439"/>
      <c r="N297" s="530"/>
      <c r="O297" s="439"/>
      <c r="P297" s="530"/>
      <c r="Q297" s="439"/>
      <c r="R297" s="530"/>
      <c r="S297" s="439"/>
      <c r="T297" s="530"/>
      <c r="U297" s="439"/>
    </row>
    <row r="298" ht="15.75" customHeight="1">
      <c r="A298" s="439"/>
      <c r="B298" s="439"/>
      <c r="C298" s="439"/>
      <c r="D298" s="530"/>
      <c r="E298" s="439"/>
      <c r="F298" s="530"/>
      <c r="G298" s="439"/>
      <c r="H298" s="530"/>
      <c r="I298" s="439"/>
      <c r="J298" s="530"/>
      <c r="K298" s="439"/>
      <c r="L298" s="530"/>
      <c r="M298" s="439"/>
      <c r="N298" s="530"/>
      <c r="O298" s="439"/>
      <c r="P298" s="530"/>
      <c r="Q298" s="439"/>
      <c r="R298" s="530"/>
      <c r="S298" s="439"/>
      <c r="T298" s="530"/>
      <c r="U298" s="439"/>
    </row>
    <row r="299" ht="15.75" customHeight="1">
      <c r="A299" s="439"/>
      <c r="B299" s="439"/>
      <c r="C299" s="439"/>
      <c r="D299" s="530"/>
      <c r="E299" s="439"/>
      <c r="F299" s="530"/>
      <c r="G299" s="439"/>
      <c r="H299" s="530"/>
      <c r="I299" s="439"/>
      <c r="J299" s="530"/>
      <c r="K299" s="439"/>
      <c r="L299" s="530"/>
      <c r="M299" s="439"/>
      <c r="N299" s="530"/>
      <c r="O299" s="439"/>
      <c r="P299" s="530"/>
      <c r="Q299" s="439"/>
      <c r="R299" s="530"/>
      <c r="S299" s="439"/>
      <c r="T299" s="530"/>
      <c r="U299" s="439"/>
    </row>
    <row r="300" ht="15.75" customHeight="1">
      <c r="A300" s="439"/>
      <c r="B300" s="439"/>
      <c r="C300" s="439"/>
      <c r="D300" s="530"/>
      <c r="E300" s="439"/>
      <c r="F300" s="530"/>
      <c r="G300" s="439"/>
      <c r="H300" s="530"/>
      <c r="I300" s="439"/>
      <c r="J300" s="530"/>
      <c r="K300" s="439"/>
      <c r="L300" s="530"/>
      <c r="M300" s="439"/>
      <c r="N300" s="530"/>
      <c r="O300" s="439"/>
      <c r="P300" s="530"/>
      <c r="Q300" s="439"/>
      <c r="R300" s="530"/>
      <c r="S300" s="439"/>
      <c r="T300" s="530"/>
      <c r="U300" s="439"/>
    </row>
    <row r="301" ht="15.75" customHeight="1">
      <c r="A301" s="439"/>
      <c r="B301" s="439"/>
      <c r="C301" s="439"/>
      <c r="D301" s="530"/>
      <c r="E301" s="439"/>
      <c r="F301" s="530"/>
      <c r="G301" s="439"/>
      <c r="H301" s="530"/>
      <c r="I301" s="439"/>
      <c r="J301" s="530"/>
      <c r="K301" s="439"/>
      <c r="L301" s="530"/>
      <c r="M301" s="439"/>
      <c r="N301" s="530"/>
      <c r="O301" s="439"/>
      <c r="P301" s="530"/>
      <c r="Q301" s="439"/>
      <c r="R301" s="530"/>
      <c r="S301" s="439"/>
      <c r="T301" s="530"/>
      <c r="U301" s="439"/>
    </row>
    <row r="302" ht="15.75" customHeight="1">
      <c r="A302" s="439"/>
      <c r="B302" s="439"/>
      <c r="C302" s="439"/>
      <c r="D302" s="530"/>
      <c r="E302" s="439"/>
      <c r="F302" s="530"/>
      <c r="G302" s="439"/>
      <c r="H302" s="530"/>
      <c r="I302" s="439"/>
      <c r="J302" s="530"/>
      <c r="K302" s="439"/>
      <c r="L302" s="530"/>
      <c r="M302" s="439"/>
      <c r="N302" s="530"/>
      <c r="O302" s="439"/>
      <c r="P302" s="530"/>
      <c r="Q302" s="439"/>
      <c r="R302" s="530"/>
      <c r="S302" s="439"/>
      <c r="T302" s="530"/>
      <c r="U302" s="439"/>
    </row>
    <row r="303" ht="15.75" customHeight="1">
      <c r="A303" s="439"/>
      <c r="B303" s="439"/>
      <c r="C303" s="439"/>
      <c r="D303" s="530"/>
      <c r="E303" s="439"/>
      <c r="F303" s="530"/>
      <c r="G303" s="439"/>
      <c r="H303" s="530"/>
      <c r="I303" s="439"/>
      <c r="J303" s="530"/>
      <c r="K303" s="439"/>
      <c r="L303" s="530"/>
      <c r="M303" s="439"/>
      <c r="N303" s="530"/>
      <c r="O303" s="439"/>
      <c r="P303" s="530"/>
      <c r="Q303" s="439"/>
      <c r="R303" s="530"/>
      <c r="S303" s="439"/>
      <c r="T303" s="530"/>
      <c r="U303" s="439"/>
    </row>
    <row r="304" ht="15.75" customHeight="1">
      <c r="A304" s="439"/>
      <c r="B304" s="439"/>
      <c r="C304" s="439"/>
      <c r="D304" s="530"/>
      <c r="E304" s="439"/>
      <c r="F304" s="530"/>
      <c r="G304" s="439"/>
      <c r="H304" s="530"/>
      <c r="I304" s="439"/>
      <c r="J304" s="530"/>
      <c r="K304" s="439"/>
      <c r="L304" s="530"/>
      <c r="M304" s="439"/>
      <c r="N304" s="530"/>
      <c r="O304" s="439"/>
      <c r="P304" s="530"/>
      <c r="Q304" s="439"/>
      <c r="R304" s="530"/>
      <c r="S304" s="439"/>
      <c r="T304" s="530"/>
      <c r="U304" s="439"/>
    </row>
    <row r="305" ht="15.75" customHeight="1">
      <c r="A305" s="439"/>
      <c r="B305" s="439"/>
      <c r="C305" s="439"/>
      <c r="D305" s="530"/>
      <c r="E305" s="439"/>
      <c r="F305" s="530"/>
      <c r="G305" s="439"/>
      <c r="H305" s="530"/>
      <c r="I305" s="439"/>
      <c r="J305" s="530"/>
      <c r="K305" s="439"/>
      <c r="L305" s="530"/>
      <c r="M305" s="439"/>
      <c r="N305" s="530"/>
      <c r="O305" s="439"/>
      <c r="P305" s="530"/>
      <c r="Q305" s="439"/>
      <c r="R305" s="530"/>
      <c r="S305" s="439"/>
      <c r="T305" s="530"/>
      <c r="U305" s="439"/>
    </row>
    <row r="306" ht="15.75" customHeight="1">
      <c r="A306" s="439"/>
      <c r="B306" s="439"/>
      <c r="C306" s="439"/>
      <c r="D306" s="530"/>
      <c r="E306" s="439"/>
      <c r="F306" s="530"/>
      <c r="G306" s="439"/>
      <c r="H306" s="530"/>
      <c r="I306" s="439"/>
      <c r="J306" s="530"/>
      <c r="K306" s="439"/>
      <c r="L306" s="530"/>
      <c r="M306" s="439"/>
      <c r="N306" s="530"/>
      <c r="O306" s="439"/>
      <c r="P306" s="530"/>
      <c r="Q306" s="439"/>
      <c r="R306" s="530"/>
      <c r="S306" s="439"/>
      <c r="T306" s="530"/>
      <c r="U306" s="439"/>
    </row>
    <row r="307" ht="15.75" customHeight="1">
      <c r="A307" s="439"/>
      <c r="B307" s="439"/>
      <c r="C307" s="439"/>
      <c r="D307" s="530"/>
      <c r="E307" s="439"/>
      <c r="F307" s="530"/>
      <c r="G307" s="439"/>
      <c r="H307" s="530"/>
      <c r="I307" s="439"/>
      <c r="J307" s="530"/>
      <c r="K307" s="439"/>
      <c r="L307" s="530"/>
      <c r="M307" s="439"/>
      <c r="N307" s="530"/>
      <c r="O307" s="439"/>
      <c r="P307" s="530"/>
      <c r="Q307" s="439"/>
      <c r="R307" s="530"/>
      <c r="S307" s="439"/>
      <c r="T307" s="530"/>
      <c r="U307" s="439"/>
    </row>
    <row r="308" ht="15.75" customHeight="1">
      <c r="A308" s="439"/>
      <c r="B308" s="439"/>
      <c r="C308" s="439"/>
      <c r="D308" s="530"/>
      <c r="E308" s="439"/>
      <c r="F308" s="530"/>
      <c r="G308" s="439"/>
      <c r="H308" s="530"/>
      <c r="I308" s="439"/>
      <c r="J308" s="530"/>
      <c r="K308" s="439"/>
      <c r="L308" s="530"/>
      <c r="M308" s="439"/>
      <c r="N308" s="530"/>
      <c r="O308" s="439"/>
      <c r="P308" s="530"/>
      <c r="Q308" s="439"/>
      <c r="R308" s="530"/>
      <c r="S308" s="439"/>
      <c r="T308" s="530"/>
      <c r="U308" s="439"/>
    </row>
    <row r="309" ht="15.75" customHeight="1">
      <c r="A309" s="439"/>
      <c r="B309" s="439"/>
      <c r="C309" s="439"/>
      <c r="D309" s="530"/>
      <c r="E309" s="439"/>
      <c r="F309" s="530"/>
      <c r="G309" s="439"/>
      <c r="H309" s="530"/>
      <c r="I309" s="439"/>
      <c r="J309" s="530"/>
      <c r="K309" s="439"/>
      <c r="L309" s="530"/>
      <c r="M309" s="439"/>
      <c r="N309" s="530"/>
      <c r="O309" s="439"/>
      <c r="P309" s="530"/>
      <c r="Q309" s="439"/>
      <c r="R309" s="530"/>
      <c r="S309" s="439"/>
      <c r="T309" s="530"/>
      <c r="U309" s="439"/>
    </row>
    <row r="310" ht="15.75" customHeight="1">
      <c r="A310" s="439"/>
      <c r="B310" s="439"/>
      <c r="C310" s="439"/>
      <c r="D310" s="530"/>
      <c r="E310" s="439"/>
      <c r="F310" s="530"/>
      <c r="G310" s="439"/>
      <c r="H310" s="530"/>
      <c r="I310" s="439"/>
      <c r="J310" s="530"/>
      <c r="K310" s="439"/>
      <c r="L310" s="530"/>
      <c r="M310" s="439"/>
      <c r="N310" s="530"/>
      <c r="O310" s="439"/>
      <c r="P310" s="530"/>
      <c r="Q310" s="439"/>
      <c r="R310" s="530"/>
      <c r="S310" s="439"/>
      <c r="T310" s="530"/>
      <c r="U310" s="439"/>
    </row>
    <row r="311" ht="15.75" customHeight="1">
      <c r="A311" s="439"/>
      <c r="B311" s="439"/>
      <c r="C311" s="439"/>
      <c r="D311" s="530"/>
      <c r="E311" s="439"/>
      <c r="F311" s="530"/>
      <c r="G311" s="439"/>
      <c r="H311" s="530"/>
      <c r="I311" s="439"/>
      <c r="J311" s="530"/>
      <c r="K311" s="439"/>
      <c r="L311" s="530"/>
      <c r="M311" s="439"/>
      <c r="N311" s="530"/>
      <c r="O311" s="439"/>
      <c r="P311" s="530"/>
      <c r="Q311" s="439"/>
      <c r="R311" s="530"/>
      <c r="S311" s="439"/>
      <c r="T311" s="530"/>
      <c r="U311" s="439"/>
    </row>
    <row r="312" ht="15.75" customHeight="1">
      <c r="A312" s="439"/>
      <c r="B312" s="439"/>
      <c r="C312" s="439"/>
      <c r="D312" s="530"/>
      <c r="E312" s="439"/>
      <c r="F312" s="530"/>
      <c r="G312" s="439"/>
      <c r="H312" s="530"/>
      <c r="I312" s="439"/>
      <c r="J312" s="530"/>
      <c r="K312" s="439"/>
      <c r="L312" s="530"/>
      <c r="M312" s="439"/>
      <c r="N312" s="530"/>
      <c r="O312" s="439"/>
      <c r="P312" s="530"/>
      <c r="Q312" s="439"/>
      <c r="R312" s="530"/>
      <c r="S312" s="439"/>
      <c r="T312" s="530"/>
      <c r="U312" s="439"/>
    </row>
    <row r="313" ht="15.75" customHeight="1">
      <c r="A313" s="439"/>
      <c r="B313" s="439"/>
      <c r="C313" s="439"/>
      <c r="D313" s="530"/>
      <c r="E313" s="439"/>
      <c r="F313" s="530"/>
      <c r="G313" s="439"/>
      <c r="H313" s="530"/>
      <c r="I313" s="439"/>
      <c r="J313" s="530"/>
      <c r="K313" s="439"/>
      <c r="L313" s="530"/>
      <c r="M313" s="439"/>
      <c r="N313" s="530"/>
      <c r="O313" s="439"/>
      <c r="P313" s="530"/>
      <c r="Q313" s="439"/>
      <c r="R313" s="530"/>
      <c r="S313" s="439"/>
      <c r="T313" s="530"/>
      <c r="U313" s="439"/>
    </row>
    <row r="314" ht="15.75" customHeight="1">
      <c r="A314" s="439"/>
      <c r="B314" s="439"/>
      <c r="C314" s="439"/>
      <c r="D314" s="530"/>
      <c r="E314" s="439"/>
      <c r="F314" s="530"/>
      <c r="G314" s="439"/>
      <c r="H314" s="530"/>
      <c r="I314" s="439"/>
      <c r="J314" s="530"/>
      <c r="K314" s="439"/>
      <c r="L314" s="530"/>
      <c r="M314" s="439"/>
      <c r="N314" s="530"/>
      <c r="O314" s="439"/>
      <c r="P314" s="530"/>
      <c r="Q314" s="439"/>
      <c r="R314" s="530"/>
      <c r="S314" s="439"/>
      <c r="T314" s="530"/>
      <c r="U314" s="439"/>
    </row>
    <row r="315" ht="15.75" customHeight="1">
      <c r="A315" s="439"/>
      <c r="B315" s="439"/>
      <c r="C315" s="439"/>
      <c r="D315" s="530"/>
      <c r="E315" s="439"/>
      <c r="F315" s="530"/>
      <c r="G315" s="439"/>
      <c r="H315" s="530"/>
      <c r="I315" s="439"/>
      <c r="J315" s="530"/>
      <c r="K315" s="439"/>
      <c r="L315" s="530"/>
      <c r="M315" s="439"/>
      <c r="N315" s="530"/>
      <c r="O315" s="439"/>
      <c r="P315" s="530"/>
      <c r="Q315" s="439"/>
      <c r="R315" s="530"/>
      <c r="S315" s="439"/>
      <c r="T315" s="530"/>
      <c r="U315" s="439"/>
    </row>
    <row r="316" ht="15.75" customHeight="1">
      <c r="A316" s="439"/>
      <c r="B316" s="439"/>
      <c r="C316" s="439"/>
      <c r="D316" s="530"/>
      <c r="E316" s="439"/>
      <c r="F316" s="530"/>
      <c r="G316" s="439"/>
      <c r="H316" s="530"/>
      <c r="I316" s="439"/>
      <c r="J316" s="530"/>
      <c r="K316" s="439"/>
      <c r="L316" s="530"/>
      <c r="M316" s="439"/>
      <c r="N316" s="530"/>
      <c r="O316" s="439"/>
      <c r="P316" s="530"/>
      <c r="Q316" s="439"/>
      <c r="R316" s="530"/>
      <c r="S316" s="439"/>
      <c r="T316" s="530"/>
      <c r="U316" s="439"/>
    </row>
    <row r="317" ht="15.75" customHeight="1">
      <c r="A317" s="439"/>
      <c r="B317" s="439"/>
      <c r="C317" s="439"/>
      <c r="D317" s="530"/>
      <c r="E317" s="439"/>
      <c r="F317" s="530"/>
      <c r="G317" s="439"/>
      <c r="H317" s="530"/>
      <c r="I317" s="439"/>
      <c r="J317" s="530"/>
      <c r="K317" s="439"/>
      <c r="L317" s="530"/>
      <c r="M317" s="439"/>
      <c r="N317" s="530"/>
      <c r="O317" s="439"/>
      <c r="P317" s="530"/>
      <c r="Q317" s="439"/>
      <c r="R317" s="530"/>
      <c r="S317" s="439"/>
      <c r="T317" s="530"/>
      <c r="U317" s="439"/>
    </row>
    <row r="318" ht="15.75" customHeight="1">
      <c r="A318" s="439"/>
      <c r="B318" s="439"/>
      <c r="C318" s="439"/>
      <c r="D318" s="530"/>
      <c r="E318" s="439"/>
      <c r="F318" s="530"/>
      <c r="G318" s="439"/>
      <c r="H318" s="530"/>
      <c r="I318" s="439"/>
      <c r="J318" s="530"/>
      <c r="K318" s="439"/>
      <c r="L318" s="530"/>
      <c r="M318" s="439"/>
      <c r="N318" s="530"/>
      <c r="O318" s="439"/>
      <c r="P318" s="530"/>
      <c r="Q318" s="439"/>
      <c r="R318" s="530"/>
      <c r="S318" s="439"/>
      <c r="T318" s="530"/>
      <c r="U318" s="439"/>
    </row>
    <row r="319" ht="15.75" customHeight="1">
      <c r="A319" s="439"/>
      <c r="B319" s="439"/>
      <c r="C319" s="439"/>
      <c r="D319" s="530"/>
      <c r="E319" s="439"/>
      <c r="F319" s="530"/>
      <c r="G319" s="439"/>
      <c r="H319" s="530"/>
      <c r="I319" s="439"/>
      <c r="J319" s="530"/>
      <c r="K319" s="439"/>
      <c r="L319" s="530"/>
      <c r="M319" s="439"/>
      <c r="N319" s="530"/>
      <c r="O319" s="439"/>
      <c r="P319" s="530"/>
      <c r="Q319" s="439"/>
      <c r="R319" s="530"/>
      <c r="S319" s="439"/>
      <c r="T319" s="530"/>
      <c r="U319" s="439"/>
    </row>
    <row r="320" ht="15.75" customHeight="1">
      <c r="A320" s="439"/>
      <c r="B320" s="439"/>
      <c r="C320" s="439"/>
      <c r="D320" s="530"/>
      <c r="E320" s="439"/>
      <c r="F320" s="530"/>
      <c r="G320" s="439"/>
      <c r="H320" s="530"/>
      <c r="I320" s="439"/>
      <c r="J320" s="530"/>
      <c r="K320" s="439"/>
      <c r="L320" s="530"/>
      <c r="M320" s="439"/>
      <c r="N320" s="530"/>
      <c r="O320" s="439"/>
      <c r="P320" s="530"/>
      <c r="Q320" s="439"/>
      <c r="R320" s="530"/>
      <c r="S320" s="439"/>
      <c r="T320" s="530"/>
      <c r="U320" s="439"/>
    </row>
    <row r="321" ht="15.75" customHeight="1">
      <c r="A321" s="439"/>
      <c r="B321" s="439"/>
      <c r="C321" s="439"/>
      <c r="D321" s="530"/>
      <c r="E321" s="439"/>
      <c r="F321" s="530"/>
      <c r="G321" s="439"/>
      <c r="H321" s="530"/>
      <c r="I321" s="439"/>
      <c r="J321" s="530"/>
      <c r="K321" s="439"/>
      <c r="L321" s="530"/>
      <c r="M321" s="439"/>
      <c r="N321" s="530"/>
      <c r="O321" s="439"/>
      <c r="P321" s="530"/>
      <c r="Q321" s="439"/>
      <c r="R321" s="530"/>
      <c r="S321" s="439"/>
      <c r="T321" s="530"/>
      <c r="U321" s="439"/>
    </row>
    <row r="322" ht="15.75" customHeight="1">
      <c r="A322" s="439"/>
      <c r="B322" s="439"/>
      <c r="C322" s="439"/>
      <c r="D322" s="530"/>
      <c r="E322" s="439"/>
      <c r="F322" s="530"/>
      <c r="G322" s="439"/>
      <c r="H322" s="530"/>
      <c r="I322" s="439"/>
      <c r="J322" s="530"/>
      <c r="K322" s="439"/>
      <c r="L322" s="530"/>
      <c r="M322" s="439"/>
      <c r="N322" s="530"/>
      <c r="O322" s="439"/>
      <c r="P322" s="530"/>
      <c r="Q322" s="439"/>
      <c r="R322" s="530"/>
      <c r="S322" s="439"/>
      <c r="T322" s="530"/>
      <c r="U322" s="439"/>
    </row>
    <row r="323" ht="15.75" customHeight="1">
      <c r="A323" s="439"/>
      <c r="B323" s="439"/>
      <c r="C323" s="439"/>
      <c r="D323" s="530"/>
      <c r="E323" s="439"/>
      <c r="F323" s="530"/>
      <c r="G323" s="439"/>
      <c r="H323" s="530"/>
      <c r="I323" s="439"/>
      <c r="J323" s="530"/>
      <c r="K323" s="439"/>
      <c r="L323" s="530"/>
      <c r="M323" s="439"/>
      <c r="N323" s="530"/>
      <c r="O323" s="439"/>
      <c r="P323" s="530"/>
      <c r="Q323" s="439"/>
      <c r="R323" s="530"/>
      <c r="S323" s="439"/>
      <c r="T323" s="530"/>
      <c r="U323" s="439"/>
    </row>
    <row r="324" ht="15.75" customHeight="1">
      <c r="A324" s="439"/>
      <c r="B324" s="439"/>
      <c r="C324" s="439"/>
      <c r="D324" s="530"/>
      <c r="E324" s="439"/>
      <c r="F324" s="530"/>
      <c r="G324" s="439"/>
      <c r="H324" s="530"/>
      <c r="I324" s="439"/>
      <c r="J324" s="530"/>
      <c r="K324" s="439"/>
      <c r="L324" s="530"/>
      <c r="M324" s="439"/>
      <c r="N324" s="530"/>
      <c r="O324" s="439"/>
      <c r="P324" s="530"/>
      <c r="Q324" s="439"/>
      <c r="R324" s="530"/>
      <c r="S324" s="439"/>
      <c r="T324" s="530"/>
      <c r="U324" s="439"/>
    </row>
    <row r="325" ht="15.75" customHeight="1">
      <c r="A325" s="439"/>
      <c r="B325" s="439"/>
      <c r="C325" s="439"/>
      <c r="D325" s="530"/>
      <c r="E325" s="439"/>
      <c r="F325" s="530"/>
      <c r="G325" s="439"/>
      <c r="H325" s="530"/>
      <c r="I325" s="439"/>
      <c r="J325" s="530"/>
      <c r="K325" s="439"/>
      <c r="L325" s="530"/>
      <c r="M325" s="439"/>
      <c r="N325" s="530"/>
      <c r="O325" s="439"/>
      <c r="P325" s="530"/>
      <c r="Q325" s="439"/>
      <c r="R325" s="530"/>
      <c r="S325" s="439"/>
      <c r="T325" s="530"/>
      <c r="U325" s="439"/>
    </row>
    <row r="326" ht="15.75" customHeight="1">
      <c r="A326" s="439"/>
      <c r="B326" s="439"/>
      <c r="C326" s="439"/>
      <c r="D326" s="530"/>
      <c r="E326" s="439"/>
      <c r="F326" s="530"/>
      <c r="G326" s="439"/>
      <c r="H326" s="530"/>
      <c r="I326" s="439"/>
      <c r="J326" s="530"/>
      <c r="K326" s="439"/>
      <c r="L326" s="530"/>
      <c r="M326" s="439"/>
      <c r="N326" s="530"/>
      <c r="O326" s="439"/>
      <c r="P326" s="530"/>
      <c r="Q326" s="439"/>
      <c r="R326" s="530"/>
      <c r="S326" s="439"/>
      <c r="T326" s="530"/>
      <c r="U326" s="439"/>
    </row>
    <row r="327" ht="15.75" customHeight="1">
      <c r="A327" s="439"/>
      <c r="B327" s="439"/>
      <c r="C327" s="439"/>
      <c r="D327" s="530"/>
      <c r="E327" s="439"/>
      <c r="F327" s="530"/>
      <c r="G327" s="439"/>
      <c r="H327" s="530"/>
      <c r="I327" s="439"/>
      <c r="J327" s="530"/>
      <c r="K327" s="439"/>
      <c r="L327" s="530"/>
      <c r="M327" s="439"/>
      <c r="N327" s="530"/>
      <c r="O327" s="439"/>
      <c r="P327" s="530"/>
      <c r="Q327" s="439"/>
      <c r="R327" s="530"/>
      <c r="S327" s="439"/>
      <c r="T327" s="530"/>
      <c r="U327" s="439"/>
    </row>
    <row r="328" ht="15.75" customHeight="1">
      <c r="A328" s="439"/>
      <c r="B328" s="439"/>
      <c r="C328" s="439"/>
      <c r="D328" s="530"/>
      <c r="E328" s="439"/>
      <c r="F328" s="530"/>
      <c r="G328" s="439"/>
      <c r="H328" s="530"/>
      <c r="I328" s="439"/>
      <c r="J328" s="530"/>
      <c r="K328" s="439"/>
      <c r="L328" s="530"/>
      <c r="M328" s="439"/>
      <c r="N328" s="530"/>
      <c r="O328" s="439"/>
      <c r="P328" s="530"/>
      <c r="Q328" s="439"/>
      <c r="R328" s="530"/>
      <c r="S328" s="439"/>
      <c r="T328" s="530"/>
      <c r="U328" s="439"/>
    </row>
    <row r="329" ht="15.75" customHeight="1">
      <c r="A329" s="439"/>
      <c r="B329" s="439"/>
      <c r="C329" s="439"/>
      <c r="D329" s="530"/>
      <c r="E329" s="439"/>
      <c r="F329" s="530"/>
      <c r="G329" s="439"/>
      <c r="H329" s="530"/>
      <c r="I329" s="439"/>
      <c r="J329" s="530"/>
      <c r="K329" s="439"/>
      <c r="L329" s="530"/>
      <c r="M329" s="439"/>
      <c r="N329" s="530"/>
      <c r="O329" s="439"/>
      <c r="P329" s="530"/>
      <c r="Q329" s="439"/>
      <c r="R329" s="530"/>
      <c r="S329" s="439"/>
      <c r="T329" s="530"/>
      <c r="U329" s="439"/>
    </row>
    <row r="330" ht="15.75" customHeight="1">
      <c r="A330" s="439"/>
      <c r="B330" s="439"/>
      <c r="C330" s="439"/>
      <c r="D330" s="530"/>
      <c r="E330" s="439"/>
      <c r="F330" s="530"/>
      <c r="G330" s="439"/>
      <c r="H330" s="530"/>
      <c r="I330" s="439"/>
      <c r="J330" s="530"/>
      <c r="K330" s="439"/>
      <c r="L330" s="530"/>
      <c r="M330" s="439"/>
      <c r="N330" s="530"/>
      <c r="O330" s="439"/>
      <c r="P330" s="530"/>
      <c r="Q330" s="439"/>
      <c r="R330" s="530"/>
      <c r="S330" s="439"/>
      <c r="T330" s="530"/>
      <c r="U330" s="439"/>
    </row>
    <row r="331" ht="15.75" customHeight="1">
      <c r="A331" s="439"/>
      <c r="B331" s="439"/>
      <c r="C331" s="439"/>
      <c r="D331" s="530"/>
      <c r="E331" s="439"/>
      <c r="F331" s="530"/>
      <c r="G331" s="439"/>
      <c r="H331" s="530"/>
      <c r="I331" s="439"/>
      <c r="J331" s="530"/>
      <c r="K331" s="439"/>
      <c r="L331" s="530"/>
      <c r="M331" s="439"/>
      <c r="N331" s="530"/>
      <c r="O331" s="439"/>
      <c r="P331" s="530"/>
      <c r="Q331" s="439"/>
      <c r="R331" s="530"/>
      <c r="S331" s="439"/>
      <c r="T331" s="530"/>
      <c r="U331" s="439"/>
    </row>
    <row r="332" ht="15.75" customHeight="1">
      <c r="A332" s="439"/>
      <c r="B332" s="439"/>
      <c r="C332" s="439"/>
      <c r="D332" s="530"/>
      <c r="E332" s="439"/>
      <c r="F332" s="530"/>
      <c r="G332" s="439"/>
      <c r="H332" s="530"/>
      <c r="I332" s="439"/>
      <c r="J332" s="530"/>
      <c r="K332" s="439"/>
      <c r="L332" s="530"/>
      <c r="M332" s="439"/>
      <c r="N332" s="530"/>
      <c r="O332" s="439"/>
      <c r="P332" s="530"/>
      <c r="Q332" s="439"/>
      <c r="R332" s="530"/>
      <c r="S332" s="439"/>
      <c r="T332" s="530"/>
      <c r="U332" s="439"/>
    </row>
    <row r="333" ht="15.75" customHeight="1">
      <c r="A333" s="439"/>
      <c r="B333" s="439"/>
      <c r="C333" s="439"/>
      <c r="D333" s="530"/>
      <c r="E333" s="439"/>
      <c r="F333" s="530"/>
      <c r="G333" s="439"/>
      <c r="H333" s="530"/>
      <c r="I333" s="439"/>
      <c r="J333" s="530"/>
      <c r="K333" s="439"/>
      <c r="L333" s="530"/>
      <c r="M333" s="439"/>
      <c r="N333" s="530"/>
      <c r="O333" s="439"/>
      <c r="P333" s="530"/>
      <c r="Q333" s="439"/>
      <c r="R333" s="530"/>
      <c r="S333" s="439"/>
      <c r="T333" s="530"/>
      <c r="U333" s="439"/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B4:B5"/>
    <mergeCell ref="C4:C5"/>
    <mergeCell ref="D4:I4"/>
    <mergeCell ref="J4:O4"/>
    <mergeCell ref="P4:U4"/>
    <mergeCell ref="B59:C59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1.5"/>
    <col customWidth="1" min="4" max="4" width="12.38"/>
    <col customWidth="1" hidden="1" min="5" max="5" width="12.63"/>
    <col customWidth="1" hidden="1" min="6" max="6" width="13.88"/>
    <col customWidth="1" hidden="1" min="7" max="9" width="12.63"/>
    <col customWidth="1" min="10" max="10" width="11.75"/>
    <col customWidth="1" hidden="1" min="11" max="11" width="12.63"/>
    <col customWidth="1" hidden="1" min="12" max="12" width="13.88"/>
    <col customWidth="1" hidden="1" min="13" max="15" width="12.63"/>
    <col customWidth="1" min="16" max="16" width="11.25"/>
    <col customWidth="1" hidden="1" min="17" max="17" width="12.63"/>
    <col customWidth="1" hidden="1" min="18" max="18" width="13.88"/>
    <col customWidth="1" hidden="1" min="19" max="21" width="12.63"/>
  </cols>
  <sheetData>
    <row r="1" ht="15.75" customHeight="1">
      <c r="B1" s="440" t="s">
        <v>0</v>
      </c>
      <c r="D1" s="148"/>
      <c r="F1" s="148"/>
      <c r="J1" s="148"/>
      <c r="L1" s="148"/>
      <c r="P1" s="148"/>
      <c r="R1" s="148"/>
    </row>
    <row r="2" ht="15.75" customHeight="1">
      <c r="B2" s="441" t="s">
        <v>286</v>
      </c>
      <c r="C2" s="439"/>
      <c r="D2" s="148"/>
      <c r="F2" s="148"/>
      <c r="J2" s="148"/>
      <c r="L2" s="148"/>
      <c r="P2" s="148"/>
      <c r="R2" s="148"/>
    </row>
    <row r="3" ht="15.75" customHeight="1">
      <c r="D3" s="148"/>
      <c r="F3" s="148"/>
      <c r="J3" s="148"/>
      <c r="L3" s="148"/>
      <c r="P3" s="148"/>
      <c r="R3" s="148"/>
    </row>
    <row r="4" ht="15.75" customHeight="1">
      <c r="B4" s="443" t="s">
        <v>162</v>
      </c>
      <c r="C4" s="443" t="s">
        <v>163</v>
      </c>
      <c r="D4" s="531" t="s">
        <v>164</v>
      </c>
      <c r="E4" s="10"/>
      <c r="F4" s="10"/>
      <c r="G4" s="10"/>
      <c r="H4" s="10"/>
      <c r="I4" s="13"/>
      <c r="J4" s="531" t="s">
        <v>165</v>
      </c>
      <c r="K4" s="10"/>
      <c r="L4" s="10"/>
      <c r="M4" s="10"/>
      <c r="N4" s="10"/>
      <c r="O4" s="13"/>
      <c r="P4" s="446" t="s">
        <v>166</v>
      </c>
      <c r="Q4" s="10"/>
      <c r="R4" s="10"/>
      <c r="S4" s="10"/>
      <c r="T4" s="10"/>
      <c r="U4" s="13"/>
    </row>
    <row r="5" ht="15.75" customHeight="1">
      <c r="B5" s="448"/>
      <c r="C5" s="448"/>
      <c r="D5" s="625" t="s">
        <v>167</v>
      </c>
      <c r="E5" s="626" t="s">
        <v>18</v>
      </c>
      <c r="F5" s="627" t="s">
        <v>168</v>
      </c>
      <c r="G5" s="626" t="s">
        <v>18</v>
      </c>
      <c r="H5" s="627" t="s">
        <v>169</v>
      </c>
      <c r="I5" s="628" t="s">
        <v>260</v>
      </c>
      <c r="J5" s="538" t="s">
        <v>167</v>
      </c>
      <c r="K5" s="629" t="s">
        <v>18</v>
      </c>
      <c r="L5" s="627" t="s">
        <v>168</v>
      </c>
      <c r="M5" s="626" t="s">
        <v>18</v>
      </c>
      <c r="N5" s="627" t="s">
        <v>169</v>
      </c>
      <c r="O5" s="628" t="s">
        <v>260</v>
      </c>
      <c r="P5" s="538" t="s">
        <v>167</v>
      </c>
      <c r="Q5" s="451" t="s">
        <v>18</v>
      </c>
      <c r="R5" s="538" t="s">
        <v>168</v>
      </c>
      <c r="S5" s="451" t="s">
        <v>18</v>
      </c>
      <c r="T5" s="538" t="s">
        <v>169</v>
      </c>
      <c r="U5" s="451" t="s">
        <v>260</v>
      </c>
    </row>
    <row r="6" ht="15.75" hidden="1" customHeight="1">
      <c r="B6" s="461"/>
      <c r="C6" s="497" t="s">
        <v>73</v>
      </c>
      <c r="D6" s="630">
        <v>0.0</v>
      </c>
      <c r="E6" s="631"/>
      <c r="F6" s="632"/>
      <c r="G6" s="631"/>
      <c r="H6" s="633"/>
      <c r="I6" s="634"/>
      <c r="J6" s="630">
        <v>0.0</v>
      </c>
      <c r="K6" s="631"/>
      <c r="L6" s="632"/>
      <c r="M6" s="631"/>
      <c r="N6" s="633"/>
      <c r="O6" s="634"/>
      <c r="P6" s="630">
        <v>0.0</v>
      </c>
      <c r="Q6" s="631"/>
      <c r="R6" s="632"/>
      <c r="S6" s="631"/>
      <c r="T6" s="633"/>
      <c r="U6" s="634"/>
    </row>
    <row r="7" ht="15.75" hidden="1" customHeight="1">
      <c r="B7" s="469"/>
      <c r="C7" s="465" t="s">
        <v>80</v>
      </c>
      <c r="D7" s="635">
        <v>499.0</v>
      </c>
      <c r="E7" s="636"/>
      <c r="F7" s="637"/>
      <c r="G7" s="636"/>
      <c r="H7" s="638"/>
      <c r="I7" s="639"/>
      <c r="J7" s="635">
        <v>499.0</v>
      </c>
      <c r="K7" s="636"/>
      <c r="L7" s="637"/>
      <c r="M7" s="636"/>
      <c r="N7" s="638"/>
      <c r="O7" s="639"/>
      <c r="P7" s="635">
        <v>499.0</v>
      </c>
      <c r="Q7" s="636"/>
      <c r="R7" s="637"/>
      <c r="S7" s="636"/>
      <c r="T7" s="638"/>
      <c r="U7" s="639"/>
    </row>
    <row r="8" ht="15.75" hidden="1" customHeight="1">
      <c r="B8" s="469"/>
      <c r="C8" s="465" t="s">
        <v>87</v>
      </c>
      <c r="D8" s="635">
        <f>D24+D25+D28+D16</f>
        <v>68605</v>
      </c>
      <c r="E8" s="636"/>
      <c r="F8" s="637"/>
      <c r="G8" s="636"/>
      <c r="H8" s="638"/>
      <c r="I8" s="639"/>
      <c r="J8" s="635">
        <f>J24+J25+J28+J16</f>
        <v>18105</v>
      </c>
      <c r="K8" s="636"/>
      <c r="L8" s="637"/>
      <c r="M8" s="636"/>
      <c r="N8" s="638"/>
      <c r="O8" s="639"/>
      <c r="P8" s="635">
        <f>P24+P25+P28+P16</f>
        <v>1825</v>
      </c>
      <c r="Q8" s="636"/>
      <c r="R8" s="637"/>
      <c r="S8" s="636"/>
      <c r="T8" s="638"/>
      <c r="U8" s="639"/>
    </row>
    <row r="9" ht="15.75" hidden="1" customHeight="1">
      <c r="B9" s="469"/>
      <c r="C9" s="465" t="s">
        <v>94</v>
      </c>
      <c r="D9" s="635">
        <f>D17+D19+D20+D21</f>
        <v>791143</v>
      </c>
      <c r="E9" s="636"/>
      <c r="F9" s="637"/>
      <c r="G9" s="636"/>
      <c r="H9" s="638"/>
      <c r="I9" s="639"/>
      <c r="J9" s="635">
        <f>J17+J19+J20+J21</f>
        <v>789395</v>
      </c>
      <c r="K9" s="636"/>
      <c r="L9" s="637"/>
      <c r="M9" s="636"/>
      <c r="N9" s="638"/>
      <c r="O9" s="639"/>
      <c r="P9" s="635">
        <f>P17+P19+P20+P21</f>
        <v>1142666</v>
      </c>
      <c r="Q9" s="636"/>
      <c r="R9" s="637"/>
      <c r="S9" s="636"/>
      <c r="T9" s="638"/>
      <c r="U9" s="639"/>
    </row>
    <row r="10" ht="15.75" hidden="1" customHeight="1">
      <c r="B10" s="469"/>
      <c r="C10" s="465" t="s">
        <v>101</v>
      </c>
      <c r="D10" s="635">
        <f>SUM(D8:D9)-D29</f>
        <v>0</v>
      </c>
      <c r="E10" s="636"/>
      <c r="F10" s="637"/>
      <c r="G10" s="636"/>
      <c r="H10" s="638"/>
      <c r="I10" s="639"/>
      <c r="J10" s="635">
        <f>SUM(J8:J9)-J29</f>
        <v>0</v>
      </c>
      <c r="K10" s="636"/>
      <c r="L10" s="637"/>
      <c r="M10" s="636"/>
      <c r="N10" s="638"/>
      <c r="O10" s="639"/>
      <c r="P10" s="635">
        <f>SUM(P8:P9)-P29</f>
        <v>0</v>
      </c>
      <c r="Q10" s="636"/>
      <c r="R10" s="637"/>
      <c r="S10" s="636"/>
      <c r="T10" s="638"/>
      <c r="U10" s="639"/>
    </row>
    <row r="11" ht="15.75" hidden="1" customHeight="1">
      <c r="B11" s="469"/>
      <c r="C11" s="465" t="s">
        <v>108</v>
      </c>
      <c r="D11" s="635" t="str">
        <f t="shared" ref="D11:D12" si="1">D8/D6</f>
        <v>#DIV/0!</v>
      </c>
      <c r="E11" s="636"/>
      <c r="F11" s="637"/>
      <c r="G11" s="636"/>
      <c r="H11" s="638"/>
      <c r="I11" s="639"/>
      <c r="J11" s="635" t="str">
        <f t="shared" ref="J11:J12" si="2">J8/J6</f>
        <v>#DIV/0!</v>
      </c>
      <c r="K11" s="636"/>
      <c r="L11" s="637"/>
      <c r="M11" s="636"/>
      <c r="N11" s="638"/>
      <c r="O11" s="639"/>
      <c r="P11" s="635" t="str">
        <f t="shared" ref="P11:P12" si="3">P8/P6</f>
        <v>#DIV/0!</v>
      </c>
      <c r="Q11" s="636"/>
      <c r="R11" s="637"/>
      <c r="S11" s="636"/>
      <c r="T11" s="638"/>
      <c r="U11" s="639"/>
    </row>
    <row r="12" ht="15.75" hidden="1" customHeight="1">
      <c r="B12" s="469"/>
      <c r="C12" s="465" t="s">
        <v>115</v>
      </c>
      <c r="D12" s="635">
        <f t="shared" si="1"/>
        <v>1585.456914</v>
      </c>
      <c r="E12" s="636"/>
      <c r="F12" s="637"/>
      <c r="G12" s="636"/>
      <c r="H12" s="638"/>
      <c r="I12" s="639"/>
      <c r="J12" s="635">
        <f t="shared" si="2"/>
        <v>1581.953908</v>
      </c>
      <c r="K12" s="636"/>
      <c r="L12" s="637"/>
      <c r="M12" s="636"/>
      <c r="N12" s="638"/>
      <c r="O12" s="639"/>
      <c r="P12" s="635">
        <f t="shared" si="3"/>
        <v>2289.911824</v>
      </c>
      <c r="Q12" s="636"/>
      <c r="R12" s="637"/>
      <c r="S12" s="636"/>
      <c r="T12" s="638"/>
      <c r="U12" s="639"/>
    </row>
    <row r="13" ht="15.75" hidden="1" customHeight="1">
      <c r="B13" s="469"/>
      <c r="C13" s="465"/>
      <c r="D13" s="635"/>
      <c r="E13" s="636"/>
      <c r="F13" s="637"/>
      <c r="G13" s="636"/>
      <c r="H13" s="638"/>
      <c r="I13" s="639"/>
      <c r="J13" s="635"/>
      <c r="K13" s="636"/>
      <c r="L13" s="637"/>
      <c r="M13" s="636"/>
      <c r="N13" s="638"/>
      <c r="O13" s="639"/>
      <c r="P13" s="635"/>
      <c r="Q13" s="636"/>
      <c r="R13" s="637"/>
      <c r="S13" s="636"/>
      <c r="T13" s="638"/>
      <c r="U13" s="639"/>
    </row>
    <row r="14" ht="15.75" hidden="1" customHeight="1">
      <c r="B14" s="543"/>
      <c r="C14" s="483"/>
      <c r="D14" s="640"/>
      <c r="E14" s="641"/>
      <c r="F14" s="642"/>
      <c r="G14" s="641"/>
      <c r="H14" s="643"/>
      <c r="I14" s="644"/>
      <c r="J14" s="640"/>
      <c r="K14" s="641"/>
      <c r="L14" s="642"/>
      <c r="M14" s="641"/>
      <c r="N14" s="643"/>
      <c r="O14" s="644"/>
      <c r="P14" s="640"/>
      <c r="Q14" s="641"/>
      <c r="R14" s="642"/>
      <c r="S14" s="641"/>
      <c r="T14" s="643"/>
      <c r="U14" s="644"/>
    </row>
    <row r="15" ht="15.75" customHeight="1">
      <c r="B15" s="457" t="s">
        <v>170</v>
      </c>
      <c r="C15" s="490"/>
      <c r="D15" s="459">
        <f>SUM(D16:D21)</f>
        <v>859748</v>
      </c>
      <c r="E15" s="584"/>
      <c r="F15" s="548">
        <f>SUM(F16:F21)</f>
        <v>0</v>
      </c>
      <c r="G15" s="584"/>
      <c r="H15" s="645">
        <f>SUM(H16:H21)</f>
        <v>0</v>
      </c>
      <c r="I15" s="585"/>
      <c r="J15" s="459">
        <f>SUM(J16:J21)</f>
        <v>807500</v>
      </c>
      <c r="K15" s="584"/>
      <c r="L15" s="548">
        <f>SUM(L16:L21)</f>
        <v>0</v>
      </c>
      <c r="M15" s="584"/>
      <c r="N15" s="645">
        <f>SUM(N16:N21)</f>
        <v>0</v>
      </c>
      <c r="O15" s="585"/>
      <c r="P15" s="491">
        <f>SUM(P16:P21)</f>
        <v>1144491</v>
      </c>
      <c r="Q15" s="586"/>
      <c r="R15" s="548">
        <f>SUM(R16:R21)</f>
        <v>0</v>
      </c>
      <c r="S15" s="584"/>
      <c r="T15" s="645">
        <f>SUM(T16:T21)</f>
        <v>0</v>
      </c>
      <c r="U15" s="585"/>
    </row>
    <row r="16" ht="15.75" customHeight="1">
      <c r="B16" s="461" t="s">
        <v>23</v>
      </c>
      <c r="C16" s="497" t="s">
        <v>172</v>
      </c>
      <c r="D16" s="463">
        <v>68605.0</v>
      </c>
      <c r="E16" s="540"/>
      <c r="F16" s="541">
        <v>0.0</v>
      </c>
      <c r="G16" s="540"/>
      <c r="H16" s="646"/>
      <c r="I16" s="647"/>
      <c r="J16" s="35">
        <v>18105.0</v>
      </c>
      <c r="K16" s="606"/>
      <c r="L16" s="541">
        <v>0.0</v>
      </c>
      <c r="M16" s="540"/>
      <c r="N16" s="646"/>
      <c r="O16" s="542"/>
      <c r="P16" s="648">
        <v>1825.0</v>
      </c>
      <c r="Q16" s="606"/>
      <c r="R16" s="541">
        <v>0.0</v>
      </c>
      <c r="S16" s="540"/>
      <c r="T16" s="646"/>
      <c r="U16" s="542"/>
    </row>
    <row r="17" ht="15.75" customHeight="1">
      <c r="B17" s="465"/>
      <c r="C17" s="465" t="s">
        <v>173</v>
      </c>
      <c r="D17" s="467">
        <v>753785.0</v>
      </c>
      <c r="E17" s="539"/>
      <c r="F17" s="521"/>
      <c r="G17" s="539"/>
      <c r="H17" s="649"/>
      <c r="I17" s="574"/>
      <c r="J17" s="650">
        <v>779109.0</v>
      </c>
      <c r="K17" s="575"/>
      <c r="L17" s="521"/>
      <c r="M17" s="539"/>
      <c r="N17" s="649"/>
      <c r="O17" s="479"/>
      <c r="P17" s="519">
        <v>616116.0</v>
      </c>
      <c r="Q17" s="575"/>
      <c r="R17" s="521"/>
      <c r="S17" s="539"/>
      <c r="T17" s="649"/>
      <c r="U17" s="479"/>
    </row>
    <row r="18" ht="15.75" customHeight="1">
      <c r="B18" s="465"/>
      <c r="C18" s="466" t="s">
        <v>261</v>
      </c>
      <c r="D18" s="467"/>
      <c r="E18" s="557">
        <f>D18/$D$15</f>
        <v>0</v>
      </c>
      <c r="F18" s="521"/>
      <c r="G18" s="557" t="str">
        <f>F18/$F$15</f>
        <v>#DIV/0!</v>
      </c>
      <c r="H18" s="521">
        <f>D18-F18</f>
        <v>0</v>
      </c>
      <c r="I18" s="562"/>
      <c r="J18" s="463"/>
      <c r="K18" s="557">
        <f>J18/$D$15</f>
        <v>0</v>
      </c>
      <c r="L18" s="521"/>
      <c r="M18" s="557" t="str">
        <f>L18/$F$15</f>
        <v>#DIV/0!</v>
      </c>
      <c r="N18" s="521">
        <f>J18-L18</f>
        <v>0</v>
      </c>
      <c r="O18" s="562"/>
      <c r="P18" s="498"/>
      <c r="Q18" s="560">
        <f>P18/$D$15</f>
        <v>0</v>
      </c>
      <c r="R18" s="521"/>
      <c r="S18" s="557" t="str">
        <f>R18/$F$15</f>
        <v>#DIV/0!</v>
      </c>
      <c r="T18" s="521">
        <f>P18-R18</f>
        <v>0</v>
      </c>
      <c r="U18" s="562"/>
    </row>
    <row r="19" ht="15.75" customHeight="1">
      <c r="B19" s="465"/>
      <c r="C19" s="465" t="s">
        <v>174</v>
      </c>
      <c r="D19" s="467">
        <v>37358.0</v>
      </c>
      <c r="E19" s="539"/>
      <c r="F19" s="521"/>
      <c r="G19" s="539"/>
      <c r="H19" s="649"/>
      <c r="I19" s="479"/>
      <c r="J19" s="65">
        <v>10286.0</v>
      </c>
      <c r="K19" s="539"/>
      <c r="L19" s="521"/>
      <c r="M19" s="539"/>
      <c r="N19" s="649"/>
      <c r="O19" s="479"/>
      <c r="P19" s="651">
        <v>526550.0</v>
      </c>
      <c r="Q19" s="575"/>
      <c r="R19" s="521"/>
      <c r="S19" s="539"/>
      <c r="T19" s="649"/>
      <c r="U19" s="479"/>
    </row>
    <row r="20" ht="15.75" customHeight="1">
      <c r="B20" s="465"/>
      <c r="C20" s="465" t="s">
        <v>175</v>
      </c>
      <c r="D20" s="467"/>
      <c r="E20" s="539"/>
      <c r="F20" s="521"/>
      <c r="G20" s="539"/>
      <c r="H20" s="649"/>
      <c r="I20" s="479"/>
      <c r="J20" s="467"/>
      <c r="K20" s="539"/>
      <c r="L20" s="521"/>
      <c r="M20" s="539"/>
      <c r="N20" s="649"/>
      <c r="O20" s="479"/>
      <c r="P20" s="474"/>
      <c r="Q20" s="575"/>
      <c r="R20" s="521"/>
      <c r="S20" s="539"/>
      <c r="T20" s="649"/>
      <c r="U20" s="479"/>
    </row>
    <row r="21" ht="15.75" customHeight="1">
      <c r="B21" s="652"/>
      <c r="C21" s="465" t="s">
        <v>176</v>
      </c>
      <c r="D21" s="467"/>
      <c r="E21" s="539"/>
      <c r="F21" s="521"/>
      <c r="G21" s="539"/>
      <c r="H21" s="649"/>
      <c r="I21" s="479"/>
      <c r="J21" s="467"/>
      <c r="K21" s="539"/>
      <c r="L21" s="521"/>
      <c r="M21" s="539"/>
      <c r="N21" s="649"/>
      <c r="O21" s="479"/>
      <c r="P21" s="474"/>
      <c r="Q21" s="575"/>
      <c r="R21" s="521"/>
      <c r="S21" s="539"/>
      <c r="T21" s="649"/>
      <c r="U21" s="479"/>
    </row>
    <row r="22" ht="15.75" customHeight="1">
      <c r="B22" s="465"/>
      <c r="C22" s="466" t="s">
        <v>263</v>
      </c>
      <c r="D22" s="467"/>
      <c r="E22" s="557">
        <f>D22/$D$15</f>
        <v>0</v>
      </c>
      <c r="F22" s="521"/>
      <c r="G22" s="557"/>
      <c r="H22" s="521">
        <f>D22-F22</f>
        <v>0</v>
      </c>
      <c r="I22" s="573" t="str">
        <f>IFERROR(H22/F22,"")</f>
        <v/>
      </c>
      <c r="J22" s="467"/>
      <c r="K22" s="557">
        <f>J22/$D$15</f>
        <v>0</v>
      </c>
      <c r="L22" s="521"/>
      <c r="M22" s="557"/>
      <c r="N22" s="521">
        <f>J22-L22</f>
        <v>0</v>
      </c>
      <c r="O22" s="573" t="str">
        <f>IFERROR(N22/L22,"")</f>
        <v/>
      </c>
      <c r="P22" s="474"/>
      <c r="Q22" s="560">
        <f>P22/$D$15</f>
        <v>0</v>
      </c>
      <c r="R22" s="521"/>
      <c r="S22" s="557"/>
      <c r="T22" s="521">
        <f>P22-R22</f>
        <v>0</v>
      </c>
      <c r="U22" s="573" t="str">
        <f>IFERROR(T22/R22,"")</f>
        <v/>
      </c>
    </row>
    <row r="23" ht="15.75" customHeight="1">
      <c r="B23" s="469"/>
      <c r="C23" s="652"/>
      <c r="D23" s="467"/>
      <c r="E23" s="539"/>
      <c r="F23" s="521"/>
      <c r="G23" s="539"/>
      <c r="H23" s="649"/>
      <c r="I23" s="479"/>
      <c r="J23" s="467"/>
      <c r="K23" s="539"/>
      <c r="L23" s="521"/>
      <c r="M23" s="539"/>
      <c r="N23" s="649"/>
      <c r="O23" s="479"/>
      <c r="P23" s="474"/>
      <c r="Q23" s="575"/>
      <c r="R23" s="521"/>
      <c r="S23" s="539"/>
      <c r="T23" s="649"/>
      <c r="U23" s="479"/>
    </row>
    <row r="24" ht="15.75" customHeight="1">
      <c r="B24" s="469" t="s">
        <v>21</v>
      </c>
      <c r="C24" s="652" t="s">
        <v>21</v>
      </c>
      <c r="D24" s="467">
        <v>0.0</v>
      </c>
      <c r="E24" s="539"/>
      <c r="F24" s="521"/>
      <c r="G24" s="539"/>
      <c r="H24" s="649">
        <v>0.0</v>
      </c>
      <c r="I24" s="479"/>
      <c r="J24" s="467">
        <v>0.0</v>
      </c>
      <c r="K24" s="539"/>
      <c r="L24" s="521"/>
      <c r="M24" s="539"/>
      <c r="N24" s="649">
        <v>0.0</v>
      </c>
      <c r="O24" s="479"/>
      <c r="P24" s="506">
        <v>0.0</v>
      </c>
      <c r="Q24" s="575"/>
      <c r="R24" s="521"/>
      <c r="S24" s="539"/>
      <c r="T24" s="649">
        <v>0.0</v>
      </c>
      <c r="U24" s="479"/>
    </row>
    <row r="25" ht="15.75" customHeight="1">
      <c r="B25" s="469" t="s">
        <v>22</v>
      </c>
      <c r="C25" s="652" t="s">
        <v>22</v>
      </c>
      <c r="D25" s="467">
        <v>0.0</v>
      </c>
      <c r="E25" s="539"/>
      <c r="F25" s="521"/>
      <c r="G25" s="539"/>
      <c r="H25" s="649">
        <v>0.0</v>
      </c>
      <c r="I25" s="479"/>
      <c r="J25" s="485">
        <v>0.0</v>
      </c>
      <c r="K25" s="539"/>
      <c r="L25" s="521"/>
      <c r="M25" s="539"/>
      <c r="N25" s="649">
        <v>0.0</v>
      </c>
      <c r="O25" s="479"/>
      <c r="P25" s="488">
        <v>0.0</v>
      </c>
      <c r="Q25" s="575"/>
      <c r="R25" s="521"/>
      <c r="S25" s="539"/>
      <c r="T25" s="649">
        <v>0.0</v>
      </c>
      <c r="U25" s="479"/>
    </row>
    <row r="26" ht="15.75" customHeight="1">
      <c r="B26" s="469" t="s">
        <v>23</v>
      </c>
      <c r="C26" s="652" t="s">
        <v>177</v>
      </c>
      <c r="D26" s="576">
        <f>SUM(D16:D22)</f>
        <v>859748</v>
      </c>
      <c r="E26" s="653"/>
      <c r="F26" s="579"/>
      <c r="G26" s="653"/>
      <c r="H26" s="654">
        <f>SUM(H16:H21)</f>
        <v>0</v>
      </c>
      <c r="I26" s="655"/>
      <c r="J26" s="576">
        <f>SUM(J16:J22)</f>
        <v>807500</v>
      </c>
      <c r="K26" s="656"/>
      <c r="L26" s="579"/>
      <c r="M26" s="653"/>
      <c r="N26" s="654">
        <f>SUM(N16:N21)</f>
        <v>0</v>
      </c>
      <c r="O26" s="657"/>
      <c r="P26" s="581">
        <f>sum(P16:P22)</f>
        <v>1144491</v>
      </c>
      <c r="Q26" s="575"/>
      <c r="R26" s="582"/>
      <c r="S26" s="539"/>
      <c r="T26" s="658">
        <f>SUM(T16:T21)</f>
        <v>0</v>
      </c>
      <c r="U26" s="479"/>
    </row>
    <row r="27" ht="15.75" customHeight="1">
      <c r="B27" s="465"/>
      <c r="C27" s="652"/>
      <c r="D27" s="467"/>
      <c r="E27" s="539"/>
      <c r="F27" s="521"/>
      <c r="G27" s="539"/>
      <c r="H27" s="539"/>
      <c r="I27" s="479"/>
      <c r="J27" s="463"/>
      <c r="K27" s="539"/>
      <c r="L27" s="521"/>
      <c r="M27" s="539"/>
      <c r="N27" s="539"/>
      <c r="O27" s="479"/>
      <c r="P27" s="498"/>
      <c r="Q27" s="575"/>
      <c r="R27" s="521"/>
      <c r="S27" s="539"/>
      <c r="T27" s="539"/>
      <c r="U27" s="479"/>
    </row>
    <row r="28" ht="15.75" customHeight="1">
      <c r="B28" s="483"/>
      <c r="C28" s="659" t="s">
        <v>178</v>
      </c>
      <c r="D28" s="485"/>
      <c r="E28" s="544"/>
      <c r="F28" s="545">
        <v>0.0</v>
      </c>
      <c r="G28" s="544"/>
      <c r="H28" s="544"/>
      <c r="I28" s="546"/>
      <c r="J28" s="485"/>
      <c r="K28" s="544"/>
      <c r="L28" s="545">
        <v>0.0</v>
      </c>
      <c r="M28" s="544"/>
      <c r="N28" s="544"/>
      <c r="O28" s="546"/>
      <c r="P28" s="501"/>
      <c r="Q28" s="609"/>
      <c r="R28" s="545">
        <v>0.0</v>
      </c>
      <c r="S28" s="544"/>
      <c r="T28" s="544"/>
      <c r="U28" s="546"/>
    </row>
    <row r="29" ht="15.75" customHeight="1">
      <c r="B29" s="490"/>
      <c r="C29" s="490" t="s">
        <v>179</v>
      </c>
      <c r="D29" s="459">
        <f>D24+D25+D26+D28+D22</f>
        <v>859748</v>
      </c>
      <c r="E29" s="584"/>
      <c r="F29" s="548">
        <f>F24+F25+F26+F28</f>
        <v>0</v>
      </c>
      <c r="G29" s="584"/>
      <c r="H29" s="645">
        <f>H24+H25+H26+H28</f>
        <v>0</v>
      </c>
      <c r="I29" s="585"/>
      <c r="J29" s="459">
        <f>J24+J25+J26+J28+J22</f>
        <v>807500</v>
      </c>
      <c r="K29" s="584"/>
      <c r="L29" s="548">
        <f>L24+L25+L26+L28</f>
        <v>0</v>
      </c>
      <c r="M29" s="584"/>
      <c r="N29" s="645">
        <f>N24+N25+N26+N28</f>
        <v>0</v>
      </c>
      <c r="O29" s="585"/>
      <c r="P29" s="491">
        <f>P24+P25+P26+P28+P22</f>
        <v>1144491</v>
      </c>
      <c r="Q29" s="586"/>
      <c r="R29" s="548">
        <f>R24+R25+R26+R28</f>
        <v>0</v>
      </c>
      <c r="S29" s="584"/>
      <c r="T29" s="645">
        <f>T24+T25+T26+T28</f>
        <v>0</v>
      </c>
      <c r="U29" s="585"/>
    </row>
    <row r="30" ht="15.75" customHeight="1">
      <c r="B30" s="461" t="s">
        <v>180</v>
      </c>
      <c r="C30" s="497"/>
      <c r="D30" s="463"/>
      <c r="E30" s="540"/>
      <c r="F30" s="541"/>
      <c r="G30" s="540"/>
      <c r="H30" s="540"/>
      <c r="I30" s="542"/>
      <c r="J30" s="463"/>
      <c r="K30" s="540"/>
      <c r="L30" s="541"/>
      <c r="M30" s="540"/>
      <c r="N30" s="540"/>
      <c r="O30" s="542"/>
      <c r="P30" s="498"/>
      <c r="Q30" s="606"/>
      <c r="R30" s="541"/>
      <c r="S30" s="540"/>
      <c r="T30" s="540"/>
      <c r="U30" s="542"/>
    </row>
    <row r="31" ht="15.75" customHeight="1">
      <c r="B31" s="469"/>
      <c r="C31" s="469"/>
      <c r="D31" s="467"/>
      <c r="E31" s="539"/>
      <c r="F31" s="521"/>
      <c r="G31" s="539"/>
      <c r="H31" s="539"/>
      <c r="I31" s="479"/>
      <c r="J31" s="467"/>
      <c r="K31" s="539"/>
      <c r="L31" s="521"/>
      <c r="M31" s="539"/>
      <c r="N31" s="539"/>
      <c r="O31" s="479"/>
      <c r="P31" s="474"/>
      <c r="Q31" s="575"/>
      <c r="R31" s="521"/>
      <c r="S31" s="539"/>
      <c r="T31" s="539"/>
      <c r="U31" s="479"/>
    </row>
    <row r="32" ht="15.75" customHeight="1">
      <c r="B32" s="481" t="s">
        <v>183</v>
      </c>
      <c r="C32" s="465"/>
      <c r="D32" s="467"/>
      <c r="E32" s="539"/>
      <c r="F32" s="521"/>
      <c r="G32" s="539"/>
      <c r="H32" s="539"/>
      <c r="I32" s="479"/>
      <c r="J32" s="467"/>
      <c r="K32" s="539"/>
      <c r="L32" s="521"/>
      <c r="M32" s="539"/>
      <c r="N32" s="539"/>
      <c r="O32" s="479"/>
      <c r="P32" s="474"/>
      <c r="Q32" s="575"/>
      <c r="R32" s="521"/>
      <c r="S32" s="539"/>
      <c r="T32" s="539"/>
      <c r="U32" s="479"/>
    </row>
    <row r="33" ht="15.75" customHeight="1">
      <c r="B33" s="469" t="s">
        <v>28</v>
      </c>
      <c r="C33" s="465"/>
      <c r="D33" s="467"/>
      <c r="E33" s="539"/>
      <c r="F33" s="521"/>
      <c r="G33" s="539"/>
      <c r="H33" s="539"/>
      <c r="I33" s="479"/>
      <c r="J33" s="467"/>
      <c r="K33" s="539"/>
      <c r="L33" s="521"/>
      <c r="M33" s="539"/>
      <c r="N33" s="539"/>
      <c r="O33" s="479"/>
      <c r="P33" s="474"/>
      <c r="Q33" s="575"/>
      <c r="R33" s="521"/>
      <c r="S33" s="539"/>
      <c r="T33" s="539"/>
      <c r="U33" s="479"/>
    </row>
    <row r="34" ht="15.75" customHeight="1">
      <c r="B34" s="465"/>
      <c r="C34" s="587" t="s">
        <v>184</v>
      </c>
      <c r="D34" s="467"/>
      <c r="E34" s="539"/>
      <c r="F34" s="521"/>
      <c r="G34" s="539"/>
      <c r="H34" s="539"/>
      <c r="I34" s="479"/>
      <c r="J34" s="467"/>
      <c r="K34" s="539"/>
      <c r="L34" s="521"/>
      <c r="M34" s="539"/>
      <c r="N34" s="539"/>
      <c r="O34" s="479"/>
      <c r="P34" s="474"/>
      <c r="Q34" s="575"/>
      <c r="R34" s="521"/>
      <c r="S34" s="539"/>
      <c r="T34" s="539"/>
      <c r="U34" s="479"/>
    </row>
    <row r="35" ht="15.75" customHeight="1">
      <c r="B35" s="465"/>
      <c r="C35" s="652" t="s">
        <v>185</v>
      </c>
      <c r="D35" s="467">
        <v>0.0</v>
      </c>
      <c r="E35" s="539"/>
      <c r="F35" s="521"/>
      <c r="G35" s="557"/>
      <c r="H35" s="539"/>
      <c r="I35" s="479"/>
      <c r="J35" s="467">
        <v>0.0</v>
      </c>
      <c r="K35" s="539"/>
      <c r="L35" s="521"/>
      <c r="M35" s="557"/>
      <c r="N35" s="539"/>
      <c r="O35" s="479"/>
      <c r="P35" s="488">
        <v>0.0</v>
      </c>
      <c r="Q35" s="575"/>
      <c r="R35" s="521"/>
      <c r="S35" s="557"/>
      <c r="T35" s="539"/>
      <c r="U35" s="479"/>
    </row>
    <row r="36" ht="15.75" customHeight="1">
      <c r="B36" s="465"/>
      <c r="C36" s="652" t="s">
        <v>186</v>
      </c>
      <c r="D36" s="467">
        <v>274708.3644731338</v>
      </c>
      <c r="E36" s="557"/>
      <c r="F36" s="521"/>
      <c r="G36" s="557"/>
      <c r="H36" s="539"/>
      <c r="I36" s="574"/>
      <c r="J36" s="467">
        <v>273496.0</v>
      </c>
      <c r="K36" s="560"/>
      <c r="L36" s="521"/>
      <c r="M36" s="557"/>
      <c r="N36" s="539"/>
      <c r="O36" s="479"/>
      <c r="P36" s="660">
        <v>252984.0</v>
      </c>
      <c r="Q36" s="560"/>
      <c r="R36" s="521"/>
      <c r="S36" s="557"/>
      <c r="T36" s="539"/>
      <c r="U36" s="479"/>
    </row>
    <row r="37" ht="15.75" customHeight="1">
      <c r="B37" s="465"/>
      <c r="C37" s="652" t="s">
        <v>21</v>
      </c>
      <c r="D37" s="467">
        <v>0.0</v>
      </c>
      <c r="E37" s="539"/>
      <c r="F37" s="521"/>
      <c r="G37" s="557"/>
      <c r="H37" s="539"/>
      <c r="I37" s="479"/>
      <c r="J37" s="467">
        <v>0.0</v>
      </c>
      <c r="K37" s="539"/>
      <c r="L37" s="521"/>
      <c r="M37" s="557"/>
      <c r="N37" s="539"/>
      <c r="O37" s="479"/>
      <c r="P37" s="505">
        <v>0.0</v>
      </c>
      <c r="Q37" s="575"/>
      <c r="R37" s="521"/>
      <c r="S37" s="557"/>
      <c r="T37" s="539"/>
      <c r="U37" s="479"/>
    </row>
    <row r="38" ht="15.75" customHeight="1">
      <c r="B38" s="465"/>
      <c r="C38" s="652" t="s">
        <v>22</v>
      </c>
      <c r="D38" s="467">
        <v>0.0</v>
      </c>
      <c r="E38" s="539"/>
      <c r="F38" s="521"/>
      <c r="G38" s="557"/>
      <c r="H38" s="539"/>
      <c r="I38" s="479"/>
      <c r="J38" s="467">
        <v>0.0</v>
      </c>
      <c r="K38" s="539"/>
      <c r="L38" s="521"/>
      <c r="M38" s="557"/>
      <c r="N38" s="539"/>
      <c r="O38" s="479"/>
      <c r="P38" s="506">
        <v>0.0</v>
      </c>
      <c r="Q38" s="575"/>
      <c r="R38" s="521"/>
      <c r="S38" s="557"/>
      <c r="T38" s="539"/>
      <c r="U38" s="479"/>
    </row>
    <row r="39" ht="15.75" customHeight="1">
      <c r="B39" s="483"/>
      <c r="C39" s="483" t="s">
        <v>187</v>
      </c>
      <c r="D39" s="485">
        <f>'Calculation Sheet for GST on Pu'!C22</f>
        <v>11539.58785</v>
      </c>
      <c r="E39" s="564"/>
      <c r="F39" s="545"/>
      <c r="G39" s="564"/>
      <c r="H39" s="544"/>
      <c r="I39" s="546"/>
      <c r="J39" s="485">
        <f>'Calculation Sheet for GST on Pu'!D22</f>
        <v>11270.04593</v>
      </c>
      <c r="K39" s="564"/>
      <c r="L39" s="545"/>
      <c r="M39" s="564"/>
      <c r="N39" s="544"/>
      <c r="O39" s="546"/>
      <c r="P39" s="501">
        <f>'Calculation Sheet for GST on Pu'!E22</f>
        <v>12782.39227</v>
      </c>
      <c r="Q39" s="583"/>
      <c r="R39" s="545"/>
      <c r="S39" s="564"/>
      <c r="T39" s="544"/>
      <c r="U39" s="546"/>
    </row>
    <row r="40" ht="15.75" customHeight="1">
      <c r="B40" s="490"/>
      <c r="C40" s="490" t="s">
        <v>188</v>
      </c>
      <c r="D40" s="459">
        <f>SUM(D35:D39)</f>
        <v>286247.9523</v>
      </c>
      <c r="E40" s="547">
        <f>D40/D$29</f>
        <v>0.3329440165</v>
      </c>
      <c r="F40" s="548">
        <f>SUM(F35:F39)</f>
        <v>0</v>
      </c>
      <c r="G40" s="547" t="str">
        <f>F40/F$29</f>
        <v>#DIV/0!</v>
      </c>
      <c r="H40" s="584">
        <f>SUM(H35:H39)</f>
        <v>0</v>
      </c>
      <c r="I40" s="585"/>
      <c r="J40" s="459">
        <f>SUM(J35:J39)</f>
        <v>284766.0459</v>
      </c>
      <c r="K40" s="547">
        <f>J40/J$29</f>
        <v>0.3526514501</v>
      </c>
      <c r="L40" s="548">
        <f>SUM(L35:L39)</f>
        <v>0</v>
      </c>
      <c r="M40" s="547" t="str">
        <f>L40/L$29</f>
        <v>#DIV/0!</v>
      </c>
      <c r="N40" s="584">
        <f>SUM(N35:N39)</f>
        <v>0</v>
      </c>
      <c r="O40" s="585"/>
      <c r="P40" s="491">
        <f>SUM(P35:P39)</f>
        <v>265766.3923</v>
      </c>
      <c r="Q40" s="551">
        <f>P40/P$29</f>
        <v>0.2322136149</v>
      </c>
      <c r="R40" s="548">
        <f>SUM(R35:R39)</f>
        <v>0</v>
      </c>
      <c r="S40" s="547" t="str">
        <f>R40/R$29</f>
        <v>#DIV/0!</v>
      </c>
      <c r="T40" s="584">
        <f>SUM(T35:T39)</f>
        <v>0</v>
      </c>
      <c r="U40" s="585"/>
    </row>
    <row r="41" ht="15.75" customHeight="1">
      <c r="B41" s="526"/>
      <c r="C41" s="526" t="s">
        <v>189</v>
      </c>
      <c r="D41" s="515">
        <v>43654.0</v>
      </c>
      <c r="E41" s="589"/>
      <c r="F41" s="590"/>
      <c r="G41" s="589"/>
      <c r="H41" s="620"/>
      <c r="I41" s="455"/>
      <c r="J41" s="515">
        <v>29560.0</v>
      </c>
      <c r="K41" s="589"/>
      <c r="L41" s="590"/>
      <c r="M41" s="589"/>
      <c r="N41" s="620"/>
      <c r="O41" s="455"/>
      <c r="P41" s="516">
        <v>10717.0</v>
      </c>
      <c r="Q41" s="593"/>
      <c r="R41" s="590"/>
      <c r="S41" s="589"/>
      <c r="T41" s="620"/>
      <c r="U41" s="455"/>
    </row>
    <row r="42" ht="15.75" customHeight="1">
      <c r="B42" s="490"/>
      <c r="C42" s="490" t="s">
        <v>190</v>
      </c>
      <c r="D42" s="459">
        <f>D40+D41</f>
        <v>329901.9523</v>
      </c>
      <c r="E42" s="547">
        <f t="shared" ref="E42:E43" si="4">D42/D$29</f>
        <v>0.38371936</v>
      </c>
      <c r="F42" s="548">
        <f>F40+F41</f>
        <v>0</v>
      </c>
      <c r="G42" s="547" t="str">
        <f t="shared" ref="G42:G43" si="5">F42/F$29</f>
        <v>#DIV/0!</v>
      </c>
      <c r="H42" s="584">
        <f>H40+H41</f>
        <v>0</v>
      </c>
      <c r="I42" s="585"/>
      <c r="J42" s="459">
        <f>J40+J41</f>
        <v>314326.0459</v>
      </c>
      <c r="K42" s="547">
        <f t="shared" ref="K42:K43" si="6">J42/J$29</f>
        <v>0.3892582612</v>
      </c>
      <c r="L42" s="548">
        <f>L40+L41</f>
        <v>0</v>
      </c>
      <c r="M42" s="547" t="str">
        <f t="shared" ref="M42:M43" si="7">L42/L$29</f>
        <v>#DIV/0!</v>
      </c>
      <c r="N42" s="584">
        <f>N40+N41</f>
        <v>0</v>
      </c>
      <c r="O42" s="585"/>
      <c r="P42" s="491">
        <f>P40+P41</f>
        <v>276483.3923</v>
      </c>
      <c r="Q42" s="551">
        <f t="shared" ref="Q42:Q43" si="8">P42/P$29</f>
        <v>0.2415776029</v>
      </c>
      <c r="R42" s="548">
        <f>R40+R41</f>
        <v>0</v>
      </c>
      <c r="S42" s="547" t="str">
        <f t="shared" ref="S42:S43" si="9">R42/R$29</f>
        <v>#DIV/0!</v>
      </c>
      <c r="T42" s="584">
        <f>T40+T41</f>
        <v>0</v>
      </c>
      <c r="U42" s="585"/>
    </row>
    <row r="43" ht="15.75" customHeight="1">
      <c r="B43" s="661" t="s">
        <v>32</v>
      </c>
      <c r="C43" s="662" t="s">
        <v>32</v>
      </c>
      <c r="D43" s="459">
        <f>D29-D42</f>
        <v>529846.0477</v>
      </c>
      <c r="E43" s="547">
        <f t="shared" si="4"/>
        <v>0.61628064</v>
      </c>
      <c r="F43" s="548">
        <f>F29-F42</f>
        <v>0</v>
      </c>
      <c r="G43" s="547" t="str">
        <f t="shared" si="5"/>
        <v>#DIV/0!</v>
      </c>
      <c r="H43" s="548">
        <f>H29-H42</f>
        <v>0</v>
      </c>
      <c r="I43" s="549" t="str">
        <f>H43/H$29</f>
        <v>#DIV/0!</v>
      </c>
      <c r="J43" s="459">
        <f>J29-J42</f>
        <v>493173.9541</v>
      </c>
      <c r="K43" s="547">
        <f t="shared" si="6"/>
        <v>0.6107417388</v>
      </c>
      <c r="L43" s="548">
        <f>L29-L42</f>
        <v>0</v>
      </c>
      <c r="M43" s="547" t="str">
        <f t="shared" si="7"/>
        <v>#DIV/0!</v>
      </c>
      <c r="N43" s="548">
        <f>N29-N42</f>
        <v>0</v>
      </c>
      <c r="O43" s="549" t="str">
        <f>N43/N$29</f>
        <v>#DIV/0!</v>
      </c>
      <c r="P43" s="491">
        <f>P29-P42</f>
        <v>868007.6077</v>
      </c>
      <c r="Q43" s="551">
        <f t="shared" si="8"/>
        <v>0.7584223971</v>
      </c>
      <c r="R43" s="548">
        <f>R29-R42</f>
        <v>0</v>
      </c>
      <c r="S43" s="547" t="str">
        <f t="shared" si="9"/>
        <v>#DIV/0!</v>
      </c>
      <c r="T43" s="548">
        <f>T29-T42</f>
        <v>0</v>
      </c>
      <c r="U43" s="549" t="str">
        <f>T43/T$29</f>
        <v>#DIV/0!</v>
      </c>
    </row>
    <row r="44" ht="15.75" customHeight="1">
      <c r="B44" s="497"/>
      <c r="C44" s="497"/>
      <c r="D44" s="463"/>
      <c r="E44" s="540"/>
      <c r="F44" s="541"/>
      <c r="G44" s="540"/>
      <c r="H44" s="540"/>
      <c r="I44" s="542"/>
      <c r="J44" s="463"/>
      <c r="K44" s="540"/>
      <c r="L44" s="541"/>
      <c r="M44" s="540"/>
      <c r="N44" s="540"/>
      <c r="O44" s="542"/>
      <c r="P44" s="498"/>
      <c r="Q44" s="606"/>
      <c r="R44" s="541"/>
      <c r="S44" s="540"/>
      <c r="T44" s="540"/>
      <c r="U44" s="542"/>
    </row>
    <row r="45" ht="15.75" customHeight="1">
      <c r="B45" s="465"/>
      <c r="C45" s="663" t="s">
        <v>191</v>
      </c>
      <c r="D45" s="467"/>
      <c r="E45" s="539"/>
      <c r="F45" s="521"/>
      <c r="G45" s="539"/>
      <c r="H45" s="539"/>
      <c r="I45" s="479"/>
      <c r="J45" s="467"/>
      <c r="K45" s="539"/>
      <c r="L45" s="521"/>
      <c r="M45" s="539"/>
      <c r="N45" s="539"/>
      <c r="O45" s="479"/>
      <c r="P45" s="474"/>
      <c r="Q45" s="575"/>
      <c r="R45" s="521"/>
      <c r="S45" s="539"/>
      <c r="T45" s="539"/>
      <c r="U45" s="479"/>
    </row>
    <row r="46" ht="15.75" customHeight="1">
      <c r="B46" s="465"/>
      <c r="C46" s="465" t="s">
        <v>192</v>
      </c>
      <c r="D46" s="467">
        <v>2160.34</v>
      </c>
      <c r="E46" s="557">
        <f t="shared" ref="E46:E52" si="10">D46/D$29</f>
        <v>0.002512759553</v>
      </c>
      <c r="F46" s="521"/>
      <c r="G46" s="557">
        <v>0.0</v>
      </c>
      <c r="H46" s="539"/>
      <c r="I46" s="479"/>
      <c r="J46" s="467">
        <v>4305.0</v>
      </c>
      <c r="K46" s="557">
        <f t="shared" ref="K46:K52" si="11">J46/J$29</f>
        <v>0.00533126935</v>
      </c>
      <c r="L46" s="521"/>
      <c r="M46" s="557">
        <v>0.0</v>
      </c>
      <c r="N46" s="539"/>
      <c r="O46" s="479"/>
      <c r="P46" s="506">
        <v>3874.0</v>
      </c>
      <c r="Q46" s="560">
        <f t="shared" ref="Q46:Q52" si="12">P46/P$29</f>
        <v>0.003384910847</v>
      </c>
      <c r="R46" s="521"/>
      <c r="S46" s="557">
        <v>0.0</v>
      </c>
      <c r="T46" s="539"/>
      <c r="U46" s="479"/>
    </row>
    <row r="47" ht="15.75" customHeight="1">
      <c r="B47" s="465"/>
      <c r="C47" s="465" t="s">
        <v>193</v>
      </c>
      <c r="D47" s="467">
        <v>41715.95</v>
      </c>
      <c r="E47" s="557">
        <f t="shared" si="10"/>
        <v>0.04852113643</v>
      </c>
      <c r="F47" s="521"/>
      <c r="G47" s="557">
        <v>0.0</v>
      </c>
      <c r="H47" s="539"/>
      <c r="I47" s="479"/>
      <c r="J47" s="467">
        <v>30814.0</v>
      </c>
      <c r="K47" s="557">
        <f t="shared" si="11"/>
        <v>0.03815975232</v>
      </c>
      <c r="L47" s="521"/>
      <c r="M47" s="557">
        <v>0.0</v>
      </c>
      <c r="N47" s="539"/>
      <c r="O47" s="479"/>
      <c r="P47" s="506">
        <v>42248.0</v>
      </c>
      <c r="Q47" s="560">
        <f t="shared" si="12"/>
        <v>0.0369142265</v>
      </c>
      <c r="R47" s="521"/>
      <c r="S47" s="557">
        <v>0.0</v>
      </c>
      <c r="T47" s="539"/>
      <c r="U47" s="479"/>
    </row>
    <row r="48" ht="15.75" customHeight="1">
      <c r="B48" s="465"/>
      <c r="C48" s="465" t="s">
        <v>266</v>
      </c>
      <c r="D48" s="467">
        <v>0.0</v>
      </c>
      <c r="E48" s="557">
        <f t="shared" si="10"/>
        <v>0</v>
      </c>
      <c r="F48" s="521"/>
      <c r="G48" s="557">
        <v>0.0</v>
      </c>
      <c r="H48" s="539"/>
      <c r="I48" s="479"/>
      <c r="J48" s="514">
        <v>600.0</v>
      </c>
      <c r="K48" s="557">
        <f t="shared" si="11"/>
        <v>0.0007430340557</v>
      </c>
      <c r="L48" s="521"/>
      <c r="M48" s="557">
        <v>0.0</v>
      </c>
      <c r="N48" s="539"/>
      <c r="O48" s="479"/>
      <c r="P48" s="506">
        <v>405.0</v>
      </c>
      <c r="Q48" s="560">
        <f t="shared" si="12"/>
        <v>0.0003538690999</v>
      </c>
      <c r="R48" s="521"/>
      <c r="S48" s="557">
        <v>0.0</v>
      </c>
      <c r="T48" s="539"/>
      <c r="U48" s="479"/>
    </row>
    <row r="49" ht="15.75" customHeight="1">
      <c r="B49" s="465"/>
      <c r="C49" s="465" t="s">
        <v>194</v>
      </c>
      <c r="D49" s="467">
        <v>788.0</v>
      </c>
      <c r="E49" s="557">
        <f t="shared" si="10"/>
        <v>0.0009165476395</v>
      </c>
      <c r="F49" s="521"/>
      <c r="G49" s="557">
        <v>0.0</v>
      </c>
      <c r="H49" s="539"/>
      <c r="I49" s="479"/>
      <c r="J49" s="467">
        <v>4792.0</v>
      </c>
      <c r="K49" s="557">
        <f t="shared" si="11"/>
        <v>0.005934365325</v>
      </c>
      <c r="L49" s="521"/>
      <c r="M49" s="557">
        <v>0.0</v>
      </c>
      <c r="N49" s="539"/>
      <c r="O49" s="479"/>
      <c r="P49" s="506">
        <v>23553.0</v>
      </c>
      <c r="Q49" s="560">
        <f t="shared" si="12"/>
        <v>0.0205794541</v>
      </c>
      <c r="R49" s="521"/>
      <c r="S49" s="557">
        <v>0.0</v>
      </c>
      <c r="T49" s="539"/>
      <c r="U49" s="479"/>
    </row>
    <row r="50" ht="15.75" customHeight="1">
      <c r="B50" s="465"/>
      <c r="C50" s="465" t="s">
        <v>195</v>
      </c>
      <c r="D50" s="467">
        <v>3225.0</v>
      </c>
      <c r="E50" s="557">
        <f t="shared" si="10"/>
        <v>0.003751099159</v>
      </c>
      <c r="F50" s="521"/>
      <c r="G50" s="557">
        <v>0.0</v>
      </c>
      <c r="H50" s="539"/>
      <c r="I50" s="479"/>
      <c r="J50" s="467">
        <v>3480.0</v>
      </c>
      <c r="K50" s="557">
        <f t="shared" si="11"/>
        <v>0.004309597523</v>
      </c>
      <c r="L50" s="521"/>
      <c r="M50" s="557">
        <v>0.0</v>
      </c>
      <c r="N50" s="539"/>
      <c r="O50" s="479"/>
      <c r="P50" s="506">
        <v>3701.0</v>
      </c>
      <c r="Q50" s="560">
        <f t="shared" si="12"/>
        <v>0.003233751947</v>
      </c>
      <c r="R50" s="521"/>
      <c r="S50" s="557">
        <v>0.0</v>
      </c>
      <c r="T50" s="539"/>
      <c r="U50" s="479"/>
    </row>
    <row r="51" ht="15.75" customHeight="1">
      <c r="B51" s="483"/>
      <c r="C51" s="483" t="s">
        <v>196</v>
      </c>
      <c r="D51" s="485">
        <v>0.0</v>
      </c>
      <c r="E51" s="564">
        <f t="shared" si="10"/>
        <v>0</v>
      </c>
      <c r="F51" s="545"/>
      <c r="G51" s="564">
        <v>0.0</v>
      </c>
      <c r="H51" s="544"/>
      <c r="I51" s="546"/>
      <c r="J51" s="485">
        <v>0.0</v>
      </c>
      <c r="K51" s="564">
        <f t="shared" si="11"/>
        <v>0</v>
      </c>
      <c r="L51" s="545"/>
      <c r="M51" s="564">
        <v>0.0</v>
      </c>
      <c r="N51" s="544"/>
      <c r="O51" s="546"/>
      <c r="P51" s="501"/>
      <c r="Q51" s="583">
        <f t="shared" si="12"/>
        <v>0</v>
      </c>
      <c r="R51" s="545"/>
      <c r="S51" s="564">
        <v>0.0</v>
      </c>
      <c r="T51" s="544"/>
      <c r="U51" s="546"/>
    </row>
    <row r="52" ht="15.75" customHeight="1">
      <c r="B52" s="664"/>
      <c r="C52" s="664" t="s">
        <v>197</v>
      </c>
      <c r="D52" s="665">
        <f>SUM(D46:D51)</f>
        <v>47889.29</v>
      </c>
      <c r="E52" s="666">
        <f t="shared" si="10"/>
        <v>0.05570154278</v>
      </c>
      <c r="F52" s="665">
        <f>SUM(F46:F51)</f>
        <v>0</v>
      </c>
      <c r="G52" s="666" t="str">
        <f>F52/F$29</f>
        <v>#DIV/0!</v>
      </c>
      <c r="H52" s="667">
        <f>SUM(H46:H51)</f>
        <v>0</v>
      </c>
      <c r="I52" s="667"/>
      <c r="J52" s="665">
        <f>SUM(J46:J51)</f>
        <v>43991</v>
      </c>
      <c r="K52" s="666">
        <f t="shared" si="11"/>
        <v>0.05447801858</v>
      </c>
      <c r="L52" s="665">
        <f>SUM(L46:L51)</f>
        <v>0</v>
      </c>
      <c r="M52" s="666" t="str">
        <f>L52/L$29</f>
        <v>#DIV/0!</v>
      </c>
      <c r="N52" s="667">
        <f>SUM(N46:N51)</f>
        <v>0</v>
      </c>
      <c r="O52" s="667"/>
      <c r="P52" s="665">
        <f>SUM(P46:P51)</f>
        <v>73781</v>
      </c>
      <c r="Q52" s="666">
        <f t="shared" si="12"/>
        <v>0.06446621249</v>
      </c>
      <c r="R52" s="665">
        <f>SUM(R46:R51)</f>
        <v>0</v>
      </c>
      <c r="S52" s="666" t="str">
        <f>R52/R$29</f>
        <v>#DIV/0!</v>
      </c>
      <c r="T52" s="667">
        <f>SUM(T46:T51)</f>
        <v>0</v>
      </c>
      <c r="U52" s="667"/>
    </row>
    <row r="53" ht="15.75" customHeight="1">
      <c r="B53" s="497"/>
      <c r="C53" s="497"/>
      <c r="D53" s="463"/>
      <c r="E53" s="540"/>
      <c r="F53" s="541"/>
      <c r="G53" s="540"/>
      <c r="H53" s="540"/>
      <c r="I53" s="542"/>
      <c r="J53" s="463"/>
      <c r="K53" s="540"/>
      <c r="L53" s="541"/>
      <c r="M53" s="540"/>
      <c r="N53" s="540"/>
      <c r="O53" s="542"/>
      <c r="P53" s="498"/>
      <c r="Q53" s="606"/>
      <c r="R53" s="541"/>
      <c r="S53" s="540"/>
      <c r="T53" s="540"/>
      <c r="U53" s="542"/>
    </row>
    <row r="54" ht="15.75" customHeight="1">
      <c r="A54" s="153"/>
      <c r="B54" s="493"/>
      <c r="C54" s="511" t="s">
        <v>202</v>
      </c>
      <c r="D54" s="491">
        <f>SUM(D55:D62)</f>
        <v>89556.69</v>
      </c>
      <c r="E54" s="613">
        <f t="shared" ref="E54:E55" si="13">D54/D$29</f>
        <v>0.1041662092</v>
      </c>
      <c r="F54" s="491">
        <f>SUM(F55:F62)</f>
        <v>0</v>
      </c>
      <c r="G54" s="613" t="str">
        <f t="shared" ref="G54:G55" si="14">F54/F$29</f>
        <v>#DIV/0!</v>
      </c>
      <c r="H54" s="668">
        <f>SUM(H55:H62)</f>
        <v>0</v>
      </c>
      <c r="I54" s="457"/>
      <c r="J54" s="491">
        <f>SUM(J55:J62)</f>
        <v>105479</v>
      </c>
      <c r="K54" s="613">
        <f t="shared" ref="K54:K55" si="15">J54/J$29</f>
        <v>0.1306241486</v>
      </c>
      <c r="L54" s="491">
        <f>SUM(L55:L62)</f>
        <v>0</v>
      </c>
      <c r="M54" s="613" t="str">
        <f t="shared" ref="M54:M55" si="16">L54/L$29</f>
        <v>#DIV/0!</v>
      </c>
      <c r="N54" s="668">
        <f>SUM(N55:N62)</f>
        <v>0</v>
      </c>
      <c r="O54" s="457"/>
      <c r="P54" s="491">
        <f>SUM(P55:P62)</f>
        <v>87846</v>
      </c>
      <c r="Q54" s="613">
        <f t="shared" ref="Q54:Q55" si="17">P54/P$29</f>
        <v>0.07675551839</v>
      </c>
      <c r="R54" s="491">
        <f>SUM(R55:R62)</f>
        <v>0</v>
      </c>
      <c r="S54" s="613" t="str">
        <f t="shared" ref="S54:S55" si="18">R54/R$29</f>
        <v>#DIV/0!</v>
      </c>
      <c r="T54" s="668">
        <f>SUM(T55:T62)</f>
        <v>0</v>
      </c>
      <c r="U54" s="457"/>
    </row>
    <row r="55" ht="15.75" customHeight="1">
      <c r="B55" s="497"/>
      <c r="C55" s="497" t="s">
        <v>268</v>
      </c>
      <c r="D55" s="513">
        <v>0.0</v>
      </c>
      <c r="E55" s="552">
        <f t="shared" si="13"/>
        <v>0</v>
      </c>
      <c r="F55" s="541"/>
      <c r="G55" s="552" t="str">
        <f t="shared" si="14"/>
        <v>#DIV/0!</v>
      </c>
      <c r="H55" s="540"/>
      <c r="I55" s="542"/>
      <c r="J55" s="513">
        <v>0.0</v>
      </c>
      <c r="K55" s="552">
        <f t="shared" si="15"/>
        <v>0</v>
      </c>
      <c r="L55" s="541"/>
      <c r="M55" s="552" t="str">
        <f t="shared" si="16"/>
        <v>#DIV/0!</v>
      </c>
      <c r="N55" s="540"/>
      <c r="O55" s="542"/>
      <c r="P55" s="505">
        <v>0.0</v>
      </c>
      <c r="Q55" s="554">
        <f t="shared" si="17"/>
        <v>0</v>
      </c>
      <c r="R55" s="541"/>
      <c r="S55" s="552" t="str">
        <f t="shared" si="18"/>
        <v>#DIV/0!</v>
      </c>
      <c r="T55" s="540"/>
      <c r="U55" s="542"/>
    </row>
    <row r="56" ht="15.75" customHeight="1">
      <c r="B56" s="465"/>
      <c r="C56" s="526" t="s">
        <v>269</v>
      </c>
      <c r="D56" s="514">
        <v>0.0</v>
      </c>
      <c r="E56" s="557"/>
      <c r="F56" s="521"/>
      <c r="G56" s="557"/>
      <c r="H56" s="539"/>
      <c r="I56" s="479"/>
      <c r="J56" s="514">
        <v>15782.0</v>
      </c>
      <c r="K56" s="557"/>
      <c r="L56" s="521"/>
      <c r="M56" s="557"/>
      <c r="N56" s="539"/>
      <c r="O56" s="479"/>
      <c r="P56" s="506">
        <v>0.0</v>
      </c>
      <c r="Q56" s="560"/>
      <c r="R56" s="521"/>
      <c r="S56" s="557"/>
      <c r="T56" s="539"/>
      <c r="U56" s="479"/>
    </row>
    <row r="57" ht="15.75" customHeight="1">
      <c r="B57" s="465"/>
      <c r="C57" s="465" t="s">
        <v>209</v>
      </c>
      <c r="D57" s="514">
        <v>0.0</v>
      </c>
      <c r="E57" s="557">
        <f t="shared" ref="E57:E62" si="19">D57/D$29</f>
        <v>0</v>
      </c>
      <c r="F57" s="521"/>
      <c r="G57" s="557" t="str">
        <f t="shared" ref="G57:G61" si="20">F57/F$29</f>
        <v>#DIV/0!</v>
      </c>
      <c r="H57" s="539"/>
      <c r="I57" s="479"/>
      <c r="J57" s="514">
        <v>0.0</v>
      </c>
      <c r="K57" s="557">
        <f t="shared" ref="K57:K62" si="21">J57/J$29</f>
        <v>0</v>
      </c>
      <c r="L57" s="521"/>
      <c r="M57" s="557" t="str">
        <f t="shared" ref="M57:M61" si="22">L57/L$29</f>
        <v>#DIV/0!</v>
      </c>
      <c r="N57" s="539"/>
      <c r="O57" s="479"/>
      <c r="P57" s="506">
        <v>0.0</v>
      </c>
      <c r="Q57" s="560">
        <f t="shared" ref="Q57:Q62" si="23">P57/P$29</f>
        <v>0</v>
      </c>
      <c r="R57" s="521"/>
      <c r="S57" s="557" t="str">
        <f t="shared" ref="S57:S61" si="24">R57/R$29</f>
        <v>#DIV/0!</v>
      </c>
      <c r="T57" s="539"/>
      <c r="U57" s="479"/>
    </row>
    <row r="58" ht="15.75" customHeight="1">
      <c r="B58" s="465"/>
      <c r="C58" s="526" t="s">
        <v>210</v>
      </c>
      <c r="D58" s="514">
        <v>0.0</v>
      </c>
      <c r="E58" s="557">
        <f t="shared" si="19"/>
        <v>0</v>
      </c>
      <c r="F58" s="521"/>
      <c r="G58" s="557" t="str">
        <f t="shared" si="20"/>
        <v>#DIV/0!</v>
      </c>
      <c r="H58" s="539"/>
      <c r="I58" s="479"/>
      <c r="J58" s="514">
        <v>0.0</v>
      </c>
      <c r="K58" s="557">
        <f t="shared" si="21"/>
        <v>0</v>
      </c>
      <c r="L58" s="521"/>
      <c r="M58" s="557" t="str">
        <f t="shared" si="22"/>
        <v>#DIV/0!</v>
      </c>
      <c r="N58" s="539"/>
      <c r="O58" s="479"/>
      <c r="P58" s="506">
        <v>0.0</v>
      </c>
      <c r="Q58" s="560">
        <f t="shared" si="23"/>
        <v>0</v>
      </c>
      <c r="R58" s="521"/>
      <c r="S58" s="557" t="str">
        <f t="shared" si="24"/>
        <v>#DIV/0!</v>
      </c>
      <c r="T58" s="539"/>
      <c r="U58" s="479"/>
    </row>
    <row r="59" ht="15.75" customHeight="1">
      <c r="B59" s="465"/>
      <c r="C59" s="465" t="s">
        <v>287</v>
      </c>
      <c r="D59" s="514">
        <v>0.0</v>
      </c>
      <c r="E59" s="557">
        <f t="shared" si="19"/>
        <v>0</v>
      </c>
      <c r="F59" s="521"/>
      <c r="G59" s="557" t="str">
        <f t="shared" si="20"/>
        <v>#DIV/0!</v>
      </c>
      <c r="H59" s="539"/>
      <c r="I59" s="479"/>
      <c r="J59" s="514">
        <v>0.0</v>
      </c>
      <c r="K59" s="557">
        <f t="shared" si="21"/>
        <v>0</v>
      </c>
      <c r="L59" s="521"/>
      <c r="M59" s="557" t="str">
        <f t="shared" si="22"/>
        <v>#DIV/0!</v>
      </c>
      <c r="N59" s="539"/>
      <c r="O59" s="479"/>
      <c r="P59" s="506">
        <v>0.0</v>
      </c>
      <c r="Q59" s="560">
        <f t="shared" si="23"/>
        <v>0</v>
      </c>
      <c r="R59" s="521"/>
      <c r="S59" s="557" t="str">
        <f t="shared" si="24"/>
        <v>#DIV/0!</v>
      </c>
      <c r="T59" s="539"/>
      <c r="U59" s="479"/>
    </row>
    <row r="60" ht="15.75" customHeight="1">
      <c r="A60" s="153"/>
      <c r="B60" s="465"/>
      <c r="C60" s="465" t="s">
        <v>288</v>
      </c>
      <c r="D60" s="514">
        <v>0.0</v>
      </c>
      <c r="E60" s="557">
        <f t="shared" si="19"/>
        <v>0</v>
      </c>
      <c r="F60" s="521"/>
      <c r="G60" s="557" t="str">
        <f t="shared" si="20"/>
        <v>#DIV/0!</v>
      </c>
      <c r="H60" s="539"/>
      <c r="I60" s="479"/>
      <c r="J60" s="514">
        <v>0.0</v>
      </c>
      <c r="K60" s="557">
        <f t="shared" si="21"/>
        <v>0</v>
      </c>
      <c r="L60" s="521"/>
      <c r="M60" s="557" t="str">
        <f t="shared" si="22"/>
        <v>#DIV/0!</v>
      </c>
      <c r="N60" s="539"/>
      <c r="O60" s="479"/>
      <c r="P60" s="506">
        <v>0.0</v>
      </c>
      <c r="Q60" s="560">
        <f t="shared" si="23"/>
        <v>0</v>
      </c>
      <c r="R60" s="521"/>
      <c r="S60" s="557" t="str">
        <f t="shared" si="24"/>
        <v>#DIV/0!</v>
      </c>
      <c r="T60" s="539"/>
      <c r="U60" s="479"/>
    </row>
    <row r="61" ht="15.75" customHeight="1">
      <c r="A61" s="153"/>
      <c r="B61" s="465"/>
      <c r="C61" s="465" t="s">
        <v>204</v>
      </c>
      <c r="D61" s="514">
        <v>0.0</v>
      </c>
      <c r="E61" s="557">
        <f t="shared" si="19"/>
        <v>0</v>
      </c>
      <c r="F61" s="521"/>
      <c r="G61" s="557" t="str">
        <f t="shared" si="20"/>
        <v>#DIV/0!</v>
      </c>
      <c r="H61" s="539"/>
      <c r="I61" s="479"/>
      <c r="J61" s="514">
        <v>0.0</v>
      </c>
      <c r="K61" s="557">
        <f t="shared" si="21"/>
        <v>0</v>
      </c>
      <c r="L61" s="521"/>
      <c r="M61" s="557" t="str">
        <f t="shared" si="22"/>
        <v>#DIV/0!</v>
      </c>
      <c r="N61" s="539"/>
      <c r="O61" s="479"/>
      <c r="P61" s="506">
        <v>0.0</v>
      </c>
      <c r="Q61" s="560">
        <f t="shared" si="23"/>
        <v>0</v>
      </c>
      <c r="R61" s="521"/>
      <c r="S61" s="557" t="str">
        <f t="shared" si="24"/>
        <v>#DIV/0!</v>
      </c>
      <c r="T61" s="539"/>
      <c r="U61" s="479"/>
    </row>
    <row r="62" ht="15.75" customHeight="1">
      <c r="B62" s="465"/>
      <c r="C62" s="465" t="s">
        <v>271</v>
      </c>
      <c r="D62" s="467">
        <v>89556.69</v>
      </c>
      <c r="E62" s="557">
        <f t="shared" si="19"/>
        <v>0.1041662092</v>
      </c>
      <c r="F62" s="521"/>
      <c r="G62" s="557"/>
      <c r="H62" s="539"/>
      <c r="I62" s="479"/>
      <c r="J62" s="467">
        <v>89697.0</v>
      </c>
      <c r="K62" s="557">
        <f t="shared" si="21"/>
        <v>0.1110798762</v>
      </c>
      <c r="L62" s="521"/>
      <c r="M62" s="557"/>
      <c r="N62" s="539"/>
      <c r="O62" s="479"/>
      <c r="P62" s="506">
        <v>87846.0</v>
      </c>
      <c r="Q62" s="560">
        <f t="shared" si="23"/>
        <v>0.07675551839</v>
      </c>
      <c r="R62" s="521"/>
      <c r="S62" s="557"/>
      <c r="T62" s="539"/>
      <c r="U62" s="479"/>
    </row>
    <row r="63" ht="15.75" customHeight="1">
      <c r="A63" s="153"/>
      <c r="B63" s="483"/>
      <c r="C63" s="483"/>
      <c r="D63" s="485"/>
      <c r="E63" s="564"/>
      <c r="F63" s="545"/>
      <c r="G63" s="564"/>
      <c r="H63" s="544"/>
      <c r="I63" s="546"/>
      <c r="J63" s="485"/>
      <c r="K63" s="564"/>
      <c r="L63" s="545"/>
      <c r="M63" s="564"/>
      <c r="N63" s="544"/>
      <c r="O63" s="546"/>
      <c r="P63" s="501"/>
      <c r="Q63" s="583"/>
      <c r="R63" s="545"/>
      <c r="S63" s="564"/>
      <c r="T63" s="544"/>
      <c r="U63" s="546"/>
    </row>
    <row r="64" ht="15.75" customHeight="1">
      <c r="A64" s="153"/>
      <c r="B64" s="493"/>
      <c r="C64" s="511" t="s">
        <v>35</v>
      </c>
      <c r="D64" s="491">
        <f>SUM(D65:D67)</f>
        <v>112186.48</v>
      </c>
      <c r="E64" s="669">
        <f t="shared" ref="E64:E67" si="25">D64/D$29</f>
        <v>0.1304876313</v>
      </c>
      <c r="F64" s="512"/>
      <c r="G64" s="669" t="str">
        <f t="shared" ref="G64:G67" si="26">F64/F$29</f>
        <v>#DIV/0!</v>
      </c>
      <c r="H64" s="670">
        <f>SUM(H65:H67)</f>
        <v>0</v>
      </c>
      <c r="I64" s="670"/>
      <c r="J64" s="491">
        <f>SUM(J65:J67)</f>
        <v>116787.55</v>
      </c>
      <c r="K64" s="669">
        <f t="shared" ref="K64:K67" si="27">J64/J$29</f>
        <v>0.1446285449</v>
      </c>
      <c r="L64" s="512"/>
      <c r="M64" s="669" t="str">
        <f t="shared" ref="M64:M67" si="28">L64/L$29</f>
        <v>#DIV/0!</v>
      </c>
      <c r="N64" s="670">
        <f>SUM(N65:N67)</f>
        <v>0</v>
      </c>
      <c r="O64" s="670"/>
      <c r="P64" s="491">
        <f>SUM(P65:P67)</f>
        <v>91952</v>
      </c>
      <c r="Q64" s="669">
        <f t="shared" ref="Q64:Q67" si="29">P64/P$29</f>
        <v>0.08034313944</v>
      </c>
      <c r="R64" s="512"/>
      <c r="S64" s="669" t="str">
        <f t="shared" ref="S64:S67" si="30">R64/R$29</f>
        <v>#DIV/0!</v>
      </c>
      <c r="T64" s="670">
        <f>SUM(T65:T67)</f>
        <v>0</v>
      </c>
      <c r="U64" s="670"/>
    </row>
    <row r="65" ht="15.75" customHeight="1">
      <c r="B65" s="497"/>
      <c r="C65" s="497" t="s">
        <v>213</v>
      </c>
      <c r="D65" s="513">
        <v>0.0</v>
      </c>
      <c r="E65" s="552">
        <f t="shared" si="25"/>
        <v>0</v>
      </c>
      <c r="F65" s="541"/>
      <c r="G65" s="552" t="str">
        <f t="shared" si="26"/>
        <v>#DIV/0!</v>
      </c>
      <c r="H65" s="671"/>
      <c r="I65" s="672"/>
      <c r="J65" s="566">
        <v>0.0</v>
      </c>
      <c r="K65" s="552">
        <f t="shared" si="27"/>
        <v>0</v>
      </c>
      <c r="L65" s="541"/>
      <c r="M65" s="552" t="str">
        <f t="shared" si="28"/>
        <v>#DIV/0!</v>
      </c>
      <c r="N65" s="671"/>
      <c r="O65" s="672"/>
      <c r="P65" s="506">
        <v>0.0</v>
      </c>
      <c r="Q65" s="554">
        <f t="shared" si="29"/>
        <v>0</v>
      </c>
      <c r="R65" s="541"/>
      <c r="S65" s="552" t="str">
        <f t="shared" si="30"/>
        <v>#DIV/0!</v>
      </c>
      <c r="T65" s="671"/>
      <c r="U65" s="672"/>
    </row>
    <row r="66" ht="15.75" customHeight="1">
      <c r="B66" s="465"/>
      <c r="C66" s="465" t="s">
        <v>289</v>
      </c>
      <c r="D66" s="467">
        <v>68579.86</v>
      </c>
      <c r="E66" s="557">
        <f t="shared" si="25"/>
        <v>0.07976739696</v>
      </c>
      <c r="F66" s="521"/>
      <c r="G66" s="557" t="str">
        <f t="shared" si="26"/>
        <v>#DIV/0!</v>
      </c>
      <c r="H66" s="256"/>
      <c r="I66" s="673"/>
      <c r="J66" s="650">
        <v>64635.78</v>
      </c>
      <c r="K66" s="560">
        <f t="shared" si="27"/>
        <v>0.0800443096</v>
      </c>
      <c r="L66" s="521"/>
      <c r="M66" s="557" t="str">
        <f t="shared" si="28"/>
        <v>#DIV/0!</v>
      </c>
      <c r="N66" s="256"/>
      <c r="O66" s="674"/>
      <c r="P66" s="474">
        <v>52800.0</v>
      </c>
      <c r="Q66" s="560">
        <f t="shared" si="29"/>
        <v>0.04613404562</v>
      </c>
      <c r="R66" s="521"/>
      <c r="S66" s="557" t="str">
        <f t="shared" si="30"/>
        <v>#DIV/0!</v>
      </c>
      <c r="T66" s="256"/>
      <c r="U66" s="674"/>
    </row>
    <row r="67" ht="15.75" customHeight="1">
      <c r="B67" s="465"/>
      <c r="C67" s="465" t="s">
        <v>290</v>
      </c>
      <c r="D67" s="467">
        <v>43606.62</v>
      </c>
      <c r="E67" s="557">
        <f t="shared" si="25"/>
        <v>0.0507202343</v>
      </c>
      <c r="F67" s="521"/>
      <c r="G67" s="557" t="str">
        <f t="shared" si="26"/>
        <v>#DIV/0!</v>
      </c>
      <c r="H67" s="256"/>
      <c r="I67" s="673"/>
      <c r="J67" s="650">
        <v>52151.77</v>
      </c>
      <c r="K67" s="560">
        <f t="shared" si="27"/>
        <v>0.06458423529</v>
      </c>
      <c r="L67" s="521"/>
      <c r="M67" s="557" t="str">
        <f t="shared" si="28"/>
        <v>#DIV/0!</v>
      </c>
      <c r="N67" s="256"/>
      <c r="O67" s="674"/>
      <c r="P67" s="474">
        <v>39152.0</v>
      </c>
      <c r="Q67" s="560">
        <f t="shared" si="29"/>
        <v>0.03420909382</v>
      </c>
      <c r="R67" s="521"/>
      <c r="S67" s="557" t="str">
        <f t="shared" si="30"/>
        <v>#DIV/0!</v>
      </c>
      <c r="T67" s="256"/>
      <c r="U67" s="674"/>
    </row>
    <row r="68" ht="15.75" customHeight="1">
      <c r="B68" s="465"/>
      <c r="C68" s="465"/>
      <c r="D68" s="467"/>
      <c r="E68" s="256"/>
      <c r="F68" s="675"/>
      <c r="G68" s="256"/>
      <c r="H68" s="256"/>
      <c r="I68" s="674"/>
      <c r="J68" s="463"/>
      <c r="K68" s="256"/>
      <c r="L68" s="675"/>
      <c r="M68" s="256"/>
      <c r="N68" s="256"/>
      <c r="O68" s="674"/>
      <c r="P68" s="474"/>
      <c r="Q68" s="676"/>
      <c r="R68" s="675"/>
      <c r="S68" s="256"/>
      <c r="T68" s="256"/>
      <c r="U68" s="674"/>
    </row>
    <row r="69" ht="15.75" customHeight="1">
      <c r="B69" s="483"/>
      <c r="C69" s="483"/>
      <c r="D69" s="485"/>
      <c r="E69" s="677"/>
      <c r="F69" s="678"/>
      <c r="G69" s="677"/>
      <c r="H69" s="677"/>
      <c r="I69" s="679"/>
      <c r="J69" s="485"/>
      <c r="K69" s="677"/>
      <c r="L69" s="678"/>
      <c r="M69" s="677"/>
      <c r="N69" s="677"/>
      <c r="O69" s="679"/>
      <c r="P69" s="501"/>
      <c r="Q69" s="680"/>
      <c r="R69" s="678"/>
      <c r="S69" s="677"/>
      <c r="T69" s="677"/>
      <c r="U69" s="679"/>
    </row>
    <row r="70" ht="15.75" customHeight="1">
      <c r="A70" s="153"/>
      <c r="B70" s="493"/>
      <c r="C70" s="511" t="s">
        <v>216</v>
      </c>
      <c r="D70" s="491">
        <f t="shared" ref="D70:J70" si="31">SUM(D71:D74)</f>
        <v>84083</v>
      </c>
      <c r="E70" s="512">
        <f t="shared" si="31"/>
        <v>76212.00916</v>
      </c>
      <c r="F70" s="512">
        <f t="shared" si="31"/>
        <v>76212</v>
      </c>
      <c r="G70" s="512" t="str">
        <f t="shared" si="31"/>
        <v>#DIV/0!</v>
      </c>
      <c r="H70" s="512">
        <f t="shared" si="31"/>
        <v>76212</v>
      </c>
      <c r="I70" s="512">
        <f t="shared" si="31"/>
        <v>76212</v>
      </c>
      <c r="J70" s="491">
        <f t="shared" si="31"/>
        <v>84112</v>
      </c>
      <c r="K70" s="669">
        <f t="shared" ref="K70:K72" si="32">J70/J$29</f>
        <v>0.1041634675</v>
      </c>
      <c r="L70" s="512"/>
      <c r="M70" s="669" t="str">
        <f t="shared" ref="M70:M72" si="33">L70/L$29</f>
        <v>#DIV/0!</v>
      </c>
      <c r="N70" s="493">
        <f>SUM(N71:N74)</f>
        <v>380</v>
      </c>
      <c r="O70" s="493"/>
      <c r="P70" s="491">
        <f>SUM(P71:P74)</f>
        <v>87170</v>
      </c>
      <c r="Q70" s="669">
        <f t="shared" ref="Q70:Q74" si="34">P70/P$29</f>
        <v>0.07616486281</v>
      </c>
      <c r="R70" s="512"/>
      <c r="S70" s="669" t="str">
        <f t="shared" ref="S70:S74" si="35">R70/R$29</f>
        <v>#DIV/0!</v>
      </c>
      <c r="T70" s="493">
        <f>SUM(T71:T74)</f>
        <v>0</v>
      </c>
      <c r="U70" s="493"/>
    </row>
    <row r="71" ht="15.75" customHeight="1">
      <c r="B71" s="497"/>
      <c r="C71" s="497" t="s">
        <v>217</v>
      </c>
      <c r="D71" s="463">
        <v>75332.0</v>
      </c>
      <c r="E71" s="463">
        <v>75332.0</v>
      </c>
      <c r="F71" s="463">
        <v>75332.0</v>
      </c>
      <c r="G71" s="463">
        <v>75332.0</v>
      </c>
      <c r="H71" s="463">
        <v>75332.0</v>
      </c>
      <c r="I71" s="612">
        <v>75332.0</v>
      </c>
      <c r="J71" s="513">
        <v>82832.0</v>
      </c>
      <c r="K71" s="552">
        <f t="shared" si="32"/>
        <v>0.1025783282</v>
      </c>
      <c r="L71" s="541"/>
      <c r="M71" s="552" t="str">
        <f t="shared" si="33"/>
        <v>#DIV/0!</v>
      </c>
      <c r="N71" s="671"/>
      <c r="O71" s="672"/>
      <c r="P71" s="505">
        <v>82832.0</v>
      </c>
      <c r="Q71" s="554">
        <f t="shared" si="34"/>
        <v>0.07237453156</v>
      </c>
      <c r="R71" s="541"/>
      <c r="S71" s="552" t="str">
        <f t="shared" si="35"/>
        <v>#DIV/0!</v>
      </c>
      <c r="T71" s="671"/>
      <c r="U71" s="672"/>
    </row>
    <row r="72" ht="15.75" customHeight="1">
      <c r="B72" s="465"/>
      <c r="C72" s="465" t="s">
        <v>218</v>
      </c>
      <c r="D72" s="514">
        <v>7871.0</v>
      </c>
      <c r="E72" s="557">
        <f>D72/D$29</f>
        <v>0.009155008212</v>
      </c>
      <c r="F72" s="521"/>
      <c r="G72" s="557" t="str">
        <f>F72/F$29</f>
        <v>#DIV/0!</v>
      </c>
      <c r="H72" s="256"/>
      <c r="I72" s="674"/>
      <c r="J72" s="514">
        <v>400.0</v>
      </c>
      <c r="K72" s="557">
        <f t="shared" si="32"/>
        <v>0.0004953560372</v>
      </c>
      <c r="L72" s="521"/>
      <c r="M72" s="557" t="str">
        <f t="shared" si="33"/>
        <v>#DIV/0!</v>
      </c>
      <c r="N72" s="256"/>
      <c r="O72" s="674"/>
      <c r="P72" s="506">
        <v>2628.0</v>
      </c>
      <c r="Q72" s="560">
        <f t="shared" si="34"/>
        <v>0.00229621727</v>
      </c>
      <c r="R72" s="521"/>
      <c r="S72" s="557" t="str">
        <f t="shared" si="35"/>
        <v>#DIV/0!</v>
      </c>
      <c r="T72" s="256"/>
      <c r="U72" s="674"/>
    </row>
    <row r="73" ht="15.75" customHeight="1">
      <c r="B73" s="465"/>
      <c r="C73" s="465" t="s">
        <v>219</v>
      </c>
      <c r="D73" s="467">
        <v>380.0</v>
      </c>
      <c r="E73" s="467">
        <v>380.0</v>
      </c>
      <c r="F73" s="467">
        <v>380.0</v>
      </c>
      <c r="G73" s="467">
        <v>380.0</v>
      </c>
      <c r="H73" s="467">
        <v>380.0</v>
      </c>
      <c r="I73" s="617">
        <v>380.0</v>
      </c>
      <c r="J73" s="467">
        <v>380.0</v>
      </c>
      <c r="K73" s="467">
        <v>380.0</v>
      </c>
      <c r="L73" s="467">
        <v>380.0</v>
      </c>
      <c r="M73" s="467">
        <v>380.0</v>
      </c>
      <c r="N73" s="467">
        <v>380.0</v>
      </c>
      <c r="O73" s="467">
        <v>380.0</v>
      </c>
      <c r="P73" s="474">
        <v>380.0</v>
      </c>
      <c r="Q73" s="560">
        <f t="shared" si="34"/>
        <v>0.0003320253283</v>
      </c>
      <c r="R73" s="521"/>
      <c r="S73" s="557" t="str">
        <f t="shared" si="35"/>
        <v>#DIV/0!</v>
      </c>
      <c r="T73" s="256"/>
      <c r="U73" s="674"/>
    </row>
    <row r="74" ht="15.75" customHeight="1">
      <c r="B74" s="465"/>
      <c r="C74" s="465" t="s">
        <v>220</v>
      </c>
      <c r="D74" s="467">
        <v>500.0</v>
      </c>
      <c r="E74" s="467">
        <v>500.0</v>
      </c>
      <c r="F74" s="467">
        <v>500.0</v>
      </c>
      <c r="G74" s="467">
        <v>500.0</v>
      </c>
      <c r="H74" s="467">
        <v>500.0</v>
      </c>
      <c r="I74" s="617">
        <v>500.0</v>
      </c>
      <c r="J74" s="467">
        <v>500.0</v>
      </c>
      <c r="K74" s="557">
        <f>J74/J$29</f>
        <v>0.0006191950464</v>
      </c>
      <c r="L74" s="675"/>
      <c r="M74" s="557" t="str">
        <f>L74/L$29</f>
        <v>#DIV/0!</v>
      </c>
      <c r="N74" s="256"/>
      <c r="O74" s="674"/>
      <c r="P74" s="506">
        <v>1330.0</v>
      </c>
      <c r="Q74" s="560">
        <f t="shared" si="34"/>
        <v>0.001162088649</v>
      </c>
      <c r="R74" s="675"/>
      <c r="S74" s="557" t="str">
        <f t="shared" si="35"/>
        <v>#DIV/0!</v>
      </c>
      <c r="T74" s="256"/>
      <c r="U74" s="674"/>
    </row>
    <row r="75" ht="15.75" customHeight="1">
      <c r="B75" s="483"/>
      <c r="C75" s="610"/>
      <c r="D75" s="485"/>
      <c r="E75" s="677"/>
      <c r="F75" s="678"/>
      <c r="G75" s="677"/>
      <c r="H75" s="677"/>
      <c r="I75" s="679"/>
      <c r="J75" s="485"/>
      <c r="K75" s="677"/>
      <c r="L75" s="678"/>
      <c r="M75" s="677"/>
      <c r="N75" s="677"/>
      <c r="O75" s="679"/>
      <c r="P75" s="501"/>
      <c r="Q75" s="680"/>
      <c r="R75" s="678"/>
      <c r="S75" s="677"/>
      <c r="T75" s="677"/>
      <c r="U75" s="679"/>
    </row>
    <row r="76" ht="15.75" customHeight="1">
      <c r="A76" s="681"/>
      <c r="B76" s="490"/>
      <c r="C76" s="511" t="s">
        <v>37</v>
      </c>
      <c r="D76" s="491">
        <f>SUM(D77:D83)</f>
        <v>343104.24</v>
      </c>
      <c r="E76" s="613">
        <f t="shared" ref="E76:E83" si="36">D76/D$29</f>
        <v>0.399075357</v>
      </c>
      <c r="F76" s="491">
        <f>SUM(F77:F83)</f>
        <v>0</v>
      </c>
      <c r="G76" s="613" t="str">
        <f t="shared" ref="G76:G83" si="37">F76/F$29</f>
        <v>#DIV/0!</v>
      </c>
      <c r="H76" s="490">
        <f>SUM(H77:H83)</f>
        <v>0</v>
      </c>
      <c r="I76" s="490"/>
      <c r="J76" s="491">
        <f>SUM(J77:J83)</f>
        <v>335773.49</v>
      </c>
      <c r="K76" s="613">
        <f t="shared" ref="K76:K83" si="38">J76/J$29</f>
        <v>0.4158185635</v>
      </c>
      <c r="L76" s="491">
        <f>SUM(L77:L83)</f>
        <v>0</v>
      </c>
      <c r="M76" s="613" t="str">
        <f t="shared" ref="M76:M83" si="39">L76/L$29</f>
        <v>#DIV/0!</v>
      </c>
      <c r="N76" s="490">
        <f>SUM(N77:N83)</f>
        <v>0</v>
      </c>
      <c r="O76" s="490"/>
      <c r="P76" s="491">
        <f>SUM(P77:P83)</f>
        <v>404871</v>
      </c>
      <c r="Q76" s="613">
        <f t="shared" ref="Q76:Q83" si="40">P76/P$29</f>
        <v>0.353756386</v>
      </c>
      <c r="R76" s="491">
        <f>SUM(R77:R83)</f>
        <v>0</v>
      </c>
      <c r="S76" s="613" t="str">
        <f t="shared" ref="S76:S83" si="41">R76/R$29</f>
        <v>#DIV/0!</v>
      </c>
      <c r="T76" s="490">
        <f>SUM(T77:T83)</f>
        <v>0</v>
      </c>
      <c r="U76" s="490"/>
    </row>
    <row r="77" ht="15.75" customHeight="1">
      <c r="B77" s="497"/>
      <c r="C77" s="497" t="s">
        <v>221</v>
      </c>
      <c r="D77" s="463">
        <v>0.0</v>
      </c>
      <c r="E77" s="552">
        <f t="shared" si="36"/>
        <v>0</v>
      </c>
      <c r="F77" s="541"/>
      <c r="G77" s="552" t="str">
        <f t="shared" si="37"/>
        <v>#DIV/0!</v>
      </c>
      <c r="H77" s="671"/>
      <c r="I77" s="672"/>
      <c r="J77" s="515">
        <v>0.0</v>
      </c>
      <c r="K77" s="552">
        <f t="shared" si="38"/>
        <v>0</v>
      </c>
      <c r="L77" s="541"/>
      <c r="M77" s="552" t="str">
        <f t="shared" si="39"/>
        <v>#DIV/0!</v>
      </c>
      <c r="N77" s="671"/>
      <c r="O77" s="672"/>
      <c r="P77" s="516">
        <v>0.0</v>
      </c>
      <c r="Q77" s="554">
        <f t="shared" si="40"/>
        <v>0</v>
      </c>
      <c r="R77" s="541"/>
      <c r="S77" s="552" t="str">
        <f t="shared" si="41"/>
        <v>#DIV/0!</v>
      </c>
      <c r="T77" s="671"/>
      <c r="U77" s="672"/>
    </row>
    <row r="78" ht="15.75" customHeight="1">
      <c r="B78" s="465"/>
      <c r="C78" s="465" t="s">
        <v>222</v>
      </c>
      <c r="D78" s="467">
        <v>310967.0</v>
      </c>
      <c r="E78" s="557">
        <f t="shared" si="36"/>
        <v>0.3616955201</v>
      </c>
      <c r="F78" s="521"/>
      <c r="G78" s="557" t="str">
        <f t="shared" si="37"/>
        <v>#DIV/0!</v>
      </c>
      <c r="H78" s="256"/>
      <c r="I78" s="673"/>
      <c r="J78" s="650">
        <v>301951.0</v>
      </c>
      <c r="K78" s="560">
        <f t="shared" si="38"/>
        <v>0.3739331269</v>
      </c>
      <c r="L78" s="521"/>
      <c r="M78" s="557" t="str">
        <f t="shared" si="39"/>
        <v>#DIV/0!</v>
      </c>
      <c r="N78" s="256"/>
      <c r="O78" s="674"/>
      <c r="P78" s="519">
        <v>368699.0</v>
      </c>
      <c r="Q78" s="560">
        <f t="shared" si="40"/>
        <v>0.3221510698</v>
      </c>
      <c r="R78" s="521"/>
      <c r="S78" s="557" t="str">
        <f t="shared" si="41"/>
        <v>#DIV/0!</v>
      </c>
      <c r="T78" s="256"/>
      <c r="U78" s="674"/>
    </row>
    <row r="79" ht="15.75" customHeight="1">
      <c r="B79" s="465"/>
      <c r="C79" s="465" t="s">
        <v>223</v>
      </c>
      <c r="D79" s="467">
        <v>0.0</v>
      </c>
      <c r="E79" s="557">
        <f t="shared" si="36"/>
        <v>0</v>
      </c>
      <c r="F79" s="521"/>
      <c r="G79" s="557" t="str">
        <f t="shared" si="37"/>
        <v>#DIV/0!</v>
      </c>
      <c r="H79" s="256"/>
      <c r="I79" s="674"/>
      <c r="J79" s="515">
        <v>0.0</v>
      </c>
      <c r="K79" s="557">
        <f t="shared" si="38"/>
        <v>0</v>
      </c>
      <c r="L79" s="521"/>
      <c r="M79" s="557" t="str">
        <f t="shared" si="39"/>
        <v>#DIV/0!</v>
      </c>
      <c r="N79" s="256"/>
      <c r="O79" s="674"/>
      <c r="P79" s="516">
        <v>0.0</v>
      </c>
      <c r="Q79" s="560">
        <f t="shared" si="40"/>
        <v>0</v>
      </c>
      <c r="R79" s="521"/>
      <c r="S79" s="557" t="str">
        <f t="shared" si="41"/>
        <v>#DIV/0!</v>
      </c>
      <c r="T79" s="256"/>
      <c r="U79" s="674"/>
    </row>
    <row r="80" ht="15.75" customHeight="1">
      <c r="A80" s="153"/>
      <c r="B80" s="465"/>
      <c r="C80" s="465" t="s">
        <v>225</v>
      </c>
      <c r="D80" s="467">
        <v>10137.24</v>
      </c>
      <c r="E80" s="557">
        <f t="shared" si="36"/>
        <v>0.01179094339</v>
      </c>
      <c r="F80" s="521"/>
      <c r="G80" s="557" t="str">
        <f t="shared" si="37"/>
        <v>#DIV/0!</v>
      </c>
      <c r="H80" s="256"/>
      <c r="I80" s="673"/>
      <c r="J80" s="650">
        <v>11822.49</v>
      </c>
      <c r="K80" s="560">
        <f t="shared" si="38"/>
        <v>0.01464085449</v>
      </c>
      <c r="L80" s="521"/>
      <c r="M80" s="557" t="str">
        <f t="shared" si="39"/>
        <v>#DIV/0!</v>
      </c>
      <c r="N80" s="256"/>
      <c r="O80" s="674"/>
      <c r="P80" s="519">
        <v>14172.0</v>
      </c>
      <c r="Q80" s="560">
        <f t="shared" si="40"/>
        <v>0.01238279724</v>
      </c>
      <c r="R80" s="521"/>
      <c r="S80" s="557" t="str">
        <f t="shared" si="41"/>
        <v>#DIV/0!</v>
      </c>
      <c r="T80" s="256"/>
      <c r="U80" s="674"/>
    </row>
    <row r="81" ht="15.75" customHeight="1">
      <c r="B81" s="465"/>
      <c r="C81" s="465" t="s">
        <v>226</v>
      </c>
      <c r="D81" s="467">
        <v>22000.0</v>
      </c>
      <c r="E81" s="557">
        <f t="shared" si="36"/>
        <v>0.02558889349</v>
      </c>
      <c r="F81" s="521"/>
      <c r="G81" s="557" t="str">
        <f t="shared" si="37"/>
        <v>#DIV/0!</v>
      </c>
      <c r="H81" s="256"/>
      <c r="I81" s="673"/>
      <c r="J81" s="682">
        <v>22000.0</v>
      </c>
      <c r="K81" s="560">
        <f t="shared" si="38"/>
        <v>0.02724458204</v>
      </c>
      <c r="L81" s="521"/>
      <c r="M81" s="557" t="str">
        <f t="shared" si="39"/>
        <v>#DIV/0!</v>
      </c>
      <c r="N81" s="256"/>
      <c r="O81" s="674"/>
      <c r="P81" s="519">
        <v>22000.0</v>
      </c>
      <c r="Q81" s="560">
        <f t="shared" si="40"/>
        <v>0.01922251901</v>
      </c>
      <c r="R81" s="521"/>
      <c r="S81" s="557" t="str">
        <f t="shared" si="41"/>
        <v>#DIV/0!</v>
      </c>
      <c r="T81" s="256"/>
      <c r="U81" s="674"/>
    </row>
    <row r="82" ht="15.75" customHeight="1">
      <c r="B82" s="465"/>
      <c r="C82" s="465" t="s">
        <v>227</v>
      </c>
      <c r="D82" s="467">
        <v>0.0</v>
      </c>
      <c r="E82" s="557">
        <f t="shared" si="36"/>
        <v>0</v>
      </c>
      <c r="F82" s="521"/>
      <c r="G82" s="557" t="str">
        <f t="shared" si="37"/>
        <v>#DIV/0!</v>
      </c>
      <c r="H82" s="256"/>
      <c r="I82" s="674"/>
      <c r="J82" s="463">
        <v>0.0</v>
      </c>
      <c r="K82" s="557">
        <f t="shared" si="38"/>
        <v>0</v>
      </c>
      <c r="L82" s="521"/>
      <c r="M82" s="557" t="str">
        <f t="shared" si="39"/>
        <v>#DIV/0!</v>
      </c>
      <c r="N82" s="256"/>
      <c r="O82" s="674"/>
      <c r="P82" s="505">
        <v>0.0</v>
      </c>
      <c r="Q82" s="560">
        <f t="shared" si="40"/>
        <v>0</v>
      </c>
      <c r="R82" s="521"/>
      <c r="S82" s="557" t="str">
        <f t="shared" si="41"/>
        <v>#DIV/0!</v>
      </c>
      <c r="T82" s="256"/>
      <c r="U82" s="674"/>
    </row>
    <row r="83" ht="15.75" customHeight="1">
      <c r="B83" s="465"/>
      <c r="C83" s="465" t="s">
        <v>228</v>
      </c>
      <c r="D83" s="467">
        <v>0.0</v>
      </c>
      <c r="E83" s="557">
        <f t="shared" si="36"/>
        <v>0</v>
      </c>
      <c r="F83" s="521"/>
      <c r="G83" s="557" t="str">
        <f t="shared" si="37"/>
        <v>#DIV/0!</v>
      </c>
      <c r="H83" s="256"/>
      <c r="I83" s="674"/>
      <c r="J83" s="467">
        <v>0.0</v>
      </c>
      <c r="K83" s="557">
        <f t="shared" si="38"/>
        <v>0</v>
      </c>
      <c r="L83" s="521"/>
      <c r="M83" s="557" t="str">
        <f t="shared" si="39"/>
        <v>#DIV/0!</v>
      </c>
      <c r="N83" s="256"/>
      <c r="O83" s="674"/>
      <c r="P83" s="506">
        <v>0.0</v>
      </c>
      <c r="Q83" s="560">
        <f t="shared" si="40"/>
        <v>0</v>
      </c>
      <c r="R83" s="521"/>
      <c r="S83" s="557" t="str">
        <f t="shared" si="41"/>
        <v>#DIV/0!</v>
      </c>
      <c r="T83" s="256"/>
      <c r="U83" s="674"/>
    </row>
    <row r="84" ht="15.75" customHeight="1">
      <c r="B84" s="465"/>
      <c r="C84" s="465" t="s">
        <v>276</v>
      </c>
      <c r="D84" s="514">
        <v>0.0</v>
      </c>
      <c r="E84" s="256"/>
      <c r="F84" s="675"/>
      <c r="G84" s="256"/>
      <c r="H84" s="256"/>
      <c r="I84" s="674"/>
      <c r="J84" s="514">
        <v>0.0</v>
      </c>
      <c r="K84" s="256"/>
      <c r="L84" s="675"/>
      <c r="M84" s="256"/>
      <c r="N84" s="256"/>
      <c r="O84" s="674"/>
      <c r="P84" s="506">
        <v>0.0</v>
      </c>
      <c r="Q84" s="676"/>
      <c r="R84" s="675"/>
      <c r="S84" s="256"/>
      <c r="T84" s="256"/>
      <c r="U84" s="674"/>
    </row>
    <row r="85" ht="15.75" customHeight="1">
      <c r="B85" s="483"/>
      <c r="C85" s="610"/>
      <c r="D85" s="485"/>
      <c r="E85" s="677"/>
      <c r="F85" s="678"/>
      <c r="G85" s="677"/>
      <c r="H85" s="677"/>
      <c r="I85" s="679"/>
      <c r="J85" s="485"/>
      <c r="K85" s="677"/>
      <c r="L85" s="678"/>
      <c r="M85" s="677"/>
      <c r="N85" s="677"/>
      <c r="O85" s="679"/>
      <c r="P85" s="501"/>
      <c r="Q85" s="680"/>
      <c r="R85" s="678"/>
      <c r="S85" s="677"/>
      <c r="T85" s="677"/>
      <c r="U85" s="679"/>
    </row>
    <row r="86" ht="15.75" customHeight="1">
      <c r="A86" s="153"/>
      <c r="B86" s="493"/>
      <c r="C86" s="511" t="s">
        <v>38</v>
      </c>
      <c r="D86" s="512">
        <f>SUM(D87)</f>
        <v>0</v>
      </c>
      <c r="E86" s="669">
        <f>D86/D$29</f>
        <v>0</v>
      </c>
      <c r="F86" s="683">
        <f>SUM(F87)</f>
        <v>0</v>
      </c>
      <c r="G86" s="493"/>
      <c r="H86" s="493">
        <f>SUM(H87)</f>
        <v>0</v>
      </c>
      <c r="I86" s="493"/>
      <c r="J86" s="512">
        <f>SUM(J87)</f>
        <v>0</v>
      </c>
      <c r="K86" s="669">
        <f>J86/J$29</f>
        <v>0</v>
      </c>
      <c r="L86" s="683">
        <f>SUM(L87)</f>
        <v>0</v>
      </c>
      <c r="M86" s="493"/>
      <c r="N86" s="493">
        <f>SUM(N87)</f>
        <v>0</v>
      </c>
      <c r="O86" s="493"/>
      <c r="P86" s="512">
        <f>SUM(P87)</f>
        <v>0</v>
      </c>
      <c r="Q86" s="669">
        <f>P86/P$29</f>
        <v>0</v>
      </c>
      <c r="R86" s="683">
        <f>SUM(R87)</f>
        <v>0</v>
      </c>
      <c r="S86" s="493"/>
      <c r="T86" s="493">
        <f>SUM(T87)</f>
        <v>0</v>
      </c>
      <c r="U86" s="493"/>
    </row>
    <row r="87" ht="15.75" customHeight="1">
      <c r="B87" s="497"/>
      <c r="C87" s="497" t="s">
        <v>277</v>
      </c>
      <c r="D87" s="463">
        <v>0.0</v>
      </c>
      <c r="E87" s="671"/>
      <c r="F87" s="684"/>
      <c r="G87" s="671"/>
      <c r="H87" s="671"/>
      <c r="I87" s="672"/>
      <c r="J87" s="463">
        <v>0.0</v>
      </c>
      <c r="K87" s="671"/>
      <c r="L87" s="684"/>
      <c r="M87" s="671"/>
      <c r="N87" s="671"/>
      <c r="O87" s="672"/>
      <c r="P87" s="498">
        <v>0.0</v>
      </c>
      <c r="Q87" s="685"/>
      <c r="R87" s="684"/>
      <c r="S87" s="671"/>
      <c r="T87" s="671"/>
      <c r="U87" s="672"/>
    </row>
    <row r="88" ht="15.75" customHeight="1">
      <c r="B88" s="483"/>
      <c r="C88" s="483"/>
      <c r="D88" s="485"/>
      <c r="E88" s="677"/>
      <c r="F88" s="678"/>
      <c r="G88" s="677"/>
      <c r="H88" s="677"/>
      <c r="I88" s="679"/>
      <c r="J88" s="485"/>
      <c r="K88" s="677"/>
      <c r="L88" s="678"/>
      <c r="M88" s="677"/>
      <c r="N88" s="677"/>
      <c r="O88" s="679"/>
      <c r="P88" s="501"/>
      <c r="Q88" s="680"/>
      <c r="R88" s="678"/>
      <c r="S88" s="677"/>
      <c r="T88" s="677"/>
      <c r="U88" s="679"/>
    </row>
    <row r="89" ht="15.75" customHeight="1">
      <c r="A89" s="153"/>
      <c r="B89" s="493"/>
      <c r="C89" s="511" t="s">
        <v>235</v>
      </c>
      <c r="D89" s="491">
        <f t="shared" ref="D89:J89" si="42">SUM(D90:D91)</f>
        <v>23091</v>
      </c>
      <c r="E89" s="512">
        <f t="shared" si="42"/>
        <v>0</v>
      </c>
      <c r="F89" s="512">
        <f t="shared" si="42"/>
        <v>0</v>
      </c>
      <c r="G89" s="512">
        <f t="shared" si="42"/>
        <v>0</v>
      </c>
      <c r="H89" s="512">
        <f t="shared" si="42"/>
        <v>0</v>
      </c>
      <c r="I89" s="512">
        <f t="shared" si="42"/>
        <v>0</v>
      </c>
      <c r="J89" s="491">
        <f t="shared" si="42"/>
        <v>23090</v>
      </c>
      <c r="K89" s="669">
        <f>J89/J$29</f>
        <v>0.02859442724</v>
      </c>
      <c r="L89" s="683">
        <f>SUM(L90:L91)</f>
        <v>0</v>
      </c>
      <c r="M89" s="493"/>
      <c r="N89" s="493">
        <f>SUM(N90:N91)</f>
        <v>0</v>
      </c>
      <c r="O89" s="493"/>
      <c r="P89" s="491">
        <f>SUM(P90:P91)</f>
        <v>14550</v>
      </c>
      <c r="Q89" s="669">
        <f>P89/P$29</f>
        <v>0.01271307507</v>
      </c>
      <c r="R89" s="683">
        <f>SUM(R90:R91)</f>
        <v>0</v>
      </c>
      <c r="S89" s="493"/>
      <c r="T89" s="493">
        <f>SUM(T90:T91)</f>
        <v>0</v>
      </c>
      <c r="U89" s="493"/>
    </row>
    <row r="90" ht="15.75" customHeight="1">
      <c r="B90" s="497"/>
      <c r="C90" s="497" t="s">
        <v>236</v>
      </c>
      <c r="D90" s="463"/>
      <c r="E90" s="671"/>
      <c r="F90" s="684"/>
      <c r="G90" s="671"/>
      <c r="H90" s="671"/>
      <c r="I90" s="672"/>
      <c r="J90" s="463"/>
      <c r="K90" s="671"/>
      <c r="L90" s="684"/>
      <c r="M90" s="671"/>
      <c r="N90" s="671"/>
      <c r="O90" s="672"/>
      <c r="P90" s="498"/>
      <c r="Q90" s="685"/>
      <c r="R90" s="684"/>
      <c r="S90" s="671"/>
      <c r="T90" s="671"/>
      <c r="U90" s="672"/>
    </row>
    <row r="91" ht="15.75" customHeight="1">
      <c r="B91" s="465"/>
      <c r="C91" s="465" t="s">
        <v>291</v>
      </c>
      <c r="D91" s="467">
        <v>23091.0</v>
      </c>
      <c r="E91" s="256"/>
      <c r="F91" s="675"/>
      <c r="G91" s="256"/>
      <c r="H91" s="256"/>
      <c r="I91" s="674"/>
      <c r="J91" s="467">
        <v>23090.0</v>
      </c>
      <c r="K91" s="256"/>
      <c r="L91" s="675"/>
      <c r="M91" s="256"/>
      <c r="N91" s="256"/>
      <c r="O91" s="674"/>
      <c r="P91" s="506">
        <v>14550.0</v>
      </c>
      <c r="Q91" s="676"/>
      <c r="R91" s="675"/>
      <c r="S91" s="256"/>
      <c r="T91" s="256"/>
      <c r="U91" s="674"/>
    </row>
    <row r="92" ht="15.75" customHeight="1">
      <c r="B92" s="483"/>
      <c r="C92" s="483"/>
      <c r="D92" s="485"/>
      <c r="E92" s="677"/>
      <c r="F92" s="678"/>
      <c r="G92" s="677"/>
      <c r="H92" s="677"/>
      <c r="I92" s="679"/>
      <c r="J92" s="485"/>
      <c r="K92" s="677"/>
      <c r="L92" s="678"/>
      <c r="M92" s="677"/>
      <c r="N92" s="677"/>
      <c r="O92" s="679"/>
      <c r="P92" s="501"/>
      <c r="Q92" s="680"/>
      <c r="R92" s="678"/>
      <c r="S92" s="677"/>
      <c r="T92" s="677"/>
      <c r="U92" s="679"/>
    </row>
    <row r="93" ht="15.75" customHeight="1">
      <c r="A93" s="153"/>
      <c r="B93" s="493"/>
      <c r="C93" s="511" t="s">
        <v>40</v>
      </c>
      <c r="D93" s="491">
        <f>SUM(D94:D103)</f>
        <v>30236</v>
      </c>
      <c r="E93" s="613">
        <f t="shared" ref="E93:E104" si="43">D93/D$29</f>
        <v>0.03516844471</v>
      </c>
      <c r="F93" s="686">
        <f>SUM(F94:F103)</f>
        <v>0</v>
      </c>
      <c r="G93" s="490"/>
      <c r="H93" s="490">
        <f>SUM(H94:H103)</f>
        <v>0</v>
      </c>
      <c r="I93" s="490"/>
      <c r="J93" s="491">
        <f>SUM(J94:J103)</f>
        <v>32142</v>
      </c>
      <c r="K93" s="613">
        <f t="shared" ref="K93:K104" si="44">J93/J$29</f>
        <v>0.03980433437</v>
      </c>
      <c r="L93" s="686">
        <f>SUM(L94:L103)</f>
        <v>0</v>
      </c>
      <c r="M93" s="490"/>
      <c r="N93" s="490">
        <f>SUM(N94:N103)</f>
        <v>0</v>
      </c>
      <c r="O93" s="490"/>
      <c r="P93" s="491">
        <f>SUM(P94:P103)</f>
        <v>10803</v>
      </c>
      <c r="Q93" s="613">
        <f t="shared" ref="Q93:Q104" si="45">P93/P$29</f>
        <v>0.009439130583</v>
      </c>
      <c r="R93" s="686">
        <f>SUM(R94:R103)</f>
        <v>0</v>
      </c>
      <c r="S93" s="490"/>
      <c r="T93" s="490">
        <f>SUM(T94:T103)</f>
        <v>0</v>
      </c>
      <c r="U93" s="490"/>
    </row>
    <row r="94" ht="15.75" customHeight="1">
      <c r="B94" s="497"/>
      <c r="C94" s="497" t="s">
        <v>238</v>
      </c>
      <c r="D94" s="463">
        <v>0.0</v>
      </c>
      <c r="E94" s="552">
        <f t="shared" si="43"/>
        <v>0</v>
      </c>
      <c r="F94" s="684"/>
      <c r="G94" s="671"/>
      <c r="H94" s="671"/>
      <c r="I94" s="672"/>
      <c r="J94" s="463">
        <v>0.0</v>
      </c>
      <c r="K94" s="552">
        <f t="shared" si="44"/>
        <v>0</v>
      </c>
      <c r="L94" s="684"/>
      <c r="M94" s="671"/>
      <c r="N94" s="671"/>
      <c r="O94" s="672"/>
      <c r="P94" s="505">
        <v>0.0</v>
      </c>
      <c r="Q94" s="554">
        <f t="shared" si="45"/>
        <v>0</v>
      </c>
      <c r="R94" s="684"/>
      <c r="S94" s="671"/>
      <c r="T94" s="671"/>
      <c r="U94" s="672"/>
    </row>
    <row r="95" ht="15.75" customHeight="1">
      <c r="B95" s="465"/>
      <c r="C95" s="465" t="s">
        <v>239</v>
      </c>
      <c r="D95" s="514">
        <v>2649.0</v>
      </c>
      <c r="E95" s="557">
        <f t="shared" si="43"/>
        <v>0.003081135402</v>
      </c>
      <c r="F95" s="675"/>
      <c r="G95" s="256"/>
      <c r="H95" s="256"/>
      <c r="I95" s="674"/>
      <c r="J95" s="467">
        <v>0.0</v>
      </c>
      <c r="K95" s="557">
        <f t="shared" si="44"/>
        <v>0</v>
      </c>
      <c r="L95" s="675"/>
      <c r="M95" s="256"/>
      <c r="N95" s="256"/>
      <c r="O95" s="674"/>
      <c r="P95" s="506">
        <v>0.0</v>
      </c>
      <c r="Q95" s="560">
        <f t="shared" si="45"/>
        <v>0</v>
      </c>
      <c r="R95" s="675"/>
      <c r="S95" s="256"/>
      <c r="T95" s="256"/>
      <c r="U95" s="674"/>
    </row>
    <row r="96" ht="15.75" customHeight="1">
      <c r="B96" s="465"/>
      <c r="C96" s="465" t="s">
        <v>240</v>
      </c>
      <c r="D96" s="467">
        <v>0.0</v>
      </c>
      <c r="E96" s="557">
        <f t="shared" si="43"/>
        <v>0</v>
      </c>
      <c r="F96" s="675"/>
      <c r="G96" s="256"/>
      <c r="H96" s="256"/>
      <c r="I96" s="674"/>
      <c r="J96" s="467">
        <v>0.0</v>
      </c>
      <c r="K96" s="557">
        <f t="shared" si="44"/>
        <v>0</v>
      </c>
      <c r="L96" s="675"/>
      <c r="M96" s="256"/>
      <c r="N96" s="256"/>
      <c r="O96" s="674"/>
      <c r="P96" s="506">
        <v>0.0</v>
      </c>
      <c r="Q96" s="560">
        <f t="shared" si="45"/>
        <v>0</v>
      </c>
      <c r="R96" s="675"/>
      <c r="S96" s="256"/>
      <c r="T96" s="256"/>
      <c r="U96" s="674"/>
    </row>
    <row r="97" ht="15.75" customHeight="1">
      <c r="B97" s="465"/>
      <c r="C97" s="465" t="s">
        <v>241</v>
      </c>
      <c r="D97" s="467">
        <v>0.0</v>
      </c>
      <c r="E97" s="557">
        <f t="shared" si="43"/>
        <v>0</v>
      </c>
      <c r="F97" s="675"/>
      <c r="G97" s="256"/>
      <c r="H97" s="256"/>
      <c r="I97" s="674"/>
      <c r="J97" s="467">
        <v>0.0</v>
      </c>
      <c r="K97" s="557">
        <f t="shared" si="44"/>
        <v>0</v>
      </c>
      <c r="L97" s="675"/>
      <c r="M97" s="256"/>
      <c r="N97" s="256"/>
      <c r="O97" s="674"/>
      <c r="P97" s="506">
        <v>0.0</v>
      </c>
      <c r="Q97" s="560">
        <f t="shared" si="45"/>
        <v>0</v>
      </c>
      <c r="R97" s="675"/>
      <c r="S97" s="256"/>
      <c r="T97" s="256"/>
      <c r="U97" s="674"/>
    </row>
    <row r="98" ht="15.75" customHeight="1">
      <c r="B98" s="465"/>
      <c r="C98" s="465" t="s">
        <v>292</v>
      </c>
      <c r="D98" s="467">
        <v>0.0</v>
      </c>
      <c r="E98" s="557">
        <f t="shared" si="43"/>
        <v>0</v>
      </c>
      <c r="F98" s="675"/>
      <c r="G98" s="256"/>
      <c r="H98" s="256"/>
      <c r="I98" s="674"/>
      <c r="J98" s="467">
        <v>0.0</v>
      </c>
      <c r="K98" s="557">
        <f t="shared" si="44"/>
        <v>0</v>
      </c>
      <c r="L98" s="675"/>
      <c r="M98" s="256"/>
      <c r="N98" s="256"/>
      <c r="O98" s="674"/>
      <c r="P98" s="506">
        <v>0.0</v>
      </c>
      <c r="Q98" s="560">
        <f t="shared" si="45"/>
        <v>0</v>
      </c>
      <c r="R98" s="675"/>
      <c r="S98" s="256"/>
      <c r="T98" s="256"/>
      <c r="U98" s="674"/>
    </row>
    <row r="99" ht="15.75" customHeight="1">
      <c r="B99" s="465"/>
      <c r="C99" s="465" t="s">
        <v>244</v>
      </c>
      <c r="D99" s="514">
        <v>19500.0</v>
      </c>
      <c r="E99" s="557">
        <f t="shared" si="43"/>
        <v>0.02268106468</v>
      </c>
      <c r="F99" s="675"/>
      <c r="G99" s="256"/>
      <c r="H99" s="256"/>
      <c r="I99" s="674"/>
      <c r="J99" s="514">
        <v>22900.0</v>
      </c>
      <c r="K99" s="557">
        <f t="shared" si="44"/>
        <v>0.02835913313</v>
      </c>
      <c r="L99" s="675"/>
      <c r="M99" s="256"/>
      <c r="N99" s="256"/>
      <c r="O99" s="674"/>
      <c r="P99" s="506">
        <v>6850.0</v>
      </c>
      <c r="Q99" s="560">
        <f t="shared" si="45"/>
        <v>0.005985193418</v>
      </c>
      <c r="R99" s="675"/>
      <c r="S99" s="256"/>
      <c r="T99" s="256"/>
      <c r="U99" s="674"/>
    </row>
    <row r="100" ht="15.75" customHeight="1">
      <c r="B100" s="465"/>
      <c r="C100" s="465" t="s">
        <v>246</v>
      </c>
      <c r="D100" s="467">
        <v>0.0</v>
      </c>
      <c r="E100" s="557">
        <f t="shared" si="43"/>
        <v>0</v>
      </c>
      <c r="F100" s="675"/>
      <c r="G100" s="256"/>
      <c r="H100" s="256"/>
      <c r="I100" s="674"/>
      <c r="J100" s="467">
        <v>0.0</v>
      </c>
      <c r="K100" s="557">
        <f t="shared" si="44"/>
        <v>0</v>
      </c>
      <c r="L100" s="675"/>
      <c r="M100" s="256"/>
      <c r="N100" s="256"/>
      <c r="O100" s="674"/>
      <c r="P100" s="506">
        <v>0.0</v>
      </c>
      <c r="Q100" s="560">
        <f t="shared" si="45"/>
        <v>0</v>
      </c>
      <c r="R100" s="675"/>
      <c r="S100" s="256"/>
      <c r="T100" s="256"/>
      <c r="U100" s="674"/>
    </row>
    <row r="101" ht="15.75" customHeight="1">
      <c r="A101" s="153"/>
      <c r="B101" s="465"/>
      <c r="C101" s="465" t="s">
        <v>247</v>
      </c>
      <c r="D101" s="467">
        <v>8087.0</v>
      </c>
      <c r="E101" s="557">
        <f t="shared" si="43"/>
        <v>0.009406244621</v>
      </c>
      <c r="F101" s="675"/>
      <c r="G101" s="256"/>
      <c r="H101" s="256"/>
      <c r="I101" s="674"/>
      <c r="J101" s="467">
        <v>8642.0</v>
      </c>
      <c r="K101" s="557">
        <f t="shared" si="44"/>
        <v>0.01070216718</v>
      </c>
      <c r="L101" s="675"/>
      <c r="M101" s="256"/>
      <c r="N101" s="256"/>
      <c r="O101" s="674"/>
      <c r="P101" s="506">
        <v>3548.0</v>
      </c>
      <c r="Q101" s="560">
        <f t="shared" si="45"/>
        <v>0.003100068065</v>
      </c>
      <c r="R101" s="675"/>
      <c r="S101" s="256"/>
      <c r="T101" s="256"/>
      <c r="U101" s="674"/>
    </row>
    <row r="102" ht="15.75" customHeight="1">
      <c r="B102" s="465"/>
      <c r="C102" s="465" t="s">
        <v>293</v>
      </c>
      <c r="D102" s="467">
        <v>0.0</v>
      </c>
      <c r="E102" s="557">
        <f t="shared" si="43"/>
        <v>0</v>
      </c>
      <c r="F102" s="675"/>
      <c r="G102" s="256"/>
      <c r="H102" s="256"/>
      <c r="I102" s="674"/>
      <c r="J102" s="467">
        <v>0.0</v>
      </c>
      <c r="K102" s="557">
        <f t="shared" si="44"/>
        <v>0</v>
      </c>
      <c r="L102" s="675"/>
      <c r="M102" s="256"/>
      <c r="N102" s="256"/>
      <c r="O102" s="674"/>
      <c r="P102" s="506">
        <v>0.0</v>
      </c>
      <c r="Q102" s="560">
        <f t="shared" si="45"/>
        <v>0</v>
      </c>
      <c r="R102" s="675"/>
      <c r="S102" s="256"/>
      <c r="T102" s="256"/>
      <c r="U102" s="674"/>
    </row>
    <row r="103" ht="15.75" customHeight="1">
      <c r="B103" s="465"/>
      <c r="C103" s="465" t="s">
        <v>248</v>
      </c>
      <c r="D103" s="467">
        <v>0.0</v>
      </c>
      <c r="E103" s="557">
        <f t="shared" si="43"/>
        <v>0</v>
      </c>
      <c r="F103" s="675"/>
      <c r="G103" s="256"/>
      <c r="H103" s="256"/>
      <c r="I103" s="674"/>
      <c r="J103" s="514">
        <v>600.0</v>
      </c>
      <c r="K103" s="557">
        <f t="shared" si="44"/>
        <v>0.0007430340557</v>
      </c>
      <c r="L103" s="675"/>
      <c r="M103" s="256"/>
      <c r="N103" s="256"/>
      <c r="O103" s="674"/>
      <c r="P103" s="506">
        <v>405.0</v>
      </c>
      <c r="Q103" s="560">
        <f t="shared" si="45"/>
        <v>0.0003538690999</v>
      </c>
      <c r="R103" s="675"/>
      <c r="S103" s="256"/>
      <c r="T103" s="256"/>
      <c r="U103" s="674"/>
    </row>
    <row r="104" ht="15.75" customHeight="1">
      <c r="B104" s="465"/>
      <c r="C104" s="465"/>
      <c r="D104" s="467"/>
      <c r="E104" s="557">
        <f t="shared" si="43"/>
        <v>0</v>
      </c>
      <c r="F104" s="675"/>
      <c r="G104" s="256"/>
      <c r="H104" s="256"/>
      <c r="I104" s="674"/>
      <c r="J104" s="467"/>
      <c r="K104" s="557">
        <f t="shared" si="44"/>
        <v>0</v>
      </c>
      <c r="L104" s="675"/>
      <c r="M104" s="256"/>
      <c r="N104" s="256"/>
      <c r="O104" s="674"/>
      <c r="P104" s="474"/>
      <c r="Q104" s="560">
        <f t="shared" si="45"/>
        <v>0</v>
      </c>
      <c r="R104" s="675"/>
      <c r="S104" s="256"/>
      <c r="T104" s="256"/>
      <c r="U104" s="674"/>
    </row>
    <row r="105" ht="15.75" customHeight="1">
      <c r="B105" s="483"/>
      <c r="C105" s="619"/>
      <c r="D105" s="485"/>
      <c r="E105" s="677"/>
      <c r="F105" s="678"/>
      <c r="G105" s="677"/>
      <c r="H105" s="677"/>
      <c r="I105" s="679"/>
      <c r="J105" s="485"/>
      <c r="K105" s="677"/>
      <c r="L105" s="678"/>
      <c r="M105" s="677"/>
      <c r="N105" s="677"/>
      <c r="O105" s="679"/>
      <c r="P105" s="501"/>
      <c r="Q105" s="680"/>
      <c r="R105" s="678"/>
      <c r="S105" s="677"/>
      <c r="T105" s="677"/>
      <c r="U105" s="679"/>
    </row>
    <row r="106" ht="15.75" customHeight="1">
      <c r="A106" s="153"/>
      <c r="B106" s="493"/>
      <c r="C106" s="511" t="s">
        <v>41</v>
      </c>
      <c r="D106" s="491">
        <f>SUM(D107:D108)</f>
        <v>0</v>
      </c>
      <c r="E106" s="613">
        <f>D106/D$29</f>
        <v>0</v>
      </c>
      <c r="F106" s="686">
        <f>SUM(F107)</f>
        <v>0</v>
      </c>
      <c r="G106" s="613" t="str">
        <f>F106/F$29</f>
        <v>#DIV/0!</v>
      </c>
      <c r="H106" s="490">
        <f>SUM(H107)</f>
        <v>0</v>
      </c>
      <c r="I106" s="490"/>
      <c r="J106" s="491">
        <f>SUM(J107:J108)</f>
        <v>0</v>
      </c>
      <c r="K106" s="613">
        <f>J106/J$29</f>
        <v>0</v>
      </c>
      <c r="L106" s="686">
        <f>SUM(L107)</f>
        <v>0</v>
      </c>
      <c r="M106" s="613" t="str">
        <f>L106/L$29</f>
        <v>#DIV/0!</v>
      </c>
      <c r="N106" s="490">
        <f>SUM(N107)</f>
        <v>0</v>
      </c>
      <c r="O106" s="490"/>
      <c r="P106" s="491">
        <f>SUM(P107:P108)</f>
        <v>0</v>
      </c>
      <c r="Q106" s="613">
        <f>P106/P$29</f>
        <v>0</v>
      </c>
      <c r="R106" s="686">
        <f>SUM(R107)</f>
        <v>0</v>
      </c>
      <c r="S106" s="613" t="str">
        <f>R106/R$29</f>
        <v>#DIV/0!</v>
      </c>
      <c r="T106" s="490">
        <f>SUM(T107)</f>
        <v>0</v>
      </c>
      <c r="U106" s="490"/>
    </row>
    <row r="107" ht="15.75" customHeight="1">
      <c r="B107" s="497"/>
      <c r="C107" s="497" t="s">
        <v>250</v>
      </c>
      <c r="D107" s="463">
        <v>0.0</v>
      </c>
      <c r="E107" s="671"/>
      <c r="F107" s="684"/>
      <c r="G107" s="671"/>
      <c r="H107" s="671"/>
      <c r="I107" s="672"/>
      <c r="J107" s="463">
        <v>0.0</v>
      </c>
      <c r="K107" s="671"/>
      <c r="L107" s="684"/>
      <c r="M107" s="671"/>
      <c r="N107" s="671"/>
      <c r="O107" s="672"/>
      <c r="P107" s="498">
        <v>0.0</v>
      </c>
      <c r="Q107" s="685"/>
      <c r="R107" s="684"/>
      <c r="S107" s="671"/>
      <c r="T107" s="671"/>
      <c r="U107" s="672"/>
    </row>
    <row r="108" ht="15.75" customHeight="1">
      <c r="B108" s="465"/>
      <c r="C108" s="465" t="s">
        <v>294</v>
      </c>
      <c r="D108" s="467">
        <v>0.0</v>
      </c>
      <c r="E108" s="256"/>
      <c r="F108" s="675"/>
      <c r="G108" s="256"/>
      <c r="H108" s="256"/>
      <c r="I108" s="674"/>
      <c r="J108" s="467">
        <v>0.0</v>
      </c>
      <c r="K108" s="256"/>
      <c r="L108" s="675"/>
      <c r="M108" s="256"/>
      <c r="N108" s="256"/>
      <c r="O108" s="674"/>
      <c r="P108" s="474">
        <v>0.0</v>
      </c>
      <c r="Q108" s="676"/>
      <c r="R108" s="675"/>
      <c r="S108" s="256"/>
      <c r="T108" s="256"/>
      <c r="U108" s="674"/>
    </row>
    <row r="109" ht="15.75" customHeight="1">
      <c r="B109" s="483"/>
      <c r="C109" s="483"/>
      <c r="D109" s="485"/>
      <c r="E109" s="677"/>
      <c r="F109" s="678"/>
      <c r="G109" s="677"/>
      <c r="H109" s="677"/>
      <c r="I109" s="679"/>
      <c r="J109" s="485"/>
      <c r="K109" s="677"/>
      <c r="L109" s="678"/>
      <c r="M109" s="677"/>
      <c r="N109" s="677"/>
      <c r="O109" s="679"/>
      <c r="P109" s="501"/>
      <c r="Q109" s="680"/>
      <c r="R109" s="678"/>
      <c r="S109" s="677"/>
      <c r="T109" s="677"/>
      <c r="U109" s="679"/>
    </row>
    <row r="110" ht="15.75" customHeight="1">
      <c r="A110" s="153"/>
      <c r="B110" s="493"/>
      <c r="C110" s="511" t="s">
        <v>42</v>
      </c>
      <c r="D110" s="491">
        <f>SUM(D111:D112)</f>
        <v>0</v>
      </c>
      <c r="E110" s="613">
        <f>D110/D$29</f>
        <v>0</v>
      </c>
      <c r="F110" s="491">
        <f>SUM(F111:F112)</f>
        <v>0</v>
      </c>
      <c r="G110" s="613" t="str">
        <f>F110/F$29</f>
        <v>#DIV/0!</v>
      </c>
      <c r="H110" s="490">
        <f>SUM(H111:H112)</f>
        <v>0</v>
      </c>
      <c r="I110" s="490"/>
      <c r="J110" s="491">
        <f>SUM(J111:J112)</f>
        <v>0</v>
      </c>
      <c r="K110" s="613">
        <f>J110/J$29</f>
        <v>0</v>
      </c>
      <c r="L110" s="491">
        <f>SUM(L111:L112)</f>
        <v>0</v>
      </c>
      <c r="M110" s="613" t="str">
        <f>L110/L$29</f>
        <v>#DIV/0!</v>
      </c>
      <c r="N110" s="490">
        <f>SUM(N111:N112)</f>
        <v>0</v>
      </c>
      <c r="O110" s="490"/>
      <c r="P110" s="491">
        <f>SUM(P111:P112)</f>
        <v>0</v>
      </c>
      <c r="Q110" s="613">
        <f>P110/P$29</f>
        <v>0</v>
      </c>
      <c r="R110" s="491">
        <f>SUM(R111:R112)</f>
        <v>0</v>
      </c>
      <c r="S110" s="613" t="str">
        <f>R110/R$29</f>
        <v>#DIV/0!</v>
      </c>
      <c r="T110" s="490">
        <f>SUM(T111:T112)</f>
        <v>0</v>
      </c>
      <c r="U110" s="490"/>
    </row>
    <row r="111" ht="15.75" customHeight="1">
      <c r="B111" s="497"/>
      <c r="C111" s="497" t="s">
        <v>285</v>
      </c>
      <c r="D111" s="463">
        <v>0.0</v>
      </c>
      <c r="E111" s="671"/>
      <c r="F111" s="541"/>
      <c r="G111" s="552"/>
      <c r="H111" s="671"/>
      <c r="I111" s="672"/>
      <c r="J111" s="463">
        <v>0.0</v>
      </c>
      <c r="K111" s="671"/>
      <c r="L111" s="541"/>
      <c r="M111" s="552"/>
      <c r="N111" s="671"/>
      <c r="O111" s="672"/>
      <c r="P111" s="498">
        <v>0.0</v>
      </c>
      <c r="Q111" s="685"/>
      <c r="R111" s="541"/>
      <c r="S111" s="552"/>
      <c r="T111" s="671"/>
      <c r="U111" s="672"/>
    </row>
    <row r="112" ht="15.75" customHeight="1">
      <c r="B112" s="465"/>
      <c r="C112" s="465" t="s">
        <v>253</v>
      </c>
      <c r="D112" s="467">
        <v>0.0</v>
      </c>
      <c r="E112" s="256"/>
      <c r="F112" s="521"/>
      <c r="G112" s="557"/>
      <c r="H112" s="256"/>
      <c r="I112" s="674"/>
      <c r="J112" s="467">
        <v>0.0</v>
      </c>
      <c r="K112" s="256"/>
      <c r="L112" s="521"/>
      <c r="M112" s="557"/>
      <c r="N112" s="256"/>
      <c r="O112" s="674"/>
      <c r="P112" s="474">
        <v>0.0</v>
      </c>
      <c r="Q112" s="676"/>
      <c r="R112" s="521"/>
      <c r="S112" s="557"/>
      <c r="T112" s="256"/>
      <c r="U112" s="674"/>
    </row>
    <row r="113" ht="15.75" customHeight="1">
      <c r="B113" s="465"/>
      <c r="C113" s="465"/>
      <c r="D113" s="467"/>
      <c r="E113" s="256"/>
      <c r="F113" s="675"/>
      <c r="G113" s="256"/>
      <c r="H113" s="256"/>
      <c r="I113" s="674"/>
      <c r="J113" s="467"/>
      <c r="K113" s="256"/>
      <c r="L113" s="675"/>
      <c r="M113" s="256"/>
      <c r="N113" s="256"/>
      <c r="O113" s="674"/>
      <c r="P113" s="474"/>
      <c r="Q113" s="676"/>
      <c r="R113" s="675"/>
      <c r="S113" s="256"/>
      <c r="T113" s="256"/>
      <c r="U113" s="674"/>
    </row>
    <row r="114" ht="15.75" customHeight="1">
      <c r="B114" s="483"/>
      <c r="C114" s="483"/>
      <c r="D114" s="485"/>
      <c r="E114" s="677"/>
      <c r="F114" s="678"/>
      <c r="G114" s="677"/>
      <c r="H114" s="677"/>
      <c r="I114" s="679"/>
      <c r="J114" s="485"/>
      <c r="K114" s="677"/>
      <c r="L114" s="678"/>
      <c r="M114" s="677"/>
      <c r="N114" s="677"/>
      <c r="O114" s="679"/>
      <c r="P114" s="501"/>
      <c r="Q114" s="680"/>
      <c r="R114" s="678"/>
      <c r="S114" s="677"/>
      <c r="T114" s="677"/>
      <c r="U114" s="679"/>
    </row>
    <row r="115" ht="15.75" customHeight="1">
      <c r="A115" s="153"/>
      <c r="B115" s="490"/>
      <c r="C115" s="490" t="s">
        <v>254</v>
      </c>
      <c r="D115" s="491">
        <f>D52+D54+D64+D70+D76+D86+D89+D93+D106+D110</f>
        <v>730146.7</v>
      </c>
      <c r="E115" s="613">
        <f>D115/D$29</f>
        <v>0.8492566426</v>
      </c>
      <c r="F115" s="491">
        <f>F52+F54+F64+F70+F76+F86+F89+F93+F106+F110</f>
        <v>76212</v>
      </c>
      <c r="G115" s="613" t="str">
        <f>F115/F$29</f>
        <v>#DIV/0!</v>
      </c>
      <c r="H115" s="490"/>
      <c r="I115" s="490"/>
      <c r="J115" s="491">
        <f>J52+J54+J64+J70+J76+J86+J89+J93+J106+J110</f>
        <v>741375.04</v>
      </c>
      <c r="K115" s="613">
        <f>J115/J$29</f>
        <v>0.9181115046</v>
      </c>
      <c r="L115" s="491">
        <f>L52+L54+L64+L70+L76+L86+L89+L93+L106+L110</f>
        <v>0</v>
      </c>
      <c r="M115" s="613" t="str">
        <f>L115/L$29</f>
        <v>#DIV/0!</v>
      </c>
      <c r="N115" s="490"/>
      <c r="O115" s="490"/>
      <c r="P115" s="491">
        <f>P52+P54+P64+P70+P76+P86+P89+P93+P106+P110</f>
        <v>770973</v>
      </c>
      <c r="Q115" s="613">
        <f>P115/P$29</f>
        <v>0.6736383248</v>
      </c>
      <c r="R115" s="491">
        <f>R52+R54+R64+R70+R76+R86+R89+R93+R106+R110</f>
        <v>0</v>
      </c>
      <c r="S115" s="613" t="str">
        <f>R115/R$29</f>
        <v>#DIV/0!</v>
      </c>
      <c r="T115" s="490"/>
      <c r="U115" s="490"/>
    </row>
    <row r="116" ht="15.75" customHeight="1">
      <c r="A116" s="153"/>
      <c r="B116" s="526"/>
      <c r="C116" s="526"/>
      <c r="D116" s="515"/>
      <c r="E116" s="687"/>
      <c r="F116" s="590"/>
      <c r="G116" s="620"/>
      <c r="H116" s="687"/>
      <c r="I116" s="688"/>
      <c r="J116" s="515"/>
      <c r="K116" s="687"/>
      <c r="L116" s="590"/>
      <c r="M116" s="620"/>
      <c r="N116" s="687"/>
      <c r="O116" s="688"/>
      <c r="P116" s="522"/>
      <c r="Q116" s="689"/>
      <c r="R116" s="590"/>
      <c r="S116" s="620"/>
      <c r="T116" s="687"/>
      <c r="U116" s="688"/>
    </row>
    <row r="117" ht="15.75" customHeight="1">
      <c r="A117" s="153"/>
      <c r="B117" s="490"/>
      <c r="C117" s="490" t="s">
        <v>255</v>
      </c>
      <c r="D117" s="459">
        <f>D43-D115</f>
        <v>-200300.6523</v>
      </c>
      <c r="E117" s="547">
        <f>D117/D$29</f>
        <v>-0.2329760026</v>
      </c>
      <c r="F117" s="459">
        <f>F43-F115</f>
        <v>-76212</v>
      </c>
      <c r="G117" s="547" t="str">
        <f>F117/F$29</f>
        <v>#DIV/0!</v>
      </c>
      <c r="H117" s="690"/>
      <c r="I117" s="691"/>
      <c r="J117" s="459">
        <f>J43-J115</f>
        <v>-248201.0859</v>
      </c>
      <c r="K117" s="547">
        <f>J117/J$29</f>
        <v>-0.3073697659</v>
      </c>
      <c r="L117" s="459">
        <f>L43-L115</f>
        <v>0</v>
      </c>
      <c r="M117" s="547" t="str">
        <f>L117/L$29</f>
        <v>#DIV/0!</v>
      </c>
      <c r="N117" s="690"/>
      <c r="O117" s="691"/>
      <c r="P117" s="491">
        <f>P43-P115</f>
        <v>97034.60773</v>
      </c>
      <c r="Q117" s="551">
        <f>P117/P$29</f>
        <v>0.08478407233</v>
      </c>
      <c r="R117" s="459">
        <f>R43-R115</f>
        <v>0</v>
      </c>
      <c r="S117" s="547" t="str">
        <f>R117/R$29</f>
        <v>#DIV/0!</v>
      </c>
      <c r="T117" s="690"/>
      <c r="U117" s="691"/>
    </row>
    <row r="118" ht="15.75" customHeight="1">
      <c r="D118" s="148"/>
      <c r="F118" s="148"/>
      <c r="J118" s="148"/>
      <c r="L118" s="148"/>
      <c r="P118" s="148"/>
      <c r="R118" s="148"/>
    </row>
    <row r="119" ht="15.75" customHeight="1">
      <c r="D119" s="148"/>
      <c r="F119" s="148"/>
      <c r="J119" s="148"/>
      <c r="L119" s="148"/>
      <c r="P119" s="148"/>
      <c r="R119" s="148"/>
    </row>
    <row r="120" ht="15.75" customHeight="1">
      <c r="D120" s="148"/>
      <c r="F120" s="148"/>
      <c r="J120" s="148"/>
      <c r="L120" s="148"/>
      <c r="P120" s="148"/>
      <c r="R120" s="148"/>
    </row>
    <row r="121" ht="15.75" customHeight="1">
      <c r="D121" s="148"/>
      <c r="F121" s="148"/>
      <c r="J121" s="148"/>
      <c r="L121" s="148"/>
      <c r="P121" s="148"/>
      <c r="R121" s="148"/>
    </row>
    <row r="122" ht="15.75" customHeight="1">
      <c r="D122" s="148"/>
      <c r="F122" s="148"/>
      <c r="J122" s="148"/>
      <c r="L122" s="148"/>
      <c r="P122" s="148"/>
      <c r="R122" s="148"/>
    </row>
    <row r="123" ht="15.75" customHeight="1">
      <c r="D123" s="148"/>
      <c r="F123" s="148"/>
      <c r="J123" s="148"/>
      <c r="L123" s="148"/>
      <c r="P123" s="148"/>
      <c r="R123" s="148"/>
    </row>
    <row r="124" ht="15.75" customHeight="1">
      <c r="D124" s="148"/>
      <c r="F124" s="148"/>
      <c r="J124" s="148"/>
      <c r="L124" s="148"/>
      <c r="P124" s="148"/>
      <c r="R124" s="148"/>
    </row>
    <row r="125" ht="15.75" customHeight="1">
      <c r="D125" s="148"/>
      <c r="F125" s="148"/>
      <c r="J125" s="148"/>
      <c r="L125" s="148"/>
      <c r="P125" s="148"/>
      <c r="R125" s="148"/>
    </row>
    <row r="126" ht="15.75" customHeight="1">
      <c r="D126" s="148"/>
      <c r="F126" s="148"/>
      <c r="J126" s="148"/>
      <c r="L126" s="148"/>
      <c r="P126" s="148"/>
      <c r="R126" s="148"/>
    </row>
    <row r="127" ht="15.75" customHeight="1">
      <c r="D127" s="148"/>
      <c r="F127" s="148"/>
      <c r="J127" s="148"/>
      <c r="L127" s="148"/>
      <c r="P127" s="148"/>
      <c r="R127" s="148"/>
    </row>
    <row r="128" ht="15.75" customHeight="1">
      <c r="D128" s="148"/>
      <c r="F128" s="148"/>
      <c r="J128" s="148"/>
      <c r="L128" s="148"/>
      <c r="P128" s="148"/>
      <c r="R128" s="148"/>
    </row>
    <row r="129" ht="15.75" customHeight="1">
      <c r="D129" s="148"/>
      <c r="F129" s="148"/>
      <c r="J129" s="148"/>
      <c r="L129" s="148"/>
      <c r="P129" s="148"/>
      <c r="R129" s="148"/>
    </row>
    <row r="130" ht="15.75" customHeight="1">
      <c r="D130" s="148"/>
      <c r="F130" s="148"/>
      <c r="J130" s="148"/>
      <c r="L130" s="148"/>
      <c r="P130" s="148"/>
      <c r="R130" s="148"/>
    </row>
    <row r="131" ht="15.75" customHeight="1">
      <c r="D131" s="148"/>
      <c r="F131" s="148"/>
      <c r="J131" s="148"/>
      <c r="L131" s="148"/>
      <c r="P131" s="148"/>
      <c r="R131" s="148"/>
    </row>
    <row r="132" ht="15.75" customHeight="1">
      <c r="D132" s="148"/>
      <c r="F132" s="148"/>
      <c r="J132" s="148"/>
      <c r="L132" s="148"/>
      <c r="P132" s="148"/>
      <c r="R132" s="148"/>
    </row>
    <row r="133" ht="15.75" customHeight="1">
      <c r="D133" s="148"/>
      <c r="F133" s="148"/>
      <c r="J133" s="148"/>
      <c r="L133" s="148"/>
      <c r="P133" s="148"/>
      <c r="R133" s="148"/>
    </row>
    <row r="134" ht="15.75" customHeight="1">
      <c r="D134" s="148"/>
      <c r="F134" s="148"/>
      <c r="J134" s="148"/>
      <c r="L134" s="148"/>
      <c r="P134" s="148"/>
      <c r="R134" s="148"/>
    </row>
    <row r="135" ht="15.75" customHeight="1">
      <c r="D135" s="148"/>
      <c r="F135" s="148"/>
      <c r="J135" s="148"/>
      <c r="L135" s="148"/>
      <c r="P135" s="148"/>
      <c r="R135" s="148"/>
    </row>
    <row r="136" ht="15.75" customHeight="1">
      <c r="D136" s="148"/>
      <c r="F136" s="148"/>
      <c r="J136" s="148"/>
      <c r="L136" s="148"/>
      <c r="P136" s="148"/>
      <c r="R136" s="148"/>
    </row>
    <row r="137" ht="15.75" customHeight="1">
      <c r="D137" s="148"/>
      <c r="F137" s="148"/>
      <c r="J137" s="148"/>
      <c r="L137" s="148"/>
      <c r="P137" s="148"/>
      <c r="R137" s="148"/>
    </row>
    <row r="138" ht="15.75" customHeight="1">
      <c r="D138" s="148"/>
      <c r="F138" s="148"/>
      <c r="J138" s="148"/>
      <c r="L138" s="148"/>
      <c r="P138" s="148"/>
      <c r="R138" s="148"/>
    </row>
    <row r="139" ht="15.75" customHeight="1">
      <c r="D139" s="148"/>
      <c r="F139" s="148"/>
      <c r="J139" s="148"/>
      <c r="L139" s="148"/>
      <c r="P139" s="148"/>
      <c r="R139" s="148"/>
    </row>
    <row r="140" ht="15.75" customHeight="1">
      <c r="D140" s="148"/>
      <c r="F140" s="148"/>
      <c r="J140" s="148"/>
      <c r="L140" s="148"/>
      <c r="P140" s="148"/>
      <c r="R140" s="148"/>
    </row>
    <row r="141" ht="15.75" customHeight="1">
      <c r="D141" s="148"/>
      <c r="F141" s="148"/>
      <c r="J141" s="148"/>
      <c r="L141" s="148"/>
      <c r="P141" s="148"/>
      <c r="R141" s="148"/>
    </row>
    <row r="142" ht="15.75" customHeight="1">
      <c r="D142" s="148"/>
      <c r="F142" s="148"/>
      <c r="J142" s="148"/>
      <c r="L142" s="148"/>
      <c r="P142" s="148"/>
      <c r="R142" s="148"/>
    </row>
    <row r="143" ht="15.75" customHeight="1">
      <c r="D143" s="148"/>
      <c r="F143" s="148"/>
      <c r="J143" s="148"/>
      <c r="L143" s="148"/>
      <c r="P143" s="148"/>
      <c r="R143" s="148"/>
    </row>
    <row r="144" ht="15.75" customHeight="1">
      <c r="D144" s="148"/>
      <c r="F144" s="148"/>
      <c r="J144" s="148"/>
      <c r="L144" s="148"/>
      <c r="P144" s="148"/>
      <c r="R144" s="148"/>
    </row>
    <row r="145" ht="15.75" customHeight="1">
      <c r="D145" s="148"/>
      <c r="F145" s="148"/>
      <c r="J145" s="148"/>
      <c r="L145" s="148"/>
      <c r="P145" s="148"/>
      <c r="R145" s="148"/>
    </row>
    <row r="146" ht="15.75" customHeight="1">
      <c r="D146" s="148"/>
      <c r="F146" s="148"/>
      <c r="J146" s="148"/>
      <c r="L146" s="148"/>
      <c r="P146" s="148"/>
      <c r="R146" s="148"/>
    </row>
    <row r="147" ht="15.75" customHeight="1">
      <c r="D147" s="148"/>
      <c r="F147" s="148"/>
      <c r="J147" s="148"/>
      <c r="L147" s="148"/>
      <c r="P147" s="148"/>
      <c r="R147" s="148"/>
    </row>
    <row r="148" ht="15.75" customHeight="1">
      <c r="D148" s="148"/>
      <c r="F148" s="148"/>
      <c r="J148" s="148"/>
      <c r="L148" s="148"/>
      <c r="P148" s="148"/>
      <c r="R148" s="148"/>
    </row>
    <row r="149" ht="15.75" customHeight="1">
      <c r="D149" s="148"/>
      <c r="F149" s="148"/>
      <c r="J149" s="148"/>
      <c r="L149" s="148"/>
      <c r="P149" s="148"/>
      <c r="R149" s="148"/>
    </row>
    <row r="150" ht="15.75" customHeight="1">
      <c r="D150" s="148"/>
      <c r="F150" s="148"/>
      <c r="J150" s="148"/>
      <c r="L150" s="148"/>
      <c r="P150" s="148"/>
      <c r="R150" s="148"/>
    </row>
    <row r="151" ht="15.75" customHeight="1">
      <c r="D151" s="148"/>
      <c r="F151" s="148"/>
      <c r="J151" s="148"/>
      <c r="L151" s="148"/>
      <c r="P151" s="148"/>
      <c r="R151" s="148"/>
    </row>
    <row r="152" ht="15.75" customHeight="1">
      <c r="D152" s="148"/>
      <c r="F152" s="148"/>
      <c r="J152" s="148"/>
      <c r="L152" s="148"/>
      <c r="P152" s="148"/>
      <c r="R152" s="148"/>
    </row>
    <row r="153" ht="15.75" customHeight="1">
      <c r="D153" s="148"/>
      <c r="F153" s="148"/>
      <c r="J153" s="148"/>
      <c r="L153" s="148"/>
      <c r="P153" s="148"/>
      <c r="R153" s="148"/>
    </row>
    <row r="154" ht="15.75" customHeight="1">
      <c r="D154" s="148"/>
      <c r="F154" s="148"/>
      <c r="J154" s="148"/>
      <c r="L154" s="148"/>
      <c r="P154" s="148"/>
      <c r="R154" s="148"/>
    </row>
    <row r="155" ht="15.75" customHeight="1">
      <c r="D155" s="148"/>
      <c r="F155" s="148"/>
      <c r="J155" s="148"/>
      <c r="L155" s="148"/>
      <c r="P155" s="148"/>
      <c r="R155" s="148"/>
    </row>
    <row r="156" ht="15.75" customHeight="1">
      <c r="D156" s="148"/>
      <c r="F156" s="148"/>
      <c r="J156" s="148"/>
      <c r="L156" s="148"/>
      <c r="P156" s="148"/>
      <c r="R156" s="148"/>
    </row>
    <row r="157" ht="15.75" customHeight="1">
      <c r="D157" s="148"/>
      <c r="F157" s="148"/>
      <c r="J157" s="148"/>
      <c r="L157" s="148"/>
      <c r="P157" s="148"/>
      <c r="R157" s="148"/>
    </row>
    <row r="158" ht="15.75" customHeight="1">
      <c r="D158" s="148"/>
      <c r="F158" s="148"/>
      <c r="J158" s="148"/>
      <c r="L158" s="148"/>
      <c r="P158" s="148"/>
      <c r="R158" s="148"/>
    </row>
    <row r="159" ht="15.75" customHeight="1">
      <c r="D159" s="148"/>
      <c r="F159" s="148"/>
      <c r="J159" s="148"/>
      <c r="L159" s="148"/>
      <c r="P159" s="148"/>
      <c r="R159" s="148"/>
    </row>
    <row r="160" ht="15.75" customHeight="1">
      <c r="D160" s="148"/>
      <c r="F160" s="148"/>
      <c r="J160" s="148"/>
      <c r="L160" s="148"/>
      <c r="P160" s="148"/>
      <c r="R160" s="148"/>
    </row>
    <row r="161" ht="15.75" customHeight="1">
      <c r="D161" s="148"/>
      <c r="F161" s="148"/>
      <c r="J161" s="148"/>
      <c r="L161" s="148"/>
      <c r="P161" s="148"/>
      <c r="R161" s="148"/>
    </row>
    <row r="162" ht="15.75" customHeight="1">
      <c r="D162" s="148"/>
      <c r="F162" s="148"/>
      <c r="J162" s="148"/>
      <c r="L162" s="148"/>
      <c r="P162" s="148"/>
      <c r="R162" s="148"/>
    </row>
    <row r="163" ht="15.75" customHeight="1">
      <c r="D163" s="148"/>
      <c r="F163" s="148"/>
      <c r="J163" s="148"/>
      <c r="L163" s="148"/>
      <c r="P163" s="148"/>
      <c r="R163" s="148"/>
    </row>
    <row r="164" ht="15.75" customHeight="1">
      <c r="D164" s="148"/>
      <c r="F164" s="148"/>
      <c r="J164" s="148"/>
      <c r="L164" s="148"/>
      <c r="P164" s="148"/>
      <c r="R164" s="148"/>
    </row>
    <row r="165" ht="15.75" customHeight="1">
      <c r="D165" s="148"/>
      <c r="F165" s="148"/>
      <c r="J165" s="148"/>
      <c r="L165" s="148"/>
      <c r="P165" s="148"/>
      <c r="R165" s="148"/>
    </row>
    <row r="166" ht="15.75" customHeight="1">
      <c r="D166" s="148"/>
      <c r="F166" s="148"/>
      <c r="J166" s="148"/>
      <c r="L166" s="148"/>
      <c r="P166" s="148"/>
      <c r="R166" s="148"/>
    </row>
    <row r="167" ht="15.75" customHeight="1">
      <c r="D167" s="148"/>
      <c r="F167" s="148"/>
      <c r="J167" s="148"/>
      <c r="L167" s="148"/>
      <c r="P167" s="148"/>
      <c r="R167" s="148"/>
    </row>
    <row r="168" ht="15.75" customHeight="1">
      <c r="D168" s="148"/>
      <c r="F168" s="148"/>
      <c r="J168" s="148"/>
      <c r="L168" s="148"/>
      <c r="P168" s="148"/>
      <c r="R168" s="148"/>
    </row>
    <row r="169" ht="15.75" customHeight="1">
      <c r="D169" s="148"/>
      <c r="F169" s="148"/>
      <c r="J169" s="148"/>
      <c r="L169" s="148"/>
      <c r="P169" s="148"/>
      <c r="R169" s="148"/>
    </row>
    <row r="170" ht="15.75" customHeight="1">
      <c r="D170" s="148"/>
      <c r="F170" s="148"/>
      <c r="J170" s="148"/>
      <c r="L170" s="148"/>
      <c r="P170" s="148"/>
      <c r="R170" s="148"/>
    </row>
    <row r="171" ht="15.75" customHeight="1">
      <c r="D171" s="148"/>
      <c r="F171" s="148"/>
      <c r="J171" s="148"/>
      <c r="L171" s="148"/>
      <c r="P171" s="148"/>
      <c r="R171" s="148"/>
    </row>
    <row r="172" ht="15.75" customHeight="1">
      <c r="D172" s="148"/>
      <c r="F172" s="148"/>
      <c r="J172" s="148"/>
      <c r="L172" s="148"/>
      <c r="P172" s="148"/>
      <c r="R172" s="148"/>
    </row>
    <row r="173" ht="15.75" customHeight="1">
      <c r="D173" s="148"/>
      <c r="F173" s="148"/>
      <c r="J173" s="148"/>
      <c r="L173" s="148"/>
      <c r="P173" s="148"/>
      <c r="R173" s="148"/>
    </row>
    <row r="174" ht="15.75" customHeight="1">
      <c r="D174" s="148"/>
      <c r="F174" s="148"/>
      <c r="J174" s="148"/>
      <c r="L174" s="148"/>
      <c r="P174" s="148"/>
      <c r="R174" s="148"/>
    </row>
    <row r="175" ht="15.75" customHeight="1">
      <c r="D175" s="148"/>
      <c r="F175" s="148"/>
      <c r="J175" s="148"/>
      <c r="L175" s="148"/>
      <c r="P175" s="148"/>
      <c r="R175" s="148"/>
    </row>
    <row r="176" ht="15.75" customHeight="1">
      <c r="D176" s="148"/>
      <c r="F176" s="148"/>
      <c r="J176" s="148"/>
      <c r="L176" s="148"/>
      <c r="P176" s="148"/>
      <c r="R176" s="148"/>
    </row>
    <row r="177" ht="15.75" customHeight="1">
      <c r="D177" s="148"/>
      <c r="F177" s="148"/>
      <c r="J177" s="148"/>
      <c r="L177" s="148"/>
      <c r="P177" s="148"/>
      <c r="R177" s="148"/>
    </row>
    <row r="178" ht="15.75" customHeight="1">
      <c r="D178" s="148"/>
      <c r="F178" s="148"/>
      <c r="J178" s="148"/>
      <c r="L178" s="148"/>
      <c r="P178" s="148"/>
      <c r="R178" s="148"/>
    </row>
    <row r="179" ht="15.75" customHeight="1">
      <c r="D179" s="148"/>
      <c r="F179" s="148"/>
      <c r="J179" s="148"/>
      <c r="L179" s="148"/>
      <c r="P179" s="148"/>
      <c r="R179" s="148"/>
    </row>
    <row r="180" ht="15.75" customHeight="1">
      <c r="D180" s="148"/>
      <c r="F180" s="148"/>
      <c r="J180" s="148"/>
      <c r="L180" s="148"/>
      <c r="P180" s="148"/>
      <c r="R180" s="148"/>
    </row>
    <row r="181" ht="15.75" customHeight="1">
      <c r="D181" s="148"/>
      <c r="F181" s="148"/>
      <c r="J181" s="148"/>
      <c r="L181" s="148"/>
      <c r="P181" s="148"/>
      <c r="R181" s="148"/>
    </row>
    <row r="182" ht="15.75" customHeight="1">
      <c r="D182" s="148"/>
      <c r="F182" s="148"/>
      <c r="J182" s="148"/>
      <c r="L182" s="148"/>
      <c r="P182" s="148"/>
      <c r="R182" s="148"/>
    </row>
    <row r="183" ht="15.75" customHeight="1">
      <c r="D183" s="148"/>
      <c r="F183" s="148"/>
      <c r="J183" s="148"/>
      <c r="L183" s="148"/>
      <c r="P183" s="148"/>
      <c r="R183" s="148"/>
    </row>
    <row r="184" ht="15.75" customHeight="1">
      <c r="D184" s="148"/>
      <c r="F184" s="148"/>
      <c r="J184" s="148"/>
      <c r="L184" s="148"/>
      <c r="P184" s="148"/>
      <c r="R184" s="148"/>
    </row>
    <row r="185" ht="15.75" customHeight="1">
      <c r="D185" s="148"/>
      <c r="F185" s="148"/>
      <c r="J185" s="148"/>
      <c r="L185" s="148"/>
      <c r="P185" s="148"/>
      <c r="R185" s="148"/>
    </row>
    <row r="186" ht="15.75" customHeight="1">
      <c r="D186" s="148"/>
      <c r="F186" s="148"/>
      <c r="J186" s="148"/>
      <c r="L186" s="148"/>
      <c r="P186" s="148"/>
      <c r="R186" s="148"/>
    </row>
    <row r="187" ht="15.75" customHeight="1">
      <c r="D187" s="148"/>
      <c r="F187" s="148"/>
      <c r="J187" s="148"/>
      <c r="L187" s="148"/>
      <c r="P187" s="148"/>
      <c r="R187" s="148"/>
    </row>
    <row r="188" ht="15.75" customHeight="1">
      <c r="D188" s="148"/>
      <c r="F188" s="148"/>
      <c r="J188" s="148"/>
      <c r="L188" s="148"/>
      <c r="P188" s="148"/>
      <c r="R188" s="148"/>
    </row>
    <row r="189" ht="15.75" customHeight="1">
      <c r="D189" s="148"/>
      <c r="F189" s="148"/>
      <c r="J189" s="148"/>
      <c r="L189" s="148"/>
      <c r="P189" s="148"/>
      <c r="R189" s="148"/>
    </row>
    <row r="190" ht="15.75" customHeight="1">
      <c r="D190" s="148"/>
      <c r="F190" s="148"/>
      <c r="J190" s="148"/>
      <c r="L190" s="148"/>
      <c r="P190" s="148"/>
      <c r="R190" s="148"/>
    </row>
    <row r="191" ht="15.75" customHeight="1">
      <c r="D191" s="148"/>
      <c r="F191" s="148"/>
      <c r="J191" s="148"/>
      <c r="L191" s="148"/>
      <c r="P191" s="148"/>
      <c r="R191" s="148"/>
    </row>
    <row r="192" ht="15.75" customHeight="1">
      <c r="D192" s="148"/>
      <c r="F192" s="148"/>
      <c r="J192" s="148"/>
      <c r="L192" s="148"/>
      <c r="P192" s="148"/>
      <c r="R192" s="148"/>
    </row>
    <row r="193" ht="15.75" customHeight="1">
      <c r="D193" s="148"/>
      <c r="F193" s="148"/>
      <c r="J193" s="148"/>
      <c r="L193" s="148"/>
      <c r="P193" s="148"/>
      <c r="R193" s="148"/>
    </row>
    <row r="194" ht="15.75" customHeight="1">
      <c r="D194" s="148"/>
      <c r="F194" s="148"/>
      <c r="J194" s="148"/>
      <c r="L194" s="148"/>
      <c r="P194" s="148"/>
      <c r="R194" s="148"/>
    </row>
    <row r="195" ht="15.75" customHeight="1">
      <c r="D195" s="148"/>
      <c r="F195" s="148"/>
      <c r="J195" s="148"/>
      <c r="L195" s="148"/>
      <c r="P195" s="148"/>
      <c r="R195" s="148"/>
    </row>
    <row r="196" ht="15.75" customHeight="1">
      <c r="D196" s="148"/>
      <c r="F196" s="148"/>
      <c r="J196" s="148"/>
      <c r="L196" s="148"/>
      <c r="P196" s="148"/>
      <c r="R196" s="148"/>
    </row>
    <row r="197" ht="15.75" customHeight="1">
      <c r="D197" s="148"/>
      <c r="F197" s="148"/>
      <c r="J197" s="148"/>
      <c r="L197" s="148"/>
      <c r="P197" s="148"/>
      <c r="R197" s="148"/>
    </row>
    <row r="198" ht="15.75" customHeight="1">
      <c r="D198" s="148"/>
      <c r="F198" s="148"/>
      <c r="J198" s="148"/>
      <c r="L198" s="148"/>
      <c r="P198" s="148"/>
      <c r="R198" s="148"/>
    </row>
    <row r="199" ht="15.75" customHeight="1">
      <c r="D199" s="148"/>
      <c r="F199" s="148"/>
      <c r="J199" s="148"/>
      <c r="L199" s="148"/>
      <c r="P199" s="148"/>
      <c r="R199" s="148"/>
    </row>
    <row r="200" ht="15.75" customHeight="1">
      <c r="D200" s="148"/>
      <c r="F200" s="148"/>
      <c r="J200" s="148"/>
      <c r="L200" s="148"/>
      <c r="P200" s="148"/>
      <c r="R200" s="148"/>
    </row>
    <row r="201" ht="15.75" customHeight="1">
      <c r="D201" s="148"/>
      <c r="F201" s="148"/>
      <c r="J201" s="148"/>
      <c r="L201" s="148"/>
      <c r="P201" s="148"/>
      <c r="R201" s="148"/>
    </row>
    <row r="202" ht="15.75" customHeight="1">
      <c r="D202" s="148"/>
      <c r="F202" s="148"/>
      <c r="J202" s="148"/>
      <c r="L202" s="148"/>
      <c r="P202" s="148"/>
      <c r="R202" s="148"/>
    </row>
    <row r="203" ht="15.75" customHeight="1">
      <c r="D203" s="148"/>
      <c r="F203" s="148"/>
      <c r="J203" s="148"/>
      <c r="L203" s="148"/>
      <c r="P203" s="148"/>
      <c r="R203" s="148"/>
    </row>
    <row r="204" ht="15.75" customHeight="1">
      <c r="D204" s="148"/>
      <c r="F204" s="148"/>
      <c r="J204" s="148"/>
      <c r="L204" s="148"/>
      <c r="P204" s="148"/>
      <c r="R204" s="148"/>
    </row>
    <row r="205" ht="15.75" customHeight="1">
      <c r="D205" s="148"/>
      <c r="F205" s="148"/>
      <c r="J205" s="148"/>
      <c r="L205" s="148"/>
      <c r="P205" s="148"/>
      <c r="R205" s="148"/>
    </row>
    <row r="206" ht="15.75" customHeight="1">
      <c r="D206" s="148"/>
      <c r="F206" s="148"/>
      <c r="J206" s="148"/>
      <c r="L206" s="148"/>
      <c r="P206" s="148"/>
      <c r="R206" s="148"/>
    </row>
    <row r="207" ht="15.75" customHeight="1">
      <c r="D207" s="148"/>
      <c r="F207" s="148"/>
      <c r="J207" s="148"/>
      <c r="L207" s="148"/>
      <c r="P207" s="148"/>
      <c r="R207" s="148"/>
    </row>
    <row r="208" ht="15.75" customHeight="1">
      <c r="D208" s="148"/>
      <c r="F208" s="148"/>
      <c r="J208" s="148"/>
      <c r="L208" s="148"/>
      <c r="P208" s="148"/>
      <c r="R208" s="148"/>
    </row>
    <row r="209" ht="15.75" customHeight="1">
      <c r="D209" s="148"/>
      <c r="F209" s="148"/>
      <c r="J209" s="148"/>
      <c r="L209" s="148"/>
      <c r="P209" s="148"/>
      <c r="R209" s="148"/>
    </row>
    <row r="210" ht="15.75" customHeight="1">
      <c r="D210" s="148"/>
      <c r="F210" s="148"/>
      <c r="J210" s="148"/>
      <c r="L210" s="148"/>
      <c r="P210" s="148"/>
      <c r="R210" s="148"/>
    </row>
    <row r="211" ht="15.75" customHeight="1">
      <c r="D211" s="148"/>
      <c r="F211" s="148"/>
      <c r="J211" s="148"/>
      <c r="L211" s="148"/>
      <c r="P211" s="148"/>
      <c r="R211" s="148"/>
    </row>
    <row r="212" ht="15.75" customHeight="1">
      <c r="D212" s="148"/>
      <c r="F212" s="148"/>
      <c r="J212" s="148"/>
      <c r="L212" s="148"/>
      <c r="P212" s="148"/>
      <c r="R212" s="148"/>
    </row>
    <row r="213" ht="15.75" customHeight="1">
      <c r="D213" s="148"/>
      <c r="F213" s="148"/>
      <c r="J213" s="148"/>
      <c r="L213" s="148"/>
      <c r="P213" s="148"/>
      <c r="R213" s="148"/>
    </row>
    <row r="214" ht="15.75" customHeight="1">
      <c r="D214" s="148"/>
      <c r="F214" s="148"/>
      <c r="J214" s="148"/>
      <c r="L214" s="148"/>
      <c r="P214" s="148"/>
      <c r="R214" s="148"/>
    </row>
    <row r="215" ht="15.75" customHeight="1">
      <c r="D215" s="148"/>
      <c r="F215" s="148"/>
      <c r="J215" s="148"/>
      <c r="L215" s="148"/>
      <c r="P215" s="148"/>
      <c r="R215" s="148"/>
    </row>
    <row r="216" ht="15.75" customHeight="1">
      <c r="D216" s="148"/>
      <c r="F216" s="148"/>
      <c r="J216" s="148"/>
      <c r="L216" s="148"/>
      <c r="P216" s="148"/>
      <c r="R216" s="148"/>
    </row>
    <row r="217" ht="15.75" customHeight="1">
      <c r="D217" s="148"/>
      <c r="F217" s="148"/>
      <c r="J217" s="148"/>
      <c r="L217" s="148"/>
      <c r="P217" s="148"/>
      <c r="R217" s="148"/>
    </row>
    <row r="218" ht="15.75" customHeight="1">
      <c r="D218" s="148"/>
      <c r="F218" s="148"/>
      <c r="J218" s="148"/>
      <c r="L218" s="148"/>
      <c r="P218" s="148"/>
      <c r="R218" s="148"/>
    </row>
    <row r="219" ht="15.75" customHeight="1">
      <c r="D219" s="148"/>
      <c r="F219" s="148"/>
      <c r="J219" s="148"/>
      <c r="L219" s="148"/>
      <c r="P219" s="148"/>
      <c r="R219" s="148"/>
    </row>
    <row r="220" ht="15.75" customHeight="1">
      <c r="D220" s="148"/>
      <c r="F220" s="148"/>
      <c r="J220" s="148"/>
      <c r="L220" s="148"/>
      <c r="P220" s="148"/>
      <c r="R220" s="148"/>
    </row>
    <row r="221" ht="15.75" customHeight="1">
      <c r="D221" s="148"/>
      <c r="F221" s="148"/>
      <c r="J221" s="148"/>
      <c r="L221" s="148"/>
      <c r="P221" s="148"/>
      <c r="R221" s="148"/>
    </row>
    <row r="222" ht="15.75" customHeight="1">
      <c r="D222" s="148"/>
      <c r="F222" s="148"/>
      <c r="J222" s="148"/>
      <c r="L222" s="148"/>
      <c r="P222" s="148"/>
      <c r="R222" s="148"/>
    </row>
    <row r="223" ht="15.75" customHeight="1">
      <c r="D223" s="148"/>
      <c r="F223" s="148"/>
      <c r="J223" s="148"/>
      <c r="L223" s="148"/>
      <c r="P223" s="148"/>
      <c r="R223" s="148"/>
    </row>
    <row r="224" ht="15.75" customHeight="1">
      <c r="D224" s="148"/>
      <c r="F224" s="148"/>
      <c r="J224" s="148"/>
      <c r="L224" s="148"/>
      <c r="P224" s="148"/>
      <c r="R224" s="148"/>
    </row>
    <row r="225" ht="15.75" customHeight="1">
      <c r="D225" s="148"/>
      <c r="F225" s="148"/>
      <c r="J225" s="148"/>
      <c r="L225" s="148"/>
      <c r="P225" s="148"/>
      <c r="R225" s="148"/>
    </row>
    <row r="226" ht="15.75" customHeight="1">
      <c r="D226" s="148"/>
      <c r="F226" s="148"/>
      <c r="J226" s="148"/>
      <c r="L226" s="148"/>
      <c r="P226" s="148"/>
      <c r="R226" s="148"/>
    </row>
    <row r="227" ht="15.75" customHeight="1">
      <c r="D227" s="148"/>
      <c r="F227" s="148"/>
      <c r="J227" s="148"/>
      <c r="L227" s="148"/>
      <c r="P227" s="148"/>
      <c r="R227" s="148"/>
    </row>
    <row r="228" ht="15.75" customHeight="1">
      <c r="D228" s="148"/>
      <c r="F228" s="148"/>
      <c r="J228" s="148"/>
      <c r="L228" s="148"/>
      <c r="P228" s="148"/>
      <c r="R228" s="148"/>
    </row>
    <row r="229" ht="15.75" customHeight="1">
      <c r="D229" s="148"/>
      <c r="F229" s="148"/>
      <c r="J229" s="148"/>
      <c r="L229" s="148"/>
      <c r="P229" s="148"/>
      <c r="R229" s="148"/>
    </row>
    <row r="230" ht="15.75" customHeight="1">
      <c r="D230" s="148"/>
      <c r="F230" s="148"/>
      <c r="J230" s="148"/>
      <c r="L230" s="148"/>
      <c r="P230" s="148"/>
      <c r="R230" s="148"/>
    </row>
    <row r="231" ht="15.75" customHeight="1">
      <c r="D231" s="148"/>
      <c r="F231" s="148"/>
      <c r="J231" s="148"/>
      <c r="L231" s="148"/>
      <c r="P231" s="148"/>
      <c r="R231" s="148"/>
    </row>
    <row r="232" ht="15.75" customHeight="1">
      <c r="D232" s="148"/>
      <c r="F232" s="148"/>
      <c r="J232" s="148"/>
      <c r="L232" s="148"/>
      <c r="P232" s="148"/>
      <c r="R232" s="148"/>
    </row>
    <row r="233" ht="15.75" customHeight="1">
      <c r="D233" s="148"/>
      <c r="F233" s="148"/>
      <c r="J233" s="148"/>
      <c r="L233" s="148"/>
      <c r="P233" s="148"/>
      <c r="R233" s="148"/>
    </row>
    <row r="234" ht="15.75" customHeight="1">
      <c r="D234" s="148"/>
      <c r="F234" s="148"/>
      <c r="J234" s="148"/>
      <c r="L234" s="148"/>
      <c r="P234" s="148"/>
      <c r="R234" s="148"/>
    </row>
    <row r="235" ht="15.75" customHeight="1">
      <c r="D235" s="148"/>
      <c r="F235" s="148"/>
      <c r="J235" s="148"/>
      <c r="L235" s="148"/>
      <c r="P235" s="148"/>
      <c r="R235" s="148"/>
    </row>
    <row r="236" ht="15.75" customHeight="1">
      <c r="D236" s="148"/>
      <c r="F236" s="148"/>
      <c r="J236" s="148"/>
      <c r="L236" s="148"/>
      <c r="P236" s="148"/>
      <c r="R236" s="148"/>
    </row>
    <row r="237" ht="15.75" customHeight="1">
      <c r="D237" s="148"/>
      <c r="F237" s="148"/>
      <c r="J237" s="148"/>
      <c r="L237" s="148"/>
      <c r="P237" s="148"/>
      <c r="R237" s="148"/>
    </row>
    <row r="238" ht="15.75" customHeight="1">
      <c r="D238" s="148"/>
      <c r="F238" s="148"/>
      <c r="J238" s="148"/>
      <c r="L238" s="148"/>
      <c r="P238" s="148"/>
      <c r="R238" s="148"/>
    </row>
    <row r="239" ht="15.75" customHeight="1">
      <c r="D239" s="148"/>
      <c r="F239" s="148"/>
      <c r="J239" s="148"/>
      <c r="L239" s="148"/>
      <c r="P239" s="148"/>
      <c r="R239" s="148"/>
    </row>
    <row r="240" ht="15.75" customHeight="1">
      <c r="D240" s="148"/>
      <c r="F240" s="148"/>
      <c r="J240" s="148"/>
      <c r="L240" s="148"/>
      <c r="P240" s="148"/>
      <c r="R240" s="148"/>
    </row>
    <row r="241" ht="15.75" customHeight="1">
      <c r="D241" s="148"/>
      <c r="F241" s="148"/>
      <c r="J241" s="148"/>
      <c r="L241" s="148"/>
      <c r="P241" s="148"/>
      <c r="R241" s="148"/>
    </row>
    <row r="242" ht="15.75" customHeight="1">
      <c r="D242" s="148"/>
      <c r="F242" s="148"/>
      <c r="J242" s="148"/>
      <c r="L242" s="148"/>
      <c r="P242" s="148"/>
      <c r="R242" s="148"/>
    </row>
    <row r="243" ht="15.75" customHeight="1">
      <c r="D243" s="148"/>
      <c r="F243" s="148"/>
      <c r="J243" s="148"/>
      <c r="L243" s="148"/>
      <c r="P243" s="148"/>
      <c r="R243" s="148"/>
    </row>
    <row r="244" ht="15.75" customHeight="1">
      <c r="D244" s="148"/>
      <c r="F244" s="148"/>
      <c r="J244" s="148"/>
      <c r="L244" s="148"/>
      <c r="P244" s="148"/>
      <c r="R244" s="148"/>
    </row>
    <row r="245" ht="15.75" customHeight="1">
      <c r="D245" s="148"/>
      <c r="F245" s="148"/>
      <c r="J245" s="148"/>
      <c r="L245" s="148"/>
      <c r="P245" s="148"/>
      <c r="R245" s="148"/>
    </row>
    <row r="246" ht="15.75" customHeight="1">
      <c r="D246" s="148"/>
      <c r="F246" s="148"/>
      <c r="J246" s="148"/>
      <c r="L246" s="148"/>
      <c r="P246" s="148"/>
      <c r="R246" s="148"/>
    </row>
    <row r="247" ht="15.75" customHeight="1">
      <c r="D247" s="148"/>
      <c r="F247" s="148"/>
      <c r="J247" s="148"/>
      <c r="L247" s="148"/>
      <c r="P247" s="148"/>
      <c r="R247" s="148"/>
    </row>
    <row r="248" ht="15.75" customHeight="1">
      <c r="D248" s="148"/>
      <c r="F248" s="148"/>
      <c r="J248" s="148"/>
      <c r="L248" s="148"/>
      <c r="P248" s="148"/>
      <c r="R248" s="148"/>
    </row>
    <row r="249" ht="15.75" customHeight="1">
      <c r="D249" s="148"/>
      <c r="F249" s="148"/>
      <c r="J249" s="148"/>
      <c r="L249" s="148"/>
      <c r="P249" s="148"/>
      <c r="R249" s="148"/>
    </row>
    <row r="250" ht="15.75" customHeight="1">
      <c r="D250" s="148"/>
      <c r="F250" s="148"/>
      <c r="J250" s="148"/>
      <c r="L250" s="148"/>
      <c r="P250" s="148"/>
      <c r="R250" s="148"/>
    </row>
    <row r="251" ht="15.75" customHeight="1">
      <c r="D251" s="148"/>
      <c r="F251" s="148"/>
      <c r="J251" s="148"/>
      <c r="L251" s="148"/>
      <c r="P251" s="148"/>
      <c r="R251" s="148"/>
    </row>
    <row r="252" ht="15.75" customHeight="1">
      <c r="D252" s="148"/>
      <c r="F252" s="148"/>
      <c r="J252" s="148"/>
      <c r="L252" s="148"/>
      <c r="P252" s="148"/>
      <c r="R252" s="148"/>
    </row>
    <row r="253" ht="15.75" customHeight="1">
      <c r="D253" s="148"/>
      <c r="F253" s="148"/>
      <c r="J253" s="148"/>
      <c r="L253" s="148"/>
      <c r="P253" s="148"/>
      <c r="R253" s="148"/>
    </row>
    <row r="254" ht="15.75" customHeight="1">
      <c r="D254" s="148"/>
      <c r="F254" s="148"/>
      <c r="J254" s="148"/>
      <c r="L254" s="148"/>
      <c r="P254" s="148"/>
      <c r="R254" s="148"/>
    </row>
    <row r="255" ht="15.75" customHeight="1">
      <c r="D255" s="148"/>
      <c r="F255" s="148"/>
      <c r="J255" s="148"/>
      <c r="L255" s="148"/>
      <c r="P255" s="148"/>
      <c r="R255" s="148"/>
    </row>
    <row r="256" ht="15.75" customHeight="1">
      <c r="D256" s="148"/>
      <c r="F256" s="148"/>
      <c r="J256" s="148"/>
      <c r="L256" s="148"/>
      <c r="P256" s="148"/>
      <c r="R256" s="148"/>
    </row>
    <row r="257" ht="15.75" customHeight="1">
      <c r="D257" s="148"/>
      <c r="F257" s="148"/>
      <c r="J257" s="148"/>
      <c r="L257" s="148"/>
      <c r="P257" s="148"/>
      <c r="R257" s="148"/>
    </row>
    <row r="258" ht="15.75" customHeight="1">
      <c r="D258" s="148"/>
      <c r="F258" s="148"/>
      <c r="J258" s="148"/>
      <c r="L258" s="148"/>
      <c r="P258" s="148"/>
      <c r="R258" s="148"/>
    </row>
    <row r="259" ht="15.75" customHeight="1">
      <c r="D259" s="148"/>
      <c r="F259" s="148"/>
      <c r="J259" s="148"/>
      <c r="L259" s="148"/>
      <c r="P259" s="148"/>
      <c r="R259" s="148"/>
    </row>
    <row r="260" ht="15.75" customHeight="1">
      <c r="D260" s="148"/>
      <c r="F260" s="148"/>
      <c r="J260" s="148"/>
      <c r="L260" s="148"/>
      <c r="P260" s="148"/>
      <c r="R260" s="148"/>
    </row>
    <row r="261" ht="15.75" customHeight="1">
      <c r="D261" s="148"/>
      <c r="F261" s="148"/>
      <c r="J261" s="148"/>
      <c r="L261" s="148"/>
      <c r="P261" s="148"/>
      <c r="R261" s="148"/>
    </row>
    <row r="262" ht="15.75" customHeight="1">
      <c r="D262" s="148"/>
      <c r="F262" s="148"/>
      <c r="J262" s="148"/>
      <c r="L262" s="148"/>
      <c r="P262" s="148"/>
      <c r="R262" s="148"/>
    </row>
    <row r="263" ht="15.75" customHeight="1">
      <c r="D263" s="148"/>
      <c r="F263" s="148"/>
      <c r="J263" s="148"/>
      <c r="L263" s="148"/>
      <c r="P263" s="148"/>
      <c r="R263" s="148"/>
    </row>
    <row r="264" ht="15.75" customHeight="1">
      <c r="D264" s="148"/>
      <c r="F264" s="148"/>
      <c r="J264" s="148"/>
      <c r="L264" s="148"/>
      <c r="P264" s="148"/>
      <c r="R264" s="148"/>
    </row>
    <row r="265" ht="15.75" customHeight="1">
      <c r="D265" s="148"/>
      <c r="F265" s="148"/>
      <c r="J265" s="148"/>
      <c r="L265" s="148"/>
      <c r="P265" s="148"/>
      <c r="R265" s="148"/>
    </row>
    <row r="266" ht="15.75" customHeight="1">
      <c r="D266" s="148"/>
      <c r="F266" s="148"/>
      <c r="J266" s="148"/>
      <c r="L266" s="148"/>
      <c r="P266" s="148"/>
      <c r="R266" s="148"/>
    </row>
    <row r="267" ht="15.75" customHeight="1">
      <c r="D267" s="148"/>
      <c r="F267" s="148"/>
      <c r="J267" s="148"/>
      <c r="L267" s="148"/>
      <c r="P267" s="148"/>
      <c r="R267" s="148"/>
    </row>
    <row r="268" ht="15.75" customHeight="1">
      <c r="D268" s="148"/>
      <c r="F268" s="148"/>
      <c r="J268" s="148"/>
      <c r="L268" s="148"/>
      <c r="P268" s="148"/>
      <c r="R268" s="148"/>
    </row>
    <row r="269" ht="15.75" customHeight="1">
      <c r="D269" s="148"/>
      <c r="F269" s="148"/>
      <c r="J269" s="148"/>
      <c r="L269" s="148"/>
      <c r="P269" s="148"/>
      <c r="R269" s="148"/>
    </row>
    <row r="270" ht="15.75" customHeight="1">
      <c r="D270" s="148"/>
      <c r="F270" s="148"/>
      <c r="J270" s="148"/>
      <c r="L270" s="148"/>
      <c r="P270" s="148"/>
      <c r="R270" s="148"/>
    </row>
    <row r="271" ht="15.75" customHeight="1">
      <c r="D271" s="148"/>
      <c r="F271" s="148"/>
      <c r="J271" s="148"/>
      <c r="L271" s="148"/>
      <c r="P271" s="148"/>
      <c r="R271" s="148"/>
    </row>
    <row r="272" ht="15.75" customHeight="1">
      <c r="D272" s="148"/>
      <c r="F272" s="148"/>
      <c r="J272" s="148"/>
      <c r="L272" s="148"/>
      <c r="P272" s="148"/>
      <c r="R272" s="148"/>
    </row>
    <row r="273" ht="15.75" customHeight="1">
      <c r="D273" s="148"/>
      <c r="F273" s="148"/>
      <c r="J273" s="148"/>
      <c r="L273" s="148"/>
      <c r="P273" s="148"/>
      <c r="R273" s="148"/>
    </row>
    <row r="274" ht="15.75" customHeight="1">
      <c r="D274" s="148"/>
      <c r="F274" s="148"/>
      <c r="J274" s="148"/>
      <c r="L274" s="148"/>
      <c r="P274" s="148"/>
      <c r="R274" s="148"/>
    </row>
    <row r="275" ht="15.75" customHeight="1">
      <c r="D275" s="148"/>
      <c r="F275" s="148"/>
      <c r="J275" s="148"/>
      <c r="L275" s="148"/>
      <c r="P275" s="148"/>
      <c r="R275" s="148"/>
    </row>
    <row r="276" ht="15.75" customHeight="1">
      <c r="D276" s="148"/>
      <c r="F276" s="148"/>
      <c r="J276" s="148"/>
      <c r="L276" s="148"/>
      <c r="P276" s="148"/>
      <c r="R276" s="148"/>
    </row>
    <row r="277" ht="15.75" customHeight="1">
      <c r="D277" s="148"/>
      <c r="F277" s="148"/>
      <c r="J277" s="148"/>
      <c r="L277" s="148"/>
      <c r="P277" s="148"/>
      <c r="R277" s="148"/>
    </row>
    <row r="278" ht="15.75" customHeight="1">
      <c r="D278" s="148"/>
      <c r="F278" s="148"/>
      <c r="J278" s="148"/>
      <c r="L278" s="148"/>
      <c r="P278" s="148"/>
      <c r="R278" s="148"/>
    </row>
    <row r="279" ht="15.75" customHeight="1">
      <c r="D279" s="148"/>
      <c r="F279" s="148"/>
      <c r="J279" s="148"/>
      <c r="L279" s="148"/>
      <c r="P279" s="148"/>
      <c r="R279" s="148"/>
    </row>
    <row r="280" ht="15.75" customHeight="1">
      <c r="D280" s="148"/>
      <c r="F280" s="148"/>
      <c r="J280" s="148"/>
      <c r="L280" s="148"/>
      <c r="P280" s="148"/>
      <c r="R280" s="148"/>
    </row>
    <row r="281" ht="15.75" customHeight="1">
      <c r="D281" s="148"/>
      <c r="F281" s="148"/>
      <c r="J281" s="148"/>
      <c r="L281" s="148"/>
      <c r="P281" s="148"/>
      <c r="R281" s="148"/>
    </row>
    <row r="282" ht="15.75" customHeight="1">
      <c r="D282" s="148"/>
      <c r="F282" s="148"/>
      <c r="J282" s="148"/>
      <c r="L282" s="148"/>
      <c r="P282" s="148"/>
      <c r="R282" s="148"/>
    </row>
    <row r="283" ht="15.75" customHeight="1">
      <c r="D283" s="148"/>
      <c r="F283" s="148"/>
      <c r="J283" s="148"/>
      <c r="L283" s="148"/>
      <c r="P283" s="148"/>
      <c r="R283" s="148"/>
    </row>
    <row r="284" ht="15.75" customHeight="1">
      <c r="D284" s="148"/>
      <c r="F284" s="148"/>
      <c r="J284" s="148"/>
      <c r="L284" s="148"/>
      <c r="P284" s="148"/>
      <c r="R284" s="148"/>
    </row>
    <row r="285" ht="15.75" customHeight="1">
      <c r="D285" s="148"/>
      <c r="F285" s="148"/>
      <c r="J285" s="148"/>
      <c r="L285" s="148"/>
      <c r="P285" s="148"/>
      <c r="R285" s="148"/>
    </row>
    <row r="286" ht="15.75" customHeight="1">
      <c r="D286" s="148"/>
      <c r="F286" s="148"/>
      <c r="J286" s="148"/>
      <c r="L286" s="148"/>
      <c r="P286" s="148"/>
      <c r="R286" s="148"/>
    </row>
    <row r="287" ht="15.75" customHeight="1">
      <c r="D287" s="148"/>
      <c r="F287" s="148"/>
      <c r="J287" s="148"/>
      <c r="L287" s="148"/>
      <c r="P287" s="148"/>
      <c r="R287" s="148"/>
    </row>
    <row r="288" ht="15.75" customHeight="1">
      <c r="D288" s="148"/>
      <c r="F288" s="148"/>
      <c r="J288" s="148"/>
      <c r="L288" s="148"/>
      <c r="P288" s="148"/>
      <c r="R288" s="148"/>
    </row>
    <row r="289" ht="15.75" customHeight="1">
      <c r="D289" s="148"/>
      <c r="F289" s="148"/>
      <c r="J289" s="148"/>
      <c r="L289" s="148"/>
      <c r="P289" s="148"/>
      <c r="R289" s="148"/>
    </row>
    <row r="290" ht="15.75" customHeight="1">
      <c r="D290" s="148"/>
      <c r="F290" s="148"/>
      <c r="J290" s="148"/>
      <c r="L290" s="148"/>
      <c r="P290" s="148"/>
      <c r="R290" s="148"/>
    </row>
    <row r="291" ht="15.75" customHeight="1">
      <c r="D291" s="148"/>
      <c r="F291" s="148"/>
      <c r="J291" s="148"/>
      <c r="L291" s="148"/>
      <c r="P291" s="148"/>
      <c r="R291" s="148"/>
    </row>
    <row r="292" ht="15.75" customHeight="1">
      <c r="D292" s="148"/>
      <c r="F292" s="148"/>
      <c r="J292" s="148"/>
      <c r="L292" s="148"/>
      <c r="P292" s="148"/>
      <c r="R292" s="148"/>
    </row>
    <row r="293" ht="15.75" customHeight="1">
      <c r="D293" s="148"/>
      <c r="F293" s="148"/>
      <c r="J293" s="148"/>
      <c r="L293" s="148"/>
      <c r="P293" s="148"/>
      <c r="R293" s="148"/>
    </row>
    <row r="294" ht="15.75" customHeight="1">
      <c r="D294" s="148"/>
      <c r="F294" s="148"/>
      <c r="J294" s="148"/>
      <c r="L294" s="148"/>
      <c r="P294" s="148"/>
      <c r="R294" s="148"/>
    </row>
    <row r="295" ht="15.75" customHeight="1">
      <c r="D295" s="148"/>
      <c r="F295" s="148"/>
      <c r="J295" s="148"/>
      <c r="L295" s="148"/>
      <c r="P295" s="148"/>
      <c r="R295" s="148"/>
    </row>
    <row r="296" ht="15.75" customHeight="1">
      <c r="D296" s="148"/>
      <c r="F296" s="148"/>
      <c r="J296" s="148"/>
      <c r="L296" s="148"/>
      <c r="P296" s="148"/>
      <c r="R296" s="148"/>
    </row>
    <row r="297" ht="15.75" customHeight="1">
      <c r="D297" s="148"/>
      <c r="F297" s="148"/>
      <c r="J297" s="148"/>
      <c r="L297" s="148"/>
      <c r="P297" s="148"/>
      <c r="R297" s="148"/>
    </row>
    <row r="298" ht="15.75" customHeight="1">
      <c r="D298" s="148"/>
      <c r="F298" s="148"/>
      <c r="J298" s="148"/>
      <c r="L298" s="148"/>
      <c r="P298" s="148"/>
      <c r="R298" s="148"/>
    </row>
    <row r="299" ht="15.75" customHeight="1">
      <c r="D299" s="148"/>
      <c r="F299" s="148"/>
      <c r="J299" s="148"/>
      <c r="L299" s="148"/>
      <c r="P299" s="148"/>
      <c r="R299" s="148"/>
    </row>
    <row r="300" ht="15.75" customHeight="1">
      <c r="D300" s="148"/>
      <c r="F300" s="148"/>
      <c r="J300" s="148"/>
      <c r="L300" s="148"/>
      <c r="P300" s="148"/>
      <c r="R300" s="148"/>
    </row>
    <row r="301" ht="15.75" customHeight="1">
      <c r="D301" s="148"/>
      <c r="F301" s="148"/>
      <c r="J301" s="148"/>
      <c r="L301" s="148"/>
      <c r="P301" s="148"/>
      <c r="R301" s="148"/>
    </row>
    <row r="302" ht="15.75" customHeight="1">
      <c r="D302" s="148"/>
      <c r="F302" s="148"/>
      <c r="J302" s="148"/>
      <c r="L302" s="148"/>
      <c r="P302" s="148"/>
      <c r="R302" s="148"/>
    </row>
    <row r="303" ht="15.75" customHeight="1">
      <c r="D303" s="148"/>
      <c r="F303" s="148"/>
      <c r="J303" s="148"/>
      <c r="L303" s="148"/>
      <c r="P303" s="148"/>
      <c r="R303" s="148"/>
    </row>
    <row r="304" ht="15.75" customHeight="1">
      <c r="D304" s="148"/>
      <c r="F304" s="148"/>
      <c r="J304" s="148"/>
      <c r="L304" s="148"/>
      <c r="P304" s="148"/>
      <c r="R304" s="148"/>
    </row>
    <row r="305" ht="15.75" customHeight="1">
      <c r="D305" s="148"/>
      <c r="F305" s="148"/>
      <c r="J305" s="148"/>
      <c r="L305" s="148"/>
      <c r="P305" s="148"/>
      <c r="R305" s="148"/>
    </row>
    <row r="306" ht="15.75" customHeight="1">
      <c r="D306" s="148"/>
      <c r="F306" s="148"/>
      <c r="J306" s="148"/>
      <c r="L306" s="148"/>
      <c r="P306" s="148"/>
      <c r="R306" s="148"/>
    </row>
    <row r="307" ht="15.75" customHeight="1">
      <c r="D307" s="148"/>
      <c r="F307" s="148"/>
      <c r="J307" s="148"/>
      <c r="L307" s="148"/>
      <c r="P307" s="148"/>
      <c r="R307" s="148"/>
    </row>
    <row r="308" ht="15.75" customHeight="1">
      <c r="D308" s="148"/>
      <c r="F308" s="148"/>
      <c r="J308" s="148"/>
      <c r="L308" s="148"/>
      <c r="P308" s="148"/>
      <c r="R308" s="148"/>
    </row>
    <row r="309" ht="15.75" customHeight="1">
      <c r="D309" s="148"/>
      <c r="F309" s="148"/>
      <c r="J309" s="148"/>
      <c r="L309" s="148"/>
      <c r="P309" s="148"/>
      <c r="R309" s="148"/>
    </row>
    <row r="310" ht="15.75" customHeight="1">
      <c r="D310" s="148"/>
      <c r="F310" s="148"/>
      <c r="J310" s="148"/>
      <c r="L310" s="148"/>
      <c r="P310" s="148"/>
      <c r="R310" s="148"/>
    </row>
    <row r="311" ht="15.75" customHeight="1">
      <c r="D311" s="148"/>
      <c r="F311" s="148"/>
      <c r="J311" s="148"/>
      <c r="L311" s="148"/>
      <c r="P311" s="148"/>
      <c r="R311" s="148"/>
    </row>
    <row r="312" ht="15.75" customHeight="1">
      <c r="D312" s="148"/>
      <c r="F312" s="148"/>
      <c r="J312" s="148"/>
      <c r="L312" s="148"/>
      <c r="P312" s="148"/>
      <c r="R312" s="148"/>
    </row>
    <row r="313" ht="15.75" customHeight="1">
      <c r="D313" s="148"/>
      <c r="F313" s="148"/>
      <c r="J313" s="148"/>
      <c r="L313" s="148"/>
      <c r="P313" s="148"/>
      <c r="R313" s="148"/>
    </row>
    <row r="314" ht="15.75" customHeight="1">
      <c r="D314" s="148"/>
      <c r="F314" s="148"/>
      <c r="J314" s="148"/>
      <c r="L314" s="148"/>
      <c r="P314" s="148"/>
      <c r="R314" s="148"/>
    </row>
    <row r="315" ht="15.75" customHeight="1">
      <c r="D315" s="148"/>
      <c r="F315" s="148"/>
      <c r="J315" s="148"/>
      <c r="L315" s="148"/>
      <c r="P315" s="148"/>
      <c r="R315" s="148"/>
    </row>
    <row r="316" ht="15.75" customHeight="1">
      <c r="D316" s="148"/>
      <c r="F316" s="148"/>
      <c r="J316" s="148"/>
      <c r="L316" s="148"/>
      <c r="P316" s="148"/>
      <c r="R316" s="148"/>
    </row>
    <row r="317" ht="15.75" customHeight="1">
      <c r="D317" s="148"/>
      <c r="F317" s="148"/>
      <c r="J317" s="148"/>
      <c r="L317" s="148"/>
      <c r="P317" s="148"/>
      <c r="R317" s="148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5">
    <mergeCell ref="B4:B5"/>
    <mergeCell ref="C4:C5"/>
    <mergeCell ref="D4:I4"/>
    <mergeCell ref="J4:O4"/>
    <mergeCell ref="P4:U4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5.0" topLeftCell="D16" activePane="bottomRight" state="frozen"/>
      <selection activeCell="D1" sqref="D1" pane="topRight"/>
      <selection activeCell="A16" sqref="A16" pane="bottomLeft"/>
      <selection activeCell="D16" sqref="D1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2.13"/>
    <col customWidth="1" min="4" max="4" width="12.0"/>
    <col customWidth="1" hidden="1" min="5" max="5" width="12.63"/>
    <col customWidth="1" hidden="1" min="6" max="6" width="12.38"/>
    <col customWidth="1" hidden="1" min="7" max="9" width="12.63"/>
    <col customWidth="1" min="10" max="10" width="12.0"/>
    <col customWidth="1" hidden="1" min="11" max="11" width="12.63"/>
    <col customWidth="1" hidden="1" min="12" max="12" width="12.38"/>
    <col customWidth="1" hidden="1" min="13" max="15" width="12.63"/>
    <col customWidth="1" min="16" max="16" width="12.5"/>
    <col customWidth="1" hidden="1" min="17" max="17" width="12.63"/>
    <col customWidth="1" hidden="1" min="18" max="18" width="12.38"/>
    <col customWidth="1" hidden="1" min="19" max="21" width="12.63"/>
    <col customWidth="1" min="22" max="33" width="12.63"/>
  </cols>
  <sheetData>
    <row r="1" ht="15.75" customHeight="1">
      <c r="A1" s="439"/>
      <c r="B1" s="440" t="s">
        <v>0</v>
      </c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</row>
    <row r="2" ht="15.75" customHeight="1">
      <c r="A2" s="692"/>
      <c r="B2" s="441" t="s">
        <v>295</v>
      </c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  <c r="AD2" s="439"/>
      <c r="AE2" s="439"/>
      <c r="AF2" s="439"/>
      <c r="AG2" s="439"/>
    </row>
    <row r="3" ht="15.75" customHeight="1">
      <c r="A3" s="439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</row>
    <row r="4" ht="15.75" customHeight="1">
      <c r="A4" s="439"/>
      <c r="B4" s="443" t="s">
        <v>162</v>
      </c>
      <c r="C4" s="443" t="s">
        <v>163</v>
      </c>
      <c r="D4" s="693" t="s">
        <v>164</v>
      </c>
      <c r="E4" s="6"/>
      <c r="F4" s="6"/>
      <c r="G4" s="6"/>
      <c r="H4" s="6"/>
      <c r="I4" s="7"/>
      <c r="J4" s="694" t="s">
        <v>165</v>
      </c>
      <c r="K4" s="10"/>
      <c r="L4" s="10"/>
      <c r="M4" s="10"/>
      <c r="N4" s="10"/>
      <c r="O4" s="13"/>
      <c r="P4" s="695" t="s">
        <v>166</v>
      </c>
      <c r="Q4" s="10"/>
      <c r="R4" s="10"/>
      <c r="S4" s="10"/>
      <c r="T4" s="10"/>
      <c r="U4" s="13"/>
      <c r="V4" s="696"/>
      <c r="W4" s="696"/>
      <c r="X4" s="696"/>
      <c r="Y4" s="696"/>
      <c r="Z4" s="696"/>
      <c r="AA4" s="696"/>
      <c r="AB4" s="696"/>
      <c r="AC4" s="696"/>
      <c r="AD4" s="696"/>
      <c r="AE4" s="696"/>
      <c r="AF4" s="696"/>
      <c r="AG4" s="696"/>
    </row>
    <row r="5" ht="18.0" customHeight="1">
      <c r="A5" s="697"/>
      <c r="B5" s="448"/>
      <c r="C5" s="448"/>
      <c r="D5" s="698" t="s">
        <v>167</v>
      </c>
      <c r="E5" s="699" t="s">
        <v>18</v>
      </c>
      <c r="F5" s="699" t="s">
        <v>168</v>
      </c>
      <c r="G5" s="699" t="s">
        <v>18</v>
      </c>
      <c r="H5" s="699" t="s">
        <v>169</v>
      </c>
      <c r="I5" s="700" t="s">
        <v>260</v>
      </c>
      <c r="J5" s="701" t="s">
        <v>167</v>
      </c>
      <c r="K5" s="701" t="s">
        <v>18</v>
      </c>
      <c r="L5" s="701" t="s">
        <v>168</v>
      </c>
      <c r="M5" s="701" t="s">
        <v>18</v>
      </c>
      <c r="N5" s="699" t="s">
        <v>169</v>
      </c>
      <c r="O5" s="700" t="s">
        <v>260</v>
      </c>
      <c r="P5" s="701" t="s">
        <v>167</v>
      </c>
      <c r="Q5" s="701" t="s">
        <v>18</v>
      </c>
      <c r="R5" s="701" t="s">
        <v>168</v>
      </c>
      <c r="S5" s="701" t="s">
        <v>18</v>
      </c>
      <c r="T5" s="699" t="s">
        <v>169</v>
      </c>
      <c r="U5" s="700" t="s">
        <v>260</v>
      </c>
      <c r="V5" s="702"/>
      <c r="W5" s="702"/>
      <c r="X5" s="702"/>
      <c r="Y5" s="702"/>
      <c r="Z5" s="702"/>
      <c r="AA5" s="702"/>
      <c r="AB5" s="702"/>
      <c r="AC5" s="702"/>
      <c r="AD5" s="702"/>
      <c r="AE5" s="702"/>
      <c r="AF5" s="702"/>
      <c r="AG5" s="702"/>
    </row>
    <row r="6" ht="15.75" hidden="1" customHeight="1">
      <c r="A6" s="439"/>
      <c r="B6" s="461"/>
      <c r="C6" s="497" t="s">
        <v>73</v>
      </c>
      <c r="D6" s="703">
        <v>5434.0</v>
      </c>
      <c r="E6" s="540"/>
      <c r="F6" s="646"/>
      <c r="G6" s="540"/>
      <c r="H6" s="646"/>
      <c r="I6" s="542"/>
      <c r="J6" s="703">
        <v>5434.0</v>
      </c>
      <c r="K6" s="540"/>
      <c r="L6" s="646"/>
      <c r="M6" s="542"/>
      <c r="N6" s="646"/>
      <c r="O6" s="542"/>
      <c r="P6" s="703">
        <v>5434.0</v>
      </c>
      <c r="Q6" s="540"/>
      <c r="R6" s="646"/>
      <c r="S6" s="542"/>
      <c r="T6" s="646"/>
      <c r="U6" s="542"/>
      <c r="V6" s="439"/>
      <c r="W6" s="439"/>
      <c r="X6" s="439"/>
      <c r="Y6" s="439"/>
      <c r="Z6" s="439"/>
      <c r="AA6" s="439"/>
      <c r="AB6" s="439"/>
      <c r="AC6" s="439"/>
      <c r="AD6" s="439"/>
      <c r="AE6" s="439"/>
      <c r="AF6" s="439"/>
      <c r="AG6" s="439"/>
    </row>
    <row r="7" ht="15.75" hidden="1" customHeight="1">
      <c r="A7" s="439"/>
      <c r="B7" s="469"/>
      <c r="C7" s="465" t="s">
        <v>80</v>
      </c>
      <c r="D7" s="704">
        <v>1706.0</v>
      </c>
      <c r="E7" s="539"/>
      <c r="F7" s="649"/>
      <c r="G7" s="539"/>
      <c r="H7" s="649"/>
      <c r="I7" s="479"/>
      <c r="J7" s="704">
        <v>1706.0</v>
      </c>
      <c r="K7" s="539"/>
      <c r="L7" s="649"/>
      <c r="M7" s="479"/>
      <c r="N7" s="649"/>
      <c r="O7" s="479"/>
      <c r="P7" s="704">
        <v>1706.0</v>
      </c>
      <c r="Q7" s="539"/>
      <c r="R7" s="649"/>
      <c r="S7" s="479"/>
      <c r="T7" s="649"/>
      <c r="U7" s="479"/>
      <c r="V7" s="439"/>
      <c r="W7" s="439"/>
      <c r="X7" s="439"/>
      <c r="Y7" s="439"/>
      <c r="Z7" s="439"/>
      <c r="AA7" s="439"/>
      <c r="AB7" s="439"/>
      <c r="AC7" s="439"/>
      <c r="AD7" s="439"/>
      <c r="AE7" s="439"/>
      <c r="AF7" s="439"/>
      <c r="AG7" s="439"/>
    </row>
    <row r="8" ht="15.75" hidden="1" customHeight="1">
      <c r="A8" s="439"/>
      <c r="B8" s="469"/>
      <c r="C8" s="465" t="s">
        <v>87</v>
      </c>
      <c r="D8" s="704">
        <f>D24+D25+D28+D16</f>
        <v>8713619.25</v>
      </c>
      <c r="E8" s="539"/>
      <c r="F8" s="649"/>
      <c r="G8" s="539"/>
      <c r="H8" s="649"/>
      <c r="I8" s="479"/>
      <c r="J8" s="704">
        <f>J24+J25+J28+J16</f>
        <v>9189354</v>
      </c>
      <c r="K8" s="539"/>
      <c r="L8" s="649"/>
      <c r="M8" s="479"/>
      <c r="N8" s="649"/>
      <c r="O8" s="479"/>
      <c r="P8" s="704">
        <f>P24+P25+P28+P16</f>
        <v>8594437</v>
      </c>
      <c r="Q8" s="539"/>
      <c r="R8" s="649"/>
      <c r="S8" s="479"/>
      <c r="T8" s="649"/>
      <c r="U8" s="479"/>
      <c r="V8" s="439"/>
      <c r="W8" s="439"/>
      <c r="X8" s="439"/>
      <c r="Y8" s="439"/>
      <c r="Z8" s="439"/>
      <c r="AA8" s="439"/>
      <c r="AB8" s="439"/>
      <c r="AC8" s="439"/>
      <c r="AD8" s="439"/>
      <c r="AE8" s="439"/>
      <c r="AF8" s="439"/>
      <c r="AG8" s="439"/>
    </row>
    <row r="9" ht="15.75" hidden="1" customHeight="1">
      <c r="A9" s="439"/>
      <c r="B9" s="469"/>
      <c r="C9" s="465" t="s">
        <v>94</v>
      </c>
      <c r="D9" s="704">
        <f>D17+D21+D19+D20</f>
        <v>4467129.24</v>
      </c>
      <c r="E9" s="539"/>
      <c r="F9" s="649"/>
      <c r="G9" s="539"/>
      <c r="H9" s="649"/>
      <c r="I9" s="479"/>
      <c r="J9" s="704">
        <f>J17+J21+J19+J20</f>
        <v>4285800</v>
      </c>
      <c r="K9" s="539"/>
      <c r="L9" s="649"/>
      <c r="M9" s="479"/>
      <c r="N9" s="649"/>
      <c r="O9" s="479"/>
      <c r="P9" s="704">
        <f>P17+P21+P19+P20</f>
        <v>6713441</v>
      </c>
      <c r="Q9" s="539"/>
      <c r="R9" s="649"/>
      <c r="S9" s="479"/>
      <c r="T9" s="649"/>
      <c r="U9" s="479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</row>
    <row r="10" ht="15.75" hidden="1" customHeight="1">
      <c r="A10" s="439"/>
      <c r="B10" s="469"/>
      <c r="C10" s="465" t="s">
        <v>101</v>
      </c>
      <c r="D10" s="704">
        <f>SUM(D8:D9)-D29</f>
        <v>0</v>
      </c>
      <c r="E10" s="539"/>
      <c r="F10" s="649"/>
      <c r="G10" s="539"/>
      <c r="H10" s="649"/>
      <c r="I10" s="479"/>
      <c r="J10" s="704">
        <f>SUM(J8:J9)-J29</f>
        <v>-16575</v>
      </c>
      <c r="K10" s="539"/>
      <c r="L10" s="649"/>
      <c r="M10" s="479"/>
      <c r="N10" s="649"/>
      <c r="O10" s="479"/>
      <c r="P10" s="704">
        <f>SUM(P8:P9)-P29</f>
        <v>-33150</v>
      </c>
      <c r="Q10" s="539"/>
      <c r="R10" s="649"/>
      <c r="S10" s="479"/>
      <c r="T10" s="649"/>
      <c r="U10" s="479"/>
      <c r="V10" s="439"/>
      <c r="W10" s="439"/>
      <c r="X10" s="439"/>
      <c r="Y10" s="439"/>
      <c r="Z10" s="439"/>
      <c r="AA10" s="439"/>
      <c r="AB10" s="439"/>
      <c r="AC10" s="439"/>
      <c r="AD10" s="439"/>
      <c r="AE10" s="439"/>
      <c r="AF10" s="439"/>
      <c r="AG10" s="439"/>
    </row>
    <row r="11" ht="15.75" hidden="1" customHeight="1">
      <c r="A11" s="439"/>
      <c r="B11" s="469"/>
      <c r="C11" s="465" t="s">
        <v>108</v>
      </c>
      <c r="D11" s="704">
        <f t="shared" ref="D11:D12" si="1">D8/D6</f>
        <v>1603.536851</v>
      </c>
      <c r="E11" s="539"/>
      <c r="F11" s="649"/>
      <c r="G11" s="539"/>
      <c r="H11" s="649"/>
      <c r="I11" s="479"/>
      <c r="J11" s="704">
        <f t="shared" ref="J11:J12" si="2">J8/J6</f>
        <v>1691.084652</v>
      </c>
      <c r="K11" s="539"/>
      <c r="L11" s="649"/>
      <c r="M11" s="479"/>
      <c r="N11" s="649"/>
      <c r="O11" s="479"/>
      <c r="P11" s="704">
        <f t="shared" ref="P11:P12" si="3">P8/P6</f>
        <v>1581.604159</v>
      </c>
      <c r="Q11" s="539"/>
      <c r="R11" s="649"/>
      <c r="S11" s="479"/>
      <c r="T11" s="649"/>
      <c r="U11" s="479"/>
      <c r="V11" s="439"/>
      <c r="W11" s="439"/>
      <c r="X11" s="439"/>
      <c r="Y11" s="439"/>
      <c r="Z11" s="439"/>
      <c r="AA11" s="439"/>
      <c r="AB11" s="439"/>
      <c r="AC11" s="439"/>
      <c r="AD11" s="439"/>
      <c r="AE11" s="439"/>
      <c r="AF11" s="439"/>
      <c r="AG11" s="439"/>
    </row>
    <row r="12" ht="15.75" hidden="1" customHeight="1">
      <c r="A12" s="439"/>
      <c r="B12" s="469"/>
      <c r="C12" s="465" t="s">
        <v>115</v>
      </c>
      <c r="D12" s="704">
        <f t="shared" si="1"/>
        <v>2618.481383</v>
      </c>
      <c r="E12" s="539"/>
      <c r="F12" s="649"/>
      <c r="G12" s="539"/>
      <c r="H12" s="649"/>
      <c r="I12" s="479"/>
      <c r="J12" s="704">
        <f t="shared" si="2"/>
        <v>2512.192263</v>
      </c>
      <c r="K12" s="539"/>
      <c r="L12" s="649"/>
      <c r="M12" s="479"/>
      <c r="N12" s="649"/>
      <c r="O12" s="479"/>
      <c r="P12" s="704">
        <f t="shared" si="3"/>
        <v>3935.194021</v>
      </c>
      <c r="Q12" s="539"/>
      <c r="R12" s="649"/>
      <c r="S12" s="479"/>
      <c r="T12" s="649"/>
      <c r="U12" s="479"/>
      <c r="V12" s="439"/>
      <c r="W12" s="439"/>
      <c r="X12" s="439"/>
      <c r="Y12" s="439"/>
      <c r="Z12" s="439"/>
      <c r="AA12" s="439"/>
      <c r="AB12" s="439"/>
      <c r="AC12" s="439"/>
      <c r="AD12" s="439"/>
      <c r="AE12" s="439"/>
      <c r="AF12" s="439"/>
      <c r="AG12" s="439"/>
    </row>
    <row r="13" ht="15.75" hidden="1" customHeight="1">
      <c r="A13" s="439"/>
      <c r="B13" s="469"/>
      <c r="C13" s="465"/>
      <c r="D13" s="704"/>
      <c r="E13" s="539"/>
      <c r="F13" s="649"/>
      <c r="G13" s="539"/>
      <c r="H13" s="649"/>
      <c r="I13" s="479"/>
      <c r="J13" s="704"/>
      <c r="K13" s="539"/>
      <c r="L13" s="649"/>
      <c r="M13" s="479"/>
      <c r="N13" s="649"/>
      <c r="O13" s="479"/>
      <c r="P13" s="704"/>
      <c r="Q13" s="539"/>
      <c r="R13" s="649"/>
      <c r="S13" s="479"/>
      <c r="T13" s="649"/>
      <c r="U13" s="479"/>
      <c r="V13" s="439"/>
      <c r="W13" s="439"/>
      <c r="X13" s="439"/>
      <c r="Y13" s="439"/>
      <c r="Z13" s="439"/>
      <c r="AA13" s="439"/>
      <c r="AB13" s="439"/>
      <c r="AC13" s="439"/>
      <c r="AD13" s="439"/>
      <c r="AE13" s="439"/>
      <c r="AF13" s="439"/>
      <c r="AG13" s="439"/>
    </row>
    <row r="14" ht="15.75" hidden="1" customHeight="1">
      <c r="A14" s="439"/>
      <c r="B14" s="469"/>
      <c r="C14" s="483"/>
      <c r="D14" s="705"/>
      <c r="E14" s="544"/>
      <c r="F14" s="706"/>
      <c r="G14" s="544"/>
      <c r="H14" s="706"/>
      <c r="I14" s="546"/>
      <c r="J14" s="705"/>
      <c r="K14" s="539"/>
      <c r="L14" s="649"/>
      <c r="M14" s="479"/>
      <c r="N14" s="706"/>
      <c r="O14" s="546"/>
      <c r="P14" s="705"/>
      <c r="Q14" s="539"/>
      <c r="R14" s="649"/>
      <c r="S14" s="479"/>
      <c r="T14" s="706"/>
      <c r="U14" s="546"/>
      <c r="V14" s="439"/>
      <c r="W14" s="439"/>
      <c r="X14" s="439"/>
      <c r="Y14" s="439"/>
      <c r="Z14" s="439"/>
      <c r="AA14" s="439"/>
      <c r="AB14" s="439"/>
      <c r="AC14" s="439"/>
      <c r="AD14" s="439"/>
      <c r="AE14" s="439"/>
      <c r="AF14" s="439"/>
      <c r="AG14" s="439"/>
    </row>
    <row r="15" ht="15.75" customHeight="1">
      <c r="A15" s="439"/>
      <c r="B15" s="457" t="s">
        <v>170</v>
      </c>
      <c r="C15" s="707" t="s">
        <v>296</v>
      </c>
      <c r="D15" s="708">
        <f>SUM(D16:D21)</f>
        <v>10508362.49</v>
      </c>
      <c r="E15" s="709"/>
      <c r="F15" s="710">
        <f>SUM(F16:F21)</f>
        <v>0</v>
      </c>
      <c r="G15" s="709"/>
      <c r="H15" s="711"/>
      <c r="I15" s="712"/>
      <c r="J15" s="713">
        <f>SUM(J16:J21)</f>
        <v>10763119</v>
      </c>
      <c r="K15" s="714"/>
      <c r="L15" s="715">
        <f>SUM(L16:L21)</f>
        <v>0</v>
      </c>
      <c r="M15" s="716"/>
      <c r="N15" s="711"/>
      <c r="O15" s="712"/>
      <c r="P15" s="713">
        <f>SUM(P16:P21)</f>
        <v>12626135</v>
      </c>
      <c r="Q15" s="714"/>
      <c r="R15" s="715">
        <f>SUM(R16:R21)</f>
        <v>0</v>
      </c>
      <c r="S15" s="716"/>
      <c r="T15" s="711"/>
      <c r="U15" s="717"/>
      <c r="V15" s="439"/>
      <c r="W15" s="439"/>
      <c r="X15" s="439"/>
      <c r="Y15" s="439"/>
      <c r="Z15" s="439"/>
      <c r="AA15" s="439"/>
      <c r="AB15" s="439"/>
      <c r="AC15" s="439"/>
      <c r="AD15" s="439"/>
      <c r="AE15" s="439"/>
      <c r="AF15" s="439"/>
      <c r="AG15" s="439"/>
    </row>
    <row r="16" ht="15.75" customHeight="1">
      <c r="A16" s="439"/>
      <c r="B16" s="469" t="s">
        <v>23</v>
      </c>
      <c r="C16" s="497" t="s">
        <v>172</v>
      </c>
      <c r="D16" s="718">
        <v>6041233.25</v>
      </c>
      <c r="E16" s="552">
        <f t="shared" ref="E16:E21" si="4">D16/$D$15</f>
        <v>0.5748976832</v>
      </c>
      <c r="F16" s="646"/>
      <c r="G16" s="552" t="str">
        <f t="shared" ref="G16:G17" si="5">F16/F$15</f>
        <v>#DIV/0!</v>
      </c>
      <c r="H16" s="646">
        <f>D16-F16</f>
        <v>6041233.25</v>
      </c>
      <c r="I16" s="556" t="str">
        <f>H16/F16</f>
        <v>#DIV/0!</v>
      </c>
      <c r="J16" s="719">
        <v>6477319.0</v>
      </c>
      <c r="K16" s="560">
        <f t="shared" ref="K16:K21" si="6">J16/$D$15</f>
        <v>0.6163966085</v>
      </c>
      <c r="L16" s="649"/>
      <c r="M16" s="562" t="str">
        <f t="shared" ref="M16:M17" si="7">L16/L$15</f>
        <v>#DIV/0!</v>
      </c>
      <c r="N16" s="646">
        <f>J16-L16</f>
        <v>6477319</v>
      </c>
      <c r="O16" s="553" t="str">
        <f>N16/L16</f>
        <v>#DIV/0!</v>
      </c>
      <c r="P16" s="555">
        <v>5912694.0</v>
      </c>
      <c r="Q16" s="560">
        <f t="shared" ref="Q16:Q21" si="8">P16/$D$15</f>
        <v>0.5626655919</v>
      </c>
      <c r="R16" s="649"/>
      <c r="S16" s="562" t="str">
        <f t="shared" ref="S16:S17" si="9">R16/R$15</f>
        <v>#DIV/0!</v>
      </c>
      <c r="T16" s="646">
        <f>P16-R16</f>
        <v>5912694</v>
      </c>
      <c r="U16" s="556" t="str">
        <f>T16/R16</f>
        <v>#DIV/0!</v>
      </c>
      <c r="V16" s="439"/>
      <c r="W16" s="439"/>
      <c r="X16" s="439"/>
      <c r="Y16" s="439"/>
      <c r="Z16" s="439"/>
      <c r="AA16" s="439"/>
      <c r="AB16" s="439"/>
      <c r="AC16" s="439"/>
      <c r="AD16" s="439"/>
      <c r="AE16" s="439"/>
      <c r="AF16" s="439"/>
      <c r="AG16" s="439"/>
    </row>
    <row r="17" ht="15.75" customHeight="1">
      <c r="A17" s="439"/>
      <c r="B17" s="465"/>
      <c r="C17" s="465" t="s">
        <v>173</v>
      </c>
      <c r="D17" s="720">
        <v>3631233.0</v>
      </c>
      <c r="E17" s="564">
        <f t="shared" si="4"/>
        <v>0.3455565035</v>
      </c>
      <c r="F17" s="706"/>
      <c r="G17" s="564" t="str">
        <f t="shared" si="5"/>
        <v>#DIV/0!</v>
      </c>
      <c r="H17" s="706"/>
      <c r="I17" s="546"/>
      <c r="J17" s="721">
        <v>3764729.0</v>
      </c>
      <c r="K17" s="560">
        <f t="shared" si="6"/>
        <v>0.3582602907</v>
      </c>
      <c r="L17" s="649"/>
      <c r="M17" s="562" t="str">
        <f t="shared" si="7"/>
        <v>#DIV/0!</v>
      </c>
      <c r="N17" s="706"/>
      <c r="O17" s="722"/>
      <c r="P17" s="561">
        <v>3148035.0</v>
      </c>
      <c r="Q17" s="560">
        <f t="shared" si="8"/>
        <v>0.2995742679</v>
      </c>
      <c r="R17" s="649"/>
      <c r="S17" s="562" t="str">
        <f t="shared" si="9"/>
        <v>#DIV/0!</v>
      </c>
      <c r="T17" s="706"/>
      <c r="U17" s="546"/>
      <c r="V17" s="439"/>
      <c r="W17" s="439"/>
      <c r="X17" s="439"/>
      <c r="Y17" s="439"/>
      <c r="Z17" s="439"/>
      <c r="AA17" s="439"/>
      <c r="AB17" s="439"/>
      <c r="AC17" s="439"/>
      <c r="AD17" s="439"/>
      <c r="AE17" s="439"/>
      <c r="AF17" s="439"/>
      <c r="AG17" s="439"/>
    </row>
    <row r="18" ht="15.75" customHeight="1">
      <c r="B18" s="465"/>
      <c r="C18" s="465" t="s">
        <v>261</v>
      </c>
      <c r="D18" s="723">
        <v>0.0</v>
      </c>
      <c r="E18" s="557">
        <f t="shared" si="4"/>
        <v>0</v>
      </c>
      <c r="F18" s="521"/>
      <c r="G18" s="557" t="str">
        <f>F18/$F$15</f>
        <v>#DIV/0!</v>
      </c>
      <c r="H18" s="521">
        <f t="shared" ref="H18:H21" si="10">D18-F18</f>
        <v>0</v>
      </c>
      <c r="I18" s="557"/>
      <c r="J18" s="724">
        <v>0.0</v>
      </c>
      <c r="K18" s="560">
        <f t="shared" si="6"/>
        <v>0</v>
      </c>
      <c r="L18" s="521"/>
      <c r="M18" s="562" t="str">
        <f>L18/$F$15</f>
        <v>#DIV/0!</v>
      </c>
      <c r="N18" s="521">
        <f t="shared" ref="N18:N21" si="11">J18-L18</f>
        <v>0</v>
      </c>
      <c r="O18" s="557"/>
      <c r="P18" s="505">
        <v>0.0</v>
      </c>
      <c r="Q18" s="560">
        <f t="shared" si="8"/>
        <v>0</v>
      </c>
      <c r="R18" s="521"/>
      <c r="S18" s="562" t="str">
        <f>R18/$F$15</f>
        <v>#DIV/0!</v>
      </c>
      <c r="T18" s="521">
        <f t="shared" ref="T18:T21" si="12">P18-R18</f>
        <v>0</v>
      </c>
      <c r="U18" s="557"/>
    </row>
    <row r="19" ht="15.75" customHeight="1">
      <c r="A19" s="439"/>
      <c r="B19" s="465"/>
      <c r="C19" s="465" t="s">
        <v>174</v>
      </c>
      <c r="D19" s="725">
        <f>320333+330548.14</f>
        <v>650881.14</v>
      </c>
      <c r="E19" s="649">
        <f t="shared" si="4"/>
        <v>0.06193934979</v>
      </c>
      <c r="F19" s="649"/>
      <c r="G19" s="649" t="str">
        <f t="shared" ref="G19:G21" si="13">F19/F$15</f>
        <v>#DIV/0!</v>
      </c>
      <c r="H19" s="649">
        <f t="shared" si="10"/>
        <v>650881.14</v>
      </c>
      <c r="I19" s="649" t="str">
        <f>H19/F19</f>
        <v>#DIV/0!</v>
      </c>
      <c r="J19" s="726">
        <v>521071.0</v>
      </c>
      <c r="K19" s="560">
        <f t="shared" si="6"/>
        <v>0.04958631761</v>
      </c>
      <c r="L19" s="649"/>
      <c r="M19" s="562" t="str">
        <f t="shared" ref="M19:M21" si="14">L19/L$15</f>
        <v>#DIV/0!</v>
      </c>
      <c r="N19" s="649">
        <f t="shared" si="11"/>
        <v>521071</v>
      </c>
      <c r="O19" s="649" t="str">
        <f>N19/L19</f>
        <v>#DIV/0!</v>
      </c>
      <c r="P19" s="727">
        <v>3565406.0</v>
      </c>
      <c r="Q19" s="560">
        <f t="shared" si="8"/>
        <v>0.3392922545</v>
      </c>
      <c r="R19" s="649"/>
      <c r="S19" s="562" t="str">
        <f t="shared" ref="S19:S21" si="15">R19/R$15</f>
        <v>#DIV/0!</v>
      </c>
      <c r="T19" s="649">
        <f t="shared" si="12"/>
        <v>3565406</v>
      </c>
      <c r="U19" s="649" t="str">
        <f>T19/R19</f>
        <v>#DIV/0!</v>
      </c>
      <c r="V19" s="439"/>
      <c r="W19" s="439"/>
      <c r="X19" s="439"/>
      <c r="Y19" s="439"/>
      <c r="Z19" s="439"/>
      <c r="AA19" s="439"/>
      <c r="AB19" s="439"/>
      <c r="AC19" s="439"/>
      <c r="AD19" s="439"/>
      <c r="AE19" s="439"/>
      <c r="AF19" s="439"/>
      <c r="AG19" s="439"/>
    </row>
    <row r="20" ht="15.75" customHeight="1">
      <c r="A20" s="439"/>
      <c r="B20" s="465"/>
      <c r="C20" s="465" t="s">
        <v>175</v>
      </c>
      <c r="D20" s="718">
        <f>24674.54+333.75</f>
        <v>25008.29</v>
      </c>
      <c r="E20" s="552">
        <f t="shared" si="4"/>
        <v>0.002379846529</v>
      </c>
      <c r="F20" s="646"/>
      <c r="G20" s="552" t="str">
        <f t="shared" si="13"/>
        <v>#DIV/0!</v>
      </c>
      <c r="H20" s="646">
        <f t="shared" si="10"/>
        <v>25008.29</v>
      </c>
      <c r="I20" s="556"/>
      <c r="J20" s="724">
        <v>0.0</v>
      </c>
      <c r="K20" s="557">
        <f t="shared" si="6"/>
        <v>0</v>
      </c>
      <c r="L20" s="649"/>
      <c r="M20" s="562" t="str">
        <f t="shared" si="14"/>
        <v>#DIV/0!</v>
      </c>
      <c r="N20" s="646">
        <f t="shared" si="11"/>
        <v>0</v>
      </c>
      <c r="O20" s="556"/>
      <c r="P20" s="728">
        <v>0.0</v>
      </c>
      <c r="Q20" s="560">
        <f t="shared" si="8"/>
        <v>0</v>
      </c>
      <c r="R20" s="649"/>
      <c r="S20" s="562" t="str">
        <f t="shared" si="15"/>
        <v>#DIV/0!</v>
      </c>
      <c r="T20" s="646">
        <f t="shared" si="12"/>
        <v>0</v>
      </c>
      <c r="U20" s="556"/>
      <c r="V20" s="439"/>
      <c r="W20" s="439"/>
      <c r="X20" s="439"/>
      <c r="Y20" s="439"/>
      <c r="Z20" s="439"/>
      <c r="AA20" s="439"/>
      <c r="AB20" s="439"/>
      <c r="AC20" s="439"/>
      <c r="AD20" s="439"/>
      <c r="AE20" s="439"/>
      <c r="AF20" s="439"/>
      <c r="AG20" s="439"/>
    </row>
    <row r="21" ht="15.75" customHeight="1">
      <c r="A21" s="439"/>
      <c r="B21" s="465"/>
      <c r="C21" s="465" t="s">
        <v>176</v>
      </c>
      <c r="D21" s="726">
        <f>91271.5+50989.25+15379.5+2366.56</f>
        <v>160006.81</v>
      </c>
      <c r="E21" s="557">
        <f t="shared" si="4"/>
        <v>0.01522661691</v>
      </c>
      <c r="F21" s="649"/>
      <c r="G21" s="557" t="str">
        <f t="shared" si="13"/>
        <v>#DIV/0!</v>
      </c>
      <c r="H21" s="649">
        <f t="shared" si="10"/>
        <v>160006.81</v>
      </c>
      <c r="I21" s="562"/>
      <c r="J21" s="724">
        <v>0.0</v>
      </c>
      <c r="K21" s="557">
        <f t="shared" si="6"/>
        <v>0</v>
      </c>
      <c r="L21" s="649"/>
      <c r="M21" s="562" t="str">
        <f t="shared" si="14"/>
        <v>#DIV/0!</v>
      </c>
      <c r="N21" s="649">
        <f t="shared" si="11"/>
        <v>0</v>
      </c>
      <c r="O21" s="562"/>
      <c r="P21" s="728">
        <v>0.0</v>
      </c>
      <c r="Q21" s="560">
        <f t="shared" si="8"/>
        <v>0</v>
      </c>
      <c r="R21" s="649"/>
      <c r="S21" s="562" t="str">
        <f t="shared" si="15"/>
        <v>#DIV/0!</v>
      </c>
      <c r="T21" s="649">
        <f t="shared" si="12"/>
        <v>0</v>
      </c>
      <c r="U21" s="562"/>
      <c r="V21" s="439"/>
      <c r="W21" s="439"/>
      <c r="X21" s="439"/>
      <c r="Y21" s="439"/>
      <c r="Z21" s="439"/>
      <c r="AA21" s="439"/>
      <c r="AB21" s="439"/>
      <c r="AC21" s="439"/>
      <c r="AD21" s="439"/>
      <c r="AE21" s="439"/>
      <c r="AF21" s="439"/>
      <c r="AG21" s="439"/>
    </row>
    <row r="22" ht="15.75" customHeight="1">
      <c r="A22" s="439"/>
      <c r="B22" s="465"/>
      <c r="C22" s="465" t="s">
        <v>263</v>
      </c>
      <c r="D22" s="723">
        <v>0.0</v>
      </c>
      <c r="E22" s="557"/>
      <c r="F22" s="649"/>
      <c r="G22" s="557"/>
      <c r="H22" s="649"/>
      <c r="I22" s="573" t="str">
        <f>IFERROR(H22/F22,"")</f>
        <v/>
      </c>
      <c r="J22" s="726">
        <v>16575.0</v>
      </c>
      <c r="K22" s="557"/>
      <c r="L22" s="649"/>
      <c r="M22" s="562"/>
      <c r="N22" s="649"/>
      <c r="O22" s="573" t="str">
        <f>IFERROR(N22/L22,"")</f>
        <v/>
      </c>
      <c r="P22" s="729">
        <v>16575.0</v>
      </c>
      <c r="Q22" s="560"/>
      <c r="R22" s="649"/>
      <c r="S22" s="562"/>
      <c r="T22" s="649"/>
      <c r="U22" s="573" t="str">
        <f>IFERROR(T22/R22,"")</f>
        <v/>
      </c>
      <c r="V22" s="439"/>
      <c r="W22" s="439"/>
      <c r="X22" s="439"/>
      <c r="Y22" s="439"/>
      <c r="Z22" s="439"/>
      <c r="AA22" s="439"/>
      <c r="AB22" s="439"/>
      <c r="AC22" s="439"/>
      <c r="AD22" s="439"/>
      <c r="AE22" s="439"/>
      <c r="AF22" s="439"/>
      <c r="AG22" s="439"/>
    </row>
    <row r="23" ht="15.75" customHeight="1">
      <c r="A23" s="439"/>
      <c r="B23" s="469"/>
      <c r="C23" s="465"/>
      <c r="D23" s="726"/>
      <c r="E23" s="539"/>
      <c r="F23" s="649"/>
      <c r="G23" s="539"/>
      <c r="H23" s="649"/>
      <c r="I23" s="479"/>
      <c r="J23" s="730"/>
      <c r="K23" s="539"/>
      <c r="L23" s="649"/>
      <c r="M23" s="479"/>
      <c r="N23" s="649"/>
      <c r="O23" s="479"/>
      <c r="P23" s="731"/>
      <c r="Q23" s="575"/>
      <c r="R23" s="649"/>
      <c r="S23" s="479"/>
      <c r="T23" s="649"/>
      <c r="U23" s="479"/>
      <c r="V23" s="439"/>
      <c r="W23" s="439"/>
      <c r="X23" s="439"/>
      <c r="Y23" s="439"/>
      <c r="Z23" s="439"/>
      <c r="AA23" s="439"/>
      <c r="AB23" s="439"/>
      <c r="AC23" s="439"/>
      <c r="AD23" s="439"/>
      <c r="AE23" s="439"/>
      <c r="AF23" s="439"/>
      <c r="AG23" s="439"/>
    </row>
    <row r="24" ht="15.75" customHeight="1">
      <c r="A24" s="439"/>
      <c r="B24" s="469" t="s">
        <v>21</v>
      </c>
      <c r="C24" s="465" t="s">
        <v>21</v>
      </c>
      <c r="D24" s="726">
        <v>1181100.0</v>
      </c>
      <c r="E24" s="557">
        <f t="shared" ref="E24:E26" si="16">D24/$D$29</f>
        <v>0.08960796125</v>
      </c>
      <c r="F24" s="649"/>
      <c r="G24" s="557" t="str">
        <f t="shared" ref="G24:G26" si="17">F24/F$29</f>
        <v>#DIV/0!</v>
      </c>
      <c r="H24" s="649">
        <f t="shared" ref="H24:H26" si="18">D24-F24</f>
        <v>1181100</v>
      </c>
      <c r="I24" s="562" t="str">
        <f t="shared" ref="I24:I26" si="19">H24/F24</f>
        <v>#DIV/0!</v>
      </c>
      <c r="J24" s="732">
        <v>1217044.0</v>
      </c>
      <c r="K24" s="560">
        <f t="shared" ref="K24:K25" si="20">J24/$D$29</f>
        <v>0.09233496876</v>
      </c>
      <c r="L24" s="649"/>
      <c r="M24" s="562" t="str">
        <f t="shared" ref="M24:M25" si="21">L24/L$29</f>
        <v>#DIV/0!</v>
      </c>
      <c r="N24" s="649">
        <f t="shared" ref="N24:N25" si="22">J24-L24</f>
        <v>1217044</v>
      </c>
      <c r="O24" s="562" t="str">
        <f t="shared" ref="O24:O25" si="23">N24/L24</f>
        <v>#DIV/0!</v>
      </c>
      <c r="P24" s="519">
        <v>1154300.0</v>
      </c>
      <c r="Q24" s="560">
        <f t="shared" ref="Q24:Q26" si="24">P24/$D$29</f>
        <v>0.08757469281</v>
      </c>
      <c r="R24" s="649"/>
      <c r="S24" s="562" t="str">
        <f t="shared" ref="S24:S26" si="25">R24/R$29</f>
        <v>#DIV/0!</v>
      </c>
      <c r="T24" s="649">
        <f t="shared" ref="T24:T26" si="26">P24-R24</f>
        <v>1154300</v>
      </c>
      <c r="U24" s="562" t="str">
        <f t="shared" ref="U24:U26" si="27">T24/R24</f>
        <v>#DIV/0!</v>
      </c>
      <c r="V24" s="439"/>
      <c r="W24" s="439"/>
      <c r="X24" s="439"/>
      <c r="Y24" s="439"/>
      <c r="Z24" s="439"/>
      <c r="AA24" s="439"/>
      <c r="AB24" s="439"/>
      <c r="AC24" s="439"/>
      <c r="AD24" s="439"/>
      <c r="AE24" s="439"/>
      <c r="AF24" s="439"/>
      <c r="AG24" s="439"/>
    </row>
    <row r="25" ht="15.75" customHeight="1">
      <c r="A25" s="439"/>
      <c r="B25" s="469" t="s">
        <v>22</v>
      </c>
      <c r="C25" s="465" t="s">
        <v>22</v>
      </c>
      <c r="D25" s="726">
        <v>769660.0</v>
      </c>
      <c r="E25" s="557">
        <f t="shared" si="16"/>
        <v>0.05839273851</v>
      </c>
      <c r="F25" s="649"/>
      <c r="G25" s="557" t="str">
        <f t="shared" si="17"/>
        <v>#DIV/0!</v>
      </c>
      <c r="H25" s="649">
        <f t="shared" si="18"/>
        <v>769660</v>
      </c>
      <c r="I25" s="562" t="str">
        <f t="shared" si="19"/>
        <v>#DIV/0!</v>
      </c>
      <c r="J25" s="732">
        <v>735380.0</v>
      </c>
      <c r="K25" s="560">
        <f t="shared" si="20"/>
        <v>0.05579197574</v>
      </c>
      <c r="L25" s="649"/>
      <c r="M25" s="562" t="str">
        <f t="shared" si="21"/>
        <v>#DIV/0!</v>
      </c>
      <c r="N25" s="649">
        <f t="shared" si="22"/>
        <v>735380</v>
      </c>
      <c r="O25" s="562" t="str">
        <f t="shared" si="23"/>
        <v>#DIV/0!</v>
      </c>
      <c r="P25" s="519">
        <v>825000.0</v>
      </c>
      <c r="Q25" s="560">
        <f t="shared" si="24"/>
        <v>0.06259128612</v>
      </c>
      <c r="R25" s="649"/>
      <c r="S25" s="562" t="str">
        <f t="shared" si="25"/>
        <v>#DIV/0!</v>
      </c>
      <c r="T25" s="649">
        <f t="shared" si="26"/>
        <v>825000</v>
      </c>
      <c r="U25" s="562" t="str">
        <f t="shared" si="27"/>
        <v>#DIV/0!</v>
      </c>
      <c r="V25" s="439"/>
      <c r="W25" s="439"/>
      <c r="X25" s="439"/>
      <c r="Y25" s="439"/>
      <c r="Z25" s="439"/>
      <c r="AA25" s="439"/>
      <c r="AB25" s="439"/>
      <c r="AC25" s="439"/>
      <c r="AD25" s="439"/>
      <c r="AE25" s="439"/>
      <c r="AF25" s="439"/>
      <c r="AG25" s="439"/>
    </row>
    <row r="26" ht="15.75" customHeight="1">
      <c r="A26" s="439"/>
      <c r="B26" s="469" t="s">
        <v>23</v>
      </c>
      <c r="C26" s="465" t="s">
        <v>177</v>
      </c>
      <c r="D26" s="733">
        <f>SUM(D16:D22)</f>
        <v>10508362.49</v>
      </c>
      <c r="E26" s="577">
        <f t="shared" si="16"/>
        <v>0.7972508161</v>
      </c>
      <c r="F26" s="654"/>
      <c r="G26" s="577" t="str">
        <f t="shared" si="17"/>
        <v>#DIV/0!</v>
      </c>
      <c r="H26" s="734">
        <f t="shared" si="18"/>
        <v>10508362.49</v>
      </c>
      <c r="I26" s="580" t="str">
        <f t="shared" si="19"/>
        <v>#DIV/0!</v>
      </c>
      <c r="J26" s="735">
        <f>SUM(J16:J21)</f>
        <v>10763119</v>
      </c>
      <c r="K26" s="735">
        <f t="shared" ref="K26:P26" si="28">SUM(K16:K22)</f>
        <v>1.024243217</v>
      </c>
      <c r="L26" s="735">
        <f t="shared" si="28"/>
        <v>0</v>
      </c>
      <c r="M26" s="735" t="str">
        <f t="shared" si="28"/>
        <v>#DIV/0!</v>
      </c>
      <c r="N26" s="735">
        <f t="shared" si="28"/>
        <v>6998390</v>
      </c>
      <c r="O26" s="735" t="str">
        <f t="shared" si="28"/>
        <v>#DIV/0!</v>
      </c>
      <c r="P26" s="736">
        <f t="shared" si="28"/>
        <v>12642710</v>
      </c>
      <c r="Q26" s="560">
        <f t="shared" si="24"/>
        <v>0.9591799745</v>
      </c>
      <c r="R26" s="658"/>
      <c r="S26" s="562" t="str">
        <f t="shared" si="25"/>
        <v>#DIV/0!</v>
      </c>
      <c r="T26" s="649">
        <f t="shared" si="26"/>
        <v>12642710</v>
      </c>
      <c r="U26" s="562" t="str">
        <f t="shared" si="27"/>
        <v>#DIV/0!</v>
      </c>
      <c r="V26" s="439"/>
      <c r="W26" s="439"/>
      <c r="X26" s="439"/>
      <c r="Y26" s="439"/>
      <c r="Z26" s="439"/>
      <c r="AA26" s="439"/>
      <c r="AB26" s="439"/>
      <c r="AC26" s="439"/>
      <c r="AD26" s="439"/>
      <c r="AE26" s="439"/>
      <c r="AF26" s="439"/>
      <c r="AG26" s="439"/>
    </row>
    <row r="27" ht="15.75" customHeight="1">
      <c r="A27" s="439"/>
      <c r="B27" s="465"/>
      <c r="C27" s="465"/>
      <c r="D27" s="726"/>
      <c r="E27" s="539"/>
      <c r="F27" s="539"/>
      <c r="G27" s="539"/>
      <c r="H27" s="539"/>
      <c r="I27" s="479"/>
      <c r="J27" s="726"/>
      <c r="K27" s="539"/>
      <c r="L27" s="539"/>
      <c r="M27" s="479"/>
      <c r="N27" s="539"/>
      <c r="O27" s="479"/>
      <c r="P27" s="737"/>
      <c r="Q27" s="575"/>
      <c r="R27" s="539"/>
      <c r="S27" s="479"/>
      <c r="T27" s="539"/>
      <c r="U27" s="479"/>
      <c r="V27" s="439"/>
      <c r="W27" s="439"/>
      <c r="X27" s="439"/>
      <c r="Y27" s="439"/>
      <c r="Z27" s="439"/>
      <c r="AA27" s="439"/>
      <c r="AB27" s="439"/>
      <c r="AC27" s="439"/>
      <c r="AD27" s="439"/>
      <c r="AE27" s="439"/>
      <c r="AF27" s="439"/>
      <c r="AG27" s="439"/>
    </row>
    <row r="28" ht="15.75" customHeight="1">
      <c r="A28" s="439"/>
      <c r="B28" s="483"/>
      <c r="C28" s="483" t="s">
        <v>178</v>
      </c>
      <c r="D28" s="730">
        <v>721626.0</v>
      </c>
      <c r="E28" s="564">
        <f>D28/$D$29</f>
        <v>0.05474848417</v>
      </c>
      <c r="F28" s="706"/>
      <c r="G28" s="564">
        <v>0.0716</v>
      </c>
      <c r="H28" s="544"/>
      <c r="I28" s="546"/>
      <c r="J28" s="738">
        <v>759611.0</v>
      </c>
      <c r="K28" s="564">
        <f>J28/$D$29</f>
        <v>0.05763033872</v>
      </c>
      <c r="L28" s="706"/>
      <c r="M28" s="565">
        <v>0.0716</v>
      </c>
      <c r="N28" s="544"/>
      <c r="O28" s="546"/>
      <c r="P28" s="739">
        <v>702443.0</v>
      </c>
      <c r="Q28" s="583">
        <f>P28/$D$29</f>
        <v>0.05329310399</v>
      </c>
      <c r="R28" s="706"/>
      <c r="S28" s="565">
        <v>0.0716</v>
      </c>
      <c r="T28" s="544"/>
      <c r="U28" s="546"/>
      <c r="V28" s="439"/>
      <c r="W28" s="439"/>
      <c r="X28" s="439"/>
      <c r="Y28" s="439"/>
      <c r="Z28" s="439"/>
      <c r="AA28" s="439"/>
      <c r="AB28" s="439"/>
      <c r="AC28" s="439"/>
      <c r="AD28" s="439"/>
      <c r="AE28" s="439"/>
      <c r="AF28" s="439"/>
      <c r="AG28" s="439"/>
    </row>
    <row r="29" ht="15.75" customHeight="1">
      <c r="A29" s="439"/>
      <c r="B29" s="490"/>
      <c r="C29" s="490" t="s">
        <v>179</v>
      </c>
      <c r="D29" s="740">
        <f>D22+D24+D25+D26+D28</f>
        <v>13180748.49</v>
      </c>
      <c r="E29" s="584"/>
      <c r="F29" s="645">
        <f>F24+F25+F26+F28</f>
        <v>0</v>
      </c>
      <c r="G29" s="584"/>
      <c r="H29" s="645">
        <f>H24+H25+H26+H28</f>
        <v>12459122.49</v>
      </c>
      <c r="I29" s="585"/>
      <c r="J29" s="740">
        <f>J22+J24+J25+J26+J28</f>
        <v>13491729</v>
      </c>
      <c r="K29" s="584"/>
      <c r="L29" s="645">
        <f>L24+L25+L26+L28</f>
        <v>0</v>
      </c>
      <c r="M29" s="585"/>
      <c r="N29" s="645">
        <f>N24+N25+N26+N28</f>
        <v>8950814</v>
      </c>
      <c r="O29" s="585"/>
      <c r="P29" s="668">
        <f>P22+P24+P25+P26+P28</f>
        <v>15341028</v>
      </c>
      <c r="Q29" s="586"/>
      <c r="R29" s="645">
        <f>R24+R25+R26+R28</f>
        <v>0</v>
      </c>
      <c r="S29" s="585"/>
      <c r="T29" s="645">
        <f>T24+T25+T26+T28</f>
        <v>14622010</v>
      </c>
      <c r="U29" s="585"/>
      <c r="V29" s="692"/>
      <c r="W29" s="692"/>
      <c r="X29" s="692"/>
      <c r="Y29" s="692"/>
      <c r="Z29" s="692"/>
      <c r="AA29" s="692"/>
      <c r="AB29" s="692"/>
      <c r="AC29" s="692"/>
      <c r="AD29" s="692"/>
      <c r="AE29" s="692"/>
      <c r="AF29" s="692"/>
      <c r="AG29" s="692"/>
    </row>
    <row r="30" ht="15.75" hidden="1" customHeight="1">
      <c r="A30" s="439"/>
      <c r="B30" s="461" t="s">
        <v>180</v>
      </c>
      <c r="C30" s="497"/>
      <c r="D30" s="703"/>
      <c r="E30" s="540"/>
      <c r="F30" s="540"/>
      <c r="G30" s="540"/>
      <c r="H30" s="540"/>
      <c r="I30" s="542"/>
      <c r="J30" s="703"/>
      <c r="K30" s="540"/>
      <c r="L30" s="540"/>
      <c r="M30" s="542"/>
      <c r="N30" s="540"/>
      <c r="O30" s="542"/>
      <c r="P30" s="741"/>
      <c r="Q30" s="606"/>
      <c r="R30" s="540"/>
      <c r="S30" s="542"/>
      <c r="T30" s="540"/>
      <c r="U30" s="542"/>
      <c r="V30" s="439"/>
      <c r="W30" s="439"/>
      <c r="X30" s="439"/>
      <c r="Y30" s="439"/>
      <c r="Z30" s="439"/>
      <c r="AA30" s="439"/>
      <c r="AB30" s="439"/>
      <c r="AC30" s="439"/>
      <c r="AD30" s="439"/>
      <c r="AE30" s="439"/>
      <c r="AF30" s="439"/>
      <c r="AG30" s="439"/>
    </row>
    <row r="31" ht="15.75" hidden="1" customHeight="1">
      <c r="A31" s="439"/>
      <c r="B31" s="465"/>
      <c r="C31" s="465"/>
      <c r="D31" s="704"/>
      <c r="E31" s="557"/>
      <c r="F31" s="649"/>
      <c r="G31" s="649"/>
      <c r="H31" s="649"/>
      <c r="I31" s="742"/>
      <c r="J31" s="704"/>
      <c r="K31" s="557"/>
      <c r="L31" s="649"/>
      <c r="M31" s="742"/>
      <c r="N31" s="649"/>
      <c r="O31" s="742"/>
      <c r="P31" s="737"/>
      <c r="Q31" s="560"/>
      <c r="R31" s="649"/>
      <c r="S31" s="742"/>
      <c r="T31" s="649"/>
      <c r="U31" s="742"/>
      <c r="V31" s="439"/>
      <c r="W31" s="439"/>
      <c r="X31" s="439"/>
      <c r="Y31" s="439"/>
      <c r="Z31" s="439"/>
      <c r="AA31" s="439"/>
      <c r="AB31" s="439"/>
      <c r="AC31" s="439"/>
      <c r="AD31" s="439"/>
      <c r="AE31" s="439"/>
      <c r="AF31" s="439"/>
      <c r="AG31" s="439"/>
    </row>
    <row r="32" ht="15.75" hidden="1" customHeight="1">
      <c r="A32" s="439"/>
      <c r="B32" s="465"/>
      <c r="C32" s="465"/>
      <c r="D32" s="704"/>
      <c r="E32" s="557"/>
      <c r="F32" s="649"/>
      <c r="G32" s="649"/>
      <c r="H32" s="649"/>
      <c r="I32" s="742"/>
      <c r="J32" s="704"/>
      <c r="K32" s="557"/>
      <c r="L32" s="649"/>
      <c r="M32" s="742"/>
      <c r="N32" s="649"/>
      <c r="O32" s="742"/>
      <c r="P32" s="737"/>
      <c r="Q32" s="560"/>
      <c r="R32" s="649"/>
      <c r="S32" s="742"/>
      <c r="T32" s="649"/>
      <c r="U32" s="742"/>
      <c r="V32" s="439"/>
      <c r="W32" s="439"/>
      <c r="X32" s="439"/>
      <c r="Y32" s="439"/>
      <c r="Z32" s="439"/>
      <c r="AA32" s="439"/>
      <c r="AB32" s="439"/>
      <c r="AC32" s="439"/>
      <c r="AD32" s="439"/>
      <c r="AE32" s="439"/>
      <c r="AF32" s="439"/>
      <c r="AG32" s="439"/>
    </row>
    <row r="33" ht="15.75" hidden="1" customHeight="1">
      <c r="A33" s="439"/>
      <c r="B33" s="465"/>
      <c r="C33" s="465"/>
      <c r="D33" s="704"/>
      <c r="E33" s="557"/>
      <c r="F33" s="649"/>
      <c r="G33" s="649"/>
      <c r="H33" s="649"/>
      <c r="I33" s="742"/>
      <c r="J33" s="704"/>
      <c r="K33" s="557"/>
      <c r="L33" s="649"/>
      <c r="M33" s="742"/>
      <c r="N33" s="649"/>
      <c r="O33" s="742"/>
      <c r="P33" s="737"/>
      <c r="Q33" s="560"/>
      <c r="R33" s="649"/>
      <c r="S33" s="742"/>
      <c r="T33" s="649"/>
      <c r="U33" s="742"/>
      <c r="V33" s="439"/>
      <c r="W33" s="439"/>
      <c r="X33" s="439"/>
      <c r="Y33" s="439"/>
      <c r="Z33" s="439"/>
      <c r="AA33" s="439"/>
      <c r="AB33" s="439"/>
      <c r="AC33" s="439"/>
      <c r="AD33" s="439"/>
      <c r="AE33" s="439"/>
      <c r="AF33" s="439"/>
      <c r="AG33" s="439"/>
    </row>
    <row r="34" ht="15.75" hidden="1" customHeight="1">
      <c r="A34" s="439"/>
      <c r="B34" s="465"/>
      <c r="C34" s="465"/>
      <c r="D34" s="704"/>
      <c r="E34" s="557"/>
      <c r="F34" s="649"/>
      <c r="G34" s="649"/>
      <c r="H34" s="649"/>
      <c r="I34" s="742"/>
      <c r="J34" s="704"/>
      <c r="K34" s="557"/>
      <c r="L34" s="649"/>
      <c r="M34" s="742"/>
      <c r="N34" s="649"/>
      <c r="O34" s="742"/>
      <c r="P34" s="737"/>
      <c r="Q34" s="560"/>
      <c r="R34" s="649"/>
      <c r="S34" s="742"/>
      <c r="T34" s="649"/>
      <c r="U34" s="742"/>
      <c r="V34" s="439"/>
      <c r="W34" s="439"/>
      <c r="X34" s="439"/>
      <c r="Y34" s="439"/>
      <c r="Z34" s="439"/>
      <c r="AA34" s="439"/>
      <c r="AB34" s="439"/>
      <c r="AC34" s="439"/>
      <c r="AD34" s="439"/>
      <c r="AE34" s="439"/>
      <c r="AF34" s="439"/>
      <c r="AG34" s="439"/>
    </row>
    <row r="35" ht="15.75" hidden="1" customHeight="1">
      <c r="A35" s="439"/>
      <c r="B35" s="465"/>
      <c r="C35" s="465"/>
      <c r="D35" s="704"/>
      <c r="E35" s="557"/>
      <c r="F35" s="649"/>
      <c r="G35" s="649"/>
      <c r="H35" s="649"/>
      <c r="I35" s="742"/>
      <c r="J35" s="704"/>
      <c r="K35" s="557"/>
      <c r="L35" s="649"/>
      <c r="M35" s="742"/>
      <c r="N35" s="649"/>
      <c r="O35" s="742"/>
      <c r="P35" s="737"/>
      <c r="Q35" s="560"/>
      <c r="R35" s="649"/>
      <c r="S35" s="742"/>
      <c r="T35" s="649"/>
      <c r="U35" s="742"/>
      <c r="V35" s="439"/>
      <c r="W35" s="439"/>
      <c r="X35" s="439"/>
      <c r="Y35" s="439"/>
      <c r="Z35" s="439"/>
      <c r="AA35" s="439"/>
      <c r="AB35" s="439"/>
      <c r="AC35" s="439"/>
      <c r="AD35" s="439"/>
      <c r="AE35" s="439"/>
      <c r="AF35" s="439"/>
      <c r="AG35" s="439"/>
    </row>
    <row r="36" ht="15.75" hidden="1" customHeight="1">
      <c r="A36" s="439"/>
      <c r="B36" s="465"/>
      <c r="C36" s="465"/>
      <c r="D36" s="704"/>
      <c r="E36" s="557"/>
      <c r="F36" s="649"/>
      <c r="G36" s="649"/>
      <c r="H36" s="649"/>
      <c r="I36" s="742"/>
      <c r="J36" s="704"/>
      <c r="K36" s="557"/>
      <c r="L36" s="649"/>
      <c r="M36" s="742"/>
      <c r="N36" s="649"/>
      <c r="O36" s="742"/>
      <c r="P36" s="737"/>
      <c r="Q36" s="560"/>
      <c r="R36" s="649"/>
      <c r="S36" s="742"/>
      <c r="T36" s="649"/>
      <c r="U36" s="742"/>
      <c r="V36" s="439"/>
      <c r="W36" s="439"/>
      <c r="X36" s="439"/>
      <c r="Y36" s="439"/>
      <c r="Z36" s="439"/>
      <c r="AA36" s="439"/>
      <c r="AB36" s="439"/>
      <c r="AC36" s="439"/>
      <c r="AD36" s="439"/>
      <c r="AE36" s="439"/>
      <c r="AF36" s="439"/>
      <c r="AG36" s="439"/>
    </row>
    <row r="37" ht="15.75" hidden="1" customHeight="1">
      <c r="A37" s="439"/>
      <c r="B37" s="465"/>
      <c r="C37" s="465"/>
      <c r="D37" s="704"/>
      <c r="E37" s="557"/>
      <c r="F37" s="649"/>
      <c r="G37" s="649"/>
      <c r="H37" s="649"/>
      <c r="I37" s="742"/>
      <c r="J37" s="704"/>
      <c r="K37" s="557"/>
      <c r="L37" s="649"/>
      <c r="M37" s="742"/>
      <c r="N37" s="649"/>
      <c r="O37" s="742"/>
      <c r="P37" s="737"/>
      <c r="Q37" s="560"/>
      <c r="R37" s="649"/>
      <c r="S37" s="742"/>
      <c r="T37" s="649"/>
      <c r="U37" s="742"/>
      <c r="V37" s="692"/>
      <c r="W37" s="692"/>
      <c r="X37" s="692"/>
      <c r="Y37" s="692"/>
      <c r="Z37" s="692"/>
      <c r="AA37" s="692"/>
      <c r="AB37" s="692"/>
      <c r="AC37" s="692"/>
      <c r="AD37" s="692"/>
      <c r="AE37" s="692"/>
      <c r="AF37" s="692"/>
      <c r="AG37" s="692"/>
    </row>
    <row r="38" ht="15.75" customHeight="1">
      <c r="A38" s="439"/>
      <c r="B38" s="469"/>
      <c r="C38" s="469"/>
      <c r="D38" s="704"/>
      <c r="E38" s="539"/>
      <c r="F38" s="539"/>
      <c r="G38" s="539"/>
      <c r="H38" s="539"/>
      <c r="I38" s="479"/>
      <c r="J38" s="704"/>
      <c r="K38" s="539"/>
      <c r="L38" s="539"/>
      <c r="M38" s="479"/>
      <c r="N38" s="539"/>
      <c r="O38" s="479"/>
      <c r="P38" s="737"/>
      <c r="Q38" s="575"/>
      <c r="R38" s="539"/>
      <c r="S38" s="479"/>
      <c r="T38" s="539"/>
      <c r="U38" s="479"/>
      <c r="V38" s="439"/>
      <c r="W38" s="439"/>
      <c r="X38" s="439"/>
      <c r="Y38" s="439"/>
      <c r="Z38" s="439"/>
      <c r="AA38" s="439"/>
      <c r="AB38" s="439"/>
      <c r="AC38" s="439"/>
      <c r="AD38" s="439"/>
      <c r="AE38" s="439"/>
      <c r="AF38" s="439"/>
      <c r="AG38" s="439"/>
    </row>
    <row r="39" ht="15.75" customHeight="1">
      <c r="A39" s="439"/>
      <c r="B39" s="481" t="s">
        <v>183</v>
      </c>
      <c r="C39" s="465"/>
      <c r="D39" s="704"/>
      <c r="E39" s="539"/>
      <c r="F39" s="539"/>
      <c r="G39" s="539"/>
      <c r="H39" s="539"/>
      <c r="I39" s="479"/>
      <c r="J39" s="704"/>
      <c r="K39" s="539"/>
      <c r="L39" s="539"/>
      <c r="M39" s="479"/>
      <c r="N39" s="539"/>
      <c r="O39" s="479"/>
      <c r="P39" s="737"/>
      <c r="Q39" s="575"/>
      <c r="R39" s="539"/>
      <c r="S39" s="479"/>
      <c r="T39" s="539"/>
      <c r="U39" s="479"/>
      <c r="V39" s="439"/>
      <c r="W39" s="439"/>
      <c r="X39" s="439"/>
      <c r="Y39" s="439"/>
      <c r="Z39" s="439"/>
      <c r="AA39" s="439"/>
      <c r="AB39" s="439"/>
      <c r="AC39" s="439"/>
      <c r="AD39" s="439"/>
      <c r="AE39" s="439"/>
      <c r="AF39" s="439"/>
      <c r="AG39" s="439"/>
    </row>
    <row r="40" ht="15.75" customHeight="1">
      <c r="A40" s="439"/>
      <c r="B40" s="469" t="s">
        <v>28</v>
      </c>
      <c r="C40" s="465"/>
      <c r="D40" s="704"/>
      <c r="E40" s="539"/>
      <c r="F40" s="539"/>
      <c r="G40" s="539"/>
      <c r="H40" s="539"/>
      <c r="I40" s="479"/>
      <c r="J40" s="704"/>
      <c r="K40" s="539"/>
      <c r="L40" s="539"/>
      <c r="M40" s="479"/>
      <c r="N40" s="539"/>
      <c r="O40" s="479"/>
      <c r="P40" s="737"/>
      <c r="Q40" s="575"/>
      <c r="R40" s="539"/>
      <c r="S40" s="479"/>
      <c r="T40" s="539"/>
      <c r="U40" s="479"/>
      <c r="V40" s="439"/>
      <c r="W40" s="439"/>
      <c r="X40" s="439"/>
      <c r="Y40" s="439"/>
      <c r="Z40" s="439"/>
      <c r="AA40" s="439"/>
      <c r="AB40" s="439"/>
      <c r="AC40" s="439"/>
      <c r="AD40" s="439"/>
      <c r="AE40" s="439"/>
      <c r="AF40" s="439"/>
      <c r="AG40" s="439"/>
    </row>
    <row r="41" ht="15.75" customHeight="1">
      <c r="A41" s="439"/>
      <c r="B41" s="465"/>
      <c r="C41" s="743" t="s">
        <v>184</v>
      </c>
      <c r="D41" s="704"/>
      <c r="E41" s="539"/>
      <c r="F41" s="539"/>
      <c r="G41" s="539"/>
      <c r="H41" s="539"/>
      <c r="I41" s="479"/>
      <c r="J41" s="704"/>
      <c r="K41" s="539"/>
      <c r="L41" s="539"/>
      <c r="M41" s="479"/>
      <c r="N41" s="539"/>
      <c r="O41" s="479"/>
      <c r="P41" s="737"/>
      <c r="Q41" s="575"/>
      <c r="R41" s="539"/>
      <c r="S41" s="479"/>
      <c r="T41" s="539"/>
      <c r="U41" s="479"/>
      <c r="V41" s="439"/>
      <c r="W41" s="439"/>
      <c r="X41" s="439"/>
      <c r="Y41" s="439"/>
      <c r="Z41" s="439"/>
      <c r="AA41" s="439"/>
      <c r="AB41" s="439"/>
      <c r="AC41" s="439"/>
      <c r="AD41" s="439"/>
      <c r="AE41" s="439"/>
      <c r="AF41" s="439"/>
      <c r="AG41" s="439"/>
    </row>
    <row r="42" ht="15.75" customHeight="1">
      <c r="A42" s="439"/>
      <c r="B42" s="465"/>
      <c r="C42" s="465" t="s">
        <v>185</v>
      </c>
      <c r="D42" s="704">
        <f>'MSBC CK Allocation'!B32</f>
        <v>701451.8389</v>
      </c>
      <c r="E42" s="557"/>
      <c r="F42" s="649"/>
      <c r="G42" s="557"/>
      <c r="H42" s="649">
        <f t="shared" ref="H42:H46" si="29">D42-F42</f>
        <v>701451.8389</v>
      </c>
      <c r="I42" s="562" t="str">
        <f t="shared" ref="I42:I46" si="30">H42/F42</f>
        <v>#DIV/0!</v>
      </c>
      <c r="J42" s="704">
        <f>'MSBC CK Allocation'!C32</f>
        <v>844670.8018</v>
      </c>
      <c r="K42" s="557"/>
      <c r="L42" s="649"/>
      <c r="M42" s="562"/>
      <c r="N42" s="649">
        <f t="shared" ref="N42:N46" si="31">J42-L42</f>
        <v>844670.8018</v>
      </c>
      <c r="O42" s="562" t="str">
        <f t="shared" ref="O42:O46" si="32">N42/L42</f>
        <v>#DIV/0!</v>
      </c>
      <c r="P42" s="737">
        <f>'MSBC CK Allocation'!D32</f>
        <v>807638.6363</v>
      </c>
      <c r="Q42" s="560"/>
      <c r="R42" s="649"/>
      <c r="S42" s="562"/>
      <c r="T42" s="649">
        <f t="shared" ref="T42:T46" si="33">P42-R42</f>
        <v>807638.6363</v>
      </c>
      <c r="U42" s="562" t="str">
        <f t="shared" ref="U42:U46" si="34">T42/R42</f>
        <v>#DIV/0!</v>
      </c>
      <c r="V42" s="439"/>
      <c r="W42" s="439"/>
      <c r="X42" s="439"/>
      <c r="Y42" s="439"/>
      <c r="Z42" s="439"/>
      <c r="AA42" s="439"/>
      <c r="AB42" s="439"/>
      <c r="AC42" s="439"/>
      <c r="AD42" s="439"/>
      <c r="AE42" s="439"/>
      <c r="AF42" s="439"/>
      <c r="AG42" s="439"/>
    </row>
    <row r="43" ht="15.75" customHeight="1">
      <c r="A43" s="439"/>
      <c r="B43" s="465"/>
      <c r="C43" s="465" t="s">
        <v>186</v>
      </c>
      <c r="D43" s="704">
        <v>3451726.3724086797</v>
      </c>
      <c r="E43" s="557"/>
      <c r="F43" s="649"/>
      <c r="G43" s="557"/>
      <c r="H43" s="649">
        <f t="shared" si="29"/>
        <v>3451726.372</v>
      </c>
      <c r="I43" s="562" t="str">
        <f t="shared" si="30"/>
        <v>#DIV/0!</v>
      </c>
      <c r="J43" s="704">
        <f>3192420.45+299409.28</f>
        <v>3491829.73</v>
      </c>
      <c r="K43" s="557"/>
      <c r="L43" s="649"/>
      <c r="M43" s="562"/>
      <c r="N43" s="649">
        <f t="shared" si="31"/>
        <v>3491829.73</v>
      </c>
      <c r="O43" s="562" t="str">
        <f t="shared" si="32"/>
        <v>#DIV/0!</v>
      </c>
      <c r="P43" s="737">
        <v>3429795.0</v>
      </c>
      <c r="Q43" s="560"/>
      <c r="R43" s="649"/>
      <c r="S43" s="562"/>
      <c r="T43" s="649">
        <f t="shared" si="33"/>
        <v>3429795</v>
      </c>
      <c r="U43" s="562" t="str">
        <f t="shared" si="34"/>
        <v>#DIV/0!</v>
      </c>
      <c r="V43" s="439"/>
      <c r="W43" s="439"/>
      <c r="X43" s="439"/>
      <c r="Y43" s="439"/>
      <c r="Z43" s="439"/>
      <c r="AA43" s="439"/>
      <c r="AB43" s="439"/>
      <c r="AC43" s="439"/>
      <c r="AD43" s="439"/>
      <c r="AE43" s="439"/>
      <c r="AF43" s="439"/>
      <c r="AG43" s="439"/>
    </row>
    <row r="44" ht="15.75" customHeight="1">
      <c r="A44" s="439"/>
      <c r="B44" s="465"/>
      <c r="C44" s="465" t="s">
        <v>21</v>
      </c>
      <c r="D44" s="704">
        <v>257826.77068050829</v>
      </c>
      <c r="E44" s="557"/>
      <c r="F44" s="649"/>
      <c r="G44" s="557"/>
      <c r="H44" s="649">
        <f t="shared" si="29"/>
        <v>257826.7707</v>
      </c>
      <c r="I44" s="562" t="str">
        <f t="shared" si="30"/>
        <v>#DIV/0!</v>
      </c>
      <c r="J44" s="704">
        <f>214997.73+87626.53</f>
        <v>302624.26</v>
      </c>
      <c r="K44" s="557"/>
      <c r="L44" s="649"/>
      <c r="M44" s="562"/>
      <c r="N44" s="649">
        <f t="shared" si="31"/>
        <v>302624.26</v>
      </c>
      <c r="O44" s="562" t="str">
        <f t="shared" si="32"/>
        <v>#DIV/0!</v>
      </c>
      <c r="P44" s="737">
        <v>281678.0</v>
      </c>
      <c r="Q44" s="560"/>
      <c r="R44" s="649"/>
      <c r="S44" s="562"/>
      <c r="T44" s="649">
        <f t="shared" si="33"/>
        <v>281678</v>
      </c>
      <c r="U44" s="562" t="str">
        <f t="shared" si="34"/>
        <v>#DIV/0!</v>
      </c>
      <c r="V44" s="439"/>
      <c r="W44" s="439"/>
      <c r="X44" s="439"/>
      <c r="Y44" s="439"/>
      <c r="Z44" s="439"/>
      <c r="AA44" s="439"/>
      <c r="AB44" s="439"/>
      <c r="AC44" s="439"/>
      <c r="AD44" s="439"/>
      <c r="AE44" s="439"/>
      <c r="AF44" s="439"/>
      <c r="AG44" s="439"/>
    </row>
    <row r="45" ht="15.75" customHeight="1">
      <c r="A45" s="439"/>
      <c r="B45" s="465"/>
      <c r="C45" s="465" t="s">
        <v>22</v>
      </c>
      <c r="D45" s="704">
        <v>298275.25000000047</v>
      </c>
      <c r="E45" s="557"/>
      <c r="F45" s="649"/>
      <c r="G45" s="557"/>
      <c r="H45" s="649">
        <f t="shared" si="29"/>
        <v>298275.25</v>
      </c>
      <c r="I45" s="562" t="str">
        <f t="shared" si="30"/>
        <v>#DIV/0!</v>
      </c>
      <c r="J45" s="704">
        <v>245519.05</v>
      </c>
      <c r="K45" s="557"/>
      <c r="L45" s="649"/>
      <c r="M45" s="562"/>
      <c r="N45" s="649">
        <f t="shared" si="31"/>
        <v>245519.05</v>
      </c>
      <c r="O45" s="562" t="str">
        <f t="shared" si="32"/>
        <v>#DIV/0!</v>
      </c>
      <c r="P45" s="737">
        <v>219987.0</v>
      </c>
      <c r="Q45" s="560"/>
      <c r="R45" s="649"/>
      <c r="S45" s="562"/>
      <c r="T45" s="649">
        <f t="shared" si="33"/>
        <v>219987</v>
      </c>
      <c r="U45" s="562" t="str">
        <f t="shared" si="34"/>
        <v>#DIV/0!</v>
      </c>
      <c r="V45" s="439"/>
      <c r="W45" s="439"/>
      <c r="X45" s="439"/>
      <c r="Y45" s="439"/>
      <c r="Z45" s="439"/>
      <c r="AA45" s="439"/>
      <c r="AB45" s="439"/>
      <c r="AC45" s="439"/>
      <c r="AD45" s="439"/>
      <c r="AE45" s="439"/>
      <c r="AF45" s="439"/>
      <c r="AG45" s="439"/>
    </row>
    <row r="46" ht="15.75" customHeight="1">
      <c r="A46" s="439"/>
      <c r="B46" s="483"/>
      <c r="C46" s="483" t="s">
        <v>297</v>
      </c>
      <c r="D46" s="705">
        <f>'Calculation Sheet for GST on Pu'!C23</f>
        <v>168355.5865</v>
      </c>
      <c r="E46" s="564"/>
      <c r="F46" s="706"/>
      <c r="G46" s="564"/>
      <c r="H46" s="706">
        <f t="shared" si="29"/>
        <v>168355.5865</v>
      </c>
      <c r="I46" s="565" t="str">
        <f t="shared" si="30"/>
        <v>#DIV/0!</v>
      </c>
      <c r="J46" s="705">
        <f>'Calculation Sheet for GST on Pu'!D23</f>
        <v>166476.5909</v>
      </c>
      <c r="K46" s="557"/>
      <c r="L46" s="649"/>
      <c r="M46" s="562"/>
      <c r="N46" s="706">
        <f t="shared" si="31"/>
        <v>166476.5909</v>
      </c>
      <c r="O46" s="565" t="str">
        <f t="shared" si="32"/>
        <v>#DIV/0!</v>
      </c>
      <c r="P46" s="728">
        <f>'Calculation Sheet for GST on Pu'!E23</f>
        <v>198642.8546</v>
      </c>
      <c r="Q46" s="560"/>
      <c r="R46" s="649"/>
      <c r="S46" s="562"/>
      <c r="T46" s="706">
        <f t="shared" si="33"/>
        <v>198642.8546</v>
      </c>
      <c r="U46" s="565" t="str">
        <f t="shared" si="34"/>
        <v>#DIV/0!</v>
      </c>
      <c r="V46" s="439"/>
      <c r="W46" s="439"/>
      <c r="X46" s="439"/>
      <c r="Y46" s="439"/>
      <c r="Z46" s="439"/>
      <c r="AA46" s="439"/>
      <c r="AB46" s="439"/>
      <c r="AC46" s="439"/>
      <c r="AD46" s="439"/>
      <c r="AE46" s="439"/>
      <c r="AF46" s="439"/>
      <c r="AG46" s="439"/>
    </row>
    <row r="47" ht="15.75" customHeight="1">
      <c r="A47" s="439"/>
      <c r="B47" s="490"/>
      <c r="C47" s="490" t="s">
        <v>188</v>
      </c>
      <c r="D47" s="668">
        <f>SUM(D42:D46)</f>
        <v>4877635.818</v>
      </c>
      <c r="E47" s="613"/>
      <c r="F47" s="668"/>
      <c r="G47" s="613"/>
      <c r="H47" s="668">
        <f>SUM(H42:H46)</f>
        <v>4877635.818</v>
      </c>
      <c r="I47" s="613"/>
      <c r="J47" s="668">
        <f>SUM(J42:J46)</f>
        <v>5051120.433</v>
      </c>
      <c r="K47" s="560"/>
      <c r="L47" s="649"/>
      <c r="M47" s="562"/>
      <c r="N47" s="668">
        <f>SUM(N42:N46)</f>
        <v>5051120.433</v>
      </c>
      <c r="O47" s="613"/>
      <c r="P47" s="668">
        <f>SUM(P42:P46)</f>
        <v>4937741.491</v>
      </c>
      <c r="Q47" s="560"/>
      <c r="R47" s="649"/>
      <c r="S47" s="562"/>
      <c r="T47" s="668">
        <f>SUM(T42:T46)</f>
        <v>4937741.491</v>
      </c>
      <c r="U47" s="613"/>
      <c r="V47" s="692"/>
      <c r="W47" s="692"/>
      <c r="X47" s="692"/>
      <c r="Y47" s="692"/>
      <c r="Z47" s="692"/>
      <c r="AA47" s="692"/>
      <c r="AB47" s="692"/>
      <c r="AC47" s="692"/>
      <c r="AD47" s="692"/>
      <c r="AE47" s="692"/>
      <c r="AF47" s="692"/>
      <c r="AG47" s="692"/>
    </row>
    <row r="48" ht="15.75" customHeight="1">
      <c r="A48" s="439"/>
      <c r="B48" s="526"/>
      <c r="C48" s="526" t="s">
        <v>189</v>
      </c>
      <c r="D48" s="454">
        <v>187031.4</v>
      </c>
      <c r="E48" s="589"/>
      <c r="F48" s="744"/>
      <c r="G48" s="589"/>
      <c r="H48" s="744">
        <f>D48-F48</f>
        <v>187031.4</v>
      </c>
      <c r="I48" s="591" t="str">
        <f>H48/F48</f>
        <v>#DIV/0!</v>
      </c>
      <c r="J48" s="454">
        <v>179370.0</v>
      </c>
      <c r="K48" s="564"/>
      <c r="L48" s="706"/>
      <c r="M48" s="565"/>
      <c r="N48" s="744">
        <f>J48-L48</f>
        <v>179370</v>
      </c>
      <c r="O48" s="591" t="str">
        <f>N48/L48</f>
        <v>#DIV/0!</v>
      </c>
      <c r="P48" s="745">
        <v>230269.0</v>
      </c>
      <c r="Q48" s="583"/>
      <c r="R48" s="706"/>
      <c r="S48" s="565"/>
      <c r="T48" s="744">
        <f>P48-R48</f>
        <v>230269</v>
      </c>
      <c r="U48" s="591" t="str">
        <f>T48/R48</f>
        <v>#DIV/0!</v>
      </c>
      <c r="V48" s="439"/>
      <c r="W48" s="439"/>
      <c r="X48" s="439"/>
      <c r="Y48" s="439"/>
      <c r="Z48" s="439"/>
      <c r="AA48" s="439"/>
      <c r="AB48" s="439"/>
      <c r="AC48" s="439"/>
      <c r="AD48" s="439"/>
      <c r="AE48" s="439"/>
      <c r="AF48" s="439"/>
      <c r="AG48" s="439"/>
    </row>
    <row r="49" ht="15.75" customHeight="1">
      <c r="A49" s="439"/>
      <c r="B49" s="490"/>
      <c r="C49" s="490" t="s">
        <v>190</v>
      </c>
      <c r="D49" s="740">
        <f>D47+D48</f>
        <v>5064667.218</v>
      </c>
      <c r="E49" s="547">
        <f>D49/D$29</f>
        <v>0.3842473151</v>
      </c>
      <c r="F49" s="645">
        <f>F47+F48</f>
        <v>0</v>
      </c>
      <c r="G49" s="547" t="str">
        <f>F49/F$29</f>
        <v>#DIV/0!</v>
      </c>
      <c r="H49" s="645">
        <f>H47+H48</f>
        <v>5064667.218</v>
      </c>
      <c r="I49" s="549"/>
      <c r="J49" s="740">
        <f>J47+J48</f>
        <v>5230490.433</v>
      </c>
      <c r="K49" s="547">
        <f>J49/J$29</f>
        <v>0.3876812551</v>
      </c>
      <c r="L49" s="645">
        <f>L47+L48</f>
        <v>0</v>
      </c>
      <c r="M49" s="549" t="str">
        <f>L49/L$29</f>
        <v>#DIV/0!</v>
      </c>
      <c r="N49" s="645">
        <f>N47+N48</f>
        <v>5230490.433</v>
      </c>
      <c r="O49" s="549"/>
      <c r="P49" s="668">
        <f>P47+P48</f>
        <v>5168010.491</v>
      </c>
      <c r="Q49" s="551">
        <f>P49/P$29</f>
        <v>0.3368751097</v>
      </c>
      <c r="R49" s="645">
        <f>R47+R48</f>
        <v>0</v>
      </c>
      <c r="S49" s="549" t="str">
        <f>R49/R$29</f>
        <v>#DIV/0!</v>
      </c>
      <c r="T49" s="645">
        <f>T47+T48</f>
        <v>5168010.491</v>
      </c>
      <c r="U49" s="549"/>
      <c r="V49" s="692"/>
      <c r="W49" s="692"/>
      <c r="X49" s="692"/>
      <c r="Y49" s="692"/>
      <c r="Z49" s="692"/>
      <c r="AA49" s="692"/>
      <c r="AB49" s="692"/>
      <c r="AC49" s="692"/>
      <c r="AD49" s="692"/>
      <c r="AE49" s="692"/>
      <c r="AF49" s="692"/>
      <c r="AG49" s="692"/>
    </row>
    <row r="50" ht="15.75" customHeight="1">
      <c r="A50" s="439"/>
      <c r="B50" s="483"/>
      <c r="C50" s="483"/>
      <c r="D50" s="705"/>
      <c r="E50" s="544"/>
      <c r="F50" s="544"/>
      <c r="G50" s="544"/>
      <c r="H50" s="539"/>
      <c r="I50" s="479"/>
      <c r="J50" s="705"/>
      <c r="K50" s="544"/>
      <c r="L50" s="544"/>
      <c r="M50" s="546"/>
      <c r="N50" s="539"/>
      <c r="O50" s="479"/>
      <c r="P50" s="731"/>
      <c r="Q50" s="609"/>
      <c r="R50" s="544"/>
      <c r="S50" s="546"/>
      <c r="T50" s="539"/>
      <c r="U50" s="479"/>
      <c r="V50" s="439"/>
      <c r="W50" s="439"/>
      <c r="X50" s="439"/>
      <c r="Y50" s="439"/>
      <c r="Z50" s="439"/>
      <c r="AA50" s="439"/>
      <c r="AB50" s="439"/>
      <c r="AC50" s="439"/>
      <c r="AD50" s="439"/>
      <c r="AE50" s="439"/>
      <c r="AF50" s="439"/>
      <c r="AG50" s="439"/>
    </row>
    <row r="51" ht="15.75" customHeight="1">
      <c r="A51" s="439"/>
      <c r="B51" s="661" t="s">
        <v>32</v>
      </c>
      <c r="C51" s="490" t="s">
        <v>32</v>
      </c>
      <c r="D51" s="740">
        <f>D29-D49</f>
        <v>8116081.272</v>
      </c>
      <c r="E51" s="547">
        <f>D51/D$29</f>
        <v>0.6157526849</v>
      </c>
      <c r="F51" s="645" t="str">
        <f>F29-F49-#REF!</f>
        <v>#REF!</v>
      </c>
      <c r="G51" s="549" t="str">
        <f>F51/F$29</f>
        <v>#REF!</v>
      </c>
      <c r="H51" s="746" t="str">
        <f>H29-H49-#REF!</f>
        <v>#REF!</v>
      </c>
      <c r="I51" s="580" t="str">
        <f>H51/H$29</f>
        <v>#REF!</v>
      </c>
      <c r="J51" s="740">
        <f>J29-J49</f>
        <v>8261238.567</v>
      </c>
      <c r="K51" s="547">
        <f>J51/J$29</f>
        <v>0.6123187449</v>
      </c>
      <c r="L51" s="645" t="str">
        <f>L29-L49-#REF!</f>
        <v>#REF!</v>
      </c>
      <c r="M51" s="549" t="str">
        <f>L51/L$29</f>
        <v>#REF!</v>
      </c>
      <c r="N51" s="746" t="str">
        <f>N29-N49-#REF!</f>
        <v>#REF!</v>
      </c>
      <c r="O51" s="580" t="str">
        <f>N51/N$29</f>
        <v>#REF!</v>
      </c>
      <c r="P51" s="668">
        <f>P29-P49</f>
        <v>10173017.51</v>
      </c>
      <c r="Q51" s="551">
        <f>P51/P$29</f>
        <v>0.6631248903</v>
      </c>
      <c r="R51" s="645" t="str">
        <f>R29-R49-#REF!</f>
        <v>#REF!</v>
      </c>
      <c r="S51" s="549" t="str">
        <f>R51/R$29</f>
        <v>#REF!</v>
      </c>
      <c r="T51" s="746" t="str">
        <f>T29-T49-#REF!</f>
        <v>#REF!</v>
      </c>
      <c r="U51" s="580" t="str">
        <f>T51/T$29</f>
        <v>#REF!</v>
      </c>
      <c r="V51" s="439"/>
      <c r="W51" s="439"/>
      <c r="X51" s="439"/>
      <c r="Y51" s="439"/>
      <c r="Z51" s="439"/>
      <c r="AA51" s="439"/>
      <c r="AB51" s="439"/>
      <c r="AC51" s="439"/>
      <c r="AD51" s="439"/>
      <c r="AE51" s="439"/>
      <c r="AF51" s="439"/>
      <c r="AG51" s="439"/>
    </row>
    <row r="52" ht="15.75" customHeight="1">
      <c r="A52" s="439"/>
      <c r="B52" s="497"/>
      <c r="C52" s="497"/>
      <c r="D52" s="703"/>
      <c r="E52" s="540"/>
      <c r="F52" s="540"/>
      <c r="G52" s="540"/>
      <c r="H52" s="539"/>
      <c r="I52" s="479"/>
      <c r="J52" s="703"/>
      <c r="K52" s="540"/>
      <c r="L52" s="540"/>
      <c r="M52" s="542"/>
      <c r="N52" s="539"/>
      <c r="O52" s="479"/>
      <c r="P52" s="741"/>
      <c r="Q52" s="606"/>
      <c r="R52" s="540"/>
      <c r="S52" s="542"/>
      <c r="T52" s="539"/>
      <c r="U52" s="479"/>
      <c r="V52" s="439"/>
      <c r="W52" s="439"/>
      <c r="X52" s="439"/>
      <c r="Y52" s="439"/>
      <c r="Z52" s="439"/>
      <c r="AA52" s="439"/>
      <c r="AB52" s="439"/>
      <c r="AC52" s="439"/>
      <c r="AD52" s="439"/>
      <c r="AE52" s="439"/>
      <c r="AF52" s="439"/>
      <c r="AG52" s="439"/>
    </row>
    <row r="53" ht="15.75" customHeight="1">
      <c r="A53" s="439"/>
      <c r="B53" s="465"/>
      <c r="C53" s="663" t="s">
        <v>191</v>
      </c>
      <c r="D53" s="704"/>
      <c r="E53" s="539"/>
      <c r="F53" s="539"/>
      <c r="G53" s="539"/>
      <c r="H53" s="539"/>
      <c r="I53" s="479"/>
      <c r="J53" s="704"/>
      <c r="K53" s="539"/>
      <c r="L53" s="539"/>
      <c r="M53" s="479"/>
      <c r="N53" s="539"/>
      <c r="O53" s="479"/>
      <c r="P53" s="737"/>
      <c r="Q53" s="575"/>
      <c r="R53" s="539"/>
      <c r="S53" s="479"/>
      <c r="T53" s="539"/>
      <c r="U53" s="479"/>
      <c r="V53" s="439"/>
      <c r="W53" s="439"/>
      <c r="X53" s="439"/>
      <c r="Y53" s="439"/>
      <c r="Z53" s="439"/>
      <c r="AA53" s="439"/>
      <c r="AB53" s="439"/>
      <c r="AC53" s="439"/>
      <c r="AD53" s="439"/>
      <c r="AE53" s="439"/>
      <c r="AF53" s="439"/>
      <c r="AG53" s="439"/>
    </row>
    <row r="54" ht="15.75" customHeight="1">
      <c r="A54" s="439"/>
      <c r="B54" s="465"/>
      <c r="C54" s="465" t="s">
        <v>192</v>
      </c>
      <c r="D54" s="704">
        <v>63541.0</v>
      </c>
      <c r="E54" s="557">
        <f t="shared" ref="E54:E60" si="35">D54/D$29</f>
        <v>0.004820742923</v>
      </c>
      <c r="F54" s="649"/>
      <c r="G54" s="557">
        <v>0.0045</v>
      </c>
      <c r="H54" s="539"/>
      <c r="I54" s="479"/>
      <c r="J54" s="704">
        <v>81331.0</v>
      </c>
      <c r="K54" s="557">
        <f t="shared" ref="K54:K60" si="36">J54/J$29</f>
        <v>0.006028211803</v>
      </c>
      <c r="L54" s="649"/>
      <c r="M54" s="562">
        <v>0.0045</v>
      </c>
      <c r="N54" s="539"/>
      <c r="O54" s="479"/>
      <c r="P54" s="747">
        <v>70916.0</v>
      </c>
      <c r="Q54" s="560">
        <f t="shared" ref="Q54:Q60" si="37">P54/P$29</f>
        <v>0.004622636762</v>
      </c>
      <c r="R54" s="649"/>
      <c r="S54" s="562">
        <v>0.0045</v>
      </c>
      <c r="T54" s="539"/>
      <c r="U54" s="479"/>
      <c r="V54" s="439"/>
      <c r="W54" s="439"/>
      <c r="X54" s="439"/>
      <c r="Y54" s="439"/>
      <c r="Z54" s="439"/>
      <c r="AA54" s="439"/>
      <c r="AB54" s="439"/>
      <c r="AC54" s="439"/>
      <c r="AD54" s="439"/>
      <c r="AE54" s="439"/>
      <c r="AF54" s="439"/>
      <c r="AG54" s="439"/>
    </row>
    <row r="55" ht="15.75" customHeight="1">
      <c r="A55" s="439"/>
      <c r="B55" s="465"/>
      <c r="C55" s="465" t="s">
        <v>193</v>
      </c>
      <c r="D55" s="704">
        <v>78715.88</v>
      </c>
      <c r="E55" s="557">
        <f t="shared" si="35"/>
        <v>0.005972034142</v>
      </c>
      <c r="F55" s="649"/>
      <c r="G55" s="557">
        <v>0.0098</v>
      </c>
      <c r="H55" s="539"/>
      <c r="I55" s="479"/>
      <c r="J55" s="704">
        <v>174176.0</v>
      </c>
      <c r="K55" s="557">
        <f t="shared" si="36"/>
        <v>0.01290983535</v>
      </c>
      <c r="L55" s="649"/>
      <c r="M55" s="562">
        <v>0.0098</v>
      </c>
      <c r="N55" s="539"/>
      <c r="O55" s="479"/>
      <c r="P55" s="747">
        <v>213496.0</v>
      </c>
      <c r="Q55" s="560">
        <f t="shared" si="37"/>
        <v>0.01391666843</v>
      </c>
      <c r="R55" s="649"/>
      <c r="S55" s="562">
        <v>0.0098</v>
      </c>
      <c r="T55" s="539"/>
      <c r="U55" s="479"/>
      <c r="V55" s="439"/>
      <c r="W55" s="439"/>
      <c r="X55" s="439"/>
      <c r="Y55" s="439"/>
      <c r="Z55" s="439"/>
      <c r="AA55" s="439"/>
      <c r="AB55" s="439"/>
      <c r="AC55" s="439"/>
      <c r="AD55" s="439"/>
      <c r="AE55" s="439"/>
      <c r="AF55" s="439"/>
      <c r="AG55" s="439"/>
    </row>
    <row r="56" ht="15.75" customHeight="1">
      <c r="A56" s="439"/>
      <c r="B56" s="465"/>
      <c r="C56" s="465" t="s">
        <v>266</v>
      </c>
      <c r="D56" s="748">
        <v>0.0</v>
      </c>
      <c r="E56" s="557">
        <f t="shared" si="35"/>
        <v>0</v>
      </c>
      <c r="F56" s="649"/>
      <c r="G56" s="557">
        <v>0.0018</v>
      </c>
      <c r="H56" s="539"/>
      <c r="I56" s="479"/>
      <c r="J56" s="748">
        <v>0.0</v>
      </c>
      <c r="K56" s="557">
        <f t="shared" si="36"/>
        <v>0</v>
      </c>
      <c r="L56" s="649"/>
      <c r="M56" s="562">
        <v>0.0018</v>
      </c>
      <c r="N56" s="539"/>
      <c r="O56" s="479"/>
      <c r="P56" s="749">
        <v>0.0</v>
      </c>
      <c r="Q56" s="560">
        <f t="shared" si="37"/>
        <v>0</v>
      </c>
      <c r="R56" s="649"/>
      <c r="S56" s="562">
        <v>0.0018</v>
      </c>
      <c r="T56" s="539"/>
      <c r="U56" s="479"/>
      <c r="V56" s="439"/>
      <c r="W56" s="439"/>
      <c r="X56" s="439"/>
      <c r="Y56" s="439"/>
      <c r="Z56" s="439"/>
      <c r="AA56" s="439"/>
      <c r="AB56" s="439"/>
      <c r="AC56" s="439"/>
      <c r="AD56" s="439"/>
      <c r="AE56" s="439"/>
      <c r="AF56" s="439"/>
      <c r="AG56" s="439"/>
    </row>
    <row r="57" ht="15.75" customHeight="1">
      <c r="A57" s="439"/>
      <c r="B57" s="465"/>
      <c r="C57" s="465" t="s">
        <v>194</v>
      </c>
      <c r="D57" s="704">
        <v>44119.66</v>
      </c>
      <c r="E57" s="557">
        <f t="shared" si="35"/>
        <v>0.003347280318</v>
      </c>
      <c r="F57" s="649"/>
      <c r="G57" s="557">
        <v>0.0047</v>
      </c>
      <c r="H57" s="539"/>
      <c r="I57" s="479"/>
      <c r="J57" s="704">
        <v>29560.0</v>
      </c>
      <c r="K57" s="557">
        <f t="shared" si="36"/>
        <v>0.002190971965</v>
      </c>
      <c r="L57" s="649"/>
      <c r="M57" s="562">
        <v>0.0047</v>
      </c>
      <c r="N57" s="539"/>
      <c r="O57" s="479"/>
      <c r="P57" s="747">
        <v>50354.0</v>
      </c>
      <c r="Q57" s="560">
        <f t="shared" si="37"/>
        <v>0.003282309373</v>
      </c>
      <c r="R57" s="649"/>
      <c r="S57" s="562">
        <v>0.0047</v>
      </c>
      <c r="T57" s="539"/>
      <c r="U57" s="479"/>
      <c r="V57" s="439"/>
      <c r="W57" s="439"/>
      <c r="X57" s="439"/>
      <c r="Y57" s="439"/>
      <c r="Z57" s="439"/>
      <c r="AA57" s="439"/>
      <c r="AB57" s="439"/>
      <c r="AC57" s="439"/>
      <c r="AD57" s="439"/>
      <c r="AE57" s="439"/>
      <c r="AF57" s="439"/>
      <c r="AG57" s="439"/>
    </row>
    <row r="58" ht="15.75" customHeight="1">
      <c r="A58" s="439"/>
      <c r="B58" s="465"/>
      <c r="C58" s="465" t="s">
        <v>195</v>
      </c>
      <c r="D58" s="704">
        <v>200368.0</v>
      </c>
      <c r="E58" s="557">
        <f t="shared" si="35"/>
        <v>0.01520156463</v>
      </c>
      <c r="F58" s="649"/>
      <c r="G58" s="557">
        <v>0.0018</v>
      </c>
      <c r="H58" s="539"/>
      <c r="I58" s="479"/>
      <c r="J58" s="704">
        <v>69015.0</v>
      </c>
      <c r="K58" s="557">
        <f t="shared" si="36"/>
        <v>0.00511535623</v>
      </c>
      <c r="L58" s="649"/>
      <c r="M58" s="562">
        <v>0.0018</v>
      </c>
      <c r="N58" s="539"/>
      <c r="O58" s="479"/>
      <c r="P58" s="747">
        <v>83909.0</v>
      </c>
      <c r="Q58" s="560">
        <f t="shared" si="37"/>
        <v>0.005469581308</v>
      </c>
      <c r="R58" s="649"/>
      <c r="S58" s="562">
        <v>0.0018</v>
      </c>
      <c r="T58" s="539"/>
      <c r="U58" s="479"/>
      <c r="V58" s="439"/>
      <c r="W58" s="439"/>
      <c r="X58" s="439"/>
      <c r="Y58" s="439"/>
      <c r="Z58" s="439"/>
      <c r="AA58" s="439"/>
      <c r="AB58" s="439"/>
      <c r="AC58" s="439"/>
      <c r="AD58" s="439"/>
      <c r="AE58" s="439"/>
      <c r="AF58" s="439"/>
      <c r="AG58" s="439"/>
    </row>
    <row r="59" ht="15.75" customHeight="1">
      <c r="A59" s="439"/>
      <c r="B59" s="483"/>
      <c r="C59" s="483" t="s">
        <v>196</v>
      </c>
      <c r="D59" s="705">
        <v>6524.333333333333</v>
      </c>
      <c r="E59" s="564">
        <f t="shared" si="35"/>
        <v>0.0004949895932</v>
      </c>
      <c r="F59" s="706"/>
      <c r="G59" s="564">
        <v>5.0E-4</v>
      </c>
      <c r="H59" s="544"/>
      <c r="I59" s="546"/>
      <c r="J59" s="705">
        <v>2659.0</v>
      </c>
      <c r="K59" s="564">
        <f t="shared" si="36"/>
        <v>0.0001970837096</v>
      </c>
      <c r="L59" s="706"/>
      <c r="M59" s="565">
        <v>5.0E-4</v>
      </c>
      <c r="N59" s="544"/>
      <c r="O59" s="546"/>
      <c r="P59" s="739">
        <v>2857.0</v>
      </c>
      <c r="Q59" s="583">
        <f t="shared" si="37"/>
        <v>0.0001862326306</v>
      </c>
      <c r="R59" s="706"/>
      <c r="S59" s="565">
        <v>5.0E-4</v>
      </c>
      <c r="T59" s="544"/>
      <c r="U59" s="546"/>
      <c r="V59" s="439"/>
      <c r="W59" s="439"/>
      <c r="X59" s="439"/>
      <c r="Y59" s="439"/>
      <c r="Z59" s="439"/>
      <c r="AA59" s="439"/>
      <c r="AB59" s="439"/>
      <c r="AC59" s="439"/>
      <c r="AD59" s="439"/>
      <c r="AE59" s="439"/>
      <c r="AF59" s="439"/>
      <c r="AG59" s="439"/>
    </row>
    <row r="60" ht="15.75" customHeight="1">
      <c r="A60" s="439"/>
      <c r="B60" s="490"/>
      <c r="C60" s="490" t="s">
        <v>197</v>
      </c>
      <c r="D60" s="740">
        <f>SUM(D54:D59)</f>
        <v>393268.8733</v>
      </c>
      <c r="E60" s="547">
        <f t="shared" si="35"/>
        <v>0.0298366116</v>
      </c>
      <c r="F60" s="645">
        <f>SUM(F54:F59)</f>
        <v>0</v>
      </c>
      <c r="G60" s="547" t="str">
        <f>F60/F$29</f>
        <v>#DIV/0!</v>
      </c>
      <c r="H60" s="584">
        <f>SUM(H54:H59)</f>
        <v>0</v>
      </c>
      <c r="I60" s="585"/>
      <c r="J60" s="740">
        <f>SUM(J54:J59)</f>
        <v>356741</v>
      </c>
      <c r="K60" s="547">
        <f t="shared" si="36"/>
        <v>0.02644145906</v>
      </c>
      <c r="L60" s="645">
        <f>SUM(L54:L59)</f>
        <v>0</v>
      </c>
      <c r="M60" s="549" t="str">
        <f>L60/L$29</f>
        <v>#DIV/0!</v>
      </c>
      <c r="N60" s="584">
        <f>SUM(N54:N59)</f>
        <v>0</v>
      </c>
      <c r="O60" s="585"/>
      <c r="P60" s="668">
        <f>SUM(P54:P59)</f>
        <v>421532</v>
      </c>
      <c r="Q60" s="551">
        <f t="shared" si="37"/>
        <v>0.0274774285</v>
      </c>
      <c r="R60" s="645">
        <f>SUM(R54:R59)</f>
        <v>0</v>
      </c>
      <c r="S60" s="549" t="str">
        <f>R60/R$29</f>
        <v>#DIV/0!</v>
      </c>
      <c r="T60" s="584">
        <f>SUM(T54:T59)</f>
        <v>0</v>
      </c>
      <c r="U60" s="585"/>
      <c r="V60" s="692"/>
      <c r="W60" s="692"/>
      <c r="X60" s="692"/>
      <c r="Y60" s="692"/>
      <c r="Z60" s="692"/>
      <c r="AA60" s="692"/>
      <c r="AB60" s="692"/>
      <c r="AC60" s="692"/>
      <c r="AD60" s="692"/>
      <c r="AE60" s="692"/>
      <c r="AF60" s="692"/>
      <c r="AG60" s="692"/>
    </row>
    <row r="61" ht="15.75" hidden="1" customHeight="1">
      <c r="A61" s="439"/>
      <c r="B61" s="497"/>
      <c r="C61" s="497"/>
      <c r="D61" s="703"/>
      <c r="E61" s="540"/>
      <c r="F61" s="540"/>
      <c r="G61" s="540"/>
      <c r="H61" s="540"/>
      <c r="I61" s="542"/>
      <c r="J61" s="703"/>
      <c r="K61" s="540"/>
      <c r="L61" s="540"/>
      <c r="M61" s="542"/>
      <c r="N61" s="540"/>
      <c r="O61" s="542"/>
      <c r="P61" s="741"/>
      <c r="Q61" s="606"/>
      <c r="R61" s="540"/>
      <c r="S61" s="542"/>
      <c r="T61" s="540"/>
      <c r="U61" s="542"/>
      <c r="V61" s="439"/>
      <c r="W61" s="439"/>
      <c r="X61" s="439"/>
      <c r="Y61" s="439"/>
      <c r="Z61" s="439"/>
      <c r="AA61" s="439"/>
      <c r="AB61" s="439"/>
      <c r="AC61" s="439"/>
      <c r="AD61" s="439"/>
      <c r="AE61" s="439"/>
      <c r="AF61" s="439"/>
      <c r="AG61" s="439"/>
    </row>
    <row r="62" ht="15.75" hidden="1" customHeight="1">
      <c r="A62" s="439"/>
      <c r="B62" s="465"/>
      <c r="C62" s="465"/>
      <c r="D62" s="704"/>
      <c r="E62" s="557"/>
      <c r="F62" s="649"/>
      <c r="G62" s="649"/>
      <c r="H62" s="649"/>
      <c r="I62" s="742"/>
      <c r="J62" s="704"/>
      <c r="K62" s="557"/>
      <c r="L62" s="649"/>
      <c r="M62" s="742"/>
      <c r="N62" s="649"/>
      <c r="O62" s="742"/>
      <c r="P62" s="737"/>
      <c r="Q62" s="560"/>
      <c r="R62" s="649"/>
      <c r="S62" s="742"/>
      <c r="T62" s="649"/>
      <c r="U62" s="742"/>
      <c r="V62" s="439"/>
      <c r="W62" s="439"/>
      <c r="X62" s="439"/>
      <c r="Y62" s="439"/>
      <c r="Z62" s="439"/>
      <c r="AA62" s="439"/>
      <c r="AB62" s="439"/>
      <c r="AC62" s="439"/>
      <c r="AD62" s="439"/>
      <c r="AE62" s="439"/>
      <c r="AF62" s="439"/>
      <c r="AG62" s="439"/>
    </row>
    <row r="63" ht="15.75" hidden="1" customHeight="1">
      <c r="A63" s="439"/>
      <c r="B63" s="465"/>
      <c r="C63" s="465"/>
      <c r="D63" s="704"/>
      <c r="E63" s="557"/>
      <c r="F63" s="649"/>
      <c r="G63" s="649"/>
      <c r="H63" s="649"/>
      <c r="I63" s="742"/>
      <c r="J63" s="704"/>
      <c r="K63" s="557"/>
      <c r="L63" s="649"/>
      <c r="M63" s="742"/>
      <c r="N63" s="649"/>
      <c r="O63" s="742"/>
      <c r="P63" s="737"/>
      <c r="Q63" s="560"/>
      <c r="R63" s="649"/>
      <c r="S63" s="742"/>
      <c r="T63" s="649"/>
      <c r="U63" s="742"/>
      <c r="V63" s="439"/>
      <c r="W63" s="439"/>
      <c r="X63" s="439"/>
      <c r="Y63" s="439"/>
      <c r="Z63" s="439"/>
      <c r="AA63" s="439"/>
      <c r="AB63" s="439"/>
      <c r="AC63" s="439"/>
      <c r="AD63" s="439"/>
      <c r="AE63" s="439"/>
      <c r="AF63" s="439"/>
      <c r="AG63" s="439"/>
    </row>
    <row r="64" ht="15.75" hidden="1" customHeight="1">
      <c r="A64" s="439"/>
      <c r="B64" s="465"/>
      <c r="C64" s="465"/>
      <c r="D64" s="704"/>
      <c r="E64" s="557"/>
      <c r="F64" s="649"/>
      <c r="G64" s="649"/>
      <c r="H64" s="649"/>
      <c r="I64" s="742"/>
      <c r="J64" s="704"/>
      <c r="K64" s="557"/>
      <c r="L64" s="649"/>
      <c r="M64" s="742"/>
      <c r="N64" s="649"/>
      <c r="O64" s="742"/>
      <c r="P64" s="737"/>
      <c r="Q64" s="560"/>
      <c r="R64" s="649"/>
      <c r="S64" s="742"/>
      <c r="T64" s="649"/>
      <c r="U64" s="742"/>
      <c r="V64" s="439"/>
      <c r="W64" s="439"/>
      <c r="X64" s="439"/>
      <c r="Y64" s="439"/>
      <c r="Z64" s="439"/>
      <c r="AA64" s="439"/>
      <c r="AB64" s="439"/>
      <c r="AC64" s="439"/>
      <c r="AD64" s="439"/>
      <c r="AE64" s="439"/>
      <c r="AF64" s="439"/>
      <c r="AG64" s="439"/>
    </row>
    <row r="65" ht="15.75" hidden="1" customHeight="1">
      <c r="A65" s="439"/>
      <c r="B65" s="465"/>
      <c r="C65" s="465"/>
      <c r="D65" s="704"/>
      <c r="E65" s="557"/>
      <c r="F65" s="649"/>
      <c r="G65" s="649"/>
      <c r="H65" s="649"/>
      <c r="I65" s="742"/>
      <c r="J65" s="704"/>
      <c r="K65" s="557"/>
      <c r="L65" s="649"/>
      <c r="M65" s="742"/>
      <c r="N65" s="649"/>
      <c r="O65" s="742"/>
      <c r="P65" s="737"/>
      <c r="Q65" s="560"/>
      <c r="R65" s="649"/>
      <c r="S65" s="742"/>
      <c r="T65" s="649"/>
      <c r="U65" s="742"/>
      <c r="V65" s="439"/>
      <c r="W65" s="439"/>
      <c r="X65" s="439"/>
      <c r="Y65" s="439"/>
      <c r="Z65" s="439"/>
      <c r="AA65" s="439"/>
      <c r="AB65" s="439"/>
      <c r="AC65" s="439"/>
      <c r="AD65" s="439"/>
      <c r="AE65" s="439"/>
      <c r="AF65" s="439"/>
      <c r="AG65" s="439"/>
    </row>
    <row r="66" ht="15.75" hidden="1" customHeight="1">
      <c r="A66" s="439"/>
      <c r="B66" s="465"/>
      <c r="C66" s="465"/>
      <c r="D66" s="704"/>
      <c r="E66" s="557"/>
      <c r="F66" s="649"/>
      <c r="G66" s="649"/>
      <c r="H66" s="649"/>
      <c r="I66" s="742"/>
      <c r="J66" s="704"/>
      <c r="K66" s="557"/>
      <c r="L66" s="649"/>
      <c r="M66" s="742"/>
      <c r="N66" s="649"/>
      <c r="O66" s="742"/>
      <c r="P66" s="737"/>
      <c r="Q66" s="560"/>
      <c r="R66" s="649"/>
      <c r="S66" s="742"/>
      <c r="T66" s="649"/>
      <c r="U66" s="742"/>
      <c r="V66" s="439"/>
      <c r="W66" s="439"/>
      <c r="X66" s="439"/>
      <c r="Y66" s="439"/>
      <c r="Z66" s="439"/>
      <c r="AA66" s="439"/>
      <c r="AB66" s="439"/>
      <c r="AC66" s="439"/>
      <c r="AD66" s="439"/>
      <c r="AE66" s="439"/>
      <c r="AF66" s="439"/>
      <c r="AG66" s="439"/>
    </row>
    <row r="67" ht="15.75" hidden="1" customHeight="1">
      <c r="A67" s="439"/>
      <c r="B67" s="465"/>
      <c r="C67" s="465"/>
      <c r="D67" s="704"/>
      <c r="E67" s="557"/>
      <c r="F67" s="649"/>
      <c r="G67" s="649"/>
      <c r="H67" s="649"/>
      <c r="I67" s="742"/>
      <c r="J67" s="704"/>
      <c r="K67" s="557"/>
      <c r="L67" s="649"/>
      <c r="M67" s="742"/>
      <c r="N67" s="649"/>
      <c r="O67" s="742"/>
      <c r="P67" s="737"/>
      <c r="Q67" s="560"/>
      <c r="R67" s="649"/>
      <c r="S67" s="742"/>
      <c r="T67" s="649"/>
      <c r="U67" s="742"/>
      <c r="V67" s="439"/>
      <c r="W67" s="439"/>
      <c r="X67" s="439"/>
      <c r="Y67" s="439"/>
      <c r="Z67" s="439"/>
      <c r="AA67" s="439"/>
      <c r="AB67" s="439"/>
      <c r="AC67" s="439"/>
      <c r="AD67" s="439"/>
      <c r="AE67" s="439"/>
      <c r="AF67" s="439"/>
      <c r="AG67" s="439"/>
    </row>
    <row r="68" ht="15.75" customHeight="1">
      <c r="A68" s="439"/>
      <c r="B68" s="465"/>
      <c r="C68" s="465"/>
      <c r="D68" s="704"/>
      <c r="E68" s="539"/>
      <c r="F68" s="539"/>
      <c r="G68" s="539"/>
      <c r="H68" s="539"/>
      <c r="I68" s="479"/>
      <c r="J68" s="704"/>
      <c r="K68" s="539"/>
      <c r="L68" s="539"/>
      <c r="M68" s="479"/>
      <c r="N68" s="539"/>
      <c r="O68" s="479"/>
      <c r="P68" s="737"/>
      <c r="Q68" s="575"/>
      <c r="R68" s="539"/>
      <c r="S68" s="479"/>
      <c r="T68" s="539"/>
      <c r="U68" s="479"/>
      <c r="V68" s="439"/>
      <c r="W68" s="439"/>
      <c r="X68" s="439"/>
      <c r="Y68" s="439"/>
      <c r="Z68" s="439"/>
      <c r="AA68" s="439"/>
      <c r="AB68" s="439"/>
      <c r="AC68" s="439"/>
      <c r="AD68" s="439"/>
      <c r="AE68" s="439"/>
      <c r="AF68" s="439"/>
      <c r="AG68" s="439"/>
    </row>
    <row r="69" ht="15.75" customHeight="1">
      <c r="A69" s="439"/>
      <c r="B69" s="493"/>
      <c r="C69" s="511" t="s">
        <v>202</v>
      </c>
      <c r="D69" s="740">
        <f>SUM(D70:D79)</f>
        <v>196105.44</v>
      </c>
      <c r="E69" s="547">
        <f t="shared" ref="E69:E78" si="38">D69/D$29</f>
        <v>0.01487817176</v>
      </c>
      <c r="F69" s="645">
        <f>SUM(F70:F79)</f>
        <v>0</v>
      </c>
      <c r="G69" s="547" t="str">
        <f t="shared" ref="G69:G79" si="39">F69/F$29</f>
        <v>#DIV/0!</v>
      </c>
      <c r="H69" s="645">
        <f>SUM(H70:H79)</f>
        <v>196105.44</v>
      </c>
      <c r="I69" s="585"/>
      <c r="J69" s="740">
        <f>SUM(J70:J79)</f>
        <v>210682</v>
      </c>
      <c r="K69" s="547">
        <f t="shared" ref="K69:K78" si="40">J69/J$29</f>
        <v>0.01561564126</v>
      </c>
      <c r="L69" s="645">
        <f>SUM(L70:L79)</f>
        <v>0</v>
      </c>
      <c r="M69" s="549" t="str">
        <f t="shared" ref="M69:M79" si="41">L69/L$29</f>
        <v>#DIV/0!</v>
      </c>
      <c r="N69" s="645">
        <f>SUM(N70:N79)</f>
        <v>210682</v>
      </c>
      <c r="O69" s="585"/>
      <c r="P69" s="668">
        <f>SUM(P70:P79)</f>
        <v>202371</v>
      </c>
      <c r="Q69" s="551">
        <f t="shared" ref="Q69:Q78" si="42">P69/P$29</f>
        <v>0.01319148886</v>
      </c>
      <c r="R69" s="645">
        <f>SUM(R70:R79)</f>
        <v>0</v>
      </c>
      <c r="S69" s="549" t="str">
        <f t="shared" ref="S69:S79" si="43">R69/R$29</f>
        <v>#DIV/0!</v>
      </c>
      <c r="T69" s="645">
        <f>SUM(T70:T79)</f>
        <v>202371</v>
      </c>
      <c r="U69" s="585"/>
      <c r="V69" s="692"/>
      <c r="W69" s="692"/>
      <c r="X69" s="692"/>
      <c r="Y69" s="692"/>
      <c r="Z69" s="692"/>
      <c r="AA69" s="692"/>
      <c r="AB69" s="692"/>
      <c r="AC69" s="692"/>
      <c r="AD69" s="692"/>
      <c r="AE69" s="692"/>
      <c r="AF69" s="692"/>
      <c r="AG69" s="692"/>
    </row>
    <row r="70" ht="15.75" customHeight="1">
      <c r="A70" s="439"/>
      <c r="B70" s="497"/>
      <c r="C70" s="497" t="s">
        <v>268</v>
      </c>
      <c r="D70" s="750">
        <v>0.0</v>
      </c>
      <c r="E70" s="552">
        <f t="shared" si="38"/>
        <v>0</v>
      </c>
      <c r="F70" s="646"/>
      <c r="G70" s="552" t="str">
        <f t="shared" si="39"/>
        <v>#DIV/0!</v>
      </c>
      <c r="H70" s="646">
        <f t="shared" ref="H70:H73" si="44">D70-F70</f>
        <v>0</v>
      </c>
      <c r="I70" s="556" t="str">
        <f t="shared" ref="I70:I73" si="45">H70/F70</f>
        <v>#DIV/0!</v>
      </c>
      <c r="J70" s="750">
        <v>0.0</v>
      </c>
      <c r="K70" s="552">
        <f t="shared" si="40"/>
        <v>0</v>
      </c>
      <c r="L70" s="646"/>
      <c r="M70" s="556" t="str">
        <f t="shared" si="41"/>
        <v>#DIV/0!</v>
      </c>
      <c r="N70" s="646">
        <f t="shared" ref="N70:N73" si="46">J70-L70</f>
        <v>0</v>
      </c>
      <c r="O70" s="556" t="str">
        <f t="shared" ref="O70:O73" si="47">N70/L70</f>
        <v>#DIV/0!</v>
      </c>
      <c r="P70" s="751">
        <v>0.0</v>
      </c>
      <c r="Q70" s="554">
        <f t="shared" si="42"/>
        <v>0</v>
      </c>
      <c r="R70" s="646"/>
      <c r="S70" s="556" t="str">
        <f t="shared" si="43"/>
        <v>#DIV/0!</v>
      </c>
      <c r="T70" s="646">
        <f t="shared" ref="T70:T73" si="48">P70-R70</f>
        <v>0</v>
      </c>
      <c r="U70" s="556" t="str">
        <f t="shared" ref="U70:U73" si="49">T70/R70</f>
        <v>#DIV/0!</v>
      </c>
      <c r="V70" s="439"/>
      <c r="W70" s="439"/>
      <c r="X70" s="439"/>
      <c r="Y70" s="439"/>
      <c r="Z70" s="439"/>
      <c r="AA70" s="439"/>
      <c r="AB70" s="439"/>
      <c r="AC70" s="439"/>
      <c r="AD70" s="439"/>
      <c r="AE70" s="439"/>
      <c r="AF70" s="439"/>
      <c r="AG70" s="439"/>
    </row>
    <row r="71" ht="15.75" customHeight="1">
      <c r="A71" s="439"/>
      <c r="B71" s="465"/>
      <c r="C71" s="465" t="s">
        <v>298</v>
      </c>
      <c r="D71" s="704">
        <v>304.44</v>
      </c>
      <c r="E71" s="557">
        <f t="shared" si="38"/>
        <v>0.0000230973226</v>
      </c>
      <c r="F71" s="649"/>
      <c r="G71" s="557" t="str">
        <f t="shared" si="39"/>
        <v>#DIV/0!</v>
      </c>
      <c r="H71" s="649">
        <f t="shared" si="44"/>
        <v>304.44</v>
      </c>
      <c r="I71" s="562" t="str">
        <f t="shared" si="45"/>
        <v>#DIV/0!</v>
      </c>
      <c r="J71" s="750">
        <v>0.0</v>
      </c>
      <c r="K71" s="557">
        <f t="shared" si="40"/>
        <v>0</v>
      </c>
      <c r="L71" s="649"/>
      <c r="M71" s="562" t="str">
        <f t="shared" si="41"/>
        <v>#DIV/0!</v>
      </c>
      <c r="N71" s="649">
        <f t="shared" si="46"/>
        <v>0</v>
      </c>
      <c r="O71" s="562" t="str">
        <f t="shared" si="47"/>
        <v>#DIV/0!</v>
      </c>
      <c r="P71" s="751">
        <v>0.0</v>
      </c>
      <c r="Q71" s="560">
        <f t="shared" si="42"/>
        <v>0</v>
      </c>
      <c r="R71" s="649"/>
      <c r="S71" s="562" t="str">
        <f t="shared" si="43"/>
        <v>#DIV/0!</v>
      </c>
      <c r="T71" s="649">
        <f t="shared" si="48"/>
        <v>0</v>
      </c>
      <c r="U71" s="562" t="str">
        <f t="shared" si="49"/>
        <v>#DIV/0!</v>
      </c>
      <c r="V71" s="439"/>
      <c r="W71" s="439"/>
      <c r="X71" s="439"/>
      <c r="Y71" s="439"/>
      <c r="Z71" s="439"/>
      <c r="AA71" s="439"/>
      <c r="AB71" s="439"/>
      <c r="AC71" s="439"/>
      <c r="AD71" s="439"/>
      <c r="AE71" s="439"/>
      <c r="AF71" s="439"/>
      <c r="AG71" s="439"/>
    </row>
    <row r="72" ht="15.75" customHeight="1">
      <c r="A72" s="439"/>
      <c r="B72" s="465"/>
      <c r="C72" s="465" t="s">
        <v>209</v>
      </c>
      <c r="D72" s="748">
        <v>0.0</v>
      </c>
      <c r="E72" s="557">
        <f t="shared" si="38"/>
        <v>0</v>
      </c>
      <c r="F72" s="649"/>
      <c r="G72" s="557" t="str">
        <f t="shared" si="39"/>
        <v>#DIV/0!</v>
      </c>
      <c r="H72" s="649">
        <f t="shared" si="44"/>
        <v>0</v>
      </c>
      <c r="I72" s="562" t="str">
        <f t="shared" si="45"/>
        <v>#DIV/0!</v>
      </c>
      <c r="J72" s="748">
        <v>0.0</v>
      </c>
      <c r="K72" s="557">
        <f t="shared" si="40"/>
        <v>0</v>
      </c>
      <c r="L72" s="649"/>
      <c r="M72" s="562" t="str">
        <f t="shared" si="41"/>
        <v>#DIV/0!</v>
      </c>
      <c r="N72" s="649">
        <f t="shared" si="46"/>
        <v>0</v>
      </c>
      <c r="O72" s="562" t="str">
        <f t="shared" si="47"/>
        <v>#DIV/0!</v>
      </c>
      <c r="P72" s="752">
        <v>0.0</v>
      </c>
      <c r="Q72" s="560">
        <f t="shared" si="42"/>
        <v>0</v>
      </c>
      <c r="R72" s="649"/>
      <c r="S72" s="562" t="str">
        <f t="shared" si="43"/>
        <v>#DIV/0!</v>
      </c>
      <c r="T72" s="649">
        <f t="shared" si="48"/>
        <v>0</v>
      </c>
      <c r="U72" s="562" t="str">
        <f t="shared" si="49"/>
        <v>#DIV/0!</v>
      </c>
      <c r="V72" s="439"/>
      <c r="W72" s="439"/>
      <c r="X72" s="439"/>
      <c r="Y72" s="439"/>
      <c r="Z72" s="439"/>
      <c r="AA72" s="439"/>
      <c r="AB72" s="439"/>
      <c r="AC72" s="439"/>
      <c r="AD72" s="439"/>
      <c r="AE72" s="439"/>
      <c r="AF72" s="439"/>
      <c r="AG72" s="439"/>
    </row>
    <row r="73" ht="15.75" customHeight="1">
      <c r="A73" s="439"/>
      <c r="B73" s="465"/>
      <c r="C73" s="465" t="s">
        <v>210</v>
      </c>
      <c r="D73" s="748">
        <v>0.0</v>
      </c>
      <c r="E73" s="557">
        <f t="shared" si="38"/>
        <v>0</v>
      </c>
      <c r="F73" s="539"/>
      <c r="G73" s="557" t="str">
        <f t="shared" si="39"/>
        <v>#DIV/0!</v>
      </c>
      <c r="H73" s="649">
        <f t="shared" si="44"/>
        <v>0</v>
      </c>
      <c r="I73" s="562" t="str">
        <f t="shared" si="45"/>
        <v>#DIV/0!</v>
      </c>
      <c r="J73" s="748">
        <v>0.0</v>
      </c>
      <c r="K73" s="557">
        <f t="shared" si="40"/>
        <v>0</v>
      </c>
      <c r="L73" s="539"/>
      <c r="M73" s="562" t="str">
        <f t="shared" si="41"/>
        <v>#DIV/0!</v>
      </c>
      <c r="N73" s="649">
        <f t="shared" si="46"/>
        <v>0</v>
      </c>
      <c r="O73" s="562" t="str">
        <f t="shared" si="47"/>
        <v>#DIV/0!</v>
      </c>
      <c r="P73" s="752">
        <v>0.0</v>
      </c>
      <c r="Q73" s="560">
        <f t="shared" si="42"/>
        <v>0</v>
      </c>
      <c r="R73" s="539"/>
      <c r="S73" s="562" t="str">
        <f t="shared" si="43"/>
        <v>#DIV/0!</v>
      </c>
      <c r="T73" s="649">
        <f t="shared" si="48"/>
        <v>0</v>
      </c>
      <c r="U73" s="562" t="str">
        <f t="shared" si="49"/>
        <v>#DIV/0!</v>
      </c>
      <c r="V73" s="439"/>
      <c r="W73" s="439"/>
      <c r="X73" s="439"/>
      <c r="Y73" s="439"/>
      <c r="Z73" s="439"/>
      <c r="AA73" s="439"/>
      <c r="AB73" s="439"/>
      <c r="AC73" s="439"/>
      <c r="AD73" s="439"/>
      <c r="AE73" s="439"/>
      <c r="AF73" s="439"/>
      <c r="AG73" s="439"/>
    </row>
    <row r="74" ht="15.75" customHeight="1">
      <c r="A74" s="439"/>
      <c r="B74" s="465"/>
      <c r="C74" s="465" t="s">
        <v>299</v>
      </c>
      <c r="D74" s="748">
        <v>0.0</v>
      </c>
      <c r="E74" s="557">
        <f t="shared" si="38"/>
        <v>0</v>
      </c>
      <c r="F74" s="539"/>
      <c r="G74" s="557" t="str">
        <f t="shared" si="39"/>
        <v>#DIV/0!</v>
      </c>
      <c r="H74" s="649"/>
      <c r="I74" s="562"/>
      <c r="J74" s="748">
        <v>0.0</v>
      </c>
      <c r="K74" s="557">
        <f t="shared" si="40"/>
        <v>0</v>
      </c>
      <c r="L74" s="539"/>
      <c r="M74" s="562" t="str">
        <f t="shared" si="41"/>
        <v>#DIV/0!</v>
      </c>
      <c r="N74" s="649"/>
      <c r="O74" s="562"/>
      <c r="P74" s="752">
        <v>0.0</v>
      </c>
      <c r="Q74" s="560">
        <f t="shared" si="42"/>
        <v>0</v>
      </c>
      <c r="R74" s="539"/>
      <c r="S74" s="562" t="str">
        <f t="shared" si="43"/>
        <v>#DIV/0!</v>
      </c>
      <c r="T74" s="649"/>
      <c r="U74" s="562"/>
      <c r="V74" s="439"/>
      <c r="W74" s="439"/>
      <c r="X74" s="439"/>
      <c r="Y74" s="439"/>
      <c r="Z74" s="439"/>
      <c r="AA74" s="439"/>
      <c r="AB74" s="439"/>
      <c r="AC74" s="439"/>
      <c r="AD74" s="439"/>
      <c r="AE74" s="439"/>
      <c r="AF74" s="439"/>
      <c r="AG74" s="439"/>
    </row>
    <row r="75" ht="15.75" customHeight="1">
      <c r="A75" s="439"/>
      <c r="B75" s="465"/>
      <c r="C75" s="465" t="s">
        <v>300</v>
      </c>
      <c r="D75" s="748">
        <v>0.0</v>
      </c>
      <c r="E75" s="557">
        <f t="shared" si="38"/>
        <v>0</v>
      </c>
      <c r="F75" s="753"/>
      <c r="G75" s="557" t="str">
        <f t="shared" si="39"/>
        <v>#DIV/0!</v>
      </c>
      <c r="H75" s="649">
        <f t="shared" ref="H75:H77" si="50">D75-F75</f>
        <v>0</v>
      </c>
      <c r="I75" s="562" t="str">
        <f>H75/F75</f>
        <v>#DIV/0!</v>
      </c>
      <c r="J75" s="748">
        <v>0.0</v>
      </c>
      <c r="K75" s="557">
        <f t="shared" si="40"/>
        <v>0</v>
      </c>
      <c r="L75" s="753"/>
      <c r="M75" s="562" t="str">
        <f t="shared" si="41"/>
        <v>#DIV/0!</v>
      </c>
      <c r="N75" s="649">
        <f t="shared" ref="N75:N77" si="51">J75-L75</f>
        <v>0</v>
      </c>
      <c r="O75" s="562" t="str">
        <f>N75/L75</f>
        <v>#DIV/0!</v>
      </c>
      <c r="P75" s="752">
        <v>0.0</v>
      </c>
      <c r="Q75" s="560">
        <f t="shared" si="42"/>
        <v>0</v>
      </c>
      <c r="R75" s="753"/>
      <c r="S75" s="562" t="str">
        <f t="shared" si="43"/>
        <v>#DIV/0!</v>
      </c>
      <c r="T75" s="649">
        <f t="shared" ref="T75:T77" si="52">P75-R75</f>
        <v>0</v>
      </c>
      <c r="U75" s="562" t="str">
        <f>T75/R75</f>
        <v>#DIV/0!</v>
      </c>
      <c r="V75" s="439"/>
      <c r="W75" s="439"/>
      <c r="X75" s="439"/>
      <c r="Y75" s="439"/>
      <c r="Z75" s="439"/>
      <c r="AA75" s="439"/>
      <c r="AB75" s="439"/>
      <c r="AC75" s="439"/>
      <c r="AD75" s="439"/>
      <c r="AE75" s="439"/>
      <c r="AF75" s="439"/>
      <c r="AG75" s="439"/>
    </row>
    <row r="76" ht="15.75" customHeight="1">
      <c r="A76" s="439"/>
      <c r="B76" s="465"/>
      <c r="C76" s="465" t="s">
        <v>301</v>
      </c>
      <c r="D76" s="748">
        <v>0.0</v>
      </c>
      <c r="E76" s="557">
        <f t="shared" si="38"/>
        <v>0</v>
      </c>
      <c r="F76" s="539"/>
      <c r="G76" s="557" t="str">
        <f t="shared" si="39"/>
        <v>#DIV/0!</v>
      </c>
      <c r="H76" s="649">
        <f t="shared" si="50"/>
        <v>0</v>
      </c>
      <c r="I76" s="562">
        <v>0.0</v>
      </c>
      <c r="J76" s="748">
        <v>0.0</v>
      </c>
      <c r="K76" s="557">
        <f t="shared" si="40"/>
        <v>0</v>
      </c>
      <c r="L76" s="539"/>
      <c r="M76" s="562" t="str">
        <f t="shared" si="41"/>
        <v>#DIV/0!</v>
      </c>
      <c r="N76" s="649">
        <f t="shared" si="51"/>
        <v>0</v>
      </c>
      <c r="O76" s="562">
        <v>0.0</v>
      </c>
      <c r="P76" s="752">
        <v>0.0</v>
      </c>
      <c r="Q76" s="560">
        <f t="shared" si="42"/>
        <v>0</v>
      </c>
      <c r="R76" s="539"/>
      <c r="S76" s="562" t="str">
        <f t="shared" si="43"/>
        <v>#DIV/0!</v>
      </c>
      <c r="T76" s="649">
        <f t="shared" si="52"/>
        <v>0</v>
      </c>
      <c r="U76" s="562">
        <v>0.0</v>
      </c>
      <c r="V76" s="439"/>
      <c r="W76" s="439"/>
      <c r="X76" s="439"/>
      <c r="Y76" s="439"/>
      <c r="Z76" s="439"/>
      <c r="AA76" s="439"/>
      <c r="AB76" s="439"/>
      <c r="AC76" s="439"/>
      <c r="AD76" s="439"/>
      <c r="AE76" s="439"/>
      <c r="AF76" s="439"/>
      <c r="AG76" s="439"/>
    </row>
    <row r="77" ht="15.75" customHeight="1">
      <c r="A77" s="439"/>
      <c r="B77" s="465"/>
      <c r="C77" s="465" t="s">
        <v>302</v>
      </c>
      <c r="D77" s="748">
        <v>0.0</v>
      </c>
      <c r="E77" s="557">
        <f t="shared" si="38"/>
        <v>0</v>
      </c>
      <c r="F77" s="539"/>
      <c r="G77" s="557" t="str">
        <f t="shared" si="39"/>
        <v>#DIV/0!</v>
      </c>
      <c r="H77" s="649">
        <f t="shared" si="50"/>
        <v>0</v>
      </c>
      <c r="I77" s="562" t="str">
        <f>H77/F77</f>
        <v>#DIV/0!</v>
      </c>
      <c r="J77" s="748">
        <v>0.0</v>
      </c>
      <c r="K77" s="557">
        <f t="shared" si="40"/>
        <v>0</v>
      </c>
      <c r="L77" s="539"/>
      <c r="M77" s="562" t="str">
        <f t="shared" si="41"/>
        <v>#DIV/0!</v>
      </c>
      <c r="N77" s="649">
        <f t="shared" si="51"/>
        <v>0</v>
      </c>
      <c r="O77" s="562" t="str">
        <f>N77/L77</f>
        <v>#DIV/0!</v>
      </c>
      <c r="P77" s="752">
        <v>0.0</v>
      </c>
      <c r="Q77" s="560">
        <f t="shared" si="42"/>
        <v>0</v>
      </c>
      <c r="R77" s="539"/>
      <c r="S77" s="562" t="str">
        <f t="shared" si="43"/>
        <v>#DIV/0!</v>
      </c>
      <c r="T77" s="649">
        <f t="shared" si="52"/>
        <v>0</v>
      </c>
      <c r="U77" s="562" t="str">
        <f>T77/R77</f>
        <v>#DIV/0!</v>
      </c>
      <c r="V77" s="439"/>
      <c r="W77" s="439"/>
      <c r="X77" s="439"/>
      <c r="Y77" s="439"/>
      <c r="Z77" s="439"/>
      <c r="AA77" s="439"/>
      <c r="AB77" s="439"/>
      <c r="AC77" s="439"/>
      <c r="AD77" s="439"/>
      <c r="AE77" s="439"/>
      <c r="AF77" s="439"/>
      <c r="AG77" s="439"/>
    </row>
    <row r="78" ht="15.75" customHeight="1">
      <c r="A78" s="439"/>
      <c r="B78" s="465"/>
      <c r="C78" s="465" t="s">
        <v>270</v>
      </c>
      <c r="D78" s="748">
        <v>0.0</v>
      </c>
      <c r="E78" s="557">
        <f t="shared" si="38"/>
        <v>0</v>
      </c>
      <c r="F78" s="539"/>
      <c r="G78" s="557" t="str">
        <f t="shared" si="39"/>
        <v>#DIV/0!</v>
      </c>
      <c r="H78" s="649"/>
      <c r="I78" s="562"/>
      <c r="J78" s="748">
        <v>0.0</v>
      </c>
      <c r="K78" s="557">
        <f t="shared" si="40"/>
        <v>0</v>
      </c>
      <c r="L78" s="539"/>
      <c r="M78" s="562" t="str">
        <f t="shared" si="41"/>
        <v>#DIV/0!</v>
      </c>
      <c r="N78" s="649"/>
      <c r="O78" s="562"/>
      <c r="P78" s="752">
        <v>0.0</v>
      </c>
      <c r="Q78" s="560">
        <f t="shared" si="42"/>
        <v>0</v>
      </c>
      <c r="R78" s="539"/>
      <c r="S78" s="562" t="str">
        <f t="shared" si="43"/>
        <v>#DIV/0!</v>
      </c>
      <c r="T78" s="649"/>
      <c r="U78" s="562"/>
      <c r="V78" s="439"/>
      <c r="W78" s="439"/>
      <c r="X78" s="439"/>
      <c r="Y78" s="439"/>
      <c r="Z78" s="439"/>
      <c r="AA78" s="439"/>
      <c r="AB78" s="439"/>
      <c r="AC78" s="439"/>
      <c r="AD78" s="439"/>
      <c r="AE78" s="439"/>
      <c r="AF78" s="439"/>
      <c r="AG78" s="439"/>
    </row>
    <row r="79" ht="15.75" customHeight="1">
      <c r="A79" s="439"/>
      <c r="B79" s="465"/>
      <c r="C79" s="465" t="s">
        <v>271</v>
      </c>
      <c r="D79" s="704">
        <v>195801.0</v>
      </c>
      <c r="E79" s="557">
        <f>D79/D$28</f>
        <v>0.2713330728</v>
      </c>
      <c r="F79" s="539"/>
      <c r="G79" s="557" t="str">
        <f t="shared" si="39"/>
        <v>#DIV/0!</v>
      </c>
      <c r="H79" s="649">
        <f>D79-F79</f>
        <v>195801</v>
      </c>
      <c r="I79" s="562" t="str">
        <f>H79/F79</f>
        <v>#DIV/0!</v>
      </c>
      <c r="J79" s="704">
        <v>210682.0</v>
      </c>
      <c r="K79" s="557">
        <f>J79/J$28</f>
        <v>0.2773551199</v>
      </c>
      <c r="L79" s="539"/>
      <c r="M79" s="562" t="str">
        <f t="shared" si="41"/>
        <v>#DIV/0!</v>
      </c>
      <c r="N79" s="649">
        <f>J79-L79</f>
        <v>210682</v>
      </c>
      <c r="O79" s="562" t="str">
        <f>N79/L79</f>
        <v>#DIV/0!</v>
      </c>
      <c r="P79" s="747">
        <v>202371.0</v>
      </c>
      <c r="Q79" s="560">
        <f>P79/P$28</f>
        <v>0.2880959736</v>
      </c>
      <c r="R79" s="539"/>
      <c r="S79" s="562" t="str">
        <f t="shared" si="43"/>
        <v>#DIV/0!</v>
      </c>
      <c r="T79" s="649">
        <f>P79-R79</f>
        <v>202371</v>
      </c>
      <c r="U79" s="562" t="str">
        <f>T79/R79</f>
        <v>#DIV/0!</v>
      </c>
      <c r="V79" s="439"/>
      <c r="W79" s="439"/>
      <c r="X79" s="439"/>
      <c r="Y79" s="439"/>
      <c r="Z79" s="439"/>
      <c r="AA79" s="439"/>
      <c r="AB79" s="439"/>
      <c r="AC79" s="439"/>
      <c r="AD79" s="439"/>
      <c r="AE79" s="439"/>
      <c r="AF79" s="439"/>
      <c r="AG79" s="439"/>
    </row>
    <row r="80" ht="15.75" customHeight="1">
      <c r="A80" s="439"/>
      <c r="B80" s="483"/>
      <c r="C80" s="754"/>
      <c r="D80" s="705"/>
      <c r="E80" s="544"/>
      <c r="F80" s="544"/>
      <c r="G80" s="544"/>
      <c r="H80" s="706"/>
      <c r="I80" s="565"/>
      <c r="J80" s="705"/>
      <c r="K80" s="539"/>
      <c r="L80" s="539"/>
      <c r="M80" s="479"/>
      <c r="N80" s="706"/>
      <c r="O80" s="565"/>
      <c r="P80" s="731"/>
      <c r="Q80" s="575"/>
      <c r="R80" s="539"/>
      <c r="S80" s="479"/>
      <c r="T80" s="706"/>
      <c r="U80" s="565"/>
      <c r="V80" s="439"/>
      <c r="W80" s="439"/>
      <c r="X80" s="439"/>
      <c r="Y80" s="439"/>
      <c r="Z80" s="439"/>
      <c r="AA80" s="439"/>
      <c r="AB80" s="439"/>
      <c r="AC80" s="439"/>
      <c r="AD80" s="439"/>
      <c r="AE80" s="439"/>
      <c r="AF80" s="439"/>
      <c r="AG80" s="439"/>
    </row>
    <row r="81" ht="15.75" customHeight="1">
      <c r="A81" s="439"/>
      <c r="B81" s="493"/>
      <c r="C81" s="511" t="s">
        <v>35</v>
      </c>
      <c r="D81" s="668">
        <f t="shared" ref="D81:J81" si="53">SUM(D82:D85)</f>
        <v>480580.79</v>
      </c>
      <c r="E81" s="755">
        <f t="shared" si="53"/>
        <v>0.03646081179</v>
      </c>
      <c r="F81" s="755" t="str">
        <f t="shared" si="53"/>
        <v>#REF!</v>
      </c>
      <c r="G81" s="755" t="str">
        <f t="shared" si="53"/>
        <v>#DIV/0!</v>
      </c>
      <c r="H81" s="755" t="str">
        <f t="shared" si="53"/>
        <v>#REF!</v>
      </c>
      <c r="I81" s="755" t="str">
        <f t="shared" si="53"/>
        <v>#DIV/0!</v>
      </c>
      <c r="J81" s="668">
        <f t="shared" si="53"/>
        <v>480329</v>
      </c>
      <c r="K81" s="560" t="str">
        <f>#REF!/J$29</f>
        <v>#REF!</v>
      </c>
      <c r="L81" s="649" t="str">
        <f>SUM(L82:L85)</f>
        <v>#REF!</v>
      </c>
      <c r="M81" s="562" t="str">
        <f t="shared" ref="M81:M85" si="56">L81/L$29</f>
        <v>#REF!</v>
      </c>
      <c r="N81" s="755" t="str">
        <f t="shared" ref="N81:P81" si="54">SUM(N82:N85)</f>
        <v>#REF!</v>
      </c>
      <c r="O81" s="755" t="str">
        <f t="shared" si="54"/>
        <v>#DIV/0!</v>
      </c>
      <c r="P81" s="668">
        <f t="shared" si="54"/>
        <v>421948</v>
      </c>
      <c r="Q81" s="560" t="str">
        <f>#REF!/P$29</f>
        <v>#REF!</v>
      </c>
      <c r="R81" s="649" t="str">
        <f>SUM(R82:R85)</f>
        <v>#REF!</v>
      </c>
      <c r="S81" s="562" t="str">
        <f t="shared" ref="S81:S85" si="57">R81/R$29</f>
        <v>#REF!</v>
      </c>
      <c r="T81" s="755" t="str">
        <f t="shared" ref="T81:U81" si="55">SUM(T82:T85)</f>
        <v>#REF!</v>
      </c>
      <c r="U81" s="755" t="str">
        <f t="shared" si="55"/>
        <v>#DIV/0!</v>
      </c>
      <c r="V81" s="692"/>
      <c r="W81" s="692"/>
      <c r="X81" s="692"/>
      <c r="Y81" s="692"/>
      <c r="Z81" s="692"/>
      <c r="AA81" s="692"/>
      <c r="AB81" s="692"/>
      <c r="AC81" s="692"/>
      <c r="AD81" s="692"/>
      <c r="AE81" s="692"/>
      <c r="AF81" s="692"/>
      <c r="AG81" s="692"/>
    </row>
    <row r="82" ht="15.75" customHeight="1">
      <c r="A82" s="439"/>
      <c r="B82" s="497"/>
      <c r="C82" s="497" t="s">
        <v>212</v>
      </c>
      <c r="D82" s="703">
        <v>7350.0</v>
      </c>
      <c r="E82" s="552">
        <f t="shared" ref="E82:E85" si="58">D82/D$29</f>
        <v>0.0005576314582</v>
      </c>
      <c r="F82" s="646"/>
      <c r="G82" s="552" t="str">
        <f t="shared" ref="G82:G85" si="59">F82/F$29</f>
        <v>#DIV/0!</v>
      </c>
      <c r="H82" s="646">
        <f t="shared" ref="H82:H85" si="60">D82-F82</f>
        <v>7350</v>
      </c>
      <c r="I82" s="556" t="str">
        <f t="shared" ref="I82:I85" si="61">H82/F82</f>
        <v>#DIV/0!</v>
      </c>
      <c r="J82" s="454">
        <v>3364.0</v>
      </c>
      <c r="K82" s="557">
        <f>J81/J$29</f>
        <v>0.03560173792</v>
      </c>
      <c r="L82" s="649"/>
      <c r="M82" s="562" t="str">
        <f t="shared" si="56"/>
        <v>#DIV/0!</v>
      </c>
      <c r="N82" s="646">
        <f t="shared" ref="N82:N85" si="62">J82-L82</f>
        <v>3364</v>
      </c>
      <c r="O82" s="556" t="str">
        <f t="shared" ref="O82:O85" si="63">N82/L82</f>
        <v>#DIV/0!</v>
      </c>
      <c r="P82" s="756">
        <v>6461.0</v>
      </c>
      <c r="Q82" s="560">
        <f>P81/P$29</f>
        <v>0.02750454533</v>
      </c>
      <c r="R82" s="649"/>
      <c r="S82" s="562" t="str">
        <f t="shared" si="57"/>
        <v>#DIV/0!</v>
      </c>
      <c r="T82" s="646">
        <f t="shared" ref="T82:T85" si="64">P82-R82</f>
        <v>6461</v>
      </c>
      <c r="U82" s="556" t="str">
        <f t="shared" ref="U82:U85" si="65">T82/R82</f>
        <v>#DIV/0!</v>
      </c>
      <c r="V82" s="439"/>
      <c r="W82" s="439"/>
      <c r="X82" s="439"/>
      <c r="Y82" s="439"/>
      <c r="Z82" s="439"/>
      <c r="AA82" s="439"/>
      <c r="AB82" s="439"/>
      <c r="AC82" s="439"/>
      <c r="AD82" s="439"/>
      <c r="AE82" s="439"/>
      <c r="AF82" s="439"/>
      <c r="AG82" s="439"/>
    </row>
    <row r="83" ht="15.75" customHeight="1">
      <c r="A83" s="439"/>
      <c r="B83" s="465"/>
      <c r="C83" s="465" t="s">
        <v>213</v>
      </c>
      <c r="D83" s="748">
        <v>0.0</v>
      </c>
      <c r="E83" s="557">
        <f t="shared" si="58"/>
        <v>0</v>
      </c>
      <c r="F83" s="649"/>
      <c r="G83" s="557" t="str">
        <f t="shared" si="59"/>
        <v>#DIV/0!</v>
      </c>
      <c r="H83" s="649">
        <f t="shared" si="60"/>
        <v>0</v>
      </c>
      <c r="I83" s="562" t="str">
        <f t="shared" si="61"/>
        <v>#DIV/0!</v>
      </c>
      <c r="J83" s="748">
        <v>0.0</v>
      </c>
      <c r="K83" s="557">
        <f t="shared" ref="K83:K85" si="66">J83/J$29</f>
        <v>0</v>
      </c>
      <c r="L83" s="649"/>
      <c r="M83" s="562" t="str">
        <f t="shared" si="56"/>
        <v>#DIV/0!</v>
      </c>
      <c r="N83" s="649">
        <f t="shared" si="62"/>
        <v>0</v>
      </c>
      <c r="O83" s="562" t="str">
        <f t="shared" si="63"/>
        <v>#DIV/0!</v>
      </c>
      <c r="P83" s="752">
        <v>0.0</v>
      </c>
      <c r="Q83" s="560">
        <f t="shared" ref="Q83:Q85" si="67">P83/P$29</f>
        <v>0</v>
      </c>
      <c r="R83" s="649"/>
      <c r="S83" s="562" t="str">
        <f t="shared" si="57"/>
        <v>#DIV/0!</v>
      </c>
      <c r="T83" s="649">
        <f t="shared" si="64"/>
        <v>0</v>
      </c>
      <c r="U83" s="562" t="str">
        <f t="shared" si="65"/>
        <v>#DIV/0!</v>
      </c>
      <c r="V83" s="439"/>
      <c r="W83" s="439"/>
      <c r="X83" s="439"/>
      <c r="Y83" s="439"/>
      <c r="Z83" s="439"/>
      <c r="AA83" s="439"/>
      <c r="AB83" s="439"/>
      <c r="AC83" s="439"/>
      <c r="AD83" s="439"/>
      <c r="AE83" s="439"/>
      <c r="AF83" s="439"/>
      <c r="AG83" s="439"/>
    </row>
    <row r="84" ht="15.75" customHeight="1">
      <c r="A84" s="439"/>
      <c r="B84" s="465"/>
      <c r="C84" s="465" t="s">
        <v>289</v>
      </c>
      <c r="D84" s="704">
        <v>315471.68999999994</v>
      </c>
      <c r="E84" s="557">
        <f t="shared" si="58"/>
        <v>0.02393427735</v>
      </c>
      <c r="F84" s="649" t="str">
        <f>75%*(F$17+#REF!+#REF!)*17.8%</f>
        <v>#REF!</v>
      </c>
      <c r="G84" s="557" t="str">
        <f t="shared" si="59"/>
        <v>#REF!</v>
      </c>
      <c r="H84" s="649" t="str">
        <f t="shared" si="60"/>
        <v>#REF!</v>
      </c>
      <c r="I84" s="562" t="str">
        <f t="shared" si="61"/>
        <v>#REF!</v>
      </c>
      <c r="J84" s="704">
        <v>323452.0</v>
      </c>
      <c r="K84" s="557">
        <f t="shared" si="66"/>
        <v>0.02397409554</v>
      </c>
      <c r="L84" s="649" t="str">
        <f>75%*(L$17+#REF!+#REF!)*17.8%</f>
        <v>#REF!</v>
      </c>
      <c r="M84" s="562" t="str">
        <f t="shared" si="56"/>
        <v>#REF!</v>
      </c>
      <c r="N84" s="649" t="str">
        <f t="shared" si="62"/>
        <v>#REF!</v>
      </c>
      <c r="O84" s="562" t="str">
        <f t="shared" si="63"/>
        <v>#REF!</v>
      </c>
      <c r="P84" s="747">
        <v>284301.0</v>
      </c>
      <c r="Q84" s="560">
        <f t="shared" si="67"/>
        <v>0.01853206969</v>
      </c>
      <c r="R84" s="649" t="str">
        <f>75%*(R$17+#REF!+#REF!)*17.8%</f>
        <v>#REF!</v>
      </c>
      <c r="S84" s="562" t="str">
        <f t="shared" si="57"/>
        <v>#REF!</v>
      </c>
      <c r="T84" s="649" t="str">
        <f t="shared" si="64"/>
        <v>#REF!</v>
      </c>
      <c r="U84" s="562" t="str">
        <f t="shared" si="65"/>
        <v>#REF!</v>
      </c>
      <c r="V84" s="439"/>
      <c r="W84" s="439"/>
      <c r="X84" s="439"/>
      <c r="Y84" s="439"/>
      <c r="Z84" s="439"/>
      <c r="AA84" s="439"/>
      <c r="AB84" s="439"/>
      <c r="AC84" s="439"/>
      <c r="AD84" s="439"/>
      <c r="AE84" s="439"/>
      <c r="AF84" s="439"/>
      <c r="AG84" s="439"/>
    </row>
    <row r="85" ht="15.75" customHeight="1">
      <c r="A85" s="439"/>
      <c r="B85" s="465"/>
      <c r="C85" s="465" t="s">
        <v>290</v>
      </c>
      <c r="D85" s="704">
        <v>157759.1</v>
      </c>
      <c r="E85" s="557">
        <f t="shared" si="58"/>
        <v>0.01196890299</v>
      </c>
      <c r="F85" s="649" t="str">
        <f>25%*(F$17+#REF!+#REF!)*14%</f>
        <v>#REF!</v>
      </c>
      <c r="G85" s="557" t="str">
        <f t="shared" si="59"/>
        <v>#REF!</v>
      </c>
      <c r="H85" s="649" t="str">
        <f t="shared" si="60"/>
        <v>#REF!</v>
      </c>
      <c r="I85" s="562" t="str">
        <f t="shared" si="61"/>
        <v>#REF!</v>
      </c>
      <c r="J85" s="704">
        <v>153513.0</v>
      </c>
      <c r="K85" s="557">
        <f t="shared" si="66"/>
        <v>0.01137830444</v>
      </c>
      <c r="L85" s="649" t="str">
        <f>25%*(L$17+#REF!+#REF!)*14%</f>
        <v>#REF!</v>
      </c>
      <c r="M85" s="562" t="str">
        <f t="shared" si="56"/>
        <v>#REF!</v>
      </c>
      <c r="N85" s="649" t="str">
        <f t="shared" si="62"/>
        <v>#REF!</v>
      </c>
      <c r="O85" s="562" t="str">
        <f t="shared" si="63"/>
        <v>#REF!</v>
      </c>
      <c r="P85" s="747">
        <v>131186.0</v>
      </c>
      <c r="Q85" s="560">
        <f t="shared" si="67"/>
        <v>0.008551317421</v>
      </c>
      <c r="R85" s="649" t="str">
        <f>25%*(R$17+#REF!+#REF!)*14%</f>
        <v>#REF!</v>
      </c>
      <c r="S85" s="562" t="str">
        <f t="shared" si="57"/>
        <v>#REF!</v>
      </c>
      <c r="T85" s="649" t="str">
        <f t="shared" si="64"/>
        <v>#REF!</v>
      </c>
      <c r="U85" s="562" t="str">
        <f t="shared" si="65"/>
        <v>#REF!</v>
      </c>
      <c r="V85" s="439"/>
      <c r="W85" s="439"/>
      <c r="X85" s="439"/>
      <c r="Y85" s="439"/>
      <c r="Z85" s="439"/>
      <c r="AA85" s="439"/>
      <c r="AB85" s="439"/>
      <c r="AC85" s="439"/>
      <c r="AD85" s="439"/>
      <c r="AE85" s="439"/>
      <c r="AF85" s="439"/>
      <c r="AG85" s="439"/>
    </row>
    <row r="86" ht="15.75" customHeight="1">
      <c r="A86" s="439"/>
      <c r="B86" s="465"/>
      <c r="C86" s="465"/>
      <c r="D86" s="704"/>
      <c r="E86" s="539"/>
      <c r="F86" s="539"/>
      <c r="G86" s="539"/>
      <c r="H86" s="539"/>
      <c r="I86" s="479"/>
      <c r="J86" s="704"/>
      <c r="K86" s="539"/>
      <c r="L86" s="539"/>
      <c r="M86" s="479"/>
      <c r="N86" s="539"/>
      <c r="O86" s="479"/>
      <c r="P86" s="739"/>
      <c r="Q86" s="575"/>
      <c r="R86" s="539"/>
      <c r="S86" s="479"/>
      <c r="T86" s="539"/>
      <c r="U86" s="479"/>
      <c r="V86" s="439"/>
      <c r="W86" s="439"/>
      <c r="X86" s="439"/>
      <c r="Y86" s="439"/>
      <c r="Z86" s="439"/>
      <c r="AA86" s="439"/>
      <c r="AB86" s="439"/>
      <c r="AC86" s="439"/>
      <c r="AD86" s="439"/>
      <c r="AE86" s="439"/>
      <c r="AF86" s="439"/>
      <c r="AG86" s="439"/>
    </row>
    <row r="87" ht="15.75" customHeight="1">
      <c r="A87" s="439"/>
      <c r="B87" s="483"/>
      <c r="C87" s="483"/>
      <c r="D87" s="705"/>
      <c r="E87" s="544"/>
      <c r="F87" s="544"/>
      <c r="G87" s="544"/>
      <c r="H87" s="544"/>
      <c r="I87" s="546"/>
      <c r="J87" s="705"/>
      <c r="K87" s="539"/>
      <c r="L87" s="539"/>
      <c r="M87" s="479"/>
      <c r="N87" s="544"/>
      <c r="O87" s="546"/>
      <c r="P87" s="731"/>
      <c r="Q87" s="575"/>
      <c r="R87" s="539"/>
      <c r="S87" s="479"/>
      <c r="T87" s="544"/>
      <c r="U87" s="546"/>
      <c r="V87" s="439"/>
      <c r="W87" s="439"/>
      <c r="X87" s="439"/>
      <c r="Y87" s="439"/>
      <c r="Z87" s="439"/>
      <c r="AA87" s="439"/>
      <c r="AB87" s="439"/>
      <c r="AC87" s="439"/>
      <c r="AD87" s="439"/>
      <c r="AE87" s="439"/>
      <c r="AF87" s="439"/>
      <c r="AG87" s="439"/>
    </row>
    <row r="88" ht="15.75" customHeight="1">
      <c r="A88" s="439"/>
      <c r="B88" s="493"/>
      <c r="C88" s="511" t="s">
        <v>216</v>
      </c>
      <c r="D88" s="668">
        <f>SUM(D89:D92)</f>
        <v>1764477.333</v>
      </c>
      <c r="E88" s="613">
        <f>D88/D$29</f>
        <v>0.1338677644</v>
      </c>
      <c r="F88" s="668">
        <f>SUM(F89:F92)</f>
        <v>1314963</v>
      </c>
      <c r="G88" s="613" t="str">
        <f>F88/F$29</f>
        <v>#DIV/0!</v>
      </c>
      <c r="H88" s="755">
        <f>SUM(H89:H92)</f>
        <v>1764477.333</v>
      </c>
      <c r="I88" s="670"/>
      <c r="J88" s="668">
        <f>SUM(J89:J92)</f>
        <v>1860691</v>
      </c>
      <c r="K88" s="757">
        <f t="shared" ref="K88:K92" si="68">J88/J$29</f>
        <v>0.1379134579</v>
      </c>
      <c r="L88" s="734">
        <f>SUM(L89:L92)</f>
        <v>0</v>
      </c>
      <c r="M88" s="580" t="str">
        <f t="shared" ref="M88:M92" si="69">L88/L$29</f>
        <v>#DIV/0!</v>
      </c>
      <c r="N88" s="755">
        <f>SUM(N89:N92)</f>
        <v>1748191</v>
      </c>
      <c r="O88" s="670"/>
      <c r="P88" s="668">
        <f>SUM(P89:P92)</f>
        <v>1975241</v>
      </c>
      <c r="Q88" s="757">
        <f t="shared" ref="Q88:Q92" si="70">P88/P$29</f>
        <v>0.1287554524</v>
      </c>
      <c r="R88" s="734">
        <f>SUM(R89:R92)</f>
        <v>0</v>
      </c>
      <c r="S88" s="580" t="str">
        <f t="shared" ref="S88:S92" si="71">R88/R$29</f>
        <v>#DIV/0!</v>
      </c>
      <c r="T88" s="755">
        <f>SUM(T89:T92)</f>
        <v>1862741</v>
      </c>
      <c r="U88" s="670"/>
      <c r="V88" s="692"/>
      <c r="W88" s="692"/>
      <c r="X88" s="692"/>
      <c r="Y88" s="692"/>
      <c r="Z88" s="692"/>
      <c r="AA88" s="692"/>
      <c r="AB88" s="692"/>
      <c r="AC88" s="692"/>
      <c r="AD88" s="692"/>
      <c r="AE88" s="692"/>
      <c r="AF88" s="692"/>
      <c r="AG88" s="692"/>
    </row>
    <row r="89" ht="15.75" customHeight="1">
      <c r="A89" s="439"/>
      <c r="B89" s="497"/>
      <c r="C89" s="497" t="s">
        <v>217</v>
      </c>
      <c r="D89" s="703">
        <v>1314963.0</v>
      </c>
      <c r="E89" s="703">
        <v>1314963.0</v>
      </c>
      <c r="F89" s="703">
        <v>1314963.0</v>
      </c>
      <c r="G89" s="703">
        <v>1314963.0</v>
      </c>
      <c r="H89" s="703">
        <v>1314963.0</v>
      </c>
      <c r="I89" s="703">
        <v>1314963.0</v>
      </c>
      <c r="J89" s="758">
        <v>1427463.0</v>
      </c>
      <c r="K89" s="557">
        <f t="shared" si="68"/>
        <v>0.1058028219</v>
      </c>
      <c r="L89" s="649"/>
      <c r="M89" s="562" t="str">
        <f t="shared" si="69"/>
        <v>#DIV/0!</v>
      </c>
      <c r="N89" s="703">
        <v>1314963.0</v>
      </c>
      <c r="O89" s="703">
        <v>1314963.0</v>
      </c>
      <c r="P89" s="756">
        <v>1427463.0</v>
      </c>
      <c r="Q89" s="560">
        <f t="shared" si="70"/>
        <v>0.09304871877</v>
      </c>
      <c r="R89" s="649"/>
      <c r="S89" s="562" t="str">
        <f t="shared" si="71"/>
        <v>#DIV/0!</v>
      </c>
      <c r="T89" s="703">
        <v>1314963.0</v>
      </c>
      <c r="U89" s="703">
        <v>1314963.0</v>
      </c>
      <c r="V89" s="439"/>
      <c r="W89" s="439"/>
      <c r="X89" s="439"/>
      <c r="Y89" s="439"/>
      <c r="Z89" s="439"/>
      <c r="AA89" s="439"/>
      <c r="AB89" s="439"/>
      <c r="AC89" s="439"/>
      <c r="AD89" s="439"/>
      <c r="AE89" s="439"/>
      <c r="AF89" s="439"/>
      <c r="AG89" s="439"/>
    </row>
    <row r="90" ht="15.75" customHeight="1">
      <c r="A90" s="439"/>
      <c r="B90" s="465"/>
      <c r="C90" s="465" t="s">
        <v>218</v>
      </c>
      <c r="D90" s="704">
        <v>422798.0</v>
      </c>
      <c r="E90" s="557">
        <f t="shared" ref="E90:E92" si="72">D90/D$29</f>
        <v>0.03207693405</v>
      </c>
      <c r="F90" s="649"/>
      <c r="G90" s="557" t="str">
        <f t="shared" ref="G90:G92" si="73">F90/F$29</f>
        <v>#DIV/0!</v>
      </c>
      <c r="H90" s="649">
        <f t="shared" ref="H90:H92" si="74">D90-F90</f>
        <v>422798</v>
      </c>
      <c r="I90" s="562" t="str">
        <f t="shared" ref="I90:I92" si="75">H90/F90</f>
        <v>#DIV/0!</v>
      </c>
      <c r="J90" s="759">
        <v>405050.0</v>
      </c>
      <c r="K90" s="557">
        <f t="shared" si="68"/>
        <v>0.03002209724</v>
      </c>
      <c r="L90" s="649"/>
      <c r="M90" s="562" t="str">
        <f t="shared" si="69"/>
        <v>#DIV/0!</v>
      </c>
      <c r="N90" s="649">
        <f t="shared" ref="N90:N92" si="76">J90-L90</f>
        <v>405050</v>
      </c>
      <c r="O90" s="562" t="str">
        <f t="shared" ref="O90:O92" si="77">N90/L90</f>
        <v>#DIV/0!</v>
      </c>
      <c r="P90" s="747">
        <v>507820.0</v>
      </c>
      <c r="Q90" s="560">
        <f t="shared" si="70"/>
        <v>0.03310208416</v>
      </c>
      <c r="R90" s="649"/>
      <c r="S90" s="562" t="str">
        <f t="shared" si="71"/>
        <v>#DIV/0!</v>
      </c>
      <c r="T90" s="649">
        <f t="shared" ref="T90:T92" si="78">P90-R90</f>
        <v>507820</v>
      </c>
      <c r="U90" s="562" t="str">
        <f t="shared" ref="U90:U92" si="79">T90/R90</f>
        <v>#DIV/0!</v>
      </c>
      <c r="V90" s="439"/>
      <c r="W90" s="439"/>
      <c r="X90" s="439"/>
      <c r="Y90" s="439"/>
      <c r="Z90" s="439"/>
      <c r="AA90" s="439"/>
      <c r="AB90" s="439"/>
      <c r="AC90" s="439"/>
      <c r="AD90" s="439"/>
      <c r="AE90" s="439"/>
      <c r="AF90" s="439"/>
      <c r="AG90" s="439"/>
    </row>
    <row r="91" ht="15.75" customHeight="1">
      <c r="A91" s="439"/>
      <c r="B91" s="465"/>
      <c r="C91" s="465" t="s">
        <v>219</v>
      </c>
      <c r="D91" s="704">
        <v>24580.0</v>
      </c>
      <c r="E91" s="557">
        <f t="shared" si="72"/>
        <v>0.001864840985</v>
      </c>
      <c r="F91" s="649"/>
      <c r="G91" s="557" t="str">
        <f t="shared" si="73"/>
        <v>#DIV/0!</v>
      </c>
      <c r="H91" s="649">
        <f t="shared" si="74"/>
        <v>24580</v>
      </c>
      <c r="I91" s="562" t="str">
        <f t="shared" si="75"/>
        <v>#DIV/0!</v>
      </c>
      <c r="J91" s="704">
        <v>25080.0</v>
      </c>
      <c r="K91" s="557">
        <f t="shared" si="68"/>
        <v>0.001858916674</v>
      </c>
      <c r="L91" s="649"/>
      <c r="M91" s="562" t="str">
        <f t="shared" si="69"/>
        <v>#DIV/0!</v>
      </c>
      <c r="N91" s="649">
        <f t="shared" si="76"/>
        <v>25080</v>
      </c>
      <c r="O91" s="562" t="str">
        <f t="shared" si="77"/>
        <v>#DIV/0!</v>
      </c>
      <c r="P91" s="747">
        <v>36860.0</v>
      </c>
      <c r="Q91" s="560">
        <f t="shared" si="70"/>
        <v>0.002402707302</v>
      </c>
      <c r="R91" s="649"/>
      <c r="S91" s="562" t="str">
        <f t="shared" si="71"/>
        <v>#DIV/0!</v>
      </c>
      <c r="T91" s="649">
        <f t="shared" si="78"/>
        <v>36860</v>
      </c>
      <c r="U91" s="562" t="str">
        <f t="shared" si="79"/>
        <v>#DIV/0!</v>
      </c>
      <c r="V91" s="439"/>
      <c r="W91" s="439"/>
      <c r="X91" s="439"/>
      <c r="Y91" s="439"/>
      <c r="Z91" s="439"/>
      <c r="AA91" s="439"/>
      <c r="AB91" s="439"/>
      <c r="AC91" s="439"/>
      <c r="AD91" s="439"/>
      <c r="AE91" s="439"/>
      <c r="AF91" s="439"/>
      <c r="AG91" s="439"/>
    </row>
    <row r="92" ht="15.75" customHeight="1">
      <c r="A92" s="439"/>
      <c r="B92" s="465"/>
      <c r="C92" s="465" t="s">
        <v>220</v>
      </c>
      <c r="D92" s="704">
        <v>2136.333333333333</v>
      </c>
      <c r="E92" s="557">
        <f t="shared" si="72"/>
        <v>0.0001620798193</v>
      </c>
      <c r="F92" s="539"/>
      <c r="G92" s="557" t="str">
        <f t="shared" si="73"/>
        <v>#DIV/0!</v>
      </c>
      <c r="H92" s="649">
        <f t="shared" si="74"/>
        <v>2136.333333</v>
      </c>
      <c r="I92" s="562" t="str">
        <f t="shared" si="75"/>
        <v>#DIV/0!</v>
      </c>
      <c r="J92" s="704">
        <v>3098.0</v>
      </c>
      <c r="K92" s="557">
        <f t="shared" si="68"/>
        <v>0.0002296221633</v>
      </c>
      <c r="L92" s="539"/>
      <c r="M92" s="562" t="str">
        <f t="shared" si="69"/>
        <v>#DIV/0!</v>
      </c>
      <c r="N92" s="649">
        <f t="shared" si="76"/>
        <v>3098</v>
      </c>
      <c r="O92" s="562" t="str">
        <f t="shared" si="77"/>
        <v>#DIV/0!</v>
      </c>
      <c r="P92" s="747">
        <v>3098.0</v>
      </c>
      <c r="Q92" s="560">
        <f t="shared" si="70"/>
        <v>0.0002019421384</v>
      </c>
      <c r="R92" s="539"/>
      <c r="S92" s="562" t="str">
        <f t="shared" si="71"/>
        <v>#DIV/0!</v>
      </c>
      <c r="T92" s="649">
        <f t="shared" si="78"/>
        <v>3098</v>
      </c>
      <c r="U92" s="562" t="str">
        <f t="shared" si="79"/>
        <v>#DIV/0!</v>
      </c>
      <c r="V92" s="439"/>
      <c r="W92" s="439"/>
      <c r="X92" s="439"/>
      <c r="Y92" s="439"/>
      <c r="Z92" s="439"/>
      <c r="AA92" s="439"/>
      <c r="AB92" s="439"/>
      <c r="AC92" s="439"/>
      <c r="AD92" s="439"/>
      <c r="AE92" s="439"/>
      <c r="AF92" s="439"/>
      <c r="AG92" s="439"/>
    </row>
    <row r="93" ht="15.75" customHeight="1">
      <c r="A93" s="439"/>
      <c r="B93" s="483"/>
      <c r="C93" s="754"/>
      <c r="D93" s="705"/>
      <c r="E93" s="544"/>
      <c r="F93" s="544"/>
      <c r="G93" s="544"/>
      <c r="H93" s="544"/>
      <c r="I93" s="546"/>
      <c r="J93" s="705"/>
      <c r="K93" s="539"/>
      <c r="L93" s="539"/>
      <c r="M93" s="479"/>
      <c r="N93" s="544"/>
      <c r="O93" s="546"/>
      <c r="P93" s="731"/>
      <c r="Q93" s="575"/>
      <c r="R93" s="539"/>
      <c r="S93" s="479"/>
      <c r="T93" s="544"/>
      <c r="U93" s="546"/>
      <c r="V93" s="439"/>
      <c r="W93" s="439"/>
      <c r="X93" s="439"/>
      <c r="Y93" s="439"/>
      <c r="Z93" s="439"/>
      <c r="AA93" s="439"/>
      <c r="AB93" s="439"/>
      <c r="AC93" s="439"/>
      <c r="AD93" s="439"/>
      <c r="AE93" s="439"/>
      <c r="AF93" s="439"/>
      <c r="AG93" s="439"/>
    </row>
    <row r="94" ht="15.75" customHeight="1">
      <c r="A94" s="439"/>
      <c r="B94" s="493"/>
      <c r="C94" s="511" t="s">
        <v>37</v>
      </c>
      <c r="D94" s="668">
        <f>SUM(D95:D103)</f>
        <v>3210265.167</v>
      </c>
      <c r="E94" s="613">
        <f t="shared" ref="E94:E97" si="80">D94/D$29</f>
        <v>0.2435571219</v>
      </c>
      <c r="F94" s="668">
        <f>SUM(F95:F103)</f>
        <v>0</v>
      </c>
      <c r="G94" s="613" t="str">
        <f t="shared" ref="G94:G97" si="81">F94/F$29</f>
        <v>#DIV/0!</v>
      </c>
      <c r="H94" s="755">
        <f>SUM(H95:H102)</f>
        <v>3210265.167</v>
      </c>
      <c r="I94" s="670"/>
      <c r="J94" s="668">
        <f>SUM(J95:J103)</f>
        <v>3247335.417</v>
      </c>
      <c r="K94" s="757">
        <f t="shared" ref="K94:K97" si="82">J94/J$29</f>
        <v>0.2406908274</v>
      </c>
      <c r="L94" s="734">
        <f>SUM(L95:L103)</f>
        <v>0</v>
      </c>
      <c r="M94" s="580" t="str">
        <f t="shared" ref="M94:M97" si="83">L94/L$29</f>
        <v>#DIV/0!</v>
      </c>
      <c r="N94" s="755">
        <f>SUM(N95:N102)</f>
        <v>3242335.417</v>
      </c>
      <c r="O94" s="670"/>
      <c r="P94" s="668">
        <f>SUM(P95:P103)</f>
        <v>3306182</v>
      </c>
      <c r="Q94" s="757">
        <f t="shared" ref="Q94:Q97" si="84">P94/P$29</f>
        <v>0.2155124155</v>
      </c>
      <c r="R94" s="734">
        <f>SUM(R95:R103)</f>
        <v>0</v>
      </c>
      <c r="S94" s="580" t="str">
        <f t="shared" ref="S94:S97" si="85">R94/R$29</f>
        <v>#DIV/0!</v>
      </c>
      <c r="T94" s="755">
        <f>SUM(T95:T102)</f>
        <v>3306182</v>
      </c>
      <c r="U94" s="670"/>
      <c r="V94" s="692"/>
      <c r="W94" s="692"/>
      <c r="X94" s="692"/>
      <c r="Y94" s="692"/>
      <c r="Z94" s="692"/>
      <c r="AA94" s="692"/>
      <c r="AB94" s="692"/>
      <c r="AC94" s="692"/>
      <c r="AD94" s="692"/>
      <c r="AE94" s="692"/>
      <c r="AF94" s="692"/>
      <c r="AG94" s="692"/>
    </row>
    <row r="95" ht="15.75" customHeight="1">
      <c r="A95" s="439"/>
      <c r="B95" s="497"/>
      <c r="C95" s="497" t="s">
        <v>221</v>
      </c>
      <c r="D95" s="750">
        <v>0.0</v>
      </c>
      <c r="E95" s="552">
        <f t="shared" si="80"/>
        <v>0</v>
      </c>
      <c r="F95" s="646"/>
      <c r="G95" s="552" t="str">
        <f t="shared" si="81"/>
        <v>#DIV/0!</v>
      </c>
      <c r="H95" s="646">
        <f t="shared" ref="H95:H97" si="86">D95-F95</f>
        <v>0</v>
      </c>
      <c r="I95" s="556"/>
      <c r="J95" s="760">
        <v>0.0</v>
      </c>
      <c r="K95" s="557">
        <f t="shared" si="82"/>
        <v>0</v>
      </c>
      <c r="L95" s="649"/>
      <c r="M95" s="562" t="str">
        <f t="shared" si="83"/>
        <v>#DIV/0!</v>
      </c>
      <c r="N95" s="646">
        <f t="shared" ref="N95:N97" si="87">J95-L95</f>
        <v>0</v>
      </c>
      <c r="O95" s="556"/>
      <c r="P95" s="761">
        <v>0.0</v>
      </c>
      <c r="Q95" s="560">
        <f t="shared" si="84"/>
        <v>0</v>
      </c>
      <c r="R95" s="649"/>
      <c r="S95" s="562" t="str">
        <f t="shared" si="85"/>
        <v>#DIV/0!</v>
      </c>
      <c r="T95" s="646">
        <f t="shared" ref="T95:T97" si="88">P95-R95</f>
        <v>0</v>
      </c>
      <c r="U95" s="556"/>
      <c r="V95" s="439"/>
      <c r="W95" s="439"/>
      <c r="X95" s="439"/>
      <c r="Y95" s="439"/>
      <c r="Z95" s="439"/>
      <c r="AA95" s="439"/>
      <c r="AB95" s="439"/>
      <c r="AC95" s="439"/>
      <c r="AD95" s="439"/>
      <c r="AE95" s="439"/>
      <c r="AF95" s="439"/>
      <c r="AG95" s="439"/>
    </row>
    <row r="96" ht="15.75" customHeight="1">
      <c r="A96" s="439"/>
      <c r="B96" s="465"/>
      <c r="C96" s="465" t="s">
        <v>222</v>
      </c>
      <c r="D96" s="704">
        <v>3083552.1666666665</v>
      </c>
      <c r="E96" s="557">
        <f t="shared" si="80"/>
        <v>0.2339436314</v>
      </c>
      <c r="F96" s="649"/>
      <c r="G96" s="557" t="str">
        <f t="shared" si="81"/>
        <v>#DIV/0!</v>
      </c>
      <c r="H96" s="649">
        <f t="shared" si="86"/>
        <v>3083552.167</v>
      </c>
      <c r="I96" s="562" t="str">
        <f>H96/F96</f>
        <v>#DIV/0!</v>
      </c>
      <c r="J96" s="704">
        <v>3115370.4166666665</v>
      </c>
      <c r="K96" s="560">
        <f t="shared" si="82"/>
        <v>0.2309096497</v>
      </c>
      <c r="L96" s="649"/>
      <c r="M96" s="562" t="str">
        <f t="shared" si="83"/>
        <v>#DIV/0!</v>
      </c>
      <c r="N96" s="649">
        <f t="shared" si="87"/>
        <v>3115370.417</v>
      </c>
      <c r="O96" s="562" t="str">
        <f>N96/L96</f>
        <v>#DIV/0!</v>
      </c>
      <c r="P96" s="519">
        <v>3143777.0</v>
      </c>
      <c r="Q96" s="560">
        <f t="shared" si="84"/>
        <v>0.2049260975</v>
      </c>
      <c r="R96" s="649"/>
      <c r="S96" s="562" t="str">
        <f t="shared" si="85"/>
        <v>#DIV/0!</v>
      </c>
      <c r="T96" s="649">
        <f t="shared" si="88"/>
        <v>3143777</v>
      </c>
      <c r="U96" s="562" t="str">
        <f>T96/R96</f>
        <v>#DIV/0!</v>
      </c>
      <c r="V96" s="439"/>
      <c r="W96" s="439"/>
      <c r="X96" s="439"/>
      <c r="Y96" s="439"/>
      <c r="Z96" s="439"/>
      <c r="AA96" s="439"/>
      <c r="AB96" s="439"/>
      <c r="AC96" s="439"/>
      <c r="AD96" s="439"/>
      <c r="AE96" s="439"/>
      <c r="AF96" s="439"/>
      <c r="AG96" s="439"/>
    </row>
    <row r="97" ht="15.75" customHeight="1">
      <c r="A97" s="439"/>
      <c r="B97" s="465"/>
      <c r="C97" s="465" t="s">
        <v>223</v>
      </c>
      <c r="D97" s="704">
        <v>3628.0</v>
      </c>
      <c r="E97" s="557">
        <f t="shared" si="80"/>
        <v>0.0002752499225</v>
      </c>
      <c r="F97" s="649"/>
      <c r="G97" s="557" t="str">
        <f t="shared" si="81"/>
        <v>#DIV/0!</v>
      </c>
      <c r="H97" s="649">
        <f t="shared" si="86"/>
        <v>3628</v>
      </c>
      <c r="I97" s="562"/>
      <c r="J97" s="748">
        <v>0.0</v>
      </c>
      <c r="K97" s="557">
        <f t="shared" si="82"/>
        <v>0</v>
      </c>
      <c r="L97" s="649"/>
      <c r="M97" s="562" t="str">
        <f t="shared" si="83"/>
        <v>#DIV/0!</v>
      </c>
      <c r="N97" s="649">
        <f t="shared" si="87"/>
        <v>0</v>
      </c>
      <c r="O97" s="562"/>
      <c r="P97" s="749">
        <v>0.0</v>
      </c>
      <c r="Q97" s="560">
        <f t="shared" si="84"/>
        <v>0</v>
      </c>
      <c r="R97" s="649"/>
      <c r="S97" s="562" t="str">
        <f t="shared" si="85"/>
        <v>#DIV/0!</v>
      </c>
      <c r="T97" s="649">
        <f t="shared" si="88"/>
        <v>0</v>
      </c>
      <c r="U97" s="562"/>
      <c r="V97" s="439"/>
      <c r="W97" s="439"/>
      <c r="X97" s="439"/>
      <c r="Y97" s="439"/>
      <c r="Z97" s="439"/>
      <c r="AA97" s="439"/>
      <c r="AB97" s="439"/>
      <c r="AC97" s="439"/>
      <c r="AD97" s="439"/>
      <c r="AE97" s="439"/>
      <c r="AF97" s="439"/>
      <c r="AG97" s="439"/>
    </row>
    <row r="98" ht="15.75" customHeight="1">
      <c r="A98" s="439"/>
      <c r="B98" s="465"/>
      <c r="C98" s="762" t="s">
        <v>303</v>
      </c>
      <c r="D98" s="748">
        <v>0.0</v>
      </c>
      <c r="E98" s="557"/>
      <c r="F98" s="649"/>
      <c r="G98" s="557"/>
      <c r="H98" s="649"/>
      <c r="I98" s="562"/>
      <c r="J98" s="763">
        <v>5000.0</v>
      </c>
      <c r="K98" s="560"/>
      <c r="L98" s="649"/>
      <c r="M98" s="562"/>
      <c r="N98" s="649"/>
      <c r="O98" s="562"/>
      <c r="P98" s="749">
        <v>0.0</v>
      </c>
      <c r="Q98" s="560"/>
      <c r="R98" s="649"/>
      <c r="S98" s="562"/>
      <c r="T98" s="649"/>
      <c r="U98" s="562"/>
      <c r="V98" s="439"/>
      <c r="W98" s="439"/>
      <c r="X98" s="439"/>
      <c r="Y98" s="439"/>
      <c r="Z98" s="439"/>
      <c r="AA98" s="439"/>
      <c r="AB98" s="439"/>
      <c r="AC98" s="439"/>
      <c r="AD98" s="439"/>
      <c r="AE98" s="439"/>
      <c r="AF98" s="439"/>
      <c r="AG98" s="439"/>
    </row>
    <row r="99" ht="15.75" customHeight="1">
      <c r="A99" s="439"/>
      <c r="B99" s="465"/>
      <c r="C99" s="465" t="s">
        <v>225</v>
      </c>
      <c r="D99" s="704">
        <v>118179.0</v>
      </c>
      <c r="E99" s="557">
        <f t="shared" ref="E99:E103" si="89">D99/D$29</f>
        <v>0.008966031033</v>
      </c>
      <c r="F99" s="649"/>
      <c r="G99" s="557" t="str">
        <f t="shared" ref="G99:G103" si="90">F99/F$29</f>
        <v>#DIV/0!</v>
      </c>
      <c r="H99" s="649">
        <f t="shared" ref="H99:H102" si="91">D99-F99</f>
        <v>118179</v>
      </c>
      <c r="I99" s="562" t="str">
        <f>H99/F99</f>
        <v>#DIV/0!</v>
      </c>
      <c r="J99" s="704">
        <v>119684.0</v>
      </c>
      <c r="K99" s="560">
        <f t="shared" ref="K99:K103" si="92">J99/J$29</f>
        <v>0.008870916396</v>
      </c>
      <c r="L99" s="649"/>
      <c r="M99" s="562" t="str">
        <f t="shared" ref="M99:M103" si="93">L99/L$29</f>
        <v>#DIV/0!</v>
      </c>
      <c r="N99" s="649">
        <f t="shared" ref="N99:N102" si="94">J99-L99</f>
        <v>119684</v>
      </c>
      <c r="O99" s="562" t="str">
        <f>N99/L99</f>
        <v>#DIV/0!</v>
      </c>
      <c r="P99" s="506">
        <v>154400.0</v>
      </c>
      <c r="Q99" s="560">
        <f t="shared" ref="Q99:Q103" si="95">P99/P$29</f>
        <v>0.01006451458</v>
      </c>
      <c r="R99" s="649"/>
      <c r="S99" s="562" t="str">
        <f t="shared" ref="S99:S103" si="96">R99/R$29</f>
        <v>#DIV/0!</v>
      </c>
      <c r="T99" s="649">
        <f t="shared" ref="T99:T102" si="97">P99-R99</f>
        <v>154400</v>
      </c>
      <c r="U99" s="562" t="str">
        <f>T99/R99</f>
        <v>#DIV/0!</v>
      </c>
      <c r="V99" s="439"/>
      <c r="W99" s="439"/>
      <c r="X99" s="439"/>
      <c r="Y99" s="439"/>
      <c r="Z99" s="439"/>
      <c r="AA99" s="439"/>
      <c r="AB99" s="439"/>
      <c r="AC99" s="439"/>
      <c r="AD99" s="439"/>
      <c r="AE99" s="439"/>
      <c r="AF99" s="439"/>
      <c r="AG99" s="439"/>
    </row>
    <row r="100" ht="15.75" customHeight="1">
      <c r="A100" s="439"/>
      <c r="B100" s="465"/>
      <c r="C100" s="465" t="s">
        <v>226</v>
      </c>
      <c r="D100" s="748">
        <v>0.0</v>
      </c>
      <c r="E100" s="557">
        <f t="shared" si="89"/>
        <v>0</v>
      </c>
      <c r="F100" s="649"/>
      <c r="G100" s="557" t="str">
        <f t="shared" si="90"/>
        <v>#DIV/0!</v>
      </c>
      <c r="H100" s="649">
        <f t="shared" si="91"/>
        <v>0</v>
      </c>
      <c r="I100" s="562"/>
      <c r="J100" s="748">
        <v>0.0</v>
      </c>
      <c r="K100" s="557">
        <f t="shared" si="92"/>
        <v>0</v>
      </c>
      <c r="L100" s="649"/>
      <c r="M100" s="562" t="str">
        <f t="shared" si="93"/>
        <v>#DIV/0!</v>
      </c>
      <c r="N100" s="649">
        <f t="shared" si="94"/>
        <v>0</v>
      </c>
      <c r="O100" s="562"/>
      <c r="P100" s="749">
        <v>0.0</v>
      </c>
      <c r="Q100" s="560">
        <f t="shared" si="95"/>
        <v>0</v>
      </c>
      <c r="R100" s="649"/>
      <c r="S100" s="562" t="str">
        <f t="shared" si="96"/>
        <v>#DIV/0!</v>
      </c>
      <c r="T100" s="649">
        <f t="shared" si="97"/>
        <v>0</v>
      </c>
      <c r="U100" s="562"/>
      <c r="V100" s="439"/>
      <c r="W100" s="439"/>
      <c r="X100" s="439"/>
      <c r="Y100" s="439"/>
      <c r="Z100" s="439"/>
      <c r="AA100" s="439"/>
      <c r="AB100" s="439"/>
      <c r="AC100" s="439"/>
      <c r="AD100" s="439"/>
      <c r="AE100" s="439"/>
      <c r="AF100" s="439"/>
      <c r="AG100" s="439"/>
    </row>
    <row r="101" ht="15.75" customHeight="1">
      <c r="A101" s="439"/>
      <c r="B101" s="465"/>
      <c r="C101" s="465" t="s">
        <v>227</v>
      </c>
      <c r="D101" s="704">
        <v>4906.0</v>
      </c>
      <c r="E101" s="557">
        <f t="shared" si="89"/>
        <v>0.0003722095148</v>
      </c>
      <c r="F101" s="649"/>
      <c r="G101" s="557" t="str">
        <f t="shared" si="90"/>
        <v>#DIV/0!</v>
      </c>
      <c r="H101" s="649">
        <f t="shared" si="91"/>
        <v>4906</v>
      </c>
      <c r="I101" s="562"/>
      <c r="J101" s="704">
        <v>7281.0</v>
      </c>
      <c r="K101" s="557">
        <f t="shared" si="92"/>
        <v>0.0005396639675</v>
      </c>
      <c r="L101" s="649"/>
      <c r="M101" s="562" t="str">
        <f t="shared" si="93"/>
        <v>#DIV/0!</v>
      </c>
      <c r="N101" s="649">
        <f t="shared" si="94"/>
        <v>7281</v>
      </c>
      <c r="O101" s="562"/>
      <c r="P101" s="747">
        <v>8005.0</v>
      </c>
      <c r="Q101" s="560">
        <f t="shared" si="95"/>
        <v>0.0005218033629</v>
      </c>
      <c r="R101" s="649"/>
      <c r="S101" s="562" t="str">
        <f t="shared" si="96"/>
        <v>#DIV/0!</v>
      </c>
      <c r="T101" s="649">
        <f t="shared" si="97"/>
        <v>8005</v>
      </c>
      <c r="U101" s="562"/>
      <c r="V101" s="439"/>
      <c r="W101" s="439"/>
      <c r="X101" s="439"/>
      <c r="Y101" s="439"/>
      <c r="Z101" s="439"/>
      <c r="AA101" s="439"/>
      <c r="AB101" s="439"/>
      <c r="AC101" s="439"/>
      <c r="AD101" s="439"/>
      <c r="AE101" s="439"/>
      <c r="AF101" s="439"/>
      <c r="AG101" s="439"/>
    </row>
    <row r="102" ht="15.75" customHeight="1">
      <c r="A102" s="439"/>
      <c r="B102" s="465"/>
      <c r="C102" s="465" t="s">
        <v>228</v>
      </c>
      <c r="D102" s="748">
        <v>0.0</v>
      </c>
      <c r="E102" s="557">
        <f t="shared" si="89"/>
        <v>0</v>
      </c>
      <c r="F102" s="539"/>
      <c r="G102" s="557" t="str">
        <f t="shared" si="90"/>
        <v>#DIV/0!</v>
      </c>
      <c r="H102" s="649">
        <f t="shared" si="91"/>
        <v>0</v>
      </c>
      <c r="I102" s="562"/>
      <c r="J102" s="748">
        <v>0.0</v>
      </c>
      <c r="K102" s="557">
        <f t="shared" si="92"/>
        <v>0</v>
      </c>
      <c r="L102" s="539"/>
      <c r="M102" s="562" t="str">
        <f t="shared" si="93"/>
        <v>#DIV/0!</v>
      </c>
      <c r="N102" s="649">
        <f t="shared" si="94"/>
        <v>0</v>
      </c>
      <c r="O102" s="562"/>
      <c r="P102" s="749">
        <v>0.0</v>
      </c>
      <c r="Q102" s="560">
        <f t="shared" si="95"/>
        <v>0</v>
      </c>
      <c r="R102" s="539"/>
      <c r="S102" s="562" t="str">
        <f t="shared" si="96"/>
        <v>#DIV/0!</v>
      </c>
      <c r="T102" s="649">
        <f t="shared" si="97"/>
        <v>0</v>
      </c>
      <c r="U102" s="562"/>
      <c r="V102" s="439"/>
      <c r="W102" s="439"/>
      <c r="X102" s="439"/>
      <c r="Y102" s="439"/>
      <c r="Z102" s="439"/>
      <c r="AA102" s="439"/>
      <c r="AB102" s="439"/>
      <c r="AC102" s="439"/>
      <c r="AD102" s="439"/>
      <c r="AE102" s="439"/>
      <c r="AF102" s="439"/>
      <c r="AG102" s="439"/>
    </row>
    <row r="103" ht="15.75" customHeight="1">
      <c r="A103" s="439"/>
      <c r="B103" s="465"/>
      <c r="C103" s="764" t="s">
        <v>276</v>
      </c>
      <c r="D103" s="748">
        <v>0.0</v>
      </c>
      <c r="E103" s="557">
        <f t="shared" si="89"/>
        <v>0</v>
      </c>
      <c r="F103" s="649"/>
      <c r="G103" s="557" t="str">
        <f t="shared" si="90"/>
        <v>#DIV/0!</v>
      </c>
      <c r="H103" s="539"/>
      <c r="I103" s="479"/>
      <c r="J103" s="748">
        <v>0.0</v>
      </c>
      <c r="K103" s="557">
        <f t="shared" si="92"/>
        <v>0</v>
      </c>
      <c r="L103" s="649"/>
      <c r="M103" s="562" t="str">
        <f t="shared" si="93"/>
        <v>#DIV/0!</v>
      </c>
      <c r="N103" s="539"/>
      <c r="O103" s="479"/>
      <c r="P103" s="749">
        <v>0.0</v>
      </c>
      <c r="Q103" s="560">
        <f t="shared" si="95"/>
        <v>0</v>
      </c>
      <c r="R103" s="649"/>
      <c r="S103" s="562" t="str">
        <f t="shared" si="96"/>
        <v>#DIV/0!</v>
      </c>
      <c r="T103" s="539"/>
      <c r="U103" s="479"/>
      <c r="V103" s="439"/>
      <c r="W103" s="439"/>
      <c r="X103" s="439"/>
      <c r="Y103" s="439"/>
      <c r="Z103" s="439"/>
      <c r="AA103" s="439"/>
      <c r="AB103" s="439"/>
      <c r="AC103" s="439"/>
      <c r="AD103" s="439"/>
      <c r="AE103" s="439"/>
      <c r="AF103" s="439"/>
      <c r="AG103" s="439"/>
    </row>
    <row r="104" ht="15.75" customHeight="1">
      <c r="A104" s="439"/>
      <c r="B104" s="483"/>
      <c r="C104" s="754"/>
      <c r="D104" s="705"/>
      <c r="E104" s="544"/>
      <c r="F104" s="544"/>
      <c r="G104" s="544"/>
      <c r="H104" s="544"/>
      <c r="I104" s="546"/>
      <c r="J104" s="705"/>
      <c r="K104" s="539"/>
      <c r="L104" s="539"/>
      <c r="M104" s="479"/>
      <c r="N104" s="544"/>
      <c r="O104" s="546"/>
      <c r="P104" s="731"/>
      <c r="Q104" s="575"/>
      <c r="R104" s="539"/>
      <c r="S104" s="479"/>
      <c r="T104" s="544"/>
      <c r="U104" s="546"/>
      <c r="V104" s="439"/>
      <c r="W104" s="439"/>
      <c r="X104" s="439"/>
      <c r="Y104" s="439"/>
      <c r="Z104" s="439"/>
      <c r="AA104" s="439"/>
      <c r="AB104" s="439"/>
      <c r="AC104" s="439"/>
      <c r="AD104" s="439"/>
      <c r="AE104" s="439"/>
      <c r="AF104" s="439"/>
      <c r="AG104" s="439"/>
    </row>
    <row r="105" ht="15.75" customHeight="1">
      <c r="A105" s="439"/>
      <c r="B105" s="493"/>
      <c r="C105" s="511" t="s">
        <v>38</v>
      </c>
      <c r="D105" s="668">
        <f>SUM(D106)</f>
        <v>26165</v>
      </c>
      <c r="E105" s="613">
        <f t="shared" ref="E105:E106" si="98">D105/D$29</f>
        <v>0.001985092123</v>
      </c>
      <c r="F105" s="668">
        <f>SUM(F106)</f>
        <v>0</v>
      </c>
      <c r="G105" s="613" t="str">
        <f>F105/F$29</f>
        <v>#DIV/0!</v>
      </c>
      <c r="H105" s="755">
        <f>SUM(H106)</f>
        <v>26165</v>
      </c>
      <c r="I105" s="670"/>
      <c r="J105" s="668">
        <f>SUM(J106)</f>
        <v>7508</v>
      </c>
      <c r="K105" s="757">
        <f t="shared" ref="K105:K106" si="99">J105/J$29</f>
        <v>0.0005564890905</v>
      </c>
      <c r="L105" s="734">
        <f>SUM(L106)</f>
        <v>0</v>
      </c>
      <c r="M105" s="580" t="str">
        <f>L105/L$29</f>
        <v>#DIV/0!</v>
      </c>
      <c r="N105" s="755">
        <f>SUM(N106)</f>
        <v>7508</v>
      </c>
      <c r="O105" s="670"/>
      <c r="P105" s="668">
        <f>SUM(P106)</f>
        <v>25075</v>
      </c>
      <c r="Q105" s="757">
        <f t="shared" ref="Q105:Q106" si="100">P105/P$29</f>
        <v>0.001634505849</v>
      </c>
      <c r="R105" s="734">
        <f>SUM(R106)</f>
        <v>0</v>
      </c>
      <c r="S105" s="580" t="str">
        <f>R105/R$29</f>
        <v>#DIV/0!</v>
      </c>
      <c r="T105" s="755">
        <f>SUM(T106)</f>
        <v>25075</v>
      </c>
      <c r="U105" s="670"/>
      <c r="V105" s="692"/>
      <c r="W105" s="692"/>
      <c r="X105" s="692"/>
      <c r="Y105" s="692"/>
      <c r="Z105" s="692"/>
      <c r="AA105" s="692"/>
      <c r="AB105" s="692"/>
      <c r="AC105" s="692"/>
      <c r="AD105" s="692"/>
      <c r="AE105" s="692"/>
      <c r="AF105" s="692"/>
      <c r="AG105" s="692"/>
    </row>
    <row r="106" ht="15.75" customHeight="1">
      <c r="A106" s="439"/>
      <c r="B106" s="497"/>
      <c r="C106" s="497" t="s">
        <v>277</v>
      </c>
      <c r="D106" s="758">
        <v>26165.0</v>
      </c>
      <c r="E106" s="552">
        <f t="shared" si="98"/>
        <v>0.001985092123</v>
      </c>
      <c r="F106" s="646"/>
      <c r="G106" s="552">
        <v>0.016</v>
      </c>
      <c r="H106" s="646">
        <f>D106-F106</f>
        <v>26165</v>
      </c>
      <c r="I106" s="556" t="str">
        <f>H106/F106</f>
        <v>#DIV/0!</v>
      </c>
      <c r="J106" s="758">
        <v>7508.0</v>
      </c>
      <c r="K106" s="557">
        <f t="shared" si="99"/>
        <v>0.0005564890905</v>
      </c>
      <c r="L106" s="649"/>
      <c r="M106" s="562">
        <v>0.016</v>
      </c>
      <c r="N106" s="646">
        <f>J106-L106</f>
        <v>7508</v>
      </c>
      <c r="O106" s="556" t="str">
        <f>N106/L106</f>
        <v>#DIV/0!</v>
      </c>
      <c r="P106" s="756">
        <v>25075.0</v>
      </c>
      <c r="Q106" s="560">
        <f t="shared" si="100"/>
        <v>0.001634505849</v>
      </c>
      <c r="R106" s="649"/>
      <c r="S106" s="562">
        <v>0.016</v>
      </c>
      <c r="T106" s="646">
        <f>P106-R106</f>
        <v>25075</v>
      </c>
      <c r="U106" s="556" t="str">
        <f>T106/R106</f>
        <v>#DIV/0!</v>
      </c>
      <c r="V106" s="439"/>
      <c r="W106" s="439"/>
      <c r="X106" s="439"/>
      <c r="Y106" s="439"/>
      <c r="Z106" s="439"/>
      <c r="AA106" s="439"/>
      <c r="AB106" s="439"/>
      <c r="AC106" s="439"/>
      <c r="AD106" s="439"/>
      <c r="AE106" s="439"/>
      <c r="AF106" s="439"/>
      <c r="AG106" s="439"/>
    </row>
    <row r="107" ht="15.75" customHeight="1">
      <c r="A107" s="439"/>
      <c r="B107" s="483"/>
      <c r="C107" s="483"/>
      <c r="D107" s="705"/>
      <c r="E107" s="544"/>
      <c r="F107" s="544"/>
      <c r="G107" s="544"/>
      <c r="H107" s="544"/>
      <c r="I107" s="546"/>
      <c r="J107" s="705"/>
      <c r="K107" s="539"/>
      <c r="L107" s="539"/>
      <c r="M107" s="479"/>
      <c r="N107" s="544"/>
      <c r="O107" s="546"/>
      <c r="P107" s="731"/>
      <c r="Q107" s="575"/>
      <c r="R107" s="539"/>
      <c r="S107" s="479"/>
      <c r="T107" s="544"/>
      <c r="U107" s="546"/>
      <c r="V107" s="439"/>
      <c r="W107" s="439"/>
      <c r="X107" s="439"/>
      <c r="Y107" s="439"/>
      <c r="Z107" s="439"/>
      <c r="AA107" s="439"/>
      <c r="AB107" s="439"/>
      <c r="AC107" s="439"/>
      <c r="AD107" s="439"/>
      <c r="AE107" s="439"/>
      <c r="AF107" s="439"/>
      <c r="AG107" s="439"/>
    </row>
    <row r="108" ht="15.75" customHeight="1">
      <c r="A108" s="439"/>
      <c r="B108" s="493"/>
      <c r="C108" s="511" t="s">
        <v>235</v>
      </c>
      <c r="D108" s="668">
        <f>SUM(D109:D110)</f>
        <v>63685.33333</v>
      </c>
      <c r="E108" s="668">
        <f t="shared" ref="E108:E109" si="101">D108/D$29</f>
        <v>0.004831693237</v>
      </c>
      <c r="F108" s="668"/>
      <c r="G108" s="668" t="str">
        <f>F108/F$29</f>
        <v>#DIV/0!</v>
      </c>
      <c r="H108" s="668">
        <f>SUM(H109:H110)</f>
        <v>63685.33333</v>
      </c>
      <c r="I108" s="668"/>
      <c r="J108" s="668">
        <f>SUM(J109:J110)</f>
        <v>63685.33333</v>
      </c>
      <c r="K108" s="757">
        <f t="shared" ref="K108:K110" si="102">J108/J$29</f>
        <v>0.004720324084</v>
      </c>
      <c r="L108" s="734"/>
      <c r="M108" s="580" t="str">
        <f>L108/L$29</f>
        <v>#DIV/0!</v>
      </c>
      <c r="N108" s="668">
        <f>SUM(N109:N110)</f>
        <v>63685.33333</v>
      </c>
      <c r="O108" s="668"/>
      <c r="P108" s="668">
        <f>SUM(P109:P110)</f>
        <v>76151</v>
      </c>
      <c r="Q108" s="757">
        <f t="shared" ref="Q108:Q110" si="103">P108/P$29</f>
        <v>0.004963878561</v>
      </c>
      <c r="R108" s="734"/>
      <c r="S108" s="580" t="str">
        <f>R108/R$29</f>
        <v>#DIV/0!</v>
      </c>
      <c r="T108" s="668">
        <f>SUM(T109:T110)</f>
        <v>64852.33333</v>
      </c>
      <c r="U108" s="668"/>
      <c r="V108" s="692"/>
      <c r="W108" s="692"/>
      <c r="X108" s="692"/>
      <c r="Y108" s="692"/>
      <c r="Z108" s="692"/>
      <c r="AA108" s="692"/>
      <c r="AB108" s="692"/>
      <c r="AC108" s="692"/>
      <c r="AD108" s="692"/>
      <c r="AE108" s="692"/>
      <c r="AF108" s="692"/>
      <c r="AG108" s="692"/>
    </row>
    <row r="109" ht="15.75" customHeight="1">
      <c r="A109" s="439"/>
      <c r="B109" s="497"/>
      <c r="C109" s="497" t="s">
        <v>236</v>
      </c>
      <c r="D109" s="748">
        <v>0.0</v>
      </c>
      <c r="E109" s="748">
        <f t="shared" si="101"/>
        <v>0</v>
      </c>
      <c r="F109" s="748"/>
      <c r="G109" s="748"/>
      <c r="H109" s="748">
        <f>D109-F109</f>
        <v>0</v>
      </c>
      <c r="I109" s="748" t="str">
        <f>H109/F109</f>
        <v>#DIV/0!</v>
      </c>
      <c r="J109" s="748">
        <v>0.0</v>
      </c>
      <c r="K109" s="557">
        <f t="shared" si="102"/>
        <v>0</v>
      </c>
      <c r="L109" s="539"/>
      <c r="M109" s="479"/>
      <c r="N109" s="703">
        <f>J109-L109</f>
        <v>0</v>
      </c>
      <c r="O109" s="703" t="str">
        <f>N109/L109</f>
        <v>#DIV/0!</v>
      </c>
      <c r="P109" s="756">
        <v>1167.0</v>
      </c>
      <c r="Q109" s="560">
        <f t="shared" si="103"/>
        <v>0.00007607052148</v>
      </c>
      <c r="R109" s="539"/>
      <c r="S109" s="479"/>
      <c r="T109" s="703">
        <f>P109-R109</f>
        <v>1167</v>
      </c>
      <c r="U109" s="703" t="str">
        <f>T109/R109</f>
        <v>#DIV/0!</v>
      </c>
      <c r="V109" s="439"/>
      <c r="W109" s="439"/>
      <c r="X109" s="439"/>
      <c r="Y109" s="439"/>
      <c r="Z109" s="439"/>
      <c r="AA109" s="439"/>
      <c r="AB109" s="439"/>
      <c r="AC109" s="439"/>
      <c r="AD109" s="439"/>
      <c r="AE109" s="439"/>
      <c r="AF109" s="439"/>
      <c r="AG109" s="439"/>
    </row>
    <row r="110" ht="15.75" customHeight="1">
      <c r="A110" s="439"/>
      <c r="B110" s="465"/>
      <c r="C110" s="465" t="s">
        <v>304</v>
      </c>
      <c r="D110" s="704">
        <v>63685.333333333336</v>
      </c>
      <c r="E110" s="704">
        <v>63685.333333333336</v>
      </c>
      <c r="F110" s="704">
        <v>63685.333333333336</v>
      </c>
      <c r="G110" s="704">
        <v>63685.333333333336</v>
      </c>
      <c r="H110" s="704">
        <v>63685.333333333336</v>
      </c>
      <c r="I110" s="704">
        <v>63685.333333333336</v>
      </c>
      <c r="J110" s="704">
        <v>63685.333333333336</v>
      </c>
      <c r="K110" s="557">
        <f t="shared" si="102"/>
        <v>0.004720324084</v>
      </c>
      <c r="L110" s="765"/>
      <c r="M110" s="562" t="str">
        <f>L110/L$29</f>
        <v>#DIV/0!</v>
      </c>
      <c r="N110" s="704">
        <v>63685.333333333336</v>
      </c>
      <c r="O110" s="704">
        <v>63685.333333333336</v>
      </c>
      <c r="P110" s="747">
        <v>74984.0</v>
      </c>
      <c r="Q110" s="560">
        <f t="shared" si="103"/>
        <v>0.00488780804</v>
      </c>
      <c r="R110" s="765"/>
      <c r="S110" s="562" t="str">
        <f>R110/R$29</f>
        <v>#DIV/0!</v>
      </c>
      <c r="T110" s="704">
        <v>63685.333333333336</v>
      </c>
      <c r="U110" s="704">
        <v>63685.333333333336</v>
      </c>
      <c r="V110" s="439"/>
      <c r="W110" s="439"/>
      <c r="X110" s="439"/>
      <c r="Y110" s="439"/>
      <c r="Z110" s="439"/>
      <c r="AA110" s="439"/>
      <c r="AB110" s="439"/>
      <c r="AC110" s="439"/>
      <c r="AD110" s="439"/>
      <c r="AE110" s="439"/>
      <c r="AF110" s="439"/>
      <c r="AG110" s="439"/>
    </row>
    <row r="111" ht="15.75" customHeight="1">
      <c r="A111" s="439"/>
      <c r="B111" s="483"/>
      <c r="C111" s="483"/>
      <c r="D111" s="705"/>
      <c r="E111" s="705"/>
      <c r="F111" s="705"/>
      <c r="G111" s="705"/>
      <c r="H111" s="705"/>
      <c r="I111" s="705"/>
      <c r="J111" s="705"/>
      <c r="K111" s="539"/>
      <c r="L111" s="539"/>
      <c r="M111" s="479"/>
      <c r="N111" s="705"/>
      <c r="O111" s="705"/>
      <c r="P111" s="731"/>
      <c r="Q111" s="575"/>
      <c r="R111" s="539"/>
      <c r="S111" s="479"/>
      <c r="T111" s="705"/>
      <c r="U111" s="705"/>
      <c r="V111" s="439"/>
      <c r="W111" s="439"/>
      <c r="X111" s="439"/>
      <c r="Y111" s="439"/>
      <c r="Z111" s="439"/>
      <c r="AA111" s="439"/>
      <c r="AB111" s="439"/>
      <c r="AC111" s="439"/>
      <c r="AD111" s="439"/>
      <c r="AE111" s="439"/>
      <c r="AF111" s="439"/>
      <c r="AG111" s="439"/>
    </row>
    <row r="112" ht="15.75" customHeight="1">
      <c r="A112" s="439"/>
      <c r="B112" s="493"/>
      <c r="C112" s="511" t="s">
        <v>40</v>
      </c>
      <c r="D112" s="668">
        <f>SUM(D113:D126)</f>
        <v>526135</v>
      </c>
      <c r="E112" s="668">
        <f t="shared" ref="E112:E114" si="104">D112/D$29</f>
        <v>0.03991692888</v>
      </c>
      <c r="F112" s="668"/>
      <c r="G112" s="668" t="str">
        <f t="shared" ref="G112:G114" si="105">F112/F$29</f>
        <v>#DIV/0!</v>
      </c>
      <c r="H112" s="668">
        <f>SUM(H113:H125)</f>
        <v>435549</v>
      </c>
      <c r="I112" s="668"/>
      <c r="J112" s="668">
        <f>SUM(J113:J126)</f>
        <v>435531.75</v>
      </c>
      <c r="K112" s="757">
        <f t="shared" ref="K112:K126" si="106">J112/J$29</f>
        <v>0.03228138884</v>
      </c>
      <c r="L112" s="734"/>
      <c r="M112" s="580" t="str">
        <f t="shared" ref="M112:M126" si="107">L112/L$29</f>
        <v>#DIV/0!</v>
      </c>
      <c r="N112" s="668">
        <f>SUM(N113:N125)</f>
        <v>366646.75</v>
      </c>
      <c r="O112" s="668"/>
      <c r="P112" s="668">
        <f>SUM(P113:P126)</f>
        <v>602257</v>
      </c>
      <c r="Q112" s="757">
        <f t="shared" ref="Q112:Q126" si="108">P112/P$29</f>
        <v>0.03925792978</v>
      </c>
      <c r="R112" s="734"/>
      <c r="S112" s="580" t="str">
        <f t="shared" ref="S112:S126" si="109">R112/R$29</f>
        <v>#DIV/0!</v>
      </c>
      <c r="T112" s="668">
        <f>SUM(T113:T125)</f>
        <v>387587.75</v>
      </c>
      <c r="U112" s="668"/>
      <c r="V112" s="692"/>
      <c r="W112" s="692"/>
      <c r="X112" s="692"/>
      <c r="Y112" s="692"/>
      <c r="Z112" s="692"/>
      <c r="AA112" s="692"/>
      <c r="AB112" s="692"/>
      <c r="AC112" s="692"/>
      <c r="AD112" s="692"/>
      <c r="AE112" s="692"/>
      <c r="AF112" s="692"/>
      <c r="AG112" s="692"/>
    </row>
    <row r="113" ht="15.75" customHeight="1">
      <c r="A113" s="439"/>
      <c r="B113" s="497"/>
      <c r="C113" s="497" t="s">
        <v>238</v>
      </c>
      <c r="D113" s="748">
        <v>0.0</v>
      </c>
      <c r="E113" s="703">
        <f t="shared" si="104"/>
        <v>0</v>
      </c>
      <c r="F113" s="703"/>
      <c r="G113" s="703" t="str">
        <f t="shared" si="105"/>
        <v>#DIV/0!</v>
      </c>
      <c r="H113" s="703">
        <f t="shared" ref="H113:H114" si="110">D113-F113</f>
        <v>0</v>
      </c>
      <c r="I113" s="703" t="str">
        <f t="shared" ref="I113:I114" si="111">H113/F113</f>
        <v>#DIV/0!</v>
      </c>
      <c r="J113" s="748">
        <v>0.0</v>
      </c>
      <c r="K113" s="557">
        <f t="shared" si="106"/>
        <v>0</v>
      </c>
      <c r="L113" s="649"/>
      <c r="M113" s="562" t="str">
        <f t="shared" si="107"/>
        <v>#DIV/0!</v>
      </c>
      <c r="N113" s="703">
        <f t="shared" ref="N113:N114" si="112">J113-L113</f>
        <v>0</v>
      </c>
      <c r="O113" s="703" t="str">
        <f t="shared" ref="O113:O114" si="113">N113/L113</f>
        <v>#DIV/0!</v>
      </c>
      <c r="P113" s="752">
        <v>0.0</v>
      </c>
      <c r="Q113" s="560">
        <f t="shared" si="108"/>
        <v>0</v>
      </c>
      <c r="R113" s="649"/>
      <c r="S113" s="562" t="str">
        <f t="shared" si="109"/>
        <v>#DIV/0!</v>
      </c>
      <c r="T113" s="703">
        <f t="shared" ref="T113:T114" si="114">P113-R113</f>
        <v>0</v>
      </c>
      <c r="U113" s="703" t="str">
        <f t="shared" ref="U113:U114" si="115">T113/R113</f>
        <v>#DIV/0!</v>
      </c>
      <c r="V113" s="439"/>
      <c r="W113" s="439"/>
      <c r="X113" s="439"/>
      <c r="Y113" s="439"/>
      <c r="Z113" s="439"/>
      <c r="AA113" s="439"/>
      <c r="AB113" s="439"/>
      <c r="AC113" s="439"/>
      <c r="AD113" s="439"/>
      <c r="AE113" s="439"/>
      <c r="AF113" s="439"/>
      <c r="AG113" s="439"/>
    </row>
    <row r="114" ht="15.75" customHeight="1">
      <c r="A114" s="439"/>
      <c r="B114" s="465"/>
      <c r="C114" s="465" t="s">
        <v>239</v>
      </c>
      <c r="D114" s="704">
        <v>3423.0</v>
      </c>
      <c r="E114" s="704">
        <f t="shared" si="104"/>
        <v>0.0002596969362</v>
      </c>
      <c r="F114" s="704"/>
      <c r="G114" s="704" t="str">
        <f t="shared" si="105"/>
        <v>#DIV/0!</v>
      </c>
      <c r="H114" s="704">
        <f t="shared" si="110"/>
        <v>3423</v>
      </c>
      <c r="I114" s="704" t="str">
        <f t="shared" si="111"/>
        <v>#DIV/0!</v>
      </c>
      <c r="J114" s="704">
        <v>3654.0</v>
      </c>
      <c r="K114" s="557">
        <f t="shared" si="106"/>
        <v>0.0002708325968</v>
      </c>
      <c r="L114" s="649"/>
      <c r="M114" s="562" t="str">
        <f t="shared" si="107"/>
        <v>#DIV/0!</v>
      </c>
      <c r="N114" s="704">
        <f t="shared" si="112"/>
        <v>3654</v>
      </c>
      <c r="O114" s="704" t="str">
        <f t="shared" si="113"/>
        <v>#DIV/0!</v>
      </c>
      <c r="P114" s="747">
        <v>5470.0</v>
      </c>
      <c r="Q114" s="560">
        <f t="shared" si="108"/>
        <v>0.0003565601992</v>
      </c>
      <c r="R114" s="649"/>
      <c r="S114" s="562" t="str">
        <f t="shared" si="109"/>
        <v>#DIV/0!</v>
      </c>
      <c r="T114" s="704">
        <f t="shared" si="114"/>
        <v>5470</v>
      </c>
      <c r="U114" s="704" t="str">
        <f t="shared" si="115"/>
        <v>#DIV/0!</v>
      </c>
      <c r="V114" s="439"/>
      <c r="W114" s="439"/>
      <c r="X114" s="439"/>
      <c r="Y114" s="439"/>
      <c r="Z114" s="439"/>
      <c r="AA114" s="439"/>
      <c r="AB114" s="439"/>
      <c r="AC114" s="439"/>
      <c r="AD114" s="439"/>
      <c r="AE114" s="439"/>
      <c r="AF114" s="439"/>
      <c r="AG114" s="439"/>
    </row>
    <row r="115" ht="15.75" customHeight="1">
      <c r="A115" s="439"/>
      <c r="B115" s="465"/>
      <c r="C115" s="465" t="s">
        <v>240</v>
      </c>
      <c r="D115" s="704">
        <v>95043.75</v>
      </c>
      <c r="E115" s="704">
        <v>95043.75</v>
      </c>
      <c r="F115" s="704">
        <v>95043.75</v>
      </c>
      <c r="G115" s="704">
        <v>95043.75</v>
      </c>
      <c r="H115" s="704">
        <v>95043.75</v>
      </c>
      <c r="I115" s="704">
        <v>95043.75</v>
      </c>
      <c r="J115" s="704">
        <v>95043.75</v>
      </c>
      <c r="K115" s="557">
        <f t="shared" si="106"/>
        <v>0.007044593766</v>
      </c>
      <c r="L115" s="649"/>
      <c r="M115" s="562" t="str">
        <f t="shared" si="107"/>
        <v>#DIV/0!</v>
      </c>
      <c r="N115" s="704">
        <v>95043.75</v>
      </c>
      <c r="O115" s="704">
        <v>95043.75</v>
      </c>
      <c r="P115" s="747">
        <v>95044.0</v>
      </c>
      <c r="Q115" s="560">
        <f t="shared" si="108"/>
        <v>0.006195412719</v>
      </c>
      <c r="R115" s="649"/>
      <c r="S115" s="562" t="str">
        <f t="shared" si="109"/>
        <v>#DIV/0!</v>
      </c>
      <c r="T115" s="704">
        <v>95043.75</v>
      </c>
      <c r="U115" s="704">
        <v>95043.75</v>
      </c>
      <c r="V115" s="439"/>
      <c r="W115" s="439"/>
      <c r="X115" s="439"/>
      <c r="Y115" s="439"/>
      <c r="Z115" s="439"/>
      <c r="AA115" s="439"/>
      <c r="AB115" s="439"/>
      <c r="AC115" s="439"/>
      <c r="AD115" s="439"/>
      <c r="AE115" s="439"/>
      <c r="AF115" s="439"/>
      <c r="AG115" s="439"/>
    </row>
    <row r="116" ht="15.75" customHeight="1">
      <c r="A116" s="439"/>
      <c r="B116" s="465"/>
      <c r="C116" s="465" t="s">
        <v>305</v>
      </c>
      <c r="D116" s="704">
        <v>27333.0</v>
      </c>
      <c r="E116" s="704">
        <v>27333.0</v>
      </c>
      <c r="F116" s="704">
        <v>27333.0</v>
      </c>
      <c r="G116" s="704">
        <v>27333.0</v>
      </c>
      <c r="H116" s="704">
        <v>27333.0</v>
      </c>
      <c r="I116" s="704">
        <v>27333.0</v>
      </c>
      <c r="J116" s="704">
        <v>27333.0</v>
      </c>
      <c r="K116" s="557">
        <f t="shared" si="106"/>
        <v>0.002025907873</v>
      </c>
      <c r="L116" s="649"/>
      <c r="M116" s="562" t="str">
        <f t="shared" si="107"/>
        <v>#DIV/0!</v>
      </c>
      <c r="N116" s="704">
        <v>27333.0</v>
      </c>
      <c r="O116" s="704">
        <v>27333.0</v>
      </c>
      <c r="P116" s="747">
        <v>27333.0</v>
      </c>
      <c r="Q116" s="560">
        <f t="shared" si="108"/>
        <v>0.001781692857</v>
      </c>
      <c r="R116" s="649"/>
      <c r="S116" s="562" t="str">
        <f t="shared" si="109"/>
        <v>#DIV/0!</v>
      </c>
      <c r="T116" s="704">
        <v>27333.0</v>
      </c>
      <c r="U116" s="704">
        <v>27333.0</v>
      </c>
      <c r="V116" s="439"/>
      <c r="W116" s="439"/>
      <c r="X116" s="439"/>
      <c r="Y116" s="439"/>
      <c r="Z116" s="439"/>
      <c r="AA116" s="439"/>
      <c r="AB116" s="439"/>
      <c r="AC116" s="439"/>
      <c r="AD116" s="439"/>
      <c r="AE116" s="439"/>
      <c r="AF116" s="439"/>
      <c r="AG116" s="439"/>
    </row>
    <row r="117" ht="15.75" customHeight="1">
      <c r="A117" s="439"/>
      <c r="B117" s="465"/>
      <c r="C117" s="465" t="s">
        <v>292</v>
      </c>
      <c r="D117" s="748">
        <v>0.0</v>
      </c>
      <c r="E117" s="748">
        <f t="shared" ref="E117:E122" si="116">D117/D$29</f>
        <v>0</v>
      </c>
      <c r="F117" s="748"/>
      <c r="G117" s="748" t="str">
        <f t="shared" ref="G117:G122" si="117">F117/F$29</f>
        <v>#DIV/0!</v>
      </c>
      <c r="H117" s="748">
        <f t="shared" ref="H117:H118" si="118">D117-F117</f>
        <v>0</v>
      </c>
      <c r="I117" s="748" t="str">
        <f t="shared" ref="I117:I118" si="119">H117/F117</f>
        <v>#DIV/0!</v>
      </c>
      <c r="J117" s="748">
        <v>0.0</v>
      </c>
      <c r="K117" s="557">
        <f t="shared" si="106"/>
        <v>0</v>
      </c>
      <c r="L117" s="649"/>
      <c r="M117" s="562" t="str">
        <f t="shared" si="107"/>
        <v>#DIV/0!</v>
      </c>
      <c r="N117" s="704">
        <f t="shared" ref="N117:N118" si="120">J117-L117</f>
        <v>0</v>
      </c>
      <c r="O117" s="704" t="str">
        <f t="shared" ref="O117:O118" si="121">N117/L117</f>
        <v>#DIV/0!</v>
      </c>
      <c r="P117" s="752">
        <v>0.0</v>
      </c>
      <c r="Q117" s="560">
        <f t="shared" si="108"/>
        <v>0</v>
      </c>
      <c r="R117" s="649"/>
      <c r="S117" s="562" t="str">
        <f t="shared" si="109"/>
        <v>#DIV/0!</v>
      </c>
      <c r="T117" s="704">
        <f t="shared" ref="T117:T118" si="122">P117-R117</f>
        <v>0</v>
      </c>
      <c r="U117" s="704" t="str">
        <f t="shared" ref="U117:U118" si="123">T117/R117</f>
        <v>#DIV/0!</v>
      </c>
      <c r="V117" s="439"/>
      <c r="W117" s="439"/>
      <c r="X117" s="439"/>
      <c r="Y117" s="439"/>
      <c r="Z117" s="439"/>
      <c r="AA117" s="439"/>
      <c r="AB117" s="439"/>
      <c r="AC117" s="439"/>
      <c r="AD117" s="439"/>
      <c r="AE117" s="439"/>
      <c r="AF117" s="439"/>
      <c r="AG117" s="439"/>
    </row>
    <row r="118" ht="15.75" customHeight="1">
      <c r="A118" s="439"/>
      <c r="B118" s="465"/>
      <c r="C118" s="465" t="s">
        <v>244</v>
      </c>
      <c r="D118" s="759">
        <v>237489.0</v>
      </c>
      <c r="E118" s="704">
        <f t="shared" si="116"/>
        <v>0.01801786903</v>
      </c>
      <c r="F118" s="704"/>
      <c r="G118" s="704" t="str">
        <f t="shared" si="117"/>
        <v>#DIV/0!</v>
      </c>
      <c r="H118" s="704">
        <f t="shared" si="118"/>
        <v>237489</v>
      </c>
      <c r="I118" s="704" t="str">
        <f t="shared" si="119"/>
        <v>#DIV/0!</v>
      </c>
      <c r="J118" s="759">
        <v>44972.0</v>
      </c>
      <c r="K118" s="557">
        <f t="shared" si="106"/>
        <v>0.003333301462</v>
      </c>
      <c r="L118" s="649"/>
      <c r="M118" s="562" t="str">
        <f t="shared" si="107"/>
        <v>#DIV/0!</v>
      </c>
      <c r="N118" s="704">
        <f t="shared" si="120"/>
        <v>44972</v>
      </c>
      <c r="O118" s="704" t="str">
        <f t="shared" si="121"/>
        <v>#DIV/0!</v>
      </c>
      <c r="P118" s="747">
        <v>111055.0</v>
      </c>
      <c r="Q118" s="560">
        <f t="shared" si="108"/>
        <v>0.00723908463</v>
      </c>
      <c r="R118" s="649"/>
      <c r="S118" s="562" t="str">
        <f t="shared" si="109"/>
        <v>#DIV/0!</v>
      </c>
      <c r="T118" s="704">
        <f t="shared" si="122"/>
        <v>111055</v>
      </c>
      <c r="U118" s="704" t="str">
        <f t="shared" si="123"/>
        <v>#DIV/0!</v>
      </c>
      <c r="V118" s="439"/>
      <c r="W118" s="439"/>
      <c r="X118" s="439"/>
      <c r="Y118" s="439"/>
      <c r="Z118" s="439"/>
      <c r="AA118" s="439"/>
      <c r="AB118" s="439"/>
      <c r="AC118" s="439"/>
      <c r="AD118" s="439"/>
      <c r="AE118" s="439"/>
      <c r="AF118" s="439"/>
      <c r="AG118" s="439"/>
    </row>
    <row r="119" ht="15.75" customHeight="1">
      <c r="A119" s="439"/>
      <c r="B119" s="465"/>
      <c r="C119" s="465" t="s">
        <v>243</v>
      </c>
      <c r="D119" s="759">
        <v>69886.0</v>
      </c>
      <c r="E119" s="704">
        <f t="shared" si="116"/>
        <v>0.005302126814</v>
      </c>
      <c r="F119" s="704"/>
      <c r="G119" s="704" t="str">
        <f t="shared" si="117"/>
        <v>#DIV/0!</v>
      </c>
      <c r="H119" s="704"/>
      <c r="I119" s="704"/>
      <c r="J119" s="759">
        <v>47685.0</v>
      </c>
      <c r="K119" s="557">
        <f t="shared" si="106"/>
        <v>0.003534387624</v>
      </c>
      <c r="L119" s="649"/>
      <c r="M119" s="562" t="str">
        <f t="shared" si="107"/>
        <v>#DIV/0!</v>
      </c>
      <c r="N119" s="704"/>
      <c r="O119" s="704"/>
      <c r="P119" s="747">
        <v>47685.0</v>
      </c>
      <c r="Q119" s="560">
        <f t="shared" si="108"/>
        <v>0.003108331463</v>
      </c>
      <c r="R119" s="649"/>
      <c r="S119" s="562" t="str">
        <f t="shared" si="109"/>
        <v>#DIV/0!</v>
      </c>
      <c r="T119" s="704"/>
      <c r="U119" s="704"/>
      <c r="V119" s="439"/>
      <c r="W119" s="439"/>
      <c r="X119" s="439"/>
      <c r="Y119" s="439"/>
      <c r="Z119" s="439"/>
      <c r="AA119" s="439"/>
      <c r="AB119" s="439"/>
      <c r="AC119" s="439"/>
      <c r="AD119" s="439"/>
      <c r="AE119" s="439"/>
      <c r="AF119" s="439"/>
      <c r="AG119" s="439"/>
    </row>
    <row r="120" ht="15.75" customHeight="1">
      <c r="A120" s="439"/>
      <c r="B120" s="465"/>
      <c r="C120" s="465" t="s">
        <v>246</v>
      </c>
      <c r="D120" s="704">
        <v>3315.0</v>
      </c>
      <c r="E120" s="704">
        <f t="shared" si="116"/>
        <v>0.0002515031679</v>
      </c>
      <c r="F120" s="704"/>
      <c r="G120" s="704" t="str">
        <f t="shared" si="117"/>
        <v>#DIV/0!</v>
      </c>
      <c r="H120" s="704">
        <f t="shared" ref="H120:H122" si="124">D120-F120</f>
        <v>3315</v>
      </c>
      <c r="I120" s="704" t="str">
        <f t="shared" ref="I120:I122" si="125">H120/F120</f>
        <v>#DIV/0!</v>
      </c>
      <c r="J120" s="704">
        <v>3315.0</v>
      </c>
      <c r="K120" s="557">
        <f t="shared" si="106"/>
        <v>0.0002457060915</v>
      </c>
      <c r="L120" s="649"/>
      <c r="M120" s="562" t="str">
        <f t="shared" si="107"/>
        <v>#DIV/0!</v>
      </c>
      <c r="N120" s="704">
        <f t="shared" ref="N120:N122" si="126">J120-L120</f>
        <v>3315</v>
      </c>
      <c r="O120" s="704" t="str">
        <f t="shared" ref="O120:O122" si="127">N120/L120</f>
        <v>#DIV/0!</v>
      </c>
      <c r="P120" s="747">
        <v>10105.0</v>
      </c>
      <c r="Q120" s="560">
        <f t="shared" si="108"/>
        <v>0.0006586911907</v>
      </c>
      <c r="R120" s="649"/>
      <c r="S120" s="562" t="str">
        <f t="shared" si="109"/>
        <v>#DIV/0!</v>
      </c>
      <c r="T120" s="704">
        <f t="shared" ref="T120:T122" si="128">P120-R120</f>
        <v>10105</v>
      </c>
      <c r="U120" s="704" t="str">
        <f t="shared" ref="U120:U122" si="129">T120/R120</f>
        <v>#DIV/0!</v>
      </c>
      <c r="V120" s="439"/>
      <c r="W120" s="439"/>
      <c r="X120" s="439"/>
      <c r="Y120" s="439"/>
      <c r="Z120" s="439"/>
      <c r="AA120" s="439"/>
      <c r="AB120" s="439"/>
      <c r="AC120" s="439"/>
      <c r="AD120" s="439"/>
      <c r="AE120" s="439"/>
      <c r="AF120" s="439"/>
      <c r="AG120" s="439"/>
    </row>
    <row r="121" ht="15.75" customHeight="1">
      <c r="A121" s="439"/>
      <c r="B121" s="465"/>
      <c r="C121" s="465" t="s">
        <v>247</v>
      </c>
      <c r="D121" s="704">
        <v>28806.0</v>
      </c>
      <c r="E121" s="704">
        <f t="shared" si="116"/>
        <v>0.002185460107</v>
      </c>
      <c r="F121" s="704"/>
      <c r="G121" s="704" t="str">
        <f t="shared" si="117"/>
        <v>#DIV/0!</v>
      </c>
      <c r="H121" s="704">
        <f t="shared" si="124"/>
        <v>28806</v>
      </c>
      <c r="I121" s="704" t="str">
        <f t="shared" si="125"/>
        <v>#DIV/0!</v>
      </c>
      <c r="J121" s="704">
        <v>29900.0</v>
      </c>
      <c r="K121" s="557">
        <f t="shared" si="106"/>
        <v>0.00221617259</v>
      </c>
      <c r="L121" s="649"/>
      <c r="M121" s="562" t="str">
        <f t="shared" si="107"/>
        <v>#DIV/0!</v>
      </c>
      <c r="N121" s="704">
        <f t="shared" si="126"/>
        <v>29900</v>
      </c>
      <c r="O121" s="704" t="str">
        <f t="shared" si="127"/>
        <v>#DIV/0!</v>
      </c>
      <c r="P121" s="747">
        <v>32664.0</v>
      </c>
      <c r="Q121" s="560">
        <f t="shared" si="108"/>
        <v>0.002129192385</v>
      </c>
      <c r="R121" s="649"/>
      <c r="S121" s="562" t="str">
        <f t="shared" si="109"/>
        <v>#DIV/0!</v>
      </c>
      <c r="T121" s="704">
        <f t="shared" si="128"/>
        <v>32664</v>
      </c>
      <c r="U121" s="704" t="str">
        <f t="shared" si="129"/>
        <v>#DIV/0!</v>
      </c>
      <c r="V121" s="439"/>
      <c r="W121" s="439"/>
      <c r="X121" s="439"/>
      <c r="Y121" s="439"/>
      <c r="Z121" s="439"/>
      <c r="AA121" s="439"/>
      <c r="AB121" s="439"/>
      <c r="AC121" s="439"/>
      <c r="AD121" s="439"/>
      <c r="AE121" s="439"/>
      <c r="AF121" s="439"/>
      <c r="AG121" s="439"/>
    </row>
    <row r="122" ht="15.75" customHeight="1">
      <c r="A122" s="439"/>
      <c r="B122" s="465"/>
      <c r="C122" s="465" t="s">
        <v>248</v>
      </c>
      <c r="D122" s="704">
        <v>4009.25</v>
      </c>
      <c r="E122" s="704">
        <f t="shared" si="116"/>
        <v>0.0003041746835</v>
      </c>
      <c r="F122" s="704"/>
      <c r="G122" s="704" t="str">
        <f t="shared" si="117"/>
        <v>#DIV/0!</v>
      </c>
      <c r="H122" s="704">
        <f t="shared" si="124"/>
        <v>4009.25</v>
      </c>
      <c r="I122" s="704" t="str">
        <f t="shared" si="125"/>
        <v>#DIV/0!</v>
      </c>
      <c r="J122" s="704">
        <v>126599.0</v>
      </c>
      <c r="K122" s="557">
        <f t="shared" si="106"/>
        <v>0.009383452632</v>
      </c>
      <c r="L122" s="649"/>
      <c r="M122" s="562" t="str">
        <f t="shared" si="107"/>
        <v>#DIV/0!</v>
      </c>
      <c r="N122" s="704">
        <f t="shared" si="126"/>
        <v>126599</v>
      </c>
      <c r="O122" s="704" t="str">
        <f t="shared" si="127"/>
        <v>#DIV/0!</v>
      </c>
      <c r="P122" s="747">
        <v>69787.0</v>
      </c>
      <c r="Q122" s="560">
        <f t="shared" si="108"/>
        <v>0.004549043258</v>
      </c>
      <c r="R122" s="649"/>
      <c r="S122" s="562" t="str">
        <f t="shared" si="109"/>
        <v>#DIV/0!</v>
      </c>
      <c r="T122" s="704">
        <f t="shared" si="128"/>
        <v>69787</v>
      </c>
      <c r="U122" s="704" t="str">
        <f t="shared" si="129"/>
        <v>#DIV/0!</v>
      </c>
      <c r="V122" s="439"/>
      <c r="W122" s="439"/>
      <c r="X122" s="439"/>
      <c r="Y122" s="439"/>
      <c r="Z122" s="439"/>
      <c r="AA122" s="439"/>
      <c r="AB122" s="439"/>
      <c r="AC122" s="439"/>
      <c r="AD122" s="439"/>
      <c r="AE122" s="439"/>
      <c r="AF122" s="439"/>
      <c r="AG122" s="439"/>
    </row>
    <row r="123" ht="15.75" customHeight="1">
      <c r="A123" s="439"/>
      <c r="B123" s="465"/>
      <c r="C123" s="465" t="s">
        <v>249</v>
      </c>
      <c r="D123" s="704">
        <v>21830.0</v>
      </c>
      <c r="E123" s="704">
        <v>21830.0</v>
      </c>
      <c r="F123" s="704">
        <v>21830.0</v>
      </c>
      <c r="G123" s="704">
        <v>21830.0</v>
      </c>
      <c r="H123" s="704">
        <v>21830.0</v>
      </c>
      <c r="I123" s="704">
        <v>21830.0</v>
      </c>
      <c r="J123" s="704">
        <v>21830.0</v>
      </c>
      <c r="K123" s="557">
        <f t="shared" si="106"/>
        <v>0.001618028349</v>
      </c>
      <c r="L123" s="649"/>
      <c r="M123" s="562" t="str">
        <f t="shared" si="107"/>
        <v>#DIV/0!</v>
      </c>
      <c r="N123" s="704">
        <v>21830.0</v>
      </c>
      <c r="O123" s="704">
        <v>21830.0</v>
      </c>
      <c r="P123" s="747">
        <v>21830.0</v>
      </c>
      <c r="Q123" s="560">
        <f t="shared" si="108"/>
        <v>0.001422981563</v>
      </c>
      <c r="R123" s="649"/>
      <c r="S123" s="562" t="str">
        <f t="shared" si="109"/>
        <v>#DIV/0!</v>
      </c>
      <c r="T123" s="704">
        <v>21830.0</v>
      </c>
      <c r="U123" s="704">
        <v>21830.0</v>
      </c>
      <c r="V123" s="439"/>
      <c r="W123" s="439"/>
      <c r="X123" s="439"/>
      <c r="Y123" s="439"/>
      <c r="Z123" s="439"/>
      <c r="AA123" s="439"/>
      <c r="AB123" s="439"/>
      <c r="AC123" s="439"/>
      <c r="AD123" s="439"/>
      <c r="AE123" s="439"/>
      <c r="AF123" s="439"/>
      <c r="AG123" s="439"/>
    </row>
    <row r="124" ht="15.75" customHeight="1">
      <c r="A124" s="439"/>
      <c r="B124" s="465"/>
      <c r="C124" s="465" t="s">
        <v>306</v>
      </c>
      <c r="D124" s="748">
        <v>0.0</v>
      </c>
      <c r="E124" s="748">
        <f t="shared" ref="E124:E126" si="130">D124/D$29</f>
        <v>0</v>
      </c>
      <c r="F124" s="748"/>
      <c r="G124" s="748" t="str">
        <f t="shared" ref="G124:G126" si="131">F124/F$29</f>
        <v>#DIV/0!</v>
      </c>
      <c r="H124" s="748">
        <f t="shared" ref="H124:H125" si="132">D124-F124</f>
        <v>0</v>
      </c>
      <c r="I124" s="748" t="str">
        <f t="shared" ref="I124:I125" si="133">H124/F124</f>
        <v>#DIV/0!</v>
      </c>
      <c r="J124" s="748">
        <v>0.0</v>
      </c>
      <c r="K124" s="557">
        <f t="shared" si="106"/>
        <v>0</v>
      </c>
      <c r="L124" s="649"/>
      <c r="M124" s="562" t="str">
        <f t="shared" si="107"/>
        <v>#DIV/0!</v>
      </c>
      <c r="N124" s="704">
        <f t="shared" ref="N124:N125" si="134">J124-L124</f>
        <v>0</v>
      </c>
      <c r="O124" s="704" t="str">
        <f t="shared" ref="O124:O125" si="135">N124/L124</f>
        <v>#DIV/0!</v>
      </c>
      <c r="P124" s="752">
        <v>0.0</v>
      </c>
      <c r="Q124" s="560">
        <f t="shared" si="108"/>
        <v>0</v>
      </c>
      <c r="R124" s="649"/>
      <c r="S124" s="562" t="str">
        <f t="shared" si="109"/>
        <v>#DIV/0!</v>
      </c>
      <c r="T124" s="704">
        <f t="shared" ref="T124:T125" si="136">P124-R124</f>
        <v>0</v>
      </c>
      <c r="U124" s="704" t="str">
        <f t="shared" ref="U124:U125" si="137">T124/R124</f>
        <v>#DIV/0!</v>
      </c>
      <c r="V124" s="439"/>
      <c r="W124" s="439"/>
      <c r="X124" s="439"/>
      <c r="Y124" s="439"/>
      <c r="Z124" s="439"/>
      <c r="AA124" s="439"/>
      <c r="AB124" s="439"/>
      <c r="AC124" s="439"/>
      <c r="AD124" s="439"/>
      <c r="AE124" s="439"/>
      <c r="AF124" s="439"/>
      <c r="AG124" s="439"/>
    </row>
    <row r="125" ht="15.75" customHeight="1">
      <c r="A125" s="439"/>
      <c r="B125" s="465"/>
      <c r="C125" s="465" t="s">
        <v>281</v>
      </c>
      <c r="D125" s="704">
        <v>14300.0</v>
      </c>
      <c r="E125" s="704">
        <f t="shared" si="130"/>
        <v>0.001084915626</v>
      </c>
      <c r="F125" s="704"/>
      <c r="G125" s="704" t="str">
        <f t="shared" si="131"/>
        <v>#DIV/0!</v>
      </c>
      <c r="H125" s="704">
        <f t="shared" si="132"/>
        <v>14300</v>
      </c>
      <c r="I125" s="704" t="str">
        <f t="shared" si="133"/>
        <v>#DIV/0!</v>
      </c>
      <c r="J125" s="704">
        <v>14000.0</v>
      </c>
      <c r="K125" s="557">
        <f t="shared" si="106"/>
        <v>0.001037672785</v>
      </c>
      <c r="L125" s="649"/>
      <c r="M125" s="562" t="str">
        <f t="shared" si="107"/>
        <v>#DIV/0!</v>
      </c>
      <c r="N125" s="704">
        <f t="shared" si="134"/>
        <v>14000</v>
      </c>
      <c r="O125" s="704" t="str">
        <f t="shared" si="135"/>
        <v>#DIV/0!</v>
      </c>
      <c r="P125" s="737">
        <v>14300.0</v>
      </c>
      <c r="Q125" s="560">
        <f t="shared" si="108"/>
        <v>0.000932140923</v>
      </c>
      <c r="R125" s="649"/>
      <c r="S125" s="562" t="str">
        <f t="shared" si="109"/>
        <v>#DIV/0!</v>
      </c>
      <c r="T125" s="704">
        <f t="shared" si="136"/>
        <v>14300</v>
      </c>
      <c r="U125" s="704" t="str">
        <f t="shared" si="137"/>
        <v>#DIV/0!</v>
      </c>
      <c r="V125" s="439"/>
      <c r="W125" s="439"/>
      <c r="X125" s="439"/>
      <c r="Y125" s="439"/>
      <c r="Z125" s="439"/>
      <c r="AA125" s="439"/>
      <c r="AB125" s="439"/>
      <c r="AC125" s="439"/>
      <c r="AD125" s="439"/>
      <c r="AE125" s="439"/>
      <c r="AF125" s="439"/>
      <c r="AG125" s="439"/>
    </row>
    <row r="126" ht="15.75" customHeight="1">
      <c r="A126" s="439"/>
      <c r="B126" s="465"/>
      <c r="C126" s="465" t="s">
        <v>293</v>
      </c>
      <c r="D126" s="704">
        <v>20700.0</v>
      </c>
      <c r="E126" s="704">
        <f t="shared" si="130"/>
        <v>0.00157047227</v>
      </c>
      <c r="F126" s="704"/>
      <c r="G126" s="704" t="str">
        <f t="shared" si="131"/>
        <v>#DIV/0!</v>
      </c>
      <c r="H126" s="704"/>
      <c r="I126" s="704"/>
      <c r="J126" s="759">
        <v>21200.0</v>
      </c>
      <c r="K126" s="557">
        <f t="shared" si="106"/>
        <v>0.001571333074</v>
      </c>
      <c r="L126" s="649"/>
      <c r="M126" s="562" t="str">
        <f t="shared" si="107"/>
        <v>#DIV/0!</v>
      </c>
      <c r="N126" s="704"/>
      <c r="O126" s="704"/>
      <c r="P126" s="747">
        <v>166984.0</v>
      </c>
      <c r="Q126" s="560">
        <f t="shared" si="108"/>
        <v>0.01088479859</v>
      </c>
      <c r="R126" s="649"/>
      <c r="S126" s="562" t="str">
        <f t="shared" si="109"/>
        <v>#DIV/0!</v>
      </c>
      <c r="T126" s="704"/>
      <c r="U126" s="704"/>
      <c r="V126" s="439"/>
      <c r="W126" s="439"/>
      <c r="X126" s="439"/>
      <c r="Y126" s="439"/>
      <c r="Z126" s="439"/>
      <c r="AA126" s="439"/>
      <c r="AB126" s="439"/>
      <c r="AC126" s="439"/>
      <c r="AD126" s="439"/>
      <c r="AE126" s="439"/>
      <c r="AF126" s="439"/>
      <c r="AG126" s="439"/>
    </row>
    <row r="127" ht="15.75" customHeight="1">
      <c r="A127" s="439"/>
      <c r="B127" s="483"/>
      <c r="C127" s="619"/>
      <c r="D127" s="705"/>
      <c r="E127" s="705"/>
      <c r="F127" s="705"/>
      <c r="G127" s="705"/>
      <c r="H127" s="705"/>
      <c r="I127" s="705"/>
      <c r="J127" s="705"/>
      <c r="K127" s="539"/>
      <c r="L127" s="539"/>
      <c r="M127" s="479"/>
      <c r="N127" s="705"/>
      <c r="O127" s="705"/>
      <c r="P127" s="731"/>
      <c r="Q127" s="575"/>
      <c r="R127" s="539"/>
      <c r="S127" s="479"/>
      <c r="T127" s="705"/>
      <c r="U127" s="705"/>
      <c r="V127" s="439"/>
      <c r="W127" s="439"/>
      <c r="X127" s="439"/>
      <c r="Y127" s="439"/>
      <c r="Z127" s="439"/>
      <c r="AA127" s="439"/>
      <c r="AB127" s="439"/>
      <c r="AC127" s="439"/>
      <c r="AD127" s="439"/>
      <c r="AE127" s="439"/>
      <c r="AF127" s="439"/>
      <c r="AG127" s="439"/>
    </row>
    <row r="128" ht="15.75" customHeight="1">
      <c r="A128" s="439"/>
      <c r="B128" s="493"/>
      <c r="C128" s="511" t="s">
        <v>41</v>
      </c>
      <c r="D128" s="668">
        <f>SUM(D129:D130)</f>
        <v>10325</v>
      </c>
      <c r="E128" s="755">
        <f>D128/D$29</f>
        <v>0.0007833394293</v>
      </c>
      <c r="F128" s="755"/>
      <c r="G128" s="755" t="str">
        <f>F128/F$29</f>
        <v>#DIV/0!</v>
      </c>
      <c r="H128" s="755">
        <f>SUM(H129:H130)</f>
        <v>0</v>
      </c>
      <c r="I128" s="755"/>
      <c r="J128" s="668">
        <f>SUM(J129:J130)</f>
        <v>10325</v>
      </c>
      <c r="K128" s="560">
        <f>J128/J$29</f>
        <v>0.0007652836786</v>
      </c>
      <c r="L128" s="539"/>
      <c r="M128" s="562" t="str">
        <f>L128/L$29</f>
        <v>#DIV/0!</v>
      </c>
      <c r="N128" s="755">
        <f>SUM(N129:N130)</f>
        <v>0</v>
      </c>
      <c r="O128" s="755"/>
      <c r="P128" s="668">
        <f>SUM(P129:P130)</f>
        <v>10325</v>
      </c>
      <c r="Q128" s="560">
        <f>P128/P$29</f>
        <v>0.0006730318203</v>
      </c>
      <c r="R128" s="539"/>
      <c r="S128" s="562" t="str">
        <f>R128/R$29</f>
        <v>#DIV/0!</v>
      </c>
      <c r="T128" s="755">
        <f>SUM(T129:T130)</f>
        <v>0</v>
      </c>
      <c r="U128" s="755"/>
      <c r="V128" s="692"/>
      <c r="W128" s="692"/>
      <c r="X128" s="692"/>
      <c r="Y128" s="692"/>
      <c r="Z128" s="692"/>
      <c r="AA128" s="692"/>
      <c r="AB128" s="692"/>
      <c r="AC128" s="692"/>
      <c r="AD128" s="692"/>
      <c r="AE128" s="692"/>
      <c r="AF128" s="692"/>
      <c r="AG128" s="692"/>
    </row>
    <row r="129" ht="15.75" customHeight="1">
      <c r="A129" s="439"/>
      <c r="B129" s="497"/>
      <c r="C129" s="497" t="s">
        <v>250</v>
      </c>
      <c r="D129" s="748">
        <v>0.0</v>
      </c>
      <c r="E129" s="703"/>
      <c r="F129" s="703"/>
      <c r="G129" s="703"/>
      <c r="H129" s="703"/>
      <c r="I129" s="703"/>
      <c r="J129" s="748">
        <v>0.0</v>
      </c>
      <c r="K129" s="539"/>
      <c r="L129" s="539"/>
      <c r="M129" s="479"/>
      <c r="N129" s="703"/>
      <c r="O129" s="703"/>
      <c r="P129" s="752">
        <v>0.0</v>
      </c>
      <c r="Q129" s="575"/>
      <c r="R129" s="539"/>
      <c r="S129" s="479"/>
      <c r="T129" s="703"/>
      <c r="U129" s="703"/>
      <c r="V129" s="439"/>
      <c r="W129" s="439"/>
      <c r="X129" s="439"/>
      <c r="Y129" s="439"/>
      <c r="Z129" s="439"/>
      <c r="AA129" s="439"/>
      <c r="AB129" s="439"/>
      <c r="AC129" s="439"/>
      <c r="AD129" s="439"/>
      <c r="AE129" s="439"/>
      <c r="AF129" s="439"/>
      <c r="AG129" s="439"/>
    </row>
    <row r="130" ht="15.75" customHeight="1">
      <c r="A130" s="439"/>
      <c r="B130" s="465"/>
      <c r="C130" s="465" t="s">
        <v>41</v>
      </c>
      <c r="D130" s="704">
        <v>10325.0</v>
      </c>
      <c r="E130" s="704">
        <f>D130/D$29</f>
        <v>0.0007833394293</v>
      </c>
      <c r="F130" s="704"/>
      <c r="G130" s="704"/>
      <c r="H130" s="704"/>
      <c r="I130" s="704"/>
      <c r="J130" s="759">
        <v>10325.0</v>
      </c>
      <c r="K130" s="557">
        <f>J130/J$29</f>
        <v>0.0007652836786</v>
      </c>
      <c r="L130" s="539"/>
      <c r="M130" s="479"/>
      <c r="N130" s="704"/>
      <c r="O130" s="704"/>
      <c r="P130" s="747">
        <v>10325.0</v>
      </c>
      <c r="Q130" s="560">
        <f>P130/P$29</f>
        <v>0.0006730318203</v>
      </c>
      <c r="R130" s="539"/>
      <c r="S130" s="479"/>
      <c r="T130" s="704"/>
      <c r="U130" s="704"/>
      <c r="V130" s="439"/>
      <c r="W130" s="439"/>
      <c r="X130" s="439"/>
      <c r="Y130" s="439"/>
      <c r="Z130" s="439"/>
      <c r="AA130" s="439"/>
      <c r="AB130" s="439"/>
      <c r="AC130" s="439"/>
      <c r="AD130" s="439"/>
      <c r="AE130" s="439"/>
      <c r="AF130" s="439"/>
      <c r="AG130" s="439"/>
    </row>
    <row r="131" ht="15.75" customHeight="1">
      <c r="A131" s="439"/>
      <c r="B131" s="483"/>
      <c r="C131" s="483"/>
      <c r="D131" s="705"/>
      <c r="E131" s="705"/>
      <c r="F131" s="705"/>
      <c r="G131" s="705"/>
      <c r="H131" s="705"/>
      <c r="I131" s="705"/>
      <c r="J131" s="705"/>
      <c r="K131" s="539"/>
      <c r="L131" s="539"/>
      <c r="M131" s="479"/>
      <c r="N131" s="705"/>
      <c r="O131" s="705"/>
      <c r="P131" s="731"/>
      <c r="Q131" s="575"/>
      <c r="R131" s="539"/>
      <c r="S131" s="479"/>
      <c r="T131" s="705"/>
      <c r="U131" s="705"/>
      <c r="V131" s="439"/>
      <c r="W131" s="439"/>
      <c r="X131" s="439"/>
      <c r="Y131" s="439"/>
      <c r="Z131" s="439"/>
      <c r="AA131" s="439"/>
      <c r="AB131" s="439"/>
      <c r="AC131" s="439"/>
      <c r="AD131" s="439"/>
      <c r="AE131" s="439"/>
      <c r="AF131" s="439"/>
      <c r="AG131" s="439"/>
    </row>
    <row r="132" ht="15.75" customHeight="1">
      <c r="A132" s="439"/>
      <c r="B132" s="493"/>
      <c r="C132" s="511" t="s">
        <v>42</v>
      </c>
      <c r="D132" s="668">
        <f>SUM(D133)</f>
        <v>0</v>
      </c>
      <c r="E132" s="668">
        <f>D132/D$29</f>
        <v>0</v>
      </c>
      <c r="F132" s="668"/>
      <c r="G132" s="668" t="str">
        <f>F132/F$29</f>
        <v>#DIV/0!</v>
      </c>
      <c r="H132" s="668">
        <f>SUM(H133)</f>
        <v>0</v>
      </c>
      <c r="I132" s="668"/>
      <c r="J132" s="668">
        <f>SUM(J133)</f>
        <v>0</v>
      </c>
      <c r="K132" s="560">
        <f>J132/J$29</f>
        <v>0</v>
      </c>
      <c r="L132" s="649"/>
      <c r="M132" s="562" t="str">
        <f>L132/L$29</f>
        <v>#DIV/0!</v>
      </c>
      <c r="N132" s="668">
        <f>SUM(N133)</f>
        <v>0</v>
      </c>
      <c r="O132" s="668"/>
      <c r="P132" s="668">
        <f>SUM(P133)</f>
        <v>0</v>
      </c>
      <c r="Q132" s="560">
        <f>P132/P$29</f>
        <v>0</v>
      </c>
      <c r="R132" s="649"/>
      <c r="S132" s="562" t="str">
        <f>R132/R$29</f>
        <v>#DIV/0!</v>
      </c>
      <c r="T132" s="668">
        <f>SUM(T133)</f>
        <v>0</v>
      </c>
      <c r="U132" s="668"/>
      <c r="V132" s="692"/>
      <c r="W132" s="692"/>
      <c r="X132" s="692"/>
      <c r="Y132" s="692"/>
      <c r="Z132" s="692"/>
      <c r="AA132" s="692"/>
      <c r="AB132" s="692"/>
      <c r="AC132" s="692"/>
      <c r="AD132" s="692"/>
      <c r="AE132" s="692"/>
      <c r="AF132" s="692"/>
      <c r="AG132" s="692"/>
    </row>
    <row r="133" ht="15.75" customHeight="1">
      <c r="A133" s="439"/>
      <c r="B133" s="497"/>
      <c r="C133" s="497" t="s">
        <v>285</v>
      </c>
      <c r="D133" s="748">
        <v>0.0</v>
      </c>
      <c r="E133" s="748"/>
      <c r="F133" s="748"/>
      <c r="G133" s="748"/>
      <c r="H133" s="748"/>
      <c r="I133" s="748"/>
      <c r="J133" s="748">
        <v>0.0</v>
      </c>
      <c r="K133" s="557"/>
      <c r="L133" s="649"/>
      <c r="M133" s="562"/>
      <c r="N133" s="704"/>
      <c r="O133" s="704"/>
      <c r="P133" s="752">
        <v>0.0</v>
      </c>
      <c r="Q133" s="575"/>
      <c r="R133" s="539"/>
      <c r="S133" s="479"/>
      <c r="T133" s="703"/>
      <c r="U133" s="703"/>
      <c r="V133" s="439"/>
      <c r="W133" s="439"/>
      <c r="X133" s="439"/>
      <c r="Y133" s="439"/>
      <c r="Z133" s="439"/>
      <c r="AA133" s="439"/>
      <c r="AB133" s="439"/>
      <c r="AC133" s="439"/>
      <c r="AD133" s="439"/>
      <c r="AE133" s="439"/>
      <c r="AF133" s="439"/>
      <c r="AG133" s="439"/>
    </row>
    <row r="134" ht="15.75" customHeight="1">
      <c r="A134" s="439"/>
      <c r="B134" s="465"/>
      <c r="C134" s="465"/>
      <c r="D134" s="704"/>
      <c r="E134" s="704"/>
      <c r="F134" s="704"/>
      <c r="G134" s="704"/>
      <c r="H134" s="704"/>
      <c r="I134" s="704"/>
      <c r="J134" s="704"/>
      <c r="K134" s="539"/>
      <c r="L134" s="539"/>
      <c r="M134" s="479"/>
      <c r="N134" s="704"/>
      <c r="O134" s="704"/>
      <c r="P134" s="737"/>
      <c r="Q134" s="575"/>
      <c r="R134" s="539"/>
      <c r="S134" s="479"/>
      <c r="T134" s="704"/>
      <c r="U134" s="704"/>
      <c r="V134" s="439"/>
      <c r="W134" s="439"/>
      <c r="X134" s="439"/>
      <c r="Y134" s="439"/>
      <c r="Z134" s="439"/>
      <c r="AA134" s="439"/>
      <c r="AB134" s="439"/>
      <c r="AC134" s="439"/>
      <c r="AD134" s="439"/>
      <c r="AE134" s="439"/>
      <c r="AF134" s="439"/>
      <c r="AG134" s="439"/>
    </row>
    <row r="135" ht="15.75" customHeight="1">
      <c r="A135" s="439"/>
      <c r="B135" s="483"/>
      <c r="C135" s="483"/>
      <c r="D135" s="705"/>
      <c r="E135" s="705"/>
      <c r="F135" s="705"/>
      <c r="G135" s="705"/>
      <c r="H135" s="705"/>
      <c r="I135" s="705"/>
      <c r="J135" s="705"/>
      <c r="K135" s="544"/>
      <c r="L135" s="544"/>
      <c r="M135" s="546"/>
      <c r="N135" s="705"/>
      <c r="O135" s="705"/>
      <c r="P135" s="731"/>
      <c r="Q135" s="575"/>
      <c r="R135" s="539"/>
      <c r="S135" s="479"/>
      <c r="T135" s="704"/>
      <c r="U135" s="704"/>
      <c r="V135" s="439"/>
      <c r="W135" s="439"/>
      <c r="X135" s="439"/>
      <c r="Y135" s="439"/>
      <c r="Z135" s="439"/>
      <c r="AA135" s="439"/>
      <c r="AB135" s="439"/>
      <c r="AC135" s="439"/>
      <c r="AD135" s="439"/>
      <c r="AE135" s="439"/>
      <c r="AF135" s="439"/>
      <c r="AG135" s="439"/>
    </row>
    <row r="136" ht="15.75" customHeight="1">
      <c r="A136" s="439"/>
      <c r="B136" s="493"/>
      <c r="C136" s="490" t="s">
        <v>254</v>
      </c>
      <c r="D136" s="668">
        <f>D60+D69+D81+D88+D94+D105+D108+D112+D128+D132</f>
        <v>6671007.937</v>
      </c>
      <c r="E136" s="668">
        <f>D136/D$29</f>
        <v>0.5061175351</v>
      </c>
      <c r="F136" s="668" t="str">
        <f>F60+F69+F81+F88+F94+F105+F108+F112+F128+F132</f>
        <v>#REF!</v>
      </c>
      <c r="G136" s="668" t="str">
        <f>F136/F$29</f>
        <v>#REF!</v>
      </c>
      <c r="H136" s="668" t="str">
        <f>D136-F136</f>
        <v>#REF!</v>
      </c>
      <c r="I136" s="668" t="str">
        <f>H136/F136</f>
        <v>#REF!</v>
      </c>
      <c r="J136" s="668">
        <f>J60+J69+J81+J88+J94+J105+J108+J112+J128+J132</f>
        <v>6672828.5</v>
      </c>
      <c r="K136" s="613">
        <f>J136/J$29</f>
        <v>0.4945866093</v>
      </c>
      <c r="L136" s="668" t="str">
        <f>L60+L69+L81+L88+L94+L105+L108+L112+L128+L132</f>
        <v>#REF!</v>
      </c>
      <c r="M136" s="613" t="str">
        <f>L136/L$29</f>
        <v>#REF!</v>
      </c>
      <c r="N136" s="668" t="str">
        <f>J136-L136</f>
        <v>#REF!</v>
      </c>
      <c r="O136" s="668" t="str">
        <f>N136/L136</f>
        <v>#REF!</v>
      </c>
      <c r="P136" s="668">
        <f>P60+P69+P81+P88+P94+P105+P108+P112+P128+P132</f>
        <v>7041082</v>
      </c>
      <c r="Q136" s="757">
        <f>P136/P$29</f>
        <v>0.4589706765</v>
      </c>
      <c r="R136" s="734" t="str">
        <f>R60+R69+R81+R88+R94+R105+R108+R112+R128+R132</f>
        <v>#REF!</v>
      </c>
      <c r="S136" s="580" t="str">
        <f>R136/R$29</f>
        <v>#REF!</v>
      </c>
      <c r="T136" s="766" t="str">
        <f>P136-R136</f>
        <v>#REF!</v>
      </c>
      <c r="U136" s="766" t="str">
        <f>T136/R136</f>
        <v>#REF!</v>
      </c>
      <c r="V136" s="439"/>
      <c r="W136" s="439"/>
      <c r="X136" s="439"/>
      <c r="Y136" s="439"/>
      <c r="Z136" s="439"/>
      <c r="AA136" s="439"/>
      <c r="AB136" s="439"/>
      <c r="AC136" s="439"/>
      <c r="AD136" s="439"/>
      <c r="AE136" s="439"/>
      <c r="AF136" s="439"/>
      <c r="AG136" s="439"/>
    </row>
    <row r="137" ht="15.75" customHeight="1">
      <c r="A137" s="439"/>
      <c r="B137" s="526"/>
      <c r="C137" s="526"/>
      <c r="D137" s="703"/>
      <c r="E137" s="703"/>
      <c r="F137" s="703"/>
      <c r="G137" s="703"/>
      <c r="H137" s="703"/>
      <c r="I137" s="703"/>
      <c r="J137" s="703"/>
      <c r="K137" s="620"/>
      <c r="L137" s="620"/>
      <c r="M137" s="455"/>
      <c r="N137" s="703"/>
      <c r="O137" s="703"/>
      <c r="P137" s="741"/>
      <c r="Q137" s="609"/>
      <c r="R137" s="544"/>
      <c r="S137" s="546"/>
      <c r="T137" s="704"/>
      <c r="U137" s="704"/>
      <c r="V137" s="439"/>
      <c r="W137" s="439"/>
      <c r="X137" s="439"/>
      <c r="Y137" s="439"/>
      <c r="Z137" s="439"/>
      <c r="AA137" s="439"/>
      <c r="AB137" s="439"/>
      <c r="AC137" s="439"/>
      <c r="AD137" s="439"/>
      <c r="AE137" s="439"/>
      <c r="AF137" s="439"/>
      <c r="AG137" s="439"/>
    </row>
    <row r="138" ht="15.75" customHeight="1">
      <c r="A138" s="439"/>
      <c r="B138" s="490"/>
      <c r="C138" s="490" t="s">
        <v>255</v>
      </c>
      <c r="D138" s="740">
        <f>D51-D136</f>
        <v>1445073.335</v>
      </c>
      <c r="E138" s="547">
        <f>D138/D$29</f>
        <v>0.1096351498</v>
      </c>
      <c r="F138" s="645" t="str">
        <f>F51-F136</f>
        <v>#REF!</v>
      </c>
      <c r="G138" s="547" t="str">
        <f>F138/F$29</f>
        <v>#REF!</v>
      </c>
      <c r="H138" s="645" t="str">
        <f>D138-F138</f>
        <v>#REF!</v>
      </c>
      <c r="I138" s="549" t="str">
        <f>H138/F138</f>
        <v>#REF!</v>
      </c>
      <c r="J138" s="740">
        <f>J51-J136</f>
        <v>1588410.067</v>
      </c>
      <c r="K138" s="547">
        <f>J138/J$29</f>
        <v>0.1177321355</v>
      </c>
      <c r="L138" s="645" t="str">
        <f>L51-L136</f>
        <v>#REF!</v>
      </c>
      <c r="M138" s="549" t="str">
        <f>L138/L$29</f>
        <v>#REF!</v>
      </c>
      <c r="N138" s="645" t="str">
        <f>J138-L138</f>
        <v>#REF!</v>
      </c>
      <c r="O138" s="549" t="str">
        <f>N138/L138</f>
        <v>#REF!</v>
      </c>
      <c r="P138" s="668">
        <f>P51-P136</f>
        <v>3131935.509</v>
      </c>
      <c r="Q138" s="551">
        <f>P138/P$29</f>
        <v>0.2041542137</v>
      </c>
      <c r="R138" s="645" t="str">
        <f>R51-R136</f>
        <v>#REF!</v>
      </c>
      <c r="S138" s="549" t="str">
        <f>R138/R$29</f>
        <v>#REF!</v>
      </c>
      <c r="T138" s="645" t="str">
        <f>P138-R138</f>
        <v>#REF!</v>
      </c>
      <c r="U138" s="549" t="str">
        <f>T138/R138</f>
        <v>#REF!</v>
      </c>
      <c r="V138" s="439"/>
      <c r="W138" s="439"/>
      <c r="X138" s="439"/>
      <c r="Y138" s="439"/>
      <c r="Z138" s="439"/>
      <c r="AA138" s="439"/>
      <c r="AB138" s="439"/>
      <c r="AC138" s="439"/>
      <c r="AD138" s="439"/>
      <c r="AE138" s="439"/>
      <c r="AF138" s="439"/>
      <c r="AG138" s="439"/>
    </row>
    <row r="139" ht="15.75" customHeight="1">
      <c r="A139" s="439"/>
      <c r="B139" s="439"/>
      <c r="C139" s="439"/>
      <c r="D139" s="439"/>
      <c r="E139" s="439"/>
      <c r="F139" s="439"/>
      <c r="G139" s="439"/>
      <c r="H139" s="439"/>
      <c r="I139" s="439"/>
      <c r="J139" s="439"/>
      <c r="K139" s="439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  <c r="AA139" s="439"/>
      <c r="AB139" s="439"/>
      <c r="AC139" s="439"/>
      <c r="AD139" s="439"/>
      <c r="AE139" s="439"/>
      <c r="AF139" s="439"/>
      <c r="AG139" s="439"/>
    </row>
    <row r="140" ht="15.75" customHeight="1">
      <c r="A140" s="439"/>
      <c r="B140" s="439"/>
      <c r="C140" s="439"/>
      <c r="D140" s="439"/>
      <c r="E140" s="439"/>
      <c r="F140" s="439"/>
      <c r="G140" s="439"/>
      <c r="H140" s="439"/>
      <c r="I140" s="439"/>
      <c r="J140" s="439"/>
      <c r="K140" s="439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  <c r="AA140" s="439"/>
      <c r="AB140" s="439"/>
      <c r="AC140" s="439"/>
      <c r="AD140" s="439"/>
      <c r="AE140" s="439"/>
      <c r="AF140" s="439"/>
      <c r="AG140" s="439"/>
    </row>
    <row r="141" ht="15.75" customHeight="1">
      <c r="A141" s="439"/>
      <c r="B141" s="439"/>
      <c r="C141" s="439"/>
      <c r="D141" s="439"/>
      <c r="E141" s="439"/>
      <c r="F141" s="439"/>
      <c r="G141" s="439"/>
      <c r="H141" s="439"/>
      <c r="I141" s="439"/>
      <c r="J141" s="439"/>
      <c r="K141" s="439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  <c r="AA141" s="439"/>
      <c r="AB141" s="439"/>
      <c r="AC141" s="439"/>
      <c r="AD141" s="439"/>
      <c r="AE141" s="439"/>
      <c r="AF141" s="439"/>
      <c r="AG141" s="439"/>
    </row>
    <row r="142" ht="15.75" customHeight="1">
      <c r="A142" s="439"/>
      <c r="B142" s="439"/>
      <c r="C142" s="439"/>
      <c r="D142" s="439"/>
      <c r="E142" s="439"/>
      <c r="F142" s="439"/>
      <c r="G142" s="439"/>
      <c r="H142" s="439"/>
      <c r="I142" s="439"/>
      <c r="J142" s="439"/>
      <c r="K142" s="439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  <c r="AA142" s="439"/>
      <c r="AB142" s="439"/>
      <c r="AC142" s="439"/>
      <c r="AD142" s="439"/>
      <c r="AE142" s="439"/>
      <c r="AF142" s="439"/>
      <c r="AG142" s="439"/>
    </row>
    <row r="143" ht="15.75" customHeight="1">
      <c r="A143" s="439"/>
      <c r="B143" s="439"/>
      <c r="C143" s="439"/>
      <c r="D143" s="439"/>
      <c r="E143" s="439"/>
      <c r="F143" s="439"/>
      <c r="G143" s="439"/>
      <c r="H143" s="439"/>
      <c r="I143" s="439"/>
      <c r="J143" s="439"/>
      <c r="K143" s="439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  <c r="AA143" s="439"/>
      <c r="AB143" s="439"/>
      <c r="AC143" s="439"/>
      <c r="AD143" s="439"/>
      <c r="AE143" s="439"/>
      <c r="AF143" s="439"/>
      <c r="AG143" s="439"/>
    </row>
    <row r="144" ht="15.75" customHeight="1">
      <c r="A144" s="439"/>
      <c r="B144" s="439"/>
      <c r="C144" s="439"/>
      <c r="D144" s="439"/>
      <c r="E144" s="439"/>
      <c r="F144" s="439"/>
      <c r="G144" s="439"/>
      <c r="H144" s="439"/>
      <c r="I144" s="439"/>
      <c r="J144" s="439"/>
      <c r="K144" s="439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  <c r="AA144" s="439"/>
      <c r="AB144" s="439"/>
      <c r="AC144" s="439"/>
      <c r="AD144" s="439"/>
      <c r="AE144" s="439"/>
      <c r="AF144" s="439"/>
      <c r="AG144" s="439"/>
    </row>
    <row r="145" ht="15.75" customHeight="1">
      <c r="A145" s="439"/>
      <c r="B145" s="439"/>
      <c r="C145" s="439"/>
      <c r="D145" s="439"/>
      <c r="E145" s="439"/>
      <c r="F145" s="439"/>
      <c r="G145" s="439"/>
      <c r="H145" s="439"/>
      <c r="I145" s="439"/>
      <c r="J145" s="439"/>
      <c r="K145" s="439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  <c r="AA145" s="439"/>
      <c r="AB145" s="439"/>
      <c r="AC145" s="439"/>
      <c r="AD145" s="439"/>
      <c r="AE145" s="439"/>
      <c r="AF145" s="439"/>
      <c r="AG145" s="439"/>
    </row>
    <row r="146" ht="15.75" customHeight="1">
      <c r="A146" s="439"/>
      <c r="B146" s="439"/>
      <c r="C146" s="439"/>
      <c r="D146" s="439"/>
      <c r="E146" s="439"/>
      <c r="F146" s="439"/>
      <c r="G146" s="439"/>
      <c r="H146" s="439"/>
      <c r="I146" s="439"/>
      <c r="J146" s="439"/>
      <c r="K146" s="439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  <c r="AA146" s="439"/>
      <c r="AB146" s="439"/>
      <c r="AC146" s="439"/>
      <c r="AD146" s="439"/>
      <c r="AE146" s="439"/>
      <c r="AF146" s="439"/>
      <c r="AG146" s="439"/>
    </row>
    <row r="147" ht="15.75" customHeight="1">
      <c r="A147" s="439"/>
      <c r="B147" s="439"/>
      <c r="C147" s="439"/>
      <c r="D147" s="439"/>
      <c r="E147" s="439"/>
      <c r="F147" s="439"/>
      <c r="G147" s="439"/>
      <c r="H147" s="439"/>
      <c r="I147" s="439"/>
      <c r="J147" s="439"/>
      <c r="K147" s="439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  <c r="AA147" s="439"/>
      <c r="AB147" s="439"/>
      <c r="AC147" s="439"/>
      <c r="AD147" s="439"/>
      <c r="AE147" s="439"/>
      <c r="AF147" s="439"/>
      <c r="AG147" s="439"/>
    </row>
    <row r="148" ht="15.75" customHeight="1">
      <c r="A148" s="439"/>
      <c r="B148" s="439"/>
      <c r="C148" s="439"/>
      <c r="D148" s="439"/>
      <c r="E148" s="439"/>
      <c r="F148" s="439"/>
      <c r="G148" s="439"/>
      <c r="H148" s="439"/>
      <c r="I148" s="439"/>
      <c r="J148" s="439"/>
      <c r="K148" s="439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  <c r="AA148" s="439"/>
      <c r="AB148" s="439"/>
      <c r="AC148" s="439"/>
      <c r="AD148" s="439"/>
      <c r="AE148" s="439"/>
      <c r="AF148" s="439"/>
      <c r="AG148" s="439"/>
    </row>
    <row r="149" ht="15.75" customHeight="1">
      <c r="A149" s="439"/>
      <c r="B149" s="439"/>
      <c r="C149" s="439"/>
      <c r="D149" s="439"/>
      <c r="E149" s="439"/>
      <c r="F149" s="439"/>
      <c r="G149" s="439"/>
      <c r="H149" s="439"/>
      <c r="I149" s="439"/>
      <c r="J149" s="439"/>
      <c r="K149" s="439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  <c r="AA149" s="439"/>
      <c r="AB149" s="439"/>
      <c r="AC149" s="439"/>
      <c r="AD149" s="439"/>
      <c r="AE149" s="439"/>
      <c r="AF149" s="439"/>
      <c r="AG149" s="439"/>
    </row>
    <row r="150" ht="15.75" customHeight="1">
      <c r="A150" s="439"/>
      <c r="B150" s="439"/>
      <c r="C150" s="439"/>
      <c r="D150" s="439"/>
      <c r="E150" s="439"/>
      <c r="F150" s="439"/>
      <c r="G150" s="439"/>
      <c r="H150" s="439"/>
      <c r="I150" s="439"/>
      <c r="J150" s="439"/>
      <c r="K150" s="439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  <c r="AA150" s="439"/>
      <c r="AB150" s="439"/>
      <c r="AC150" s="439"/>
      <c r="AD150" s="439"/>
      <c r="AE150" s="439"/>
      <c r="AF150" s="439"/>
      <c r="AG150" s="439"/>
    </row>
    <row r="151" ht="15.75" customHeight="1">
      <c r="A151" s="439"/>
      <c r="B151" s="439"/>
      <c r="C151" s="439"/>
      <c r="D151" s="439"/>
      <c r="E151" s="439"/>
      <c r="F151" s="439"/>
      <c r="G151" s="439"/>
      <c r="H151" s="439"/>
      <c r="I151" s="439"/>
      <c r="J151" s="439"/>
      <c r="K151" s="439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  <c r="AA151" s="439"/>
      <c r="AB151" s="439"/>
      <c r="AC151" s="439"/>
      <c r="AD151" s="439"/>
      <c r="AE151" s="439"/>
      <c r="AF151" s="439"/>
      <c r="AG151" s="439"/>
    </row>
    <row r="152" ht="15.75" customHeight="1">
      <c r="A152" s="439"/>
      <c r="B152" s="439"/>
      <c r="C152" s="439"/>
      <c r="D152" s="439"/>
      <c r="E152" s="439"/>
      <c r="F152" s="439"/>
      <c r="G152" s="439"/>
      <c r="H152" s="439"/>
      <c r="I152" s="439"/>
      <c r="J152" s="439"/>
      <c r="K152" s="439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  <c r="AA152" s="439"/>
      <c r="AB152" s="439"/>
      <c r="AC152" s="439"/>
      <c r="AD152" s="439"/>
      <c r="AE152" s="439"/>
      <c r="AF152" s="439"/>
      <c r="AG152" s="439"/>
    </row>
    <row r="153" ht="15.75" customHeight="1">
      <c r="A153" s="439"/>
      <c r="B153" s="439"/>
      <c r="C153" s="439"/>
      <c r="D153" s="439"/>
      <c r="E153" s="439"/>
      <c r="F153" s="439"/>
      <c r="G153" s="439"/>
      <c r="H153" s="439"/>
      <c r="I153" s="439"/>
      <c r="J153" s="439"/>
      <c r="K153" s="439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  <c r="AA153" s="439"/>
      <c r="AB153" s="439"/>
      <c r="AC153" s="439"/>
      <c r="AD153" s="439"/>
      <c r="AE153" s="439"/>
      <c r="AF153" s="439"/>
      <c r="AG153" s="439"/>
    </row>
    <row r="154" ht="15.75" customHeight="1">
      <c r="A154" s="439"/>
      <c r="B154" s="439"/>
      <c r="C154" s="439"/>
      <c r="D154" s="439"/>
      <c r="E154" s="439"/>
      <c r="F154" s="439"/>
      <c r="G154" s="439"/>
      <c r="H154" s="439"/>
      <c r="I154" s="439"/>
      <c r="J154" s="439"/>
      <c r="K154" s="439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  <c r="AA154" s="439"/>
      <c r="AB154" s="439"/>
      <c r="AC154" s="439"/>
      <c r="AD154" s="439"/>
      <c r="AE154" s="439"/>
      <c r="AF154" s="439"/>
      <c r="AG154" s="439"/>
    </row>
    <row r="155" ht="15.75" customHeight="1">
      <c r="A155" s="439"/>
      <c r="B155" s="439"/>
      <c r="C155" s="439"/>
      <c r="D155" s="439"/>
      <c r="E155" s="439"/>
      <c r="F155" s="439"/>
      <c r="G155" s="439"/>
      <c r="H155" s="439"/>
      <c r="I155" s="439"/>
      <c r="J155" s="439"/>
      <c r="K155" s="439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  <c r="AA155" s="439"/>
      <c r="AB155" s="439"/>
      <c r="AC155" s="439"/>
      <c r="AD155" s="439"/>
      <c r="AE155" s="439"/>
      <c r="AF155" s="439"/>
      <c r="AG155" s="439"/>
    </row>
    <row r="156" ht="15.75" customHeight="1">
      <c r="A156" s="439"/>
      <c r="B156" s="439"/>
      <c r="C156" s="439"/>
      <c r="D156" s="439"/>
      <c r="E156" s="439"/>
      <c r="F156" s="439"/>
      <c r="G156" s="439"/>
      <c r="H156" s="439"/>
      <c r="I156" s="439"/>
      <c r="J156" s="439"/>
      <c r="K156" s="439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  <c r="AA156" s="439"/>
      <c r="AB156" s="439"/>
      <c r="AC156" s="439"/>
      <c r="AD156" s="439"/>
      <c r="AE156" s="439"/>
      <c r="AF156" s="439"/>
      <c r="AG156" s="439"/>
    </row>
    <row r="157" ht="15.75" customHeight="1">
      <c r="A157" s="439"/>
      <c r="B157" s="439"/>
      <c r="C157" s="439"/>
      <c r="D157" s="439"/>
      <c r="E157" s="439"/>
      <c r="F157" s="439"/>
      <c r="G157" s="439"/>
      <c r="H157" s="439"/>
      <c r="I157" s="439"/>
      <c r="J157" s="439"/>
      <c r="K157" s="439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  <c r="AA157" s="439"/>
      <c r="AB157" s="439"/>
      <c r="AC157" s="439"/>
      <c r="AD157" s="439"/>
      <c r="AE157" s="439"/>
      <c r="AF157" s="439"/>
      <c r="AG157" s="439"/>
    </row>
    <row r="158" ht="15.75" customHeight="1">
      <c r="A158" s="439"/>
      <c r="B158" s="439"/>
      <c r="C158" s="439"/>
      <c r="D158" s="439"/>
      <c r="E158" s="439"/>
      <c r="F158" s="439"/>
      <c r="G158" s="439"/>
      <c r="H158" s="439"/>
      <c r="I158" s="439"/>
      <c r="J158" s="439"/>
      <c r="K158" s="439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  <c r="AA158" s="439"/>
      <c r="AB158" s="439"/>
      <c r="AC158" s="439"/>
      <c r="AD158" s="439"/>
      <c r="AE158" s="439"/>
      <c r="AF158" s="439"/>
      <c r="AG158" s="439"/>
    </row>
    <row r="159" ht="15.75" customHeight="1">
      <c r="A159" s="439"/>
      <c r="B159" s="439"/>
      <c r="C159" s="439"/>
      <c r="D159" s="439"/>
      <c r="E159" s="439"/>
      <c r="F159" s="439"/>
      <c r="G159" s="439"/>
      <c r="H159" s="439"/>
      <c r="I159" s="439"/>
      <c r="J159" s="439"/>
      <c r="K159" s="439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  <c r="AA159" s="439"/>
      <c r="AB159" s="439"/>
      <c r="AC159" s="439"/>
      <c r="AD159" s="439"/>
      <c r="AE159" s="439"/>
      <c r="AF159" s="439"/>
      <c r="AG159" s="439"/>
    </row>
    <row r="160" ht="15.75" customHeight="1">
      <c r="A160" s="439"/>
      <c r="B160" s="439"/>
      <c r="C160" s="439"/>
      <c r="D160" s="439"/>
      <c r="E160" s="439"/>
      <c r="F160" s="439"/>
      <c r="G160" s="439"/>
      <c r="H160" s="439"/>
      <c r="I160" s="439"/>
      <c r="J160" s="439"/>
      <c r="K160" s="439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  <c r="AA160" s="439"/>
      <c r="AB160" s="439"/>
      <c r="AC160" s="439"/>
      <c r="AD160" s="439"/>
      <c r="AE160" s="439"/>
      <c r="AF160" s="439"/>
      <c r="AG160" s="439"/>
    </row>
    <row r="161" ht="15.75" customHeight="1">
      <c r="A161" s="439"/>
      <c r="B161" s="439"/>
      <c r="C161" s="439"/>
      <c r="D161" s="439"/>
      <c r="E161" s="439"/>
      <c r="F161" s="439"/>
      <c r="G161" s="439"/>
      <c r="H161" s="439"/>
      <c r="I161" s="439"/>
      <c r="J161" s="439"/>
      <c r="K161" s="439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  <c r="AA161" s="439"/>
      <c r="AB161" s="439"/>
      <c r="AC161" s="439"/>
      <c r="AD161" s="439"/>
      <c r="AE161" s="439"/>
      <c r="AF161" s="439"/>
      <c r="AG161" s="439"/>
    </row>
    <row r="162" ht="15.75" customHeight="1">
      <c r="A162" s="439"/>
      <c r="B162" s="439"/>
      <c r="C162" s="439"/>
      <c r="D162" s="439"/>
      <c r="E162" s="439"/>
      <c r="F162" s="439"/>
      <c r="G162" s="439"/>
      <c r="H162" s="439"/>
      <c r="I162" s="439"/>
      <c r="J162" s="439"/>
      <c r="K162" s="439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  <c r="AA162" s="439"/>
      <c r="AB162" s="439"/>
      <c r="AC162" s="439"/>
      <c r="AD162" s="439"/>
      <c r="AE162" s="439"/>
      <c r="AF162" s="439"/>
      <c r="AG162" s="439"/>
    </row>
    <row r="163" ht="15.75" customHeight="1">
      <c r="A163" s="439"/>
      <c r="B163" s="439"/>
      <c r="C163" s="439"/>
      <c r="D163" s="439"/>
      <c r="E163" s="439"/>
      <c r="F163" s="439"/>
      <c r="G163" s="439"/>
      <c r="H163" s="439"/>
      <c r="I163" s="439"/>
      <c r="J163" s="439"/>
      <c r="K163" s="439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  <c r="AA163" s="439"/>
      <c r="AB163" s="439"/>
      <c r="AC163" s="439"/>
      <c r="AD163" s="439"/>
      <c r="AE163" s="439"/>
      <c r="AF163" s="439"/>
      <c r="AG163" s="439"/>
    </row>
    <row r="164" ht="15.75" customHeight="1">
      <c r="A164" s="439"/>
      <c r="B164" s="439"/>
      <c r="C164" s="439"/>
      <c r="D164" s="439"/>
      <c r="E164" s="439"/>
      <c r="F164" s="439"/>
      <c r="G164" s="439"/>
      <c r="H164" s="439"/>
      <c r="I164" s="439"/>
      <c r="J164" s="439"/>
      <c r="K164" s="439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  <c r="AA164" s="439"/>
      <c r="AB164" s="439"/>
      <c r="AC164" s="439"/>
      <c r="AD164" s="439"/>
      <c r="AE164" s="439"/>
      <c r="AF164" s="439"/>
      <c r="AG164" s="439"/>
    </row>
    <row r="165" ht="15.75" customHeight="1">
      <c r="A165" s="439"/>
      <c r="B165" s="439"/>
      <c r="C165" s="439"/>
      <c r="D165" s="439"/>
      <c r="E165" s="439"/>
      <c r="F165" s="439"/>
      <c r="G165" s="439"/>
      <c r="H165" s="439"/>
      <c r="I165" s="439"/>
      <c r="J165" s="439"/>
      <c r="K165" s="439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  <c r="AA165" s="439"/>
      <c r="AB165" s="439"/>
      <c r="AC165" s="439"/>
      <c r="AD165" s="439"/>
      <c r="AE165" s="439"/>
      <c r="AF165" s="439"/>
      <c r="AG165" s="439"/>
    </row>
    <row r="166" ht="15.75" customHeight="1">
      <c r="A166" s="439"/>
      <c r="B166" s="439"/>
      <c r="C166" s="439"/>
      <c r="D166" s="439"/>
      <c r="E166" s="439"/>
      <c r="F166" s="439"/>
      <c r="G166" s="439"/>
      <c r="H166" s="439"/>
      <c r="I166" s="439"/>
      <c r="J166" s="439"/>
      <c r="K166" s="439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  <c r="AA166" s="439"/>
      <c r="AB166" s="439"/>
      <c r="AC166" s="439"/>
      <c r="AD166" s="439"/>
      <c r="AE166" s="439"/>
      <c r="AF166" s="439"/>
      <c r="AG166" s="439"/>
    </row>
    <row r="167" ht="15.75" customHeight="1">
      <c r="A167" s="439"/>
      <c r="B167" s="439"/>
      <c r="C167" s="439"/>
      <c r="D167" s="439"/>
      <c r="E167" s="439"/>
      <c r="F167" s="439"/>
      <c r="G167" s="439"/>
      <c r="H167" s="439"/>
      <c r="I167" s="439"/>
      <c r="J167" s="439"/>
      <c r="K167" s="439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  <c r="AA167" s="439"/>
      <c r="AB167" s="439"/>
      <c r="AC167" s="439"/>
      <c r="AD167" s="439"/>
      <c r="AE167" s="439"/>
      <c r="AF167" s="439"/>
      <c r="AG167" s="439"/>
    </row>
    <row r="168" ht="15.75" customHeight="1">
      <c r="A168" s="439"/>
      <c r="B168" s="439"/>
      <c r="C168" s="439"/>
      <c r="D168" s="439"/>
      <c r="E168" s="439"/>
      <c r="F168" s="439"/>
      <c r="G168" s="439"/>
      <c r="H168" s="439"/>
      <c r="I168" s="439"/>
      <c r="J168" s="439"/>
      <c r="K168" s="439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  <c r="AA168" s="439"/>
      <c r="AB168" s="439"/>
      <c r="AC168" s="439"/>
      <c r="AD168" s="439"/>
      <c r="AE168" s="439"/>
      <c r="AF168" s="439"/>
      <c r="AG168" s="439"/>
    </row>
    <row r="169" ht="15.75" customHeight="1">
      <c r="A169" s="439"/>
      <c r="B169" s="439"/>
      <c r="C169" s="439"/>
      <c r="D169" s="439"/>
      <c r="E169" s="439"/>
      <c r="F169" s="439"/>
      <c r="G169" s="439"/>
      <c r="H169" s="439"/>
      <c r="I169" s="439"/>
      <c r="J169" s="439"/>
      <c r="K169" s="439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  <c r="AA169" s="439"/>
      <c r="AB169" s="439"/>
      <c r="AC169" s="439"/>
      <c r="AD169" s="439"/>
      <c r="AE169" s="439"/>
      <c r="AF169" s="439"/>
      <c r="AG169" s="439"/>
    </row>
    <row r="170" ht="15.75" customHeight="1">
      <c r="A170" s="439"/>
      <c r="B170" s="439"/>
      <c r="C170" s="439"/>
      <c r="D170" s="439"/>
      <c r="E170" s="439"/>
      <c r="F170" s="439"/>
      <c r="G170" s="439"/>
      <c r="H170" s="439"/>
      <c r="I170" s="439"/>
      <c r="J170" s="439"/>
      <c r="K170" s="439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  <c r="AA170" s="439"/>
      <c r="AB170" s="439"/>
      <c r="AC170" s="439"/>
      <c r="AD170" s="439"/>
      <c r="AE170" s="439"/>
      <c r="AF170" s="439"/>
      <c r="AG170" s="439"/>
    </row>
    <row r="171" ht="15.75" customHeight="1">
      <c r="A171" s="439"/>
      <c r="B171" s="439"/>
      <c r="C171" s="439"/>
      <c r="D171" s="439"/>
      <c r="E171" s="439"/>
      <c r="F171" s="439"/>
      <c r="G171" s="439"/>
      <c r="H171" s="439"/>
      <c r="I171" s="439"/>
      <c r="J171" s="439"/>
      <c r="K171" s="439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  <c r="AA171" s="439"/>
      <c r="AB171" s="439"/>
      <c r="AC171" s="439"/>
      <c r="AD171" s="439"/>
      <c r="AE171" s="439"/>
      <c r="AF171" s="439"/>
      <c r="AG171" s="439"/>
    </row>
    <row r="172" ht="15.75" customHeight="1">
      <c r="A172" s="439"/>
      <c r="B172" s="439"/>
      <c r="C172" s="439"/>
      <c r="D172" s="439"/>
      <c r="E172" s="439"/>
      <c r="F172" s="439"/>
      <c r="G172" s="439"/>
      <c r="H172" s="439"/>
      <c r="I172" s="439"/>
      <c r="J172" s="439"/>
      <c r="K172" s="439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  <c r="AA172" s="439"/>
      <c r="AB172" s="439"/>
      <c r="AC172" s="439"/>
      <c r="AD172" s="439"/>
      <c r="AE172" s="439"/>
      <c r="AF172" s="439"/>
      <c r="AG172" s="439"/>
    </row>
    <row r="173" ht="15.75" customHeight="1">
      <c r="A173" s="439"/>
      <c r="B173" s="439"/>
      <c r="C173" s="439"/>
      <c r="D173" s="439"/>
      <c r="E173" s="439"/>
      <c r="F173" s="439"/>
      <c r="G173" s="439"/>
      <c r="H173" s="439"/>
      <c r="I173" s="439"/>
      <c r="J173" s="439"/>
      <c r="K173" s="439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  <c r="AA173" s="439"/>
      <c r="AB173" s="439"/>
      <c r="AC173" s="439"/>
      <c r="AD173" s="439"/>
      <c r="AE173" s="439"/>
      <c r="AF173" s="439"/>
      <c r="AG173" s="439"/>
    </row>
    <row r="174" ht="15.75" customHeight="1">
      <c r="A174" s="439"/>
      <c r="B174" s="439"/>
      <c r="C174" s="439"/>
      <c r="D174" s="439"/>
      <c r="E174" s="439"/>
      <c r="F174" s="439"/>
      <c r="G174" s="439"/>
      <c r="H174" s="439"/>
      <c r="I174" s="439"/>
      <c r="J174" s="439"/>
      <c r="K174" s="439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  <c r="AA174" s="439"/>
      <c r="AB174" s="439"/>
      <c r="AC174" s="439"/>
      <c r="AD174" s="439"/>
      <c r="AE174" s="439"/>
      <c r="AF174" s="439"/>
      <c r="AG174" s="439"/>
    </row>
    <row r="175" ht="15.75" customHeight="1">
      <c r="A175" s="439"/>
      <c r="B175" s="439"/>
      <c r="C175" s="439"/>
      <c r="D175" s="439"/>
      <c r="E175" s="439"/>
      <c r="F175" s="439"/>
      <c r="G175" s="439"/>
      <c r="H175" s="439"/>
      <c r="I175" s="439"/>
      <c r="J175" s="439"/>
      <c r="K175" s="439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  <c r="AA175" s="439"/>
      <c r="AB175" s="439"/>
      <c r="AC175" s="439"/>
      <c r="AD175" s="439"/>
      <c r="AE175" s="439"/>
      <c r="AF175" s="439"/>
      <c r="AG175" s="439"/>
    </row>
    <row r="176" ht="15.75" customHeight="1">
      <c r="A176" s="439"/>
      <c r="B176" s="439"/>
      <c r="C176" s="439"/>
      <c r="D176" s="439"/>
      <c r="E176" s="439"/>
      <c r="F176" s="439"/>
      <c r="G176" s="439"/>
      <c r="H176" s="439"/>
      <c r="I176" s="439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  <c r="AA176" s="439"/>
      <c r="AB176" s="439"/>
      <c r="AC176" s="439"/>
      <c r="AD176" s="439"/>
      <c r="AE176" s="439"/>
      <c r="AF176" s="439"/>
      <c r="AG176" s="439"/>
    </row>
    <row r="177" ht="15.75" customHeight="1">
      <c r="A177" s="439"/>
      <c r="B177" s="439"/>
      <c r="C177" s="439"/>
      <c r="D177" s="439"/>
      <c r="E177" s="439"/>
      <c r="F177" s="439"/>
      <c r="G177" s="439"/>
      <c r="H177" s="439"/>
      <c r="I177" s="439"/>
      <c r="J177" s="439"/>
      <c r="K177" s="439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  <c r="AA177" s="439"/>
      <c r="AB177" s="439"/>
      <c r="AC177" s="439"/>
      <c r="AD177" s="439"/>
      <c r="AE177" s="439"/>
      <c r="AF177" s="439"/>
      <c r="AG177" s="439"/>
    </row>
    <row r="178" ht="15.75" customHeight="1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  <c r="AA178" s="439"/>
      <c r="AB178" s="439"/>
      <c r="AC178" s="439"/>
      <c r="AD178" s="439"/>
      <c r="AE178" s="439"/>
      <c r="AF178" s="439"/>
      <c r="AG178" s="439"/>
    </row>
    <row r="179" ht="15.75" customHeight="1">
      <c r="A179" s="439"/>
      <c r="B179" s="439"/>
      <c r="C179" s="439"/>
      <c r="D179" s="439"/>
      <c r="E179" s="439"/>
      <c r="F179" s="439"/>
      <c r="G179" s="439"/>
      <c r="H179" s="439"/>
      <c r="I179" s="439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  <c r="AA179" s="439"/>
      <c r="AB179" s="439"/>
      <c r="AC179" s="439"/>
      <c r="AD179" s="439"/>
      <c r="AE179" s="439"/>
      <c r="AF179" s="439"/>
      <c r="AG179" s="439"/>
    </row>
    <row r="180" ht="15.75" customHeight="1">
      <c r="A180" s="439"/>
      <c r="B180" s="439"/>
      <c r="C180" s="439"/>
      <c r="D180" s="439"/>
      <c r="E180" s="439"/>
      <c r="F180" s="439"/>
      <c r="G180" s="439"/>
      <c r="H180" s="439"/>
      <c r="I180" s="439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  <c r="AA180" s="439"/>
      <c r="AB180" s="439"/>
      <c r="AC180" s="439"/>
      <c r="AD180" s="439"/>
      <c r="AE180" s="439"/>
      <c r="AF180" s="439"/>
      <c r="AG180" s="439"/>
    </row>
    <row r="181" ht="15.75" customHeight="1">
      <c r="A181" s="439"/>
      <c r="B181" s="439"/>
      <c r="C181" s="439"/>
      <c r="D181" s="439"/>
      <c r="E181" s="439"/>
      <c r="F181" s="439"/>
      <c r="G181" s="439"/>
      <c r="H181" s="439"/>
      <c r="I181" s="439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  <c r="AA181" s="439"/>
      <c r="AB181" s="439"/>
      <c r="AC181" s="439"/>
      <c r="AD181" s="439"/>
      <c r="AE181" s="439"/>
      <c r="AF181" s="439"/>
      <c r="AG181" s="439"/>
    </row>
    <row r="182" ht="15.75" customHeight="1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  <c r="AA182" s="439"/>
      <c r="AB182" s="439"/>
      <c r="AC182" s="439"/>
      <c r="AD182" s="439"/>
      <c r="AE182" s="439"/>
      <c r="AF182" s="439"/>
      <c r="AG182" s="439"/>
    </row>
    <row r="183" ht="15.75" customHeight="1">
      <c r="A183" s="439"/>
      <c r="B183" s="439"/>
      <c r="C183" s="439"/>
      <c r="D183" s="439"/>
      <c r="E183" s="439"/>
      <c r="F183" s="439"/>
      <c r="G183" s="439"/>
      <c r="H183" s="439"/>
      <c r="I183" s="439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  <c r="AA183" s="439"/>
      <c r="AB183" s="439"/>
      <c r="AC183" s="439"/>
      <c r="AD183" s="439"/>
      <c r="AE183" s="439"/>
      <c r="AF183" s="439"/>
      <c r="AG183" s="439"/>
    </row>
    <row r="184" ht="15.75" customHeight="1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  <c r="AA184" s="439"/>
      <c r="AB184" s="439"/>
      <c r="AC184" s="439"/>
      <c r="AD184" s="439"/>
      <c r="AE184" s="439"/>
      <c r="AF184" s="439"/>
      <c r="AG184" s="439"/>
    </row>
    <row r="185" ht="15.75" customHeight="1">
      <c r="A185" s="439"/>
      <c r="B185" s="439"/>
      <c r="C185" s="439"/>
      <c r="D185" s="439"/>
      <c r="E185" s="439"/>
      <c r="F185" s="439"/>
      <c r="G185" s="439"/>
      <c r="H185" s="439"/>
      <c r="I185" s="439"/>
      <c r="J185" s="439"/>
      <c r="K185" s="439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  <c r="AA185" s="439"/>
      <c r="AB185" s="439"/>
      <c r="AC185" s="439"/>
      <c r="AD185" s="439"/>
      <c r="AE185" s="439"/>
      <c r="AF185" s="439"/>
      <c r="AG185" s="439"/>
    </row>
    <row r="186" ht="15.75" customHeight="1">
      <c r="A186" s="439"/>
      <c r="B186" s="439"/>
      <c r="C186" s="439"/>
      <c r="D186" s="439"/>
      <c r="E186" s="439"/>
      <c r="F186" s="439"/>
      <c r="G186" s="439"/>
      <c r="H186" s="439"/>
      <c r="I186" s="439"/>
      <c r="J186" s="439"/>
      <c r="K186" s="439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  <c r="AA186" s="439"/>
      <c r="AB186" s="439"/>
      <c r="AC186" s="439"/>
      <c r="AD186" s="439"/>
      <c r="AE186" s="439"/>
      <c r="AF186" s="439"/>
      <c r="AG186" s="439"/>
    </row>
    <row r="187" ht="15.75" customHeight="1">
      <c r="A187" s="439"/>
      <c r="B187" s="439"/>
      <c r="C187" s="439"/>
      <c r="D187" s="439"/>
      <c r="E187" s="439"/>
      <c r="F187" s="439"/>
      <c r="G187" s="439"/>
      <c r="H187" s="439"/>
      <c r="I187" s="439"/>
      <c r="J187" s="439"/>
      <c r="K187" s="439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  <c r="AA187" s="439"/>
      <c r="AB187" s="439"/>
      <c r="AC187" s="439"/>
      <c r="AD187" s="439"/>
      <c r="AE187" s="439"/>
      <c r="AF187" s="439"/>
      <c r="AG187" s="439"/>
    </row>
    <row r="188" ht="15.75" customHeight="1">
      <c r="A188" s="439"/>
      <c r="B188" s="439"/>
      <c r="C188" s="439"/>
      <c r="D188" s="439"/>
      <c r="E188" s="439"/>
      <c r="F188" s="439"/>
      <c r="G188" s="439"/>
      <c r="H188" s="439"/>
      <c r="I188" s="439"/>
      <c r="J188" s="439"/>
      <c r="K188" s="439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  <c r="AA188" s="439"/>
      <c r="AB188" s="439"/>
      <c r="AC188" s="439"/>
      <c r="AD188" s="439"/>
      <c r="AE188" s="439"/>
      <c r="AF188" s="439"/>
      <c r="AG188" s="439"/>
    </row>
    <row r="189" ht="15.75" customHeight="1">
      <c r="A189" s="439"/>
      <c r="B189" s="439"/>
      <c r="C189" s="439"/>
      <c r="D189" s="439"/>
      <c r="E189" s="439"/>
      <c r="F189" s="439"/>
      <c r="G189" s="439"/>
      <c r="H189" s="439"/>
      <c r="I189" s="439"/>
      <c r="J189" s="439"/>
      <c r="K189" s="439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  <c r="AA189" s="439"/>
      <c r="AB189" s="439"/>
      <c r="AC189" s="439"/>
      <c r="AD189" s="439"/>
      <c r="AE189" s="439"/>
      <c r="AF189" s="439"/>
      <c r="AG189" s="439"/>
    </row>
    <row r="190" ht="15.75" customHeight="1">
      <c r="A190" s="439"/>
      <c r="B190" s="439"/>
      <c r="C190" s="439"/>
      <c r="D190" s="439"/>
      <c r="E190" s="439"/>
      <c r="F190" s="439"/>
      <c r="G190" s="439"/>
      <c r="H190" s="439"/>
      <c r="I190" s="439"/>
      <c r="J190" s="439"/>
      <c r="K190" s="439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  <c r="AA190" s="439"/>
      <c r="AB190" s="439"/>
      <c r="AC190" s="439"/>
      <c r="AD190" s="439"/>
      <c r="AE190" s="439"/>
      <c r="AF190" s="439"/>
      <c r="AG190" s="439"/>
    </row>
    <row r="191" ht="15.75" customHeight="1">
      <c r="A191" s="439"/>
      <c r="B191" s="439"/>
      <c r="C191" s="439"/>
      <c r="D191" s="439"/>
      <c r="E191" s="439"/>
      <c r="F191" s="439"/>
      <c r="G191" s="439"/>
      <c r="H191" s="439"/>
      <c r="I191" s="439"/>
      <c r="J191" s="439"/>
      <c r="K191" s="439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  <c r="AA191" s="439"/>
      <c r="AB191" s="439"/>
      <c r="AC191" s="439"/>
      <c r="AD191" s="439"/>
      <c r="AE191" s="439"/>
      <c r="AF191" s="439"/>
      <c r="AG191" s="439"/>
    </row>
    <row r="192" ht="15.75" customHeight="1">
      <c r="A192" s="439"/>
      <c r="B192" s="439"/>
      <c r="C192" s="439"/>
      <c r="D192" s="439"/>
      <c r="E192" s="439"/>
      <c r="F192" s="439"/>
      <c r="G192" s="439"/>
      <c r="H192" s="439"/>
      <c r="I192" s="439"/>
      <c r="J192" s="439"/>
      <c r="K192" s="439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  <c r="AA192" s="439"/>
      <c r="AB192" s="439"/>
      <c r="AC192" s="439"/>
      <c r="AD192" s="439"/>
      <c r="AE192" s="439"/>
      <c r="AF192" s="439"/>
      <c r="AG192" s="439"/>
    </row>
    <row r="193" ht="15.75" customHeight="1">
      <c r="A193" s="439"/>
      <c r="B193" s="439"/>
      <c r="C193" s="439"/>
      <c r="D193" s="439"/>
      <c r="E193" s="439"/>
      <c r="F193" s="439"/>
      <c r="G193" s="439"/>
      <c r="H193" s="439"/>
      <c r="I193" s="439"/>
      <c r="J193" s="439"/>
      <c r="K193" s="439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  <c r="AA193" s="439"/>
      <c r="AB193" s="439"/>
      <c r="AC193" s="439"/>
      <c r="AD193" s="439"/>
      <c r="AE193" s="439"/>
      <c r="AF193" s="439"/>
      <c r="AG193" s="439"/>
    </row>
    <row r="194" ht="15.75" customHeight="1">
      <c r="A194" s="439"/>
      <c r="B194" s="439"/>
      <c r="C194" s="439"/>
      <c r="D194" s="439"/>
      <c r="E194" s="439"/>
      <c r="F194" s="439"/>
      <c r="G194" s="439"/>
      <c r="H194" s="439"/>
      <c r="I194" s="439"/>
      <c r="J194" s="439"/>
      <c r="K194" s="439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  <c r="AA194" s="439"/>
      <c r="AB194" s="439"/>
      <c r="AC194" s="439"/>
      <c r="AD194" s="439"/>
      <c r="AE194" s="439"/>
      <c r="AF194" s="439"/>
      <c r="AG194" s="439"/>
    </row>
    <row r="195" ht="15.75" customHeight="1">
      <c r="A195" s="439"/>
      <c r="B195" s="439"/>
      <c r="C195" s="439"/>
      <c r="D195" s="439"/>
      <c r="E195" s="439"/>
      <c r="F195" s="439"/>
      <c r="G195" s="439"/>
      <c r="H195" s="439"/>
      <c r="I195" s="439"/>
      <c r="J195" s="439"/>
      <c r="K195" s="439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  <c r="AA195" s="439"/>
      <c r="AB195" s="439"/>
      <c r="AC195" s="439"/>
      <c r="AD195" s="439"/>
      <c r="AE195" s="439"/>
      <c r="AF195" s="439"/>
      <c r="AG195" s="439"/>
    </row>
    <row r="196" ht="15.75" customHeight="1">
      <c r="A196" s="439"/>
      <c r="B196" s="439"/>
      <c r="C196" s="439"/>
      <c r="D196" s="439"/>
      <c r="E196" s="439"/>
      <c r="F196" s="439"/>
      <c r="G196" s="439"/>
      <c r="H196" s="439"/>
      <c r="I196" s="439"/>
      <c r="J196" s="439"/>
      <c r="K196" s="439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  <c r="AA196" s="439"/>
      <c r="AB196" s="439"/>
      <c r="AC196" s="439"/>
      <c r="AD196" s="439"/>
      <c r="AE196" s="439"/>
      <c r="AF196" s="439"/>
      <c r="AG196" s="439"/>
    </row>
    <row r="197" ht="15.75" customHeight="1">
      <c r="A197" s="439"/>
      <c r="B197" s="439"/>
      <c r="C197" s="439"/>
      <c r="D197" s="439"/>
      <c r="E197" s="439"/>
      <c r="F197" s="439"/>
      <c r="G197" s="439"/>
      <c r="H197" s="439"/>
      <c r="I197" s="439"/>
      <c r="J197" s="439"/>
      <c r="K197" s="439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  <c r="AA197" s="439"/>
      <c r="AB197" s="439"/>
      <c r="AC197" s="439"/>
      <c r="AD197" s="439"/>
      <c r="AE197" s="439"/>
      <c r="AF197" s="439"/>
      <c r="AG197" s="439"/>
    </row>
    <row r="198" ht="15.75" customHeight="1">
      <c r="A198" s="439"/>
      <c r="B198" s="439"/>
      <c r="C198" s="439"/>
      <c r="D198" s="439"/>
      <c r="E198" s="439"/>
      <c r="F198" s="439"/>
      <c r="G198" s="439"/>
      <c r="H198" s="439"/>
      <c r="I198" s="439"/>
      <c r="J198" s="439"/>
      <c r="K198" s="439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  <c r="AA198" s="439"/>
      <c r="AB198" s="439"/>
      <c r="AC198" s="439"/>
      <c r="AD198" s="439"/>
      <c r="AE198" s="439"/>
      <c r="AF198" s="439"/>
      <c r="AG198" s="439"/>
    </row>
    <row r="199" ht="15.75" customHeight="1">
      <c r="A199" s="439"/>
      <c r="B199" s="439"/>
      <c r="C199" s="439"/>
      <c r="D199" s="439"/>
      <c r="E199" s="439"/>
      <c r="F199" s="439"/>
      <c r="G199" s="439"/>
      <c r="H199" s="439"/>
      <c r="I199" s="439"/>
      <c r="J199" s="439"/>
      <c r="K199" s="439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  <c r="AA199" s="439"/>
      <c r="AB199" s="439"/>
      <c r="AC199" s="439"/>
      <c r="AD199" s="439"/>
      <c r="AE199" s="439"/>
      <c r="AF199" s="439"/>
      <c r="AG199" s="439"/>
    </row>
    <row r="200" ht="15.75" customHeight="1">
      <c r="A200" s="439"/>
      <c r="B200" s="439"/>
      <c r="C200" s="439"/>
      <c r="D200" s="439"/>
      <c r="E200" s="439"/>
      <c r="F200" s="439"/>
      <c r="G200" s="439"/>
      <c r="H200" s="439"/>
      <c r="I200" s="439"/>
      <c r="J200" s="439"/>
      <c r="K200" s="439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  <c r="AA200" s="439"/>
      <c r="AB200" s="439"/>
      <c r="AC200" s="439"/>
      <c r="AD200" s="439"/>
      <c r="AE200" s="439"/>
      <c r="AF200" s="439"/>
      <c r="AG200" s="439"/>
    </row>
    <row r="201" ht="15.75" customHeight="1">
      <c r="A201" s="439"/>
      <c r="B201" s="439"/>
      <c r="C201" s="439"/>
      <c r="D201" s="439"/>
      <c r="E201" s="439"/>
      <c r="F201" s="439"/>
      <c r="G201" s="439"/>
      <c r="H201" s="439"/>
      <c r="I201" s="439"/>
      <c r="J201" s="439"/>
      <c r="K201" s="439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  <c r="AA201" s="439"/>
      <c r="AB201" s="439"/>
      <c r="AC201" s="439"/>
      <c r="AD201" s="439"/>
      <c r="AE201" s="439"/>
      <c r="AF201" s="439"/>
      <c r="AG201" s="439"/>
    </row>
    <row r="202" ht="15.75" customHeight="1">
      <c r="A202" s="439"/>
      <c r="B202" s="439"/>
      <c r="C202" s="439"/>
      <c r="D202" s="439"/>
      <c r="E202" s="439"/>
      <c r="F202" s="439"/>
      <c r="G202" s="439"/>
      <c r="H202" s="439"/>
      <c r="I202" s="439"/>
      <c r="J202" s="439"/>
      <c r="K202" s="439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  <c r="AA202" s="439"/>
      <c r="AB202" s="439"/>
      <c r="AC202" s="439"/>
      <c r="AD202" s="439"/>
      <c r="AE202" s="439"/>
      <c r="AF202" s="439"/>
      <c r="AG202" s="439"/>
    </row>
    <row r="203" ht="15.75" customHeight="1">
      <c r="A203" s="439"/>
      <c r="B203" s="439"/>
      <c r="C203" s="439"/>
      <c r="D203" s="439"/>
      <c r="E203" s="439"/>
      <c r="F203" s="439"/>
      <c r="G203" s="439"/>
      <c r="H203" s="439"/>
      <c r="I203" s="439"/>
      <c r="J203" s="439"/>
      <c r="K203" s="439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  <c r="AA203" s="439"/>
      <c r="AB203" s="439"/>
      <c r="AC203" s="439"/>
      <c r="AD203" s="439"/>
      <c r="AE203" s="439"/>
      <c r="AF203" s="439"/>
      <c r="AG203" s="439"/>
    </row>
    <row r="204" ht="15.75" customHeight="1">
      <c r="A204" s="439"/>
      <c r="B204" s="439"/>
      <c r="C204" s="439"/>
      <c r="D204" s="439"/>
      <c r="E204" s="439"/>
      <c r="F204" s="439"/>
      <c r="G204" s="439"/>
      <c r="H204" s="439"/>
      <c r="I204" s="439"/>
      <c r="J204" s="439"/>
      <c r="K204" s="439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  <c r="AA204" s="439"/>
      <c r="AB204" s="439"/>
      <c r="AC204" s="439"/>
      <c r="AD204" s="439"/>
      <c r="AE204" s="439"/>
      <c r="AF204" s="439"/>
      <c r="AG204" s="439"/>
    </row>
    <row r="205" ht="15.75" customHeight="1">
      <c r="A205" s="439"/>
      <c r="B205" s="439"/>
      <c r="C205" s="439"/>
      <c r="D205" s="439"/>
      <c r="E205" s="439"/>
      <c r="F205" s="439"/>
      <c r="G205" s="439"/>
      <c r="H205" s="439"/>
      <c r="I205" s="439"/>
      <c r="J205" s="439"/>
      <c r="K205" s="439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  <c r="AA205" s="439"/>
      <c r="AB205" s="439"/>
      <c r="AC205" s="439"/>
      <c r="AD205" s="439"/>
      <c r="AE205" s="439"/>
      <c r="AF205" s="439"/>
      <c r="AG205" s="439"/>
    </row>
    <row r="206" ht="15.75" customHeight="1">
      <c r="A206" s="439"/>
      <c r="B206" s="439"/>
      <c r="C206" s="439"/>
      <c r="D206" s="439"/>
      <c r="E206" s="439"/>
      <c r="F206" s="439"/>
      <c r="G206" s="439"/>
      <c r="H206" s="439"/>
      <c r="I206" s="439"/>
      <c r="J206" s="439"/>
      <c r="K206" s="439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  <c r="AA206" s="439"/>
      <c r="AB206" s="439"/>
      <c r="AC206" s="439"/>
      <c r="AD206" s="439"/>
      <c r="AE206" s="439"/>
      <c r="AF206" s="439"/>
      <c r="AG206" s="439"/>
    </row>
    <row r="207" ht="15.75" customHeight="1">
      <c r="A207" s="439"/>
      <c r="B207" s="439"/>
      <c r="C207" s="439"/>
      <c r="D207" s="439"/>
      <c r="E207" s="439"/>
      <c r="F207" s="439"/>
      <c r="G207" s="439"/>
      <c r="H207" s="439"/>
      <c r="I207" s="439"/>
      <c r="J207" s="439"/>
      <c r="K207" s="439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  <c r="AA207" s="439"/>
      <c r="AB207" s="439"/>
      <c r="AC207" s="439"/>
      <c r="AD207" s="439"/>
      <c r="AE207" s="439"/>
      <c r="AF207" s="439"/>
      <c r="AG207" s="439"/>
    </row>
    <row r="208" ht="15.75" customHeight="1">
      <c r="A208" s="439"/>
      <c r="B208" s="439"/>
      <c r="C208" s="439"/>
      <c r="D208" s="439"/>
      <c r="E208" s="439"/>
      <c r="F208" s="439"/>
      <c r="G208" s="439"/>
      <c r="H208" s="439"/>
      <c r="I208" s="439"/>
      <c r="J208" s="439"/>
      <c r="K208" s="439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  <c r="AA208" s="439"/>
      <c r="AB208" s="439"/>
      <c r="AC208" s="439"/>
      <c r="AD208" s="439"/>
      <c r="AE208" s="439"/>
      <c r="AF208" s="439"/>
      <c r="AG208" s="439"/>
    </row>
    <row r="209" ht="15.75" customHeight="1">
      <c r="A209" s="439"/>
      <c r="B209" s="439"/>
      <c r="C209" s="439"/>
      <c r="D209" s="439"/>
      <c r="E209" s="439"/>
      <c r="F209" s="439"/>
      <c r="G209" s="439"/>
      <c r="H209" s="439"/>
      <c r="I209" s="439"/>
      <c r="J209" s="439"/>
      <c r="K209" s="439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  <c r="AA209" s="439"/>
      <c r="AB209" s="439"/>
      <c r="AC209" s="439"/>
      <c r="AD209" s="439"/>
      <c r="AE209" s="439"/>
      <c r="AF209" s="439"/>
      <c r="AG209" s="439"/>
    </row>
    <row r="210" ht="15.75" customHeight="1">
      <c r="A210" s="439"/>
      <c r="B210" s="439"/>
      <c r="C210" s="439"/>
      <c r="D210" s="439"/>
      <c r="E210" s="439"/>
      <c r="F210" s="439"/>
      <c r="G210" s="439"/>
      <c r="H210" s="439"/>
      <c r="I210" s="439"/>
      <c r="J210" s="439"/>
      <c r="K210" s="439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  <c r="AA210" s="439"/>
      <c r="AB210" s="439"/>
      <c r="AC210" s="439"/>
      <c r="AD210" s="439"/>
      <c r="AE210" s="439"/>
      <c r="AF210" s="439"/>
      <c r="AG210" s="439"/>
    </row>
    <row r="211" ht="15.75" customHeight="1">
      <c r="A211" s="439"/>
      <c r="B211" s="439"/>
      <c r="C211" s="439"/>
      <c r="D211" s="439"/>
      <c r="E211" s="439"/>
      <c r="F211" s="439"/>
      <c r="G211" s="439"/>
      <c r="H211" s="439"/>
      <c r="I211" s="439"/>
      <c r="J211" s="439"/>
      <c r="K211" s="439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  <c r="AA211" s="439"/>
      <c r="AB211" s="439"/>
      <c r="AC211" s="439"/>
      <c r="AD211" s="439"/>
      <c r="AE211" s="439"/>
      <c r="AF211" s="439"/>
      <c r="AG211" s="439"/>
    </row>
    <row r="212" ht="15.75" customHeight="1">
      <c r="A212" s="439"/>
      <c r="B212" s="439"/>
      <c r="C212" s="439"/>
      <c r="D212" s="439"/>
      <c r="E212" s="439"/>
      <c r="F212" s="439"/>
      <c r="G212" s="439"/>
      <c r="H212" s="439"/>
      <c r="I212" s="439"/>
      <c r="J212" s="439"/>
      <c r="K212" s="439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  <c r="AA212" s="439"/>
      <c r="AB212" s="439"/>
      <c r="AC212" s="439"/>
      <c r="AD212" s="439"/>
      <c r="AE212" s="439"/>
      <c r="AF212" s="439"/>
      <c r="AG212" s="439"/>
    </row>
    <row r="213" ht="15.75" customHeight="1">
      <c r="A213" s="439"/>
      <c r="B213" s="439"/>
      <c r="C213" s="439"/>
      <c r="D213" s="439"/>
      <c r="E213" s="439"/>
      <c r="F213" s="439"/>
      <c r="G213" s="439"/>
      <c r="H213" s="439"/>
      <c r="I213" s="439"/>
      <c r="J213" s="439"/>
      <c r="K213" s="439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  <c r="AA213" s="439"/>
      <c r="AB213" s="439"/>
      <c r="AC213" s="439"/>
      <c r="AD213" s="439"/>
      <c r="AE213" s="439"/>
      <c r="AF213" s="439"/>
      <c r="AG213" s="439"/>
    </row>
    <row r="214" ht="15.75" customHeight="1">
      <c r="A214" s="439"/>
      <c r="B214" s="439"/>
      <c r="C214" s="439"/>
      <c r="D214" s="439"/>
      <c r="E214" s="439"/>
      <c r="F214" s="439"/>
      <c r="G214" s="439"/>
      <c r="H214" s="439"/>
      <c r="I214" s="439"/>
      <c r="J214" s="439"/>
      <c r="K214" s="439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  <c r="AA214" s="439"/>
      <c r="AB214" s="439"/>
      <c r="AC214" s="439"/>
      <c r="AD214" s="439"/>
      <c r="AE214" s="439"/>
      <c r="AF214" s="439"/>
      <c r="AG214" s="439"/>
    </row>
    <row r="215" ht="15.75" customHeight="1">
      <c r="A215" s="439"/>
      <c r="B215" s="439"/>
      <c r="C215" s="439"/>
      <c r="D215" s="439"/>
      <c r="E215" s="439"/>
      <c r="F215" s="439"/>
      <c r="G215" s="439"/>
      <c r="H215" s="439"/>
      <c r="I215" s="439"/>
      <c r="J215" s="439"/>
      <c r="K215" s="439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  <c r="AA215" s="439"/>
      <c r="AB215" s="439"/>
      <c r="AC215" s="439"/>
      <c r="AD215" s="439"/>
      <c r="AE215" s="439"/>
      <c r="AF215" s="439"/>
      <c r="AG215" s="439"/>
    </row>
    <row r="216" ht="15.75" customHeight="1">
      <c r="A216" s="439"/>
      <c r="B216" s="439"/>
      <c r="C216" s="439"/>
      <c r="D216" s="439"/>
      <c r="E216" s="439"/>
      <c r="F216" s="439"/>
      <c r="G216" s="439"/>
      <c r="H216" s="439"/>
      <c r="I216" s="439"/>
      <c r="J216" s="439"/>
      <c r="K216" s="439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  <c r="AA216" s="439"/>
      <c r="AB216" s="439"/>
      <c r="AC216" s="439"/>
      <c r="AD216" s="439"/>
      <c r="AE216" s="439"/>
      <c r="AF216" s="439"/>
      <c r="AG216" s="439"/>
    </row>
    <row r="217" ht="15.75" customHeight="1">
      <c r="A217" s="439"/>
      <c r="B217" s="439"/>
      <c r="C217" s="439"/>
      <c r="D217" s="439"/>
      <c r="E217" s="439"/>
      <c r="F217" s="439"/>
      <c r="G217" s="439"/>
      <c r="H217" s="439"/>
      <c r="I217" s="439"/>
      <c r="J217" s="439"/>
      <c r="K217" s="439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  <c r="AA217" s="439"/>
      <c r="AB217" s="439"/>
      <c r="AC217" s="439"/>
      <c r="AD217" s="439"/>
      <c r="AE217" s="439"/>
      <c r="AF217" s="439"/>
      <c r="AG217" s="439"/>
    </row>
    <row r="218" ht="15.75" customHeight="1">
      <c r="A218" s="439"/>
      <c r="B218" s="439"/>
      <c r="C218" s="439"/>
      <c r="D218" s="439"/>
      <c r="E218" s="439"/>
      <c r="F218" s="439"/>
      <c r="G218" s="439"/>
      <c r="H218" s="439"/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  <c r="AA218" s="439"/>
      <c r="AB218" s="439"/>
      <c r="AC218" s="439"/>
      <c r="AD218" s="439"/>
      <c r="AE218" s="439"/>
      <c r="AF218" s="439"/>
      <c r="AG218" s="439"/>
    </row>
    <row r="219" ht="15.75" customHeight="1">
      <c r="A219" s="439"/>
      <c r="B219" s="439"/>
      <c r="C219" s="439"/>
      <c r="D219" s="439"/>
      <c r="E219" s="439"/>
      <c r="F219" s="439"/>
      <c r="G219" s="439"/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  <c r="AA219" s="439"/>
      <c r="AB219" s="439"/>
      <c r="AC219" s="439"/>
      <c r="AD219" s="439"/>
      <c r="AE219" s="439"/>
      <c r="AF219" s="439"/>
      <c r="AG219" s="439"/>
    </row>
    <row r="220" ht="15.75" customHeight="1">
      <c r="A220" s="439"/>
      <c r="B220" s="439"/>
      <c r="C220" s="439"/>
      <c r="D220" s="439"/>
      <c r="E220" s="439"/>
      <c r="F220" s="439"/>
      <c r="G220" s="439"/>
      <c r="H220" s="439"/>
      <c r="I220" s="439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  <c r="AA220" s="439"/>
      <c r="AB220" s="439"/>
      <c r="AC220" s="439"/>
      <c r="AD220" s="439"/>
      <c r="AE220" s="439"/>
      <c r="AF220" s="439"/>
      <c r="AG220" s="439"/>
    </row>
    <row r="221" ht="15.75" customHeight="1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  <c r="AA221" s="439"/>
      <c r="AB221" s="439"/>
      <c r="AC221" s="439"/>
      <c r="AD221" s="439"/>
      <c r="AE221" s="439"/>
      <c r="AF221" s="439"/>
      <c r="AG221" s="439"/>
    </row>
    <row r="222" ht="15.75" customHeight="1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  <c r="AA222" s="439"/>
      <c r="AB222" s="439"/>
      <c r="AC222" s="439"/>
      <c r="AD222" s="439"/>
      <c r="AE222" s="439"/>
      <c r="AF222" s="439"/>
      <c r="AG222" s="439"/>
    </row>
    <row r="223" ht="15.75" customHeight="1">
      <c r="A223" s="439"/>
      <c r="B223" s="439"/>
      <c r="C223" s="439"/>
      <c r="D223" s="439"/>
      <c r="E223" s="439"/>
      <c r="F223" s="439"/>
      <c r="G223" s="439"/>
      <c r="H223" s="439"/>
      <c r="I223" s="439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  <c r="AA223" s="439"/>
      <c r="AB223" s="439"/>
      <c r="AC223" s="439"/>
      <c r="AD223" s="439"/>
      <c r="AE223" s="439"/>
      <c r="AF223" s="439"/>
      <c r="AG223" s="439"/>
    </row>
    <row r="224" ht="15.75" customHeight="1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  <c r="AA224" s="439"/>
      <c r="AB224" s="439"/>
      <c r="AC224" s="439"/>
      <c r="AD224" s="439"/>
      <c r="AE224" s="439"/>
      <c r="AF224" s="439"/>
      <c r="AG224" s="439"/>
    </row>
    <row r="225" ht="15.75" customHeight="1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  <c r="AA225" s="439"/>
      <c r="AB225" s="439"/>
      <c r="AC225" s="439"/>
      <c r="AD225" s="439"/>
      <c r="AE225" s="439"/>
      <c r="AF225" s="439"/>
      <c r="AG225" s="439"/>
    </row>
    <row r="226" ht="15.75" customHeight="1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  <c r="AA226" s="439"/>
      <c r="AB226" s="439"/>
      <c r="AC226" s="439"/>
      <c r="AD226" s="439"/>
      <c r="AE226" s="439"/>
      <c r="AF226" s="439"/>
      <c r="AG226" s="439"/>
    </row>
    <row r="227" ht="15.75" customHeight="1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  <c r="AA227" s="439"/>
      <c r="AB227" s="439"/>
      <c r="AC227" s="439"/>
      <c r="AD227" s="439"/>
      <c r="AE227" s="439"/>
      <c r="AF227" s="439"/>
      <c r="AG227" s="439"/>
    </row>
    <row r="228" ht="15.75" customHeight="1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  <c r="AA228" s="439"/>
      <c r="AB228" s="439"/>
      <c r="AC228" s="439"/>
      <c r="AD228" s="439"/>
      <c r="AE228" s="439"/>
      <c r="AF228" s="439"/>
      <c r="AG228" s="439"/>
    </row>
    <row r="229" ht="15.75" customHeight="1">
      <c r="A229" s="439"/>
      <c r="B229" s="439"/>
      <c r="C229" s="439"/>
      <c r="D229" s="439"/>
      <c r="E229" s="439"/>
      <c r="F229" s="439"/>
      <c r="G229" s="439"/>
      <c r="H229" s="439"/>
      <c r="I229" s="439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  <c r="AA229" s="439"/>
      <c r="AB229" s="439"/>
      <c r="AC229" s="439"/>
      <c r="AD229" s="439"/>
      <c r="AE229" s="439"/>
      <c r="AF229" s="439"/>
      <c r="AG229" s="439"/>
    </row>
    <row r="230" ht="15.75" customHeight="1">
      <c r="A230" s="439"/>
      <c r="B230" s="439"/>
      <c r="C230" s="439"/>
      <c r="D230" s="439"/>
      <c r="E230" s="439"/>
      <c r="F230" s="439"/>
      <c r="G230" s="439"/>
      <c r="H230" s="439"/>
      <c r="I230" s="439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  <c r="AA230" s="439"/>
      <c r="AB230" s="439"/>
      <c r="AC230" s="439"/>
      <c r="AD230" s="439"/>
      <c r="AE230" s="439"/>
      <c r="AF230" s="439"/>
      <c r="AG230" s="439"/>
    </row>
    <row r="231" ht="15.75" customHeight="1">
      <c r="A231" s="439"/>
      <c r="B231" s="439"/>
      <c r="C231" s="439"/>
      <c r="D231" s="439"/>
      <c r="E231" s="439"/>
      <c r="F231" s="439"/>
      <c r="G231" s="439"/>
      <c r="H231" s="439"/>
      <c r="I231" s="439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  <c r="AA231" s="439"/>
      <c r="AB231" s="439"/>
      <c r="AC231" s="439"/>
      <c r="AD231" s="439"/>
      <c r="AE231" s="439"/>
      <c r="AF231" s="439"/>
      <c r="AG231" s="439"/>
    </row>
    <row r="232" ht="15.75" customHeight="1">
      <c r="A232" s="439"/>
      <c r="B232" s="439"/>
      <c r="C232" s="439"/>
      <c r="D232" s="439"/>
      <c r="E232" s="439"/>
      <c r="F232" s="439"/>
      <c r="G232" s="439"/>
      <c r="H232" s="439"/>
      <c r="I232" s="439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  <c r="AA232" s="439"/>
      <c r="AB232" s="439"/>
      <c r="AC232" s="439"/>
      <c r="AD232" s="439"/>
      <c r="AE232" s="439"/>
      <c r="AF232" s="439"/>
      <c r="AG232" s="439"/>
    </row>
    <row r="233" ht="15.75" customHeight="1">
      <c r="A233" s="439"/>
      <c r="B233" s="439"/>
      <c r="C233" s="439"/>
      <c r="D233" s="439"/>
      <c r="E233" s="439"/>
      <c r="F233" s="439"/>
      <c r="G233" s="439"/>
      <c r="H233" s="439"/>
      <c r="I233" s="439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  <c r="AA233" s="439"/>
      <c r="AB233" s="439"/>
      <c r="AC233" s="439"/>
      <c r="AD233" s="439"/>
      <c r="AE233" s="439"/>
      <c r="AF233" s="439"/>
      <c r="AG233" s="439"/>
    </row>
    <row r="234" ht="15.75" customHeight="1">
      <c r="A234" s="439"/>
      <c r="B234" s="439"/>
      <c r="C234" s="439"/>
      <c r="D234" s="439"/>
      <c r="E234" s="439"/>
      <c r="F234" s="439"/>
      <c r="G234" s="439"/>
      <c r="H234" s="439"/>
      <c r="I234" s="439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  <c r="AA234" s="439"/>
      <c r="AB234" s="439"/>
      <c r="AC234" s="439"/>
      <c r="AD234" s="439"/>
      <c r="AE234" s="439"/>
      <c r="AF234" s="439"/>
      <c r="AG234" s="439"/>
    </row>
    <row r="235" ht="15.75" customHeight="1">
      <c r="A235" s="439"/>
      <c r="B235" s="439"/>
      <c r="C235" s="439"/>
      <c r="D235" s="439"/>
      <c r="E235" s="439"/>
      <c r="F235" s="439"/>
      <c r="G235" s="439"/>
      <c r="H235" s="439"/>
      <c r="I235" s="439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  <c r="AA235" s="439"/>
      <c r="AB235" s="439"/>
      <c r="AC235" s="439"/>
      <c r="AD235" s="439"/>
      <c r="AE235" s="439"/>
      <c r="AF235" s="439"/>
      <c r="AG235" s="439"/>
    </row>
    <row r="236" ht="15.75" customHeight="1">
      <c r="A236" s="439"/>
      <c r="B236" s="439"/>
      <c r="C236" s="439"/>
      <c r="D236" s="439"/>
      <c r="E236" s="439"/>
      <c r="F236" s="439"/>
      <c r="G236" s="439"/>
      <c r="H236" s="439"/>
      <c r="I236" s="439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  <c r="AA236" s="439"/>
      <c r="AB236" s="439"/>
      <c r="AC236" s="439"/>
      <c r="AD236" s="439"/>
      <c r="AE236" s="439"/>
      <c r="AF236" s="439"/>
      <c r="AG236" s="439"/>
    </row>
    <row r="237" ht="15.75" customHeight="1">
      <c r="A237" s="439"/>
      <c r="B237" s="439"/>
      <c r="C237" s="439"/>
      <c r="D237" s="439"/>
      <c r="E237" s="439"/>
      <c r="F237" s="439"/>
      <c r="G237" s="439"/>
      <c r="H237" s="439"/>
      <c r="I237" s="439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  <c r="AA237" s="439"/>
      <c r="AB237" s="439"/>
      <c r="AC237" s="439"/>
      <c r="AD237" s="439"/>
      <c r="AE237" s="439"/>
      <c r="AF237" s="439"/>
      <c r="AG237" s="439"/>
    </row>
    <row r="238" ht="15.75" customHeight="1">
      <c r="A238" s="439"/>
      <c r="B238" s="439"/>
      <c r="C238" s="439"/>
      <c r="D238" s="439"/>
      <c r="E238" s="439"/>
      <c r="F238" s="439"/>
      <c r="G238" s="439"/>
      <c r="H238" s="439"/>
      <c r="I238" s="439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  <c r="AA238" s="439"/>
      <c r="AB238" s="439"/>
      <c r="AC238" s="439"/>
      <c r="AD238" s="439"/>
      <c r="AE238" s="439"/>
      <c r="AF238" s="439"/>
      <c r="AG238" s="439"/>
    </row>
    <row r="239" ht="15.75" customHeight="1">
      <c r="A239" s="439"/>
      <c r="B239" s="439"/>
      <c r="C239" s="439"/>
      <c r="D239" s="439"/>
      <c r="E239" s="439"/>
      <c r="F239" s="439"/>
      <c r="G239" s="439"/>
      <c r="H239" s="439"/>
      <c r="I239" s="439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  <c r="AA239" s="439"/>
      <c r="AB239" s="439"/>
      <c r="AC239" s="439"/>
      <c r="AD239" s="439"/>
      <c r="AE239" s="439"/>
      <c r="AF239" s="439"/>
      <c r="AG239" s="439"/>
    </row>
    <row r="240" ht="15.75" customHeight="1">
      <c r="A240" s="439"/>
      <c r="B240" s="439"/>
      <c r="C240" s="439"/>
      <c r="D240" s="439"/>
      <c r="E240" s="439"/>
      <c r="F240" s="439"/>
      <c r="G240" s="439"/>
      <c r="H240" s="439"/>
      <c r="I240" s="439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  <c r="AA240" s="439"/>
      <c r="AB240" s="439"/>
      <c r="AC240" s="439"/>
      <c r="AD240" s="439"/>
      <c r="AE240" s="439"/>
      <c r="AF240" s="439"/>
      <c r="AG240" s="439"/>
    </row>
    <row r="241" ht="15.75" customHeight="1">
      <c r="A241" s="439"/>
      <c r="B241" s="439"/>
      <c r="C241" s="439"/>
      <c r="D241" s="439"/>
      <c r="E241" s="439"/>
      <c r="F241" s="439"/>
      <c r="G241" s="439"/>
      <c r="H241" s="439"/>
      <c r="I241" s="439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  <c r="AA241" s="439"/>
      <c r="AB241" s="439"/>
      <c r="AC241" s="439"/>
      <c r="AD241" s="439"/>
      <c r="AE241" s="439"/>
      <c r="AF241" s="439"/>
      <c r="AG241" s="439"/>
    </row>
    <row r="242" ht="15.75" customHeight="1">
      <c r="A242" s="439"/>
      <c r="B242" s="439"/>
      <c r="C242" s="439"/>
      <c r="D242" s="439"/>
      <c r="E242" s="439"/>
      <c r="F242" s="439"/>
      <c r="G242" s="439"/>
      <c r="H242" s="439"/>
      <c r="I242" s="439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  <c r="AA242" s="439"/>
      <c r="AB242" s="439"/>
      <c r="AC242" s="439"/>
      <c r="AD242" s="439"/>
      <c r="AE242" s="439"/>
      <c r="AF242" s="439"/>
      <c r="AG242" s="439"/>
    </row>
    <row r="243" ht="15.75" customHeight="1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  <c r="AA243" s="439"/>
      <c r="AB243" s="439"/>
      <c r="AC243" s="439"/>
      <c r="AD243" s="439"/>
      <c r="AE243" s="439"/>
      <c r="AF243" s="439"/>
      <c r="AG243" s="439"/>
    </row>
    <row r="244" ht="15.75" customHeight="1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  <c r="AA244" s="439"/>
      <c r="AB244" s="439"/>
      <c r="AC244" s="439"/>
      <c r="AD244" s="439"/>
      <c r="AE244" s="439"/>
      <c r="AF244" s="439"/>
      <c r="AG244" s="439"/>
    </row>
    <row r="245" ht="15.75" customHeight="1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  <c r="AA245" s="439"/>
      <c r="AB245" s="439"/>
      <c r="AC245" s="439"/>
      <c r="AD245" s="439"/>
      <c r="AE245" s="439"/>
      <c r="AF245" s="439"/>
      <c r="AG245" s="439"/>
    </row>
    <row r="246" ht="15.75" customHeight="1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  <c r="AA246" s="439"/>
      <c r="AB246" s="439"/>
      <c r="AC246" s="439"/>
      <c r="AD246" s="439"/>
      <c r="AE246" s="439"/>
      <c r="AF246" s="439"/>
      <c r="AG246" s="439"/>
    </row>
    <row r="247" ht="15.75" customHeight="1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  <c r="AA247" s="439"/>
      <c r="AB247" s="439"/>
      <c r="AC247" s="439"/>
      <c r="AD247" s="439"/>
      <c r="AE247" s="439"/>
      <c r="AF247" s="439"/>
      <c r="AG247" s="439"/>
    </row>
    <row r="248" ht="15.75" customHeight="1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  <c r="AA248" s="439"/>
      <c r="AB248" s="439"/>
      <c r="AC248" s="439"/>
      <c r="AD248" s="439"/>
      <c r="AE248" s="439"/>
      <c r="AF248" s="439"/>
      <c r="AG248" s="439"/>
    </row>
    <row r="249" ht="15.75" customHeight="1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  <c r="AA249" s="439"/>
      <c r="AB249" s="439"/>
      <c r="AC249" s="439"/>
      <c r="AD249" s="439"/>
      <c r="AE249" s="439"/>
      <c r="AF249" s="439"/>
      <c r="AG249" s="439"/>
    </row>
    <row r="250" ht="15.75" customHeight="1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  <c r="AA250" s="439"/>
      <c r="AB250" s="439"/>
      <c r="AC250" s="439"/>
      <c r="AD250" s="439"/>
      <c r="AE250" s="439"/>
      <c r="AF250" s="439"/>
      <c r="AG250" s="439"/>
    </row>
    <row r="251" ht="15.75" customHeight="1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  <c r="AA251" s="439"/>
      <c r="AB251" s="439"/>
      <c r="AC251" s="439"/>
      <c r="AD251" s="439"/>
      <c r="AE251" s="439"/>
      <c r="AF251" s="439"/>
      <c r="AG251" s="439"/>
    </row>
    <row r="252" ht="15.75" customHeight="1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  <c r="AA252" s="439"/>
      <c r="AB252" s="439"/>
      <c r="AC252" s="439"/>
      <c r="AD252" s="439"/>
      <c r="AE252" s="439"/>
      <c r="AF252" s="439"/>
      <c r="AG252" s="439"/>
    </row>
    <row r="253" ht="15.75" customHeight="1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  <c r="AA253" s="439"/>
      <c r="AB253" s="439"/>
      <c r="AC253" s="439"/>
      <c r="AD253" s="439"/>
      <c r="AE253" s="439"/>
      <c r="AF253" s="439"/>
      <c r="AG253" s="439"/>
    </row>
    <row r="254" ht="15.75" customHeight="1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  <c r="AA254" s="439"/>
      <c r="AB254" s="439"/>
      <c r="AC254" s="439"/>
      <c r="AD254" s="439"/>
      <c r="AE254" s="439"/>
      <c r="AF254" s="439"/>
      <c r="AG254" s="439"/>
    </row>
    <row r="255" ht="15.75" customHeight="1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  <c r="AA255" s="439"/>
      <c r="AB255" s="439"/>
      <c r="AC255" s="439"/>
      <c r="AD255" s="439"/>
      <c r="AE255" s="439"/>
      <c r="AF255" s="439"/>
      <c r="AG255" s="439"/>
    </row>
    <row r="256" ht="15.75" customHeight="1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  <c r="AA256" s="439"/>
      <c r="AB256" s="439"/>
      <c r="AC256" s="439"/>
      <c r="AD256" s="439"/>
      <c r="AE256" s="439"/>
      <c r="AF256" s="439"/>
      <c r="AG256" s="439"/>
    </row>
    <row r="257" ht="15.75" customHeight="1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  <c r="AA257" s="439"/>
      <c r="AB257" s="439"/>
      <c r="AC257" s="439"/>
      <c r="AD257" s="439"/>
      <c r="AE257" s="439"/>
      <c r="AF257" s="439"/>
      <c r="AG257" s="439"/>
    </row>
    <row r="258" ht="15.75" customHeight="1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  <c r="AA258" s="439"/>
      <c r="AB258" s="439"/>
      <c r="AC258" s="439"/>
      <c r="AD258" s="439"/>
      <c r="AE258" s="439"/>
      <c r="AF258" s="439"/>
      <c r="AG258" s="439"/>
    </row>
    <row r="259" ht="15.75" customHeight="1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  <c r="AA259" s="439"/>
      <c r="AB259" s="439"/>
      <c r="AC259" s="439"/>
      <c r="AD259" s="439"/>
      <c r="AE259" s="439"/>
      <c r="AF259" s="439"/>
      <c r="AG259" s="439"/>
    </row>
    <row r="260" ht="15.75" customHeight="1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  <c r="AA260" s="439"/>
      <c r="AB260" s="439"/>
      <c r="AC260" s="439"/>
      <c r="AD260" s="439"/>
      <c r="AE260" s="439"/>
      <c r="AF260" s="439"/>
      <c r="AG260" s="439"/>
    </row>
    <row r="261" ht="15.75" customHeight="1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  <c r="AA261" s="439"/>
      <c r="AB261" s="439"/>
      <c r="AC261" s="439"/>
      <c r="AD261" s="439"/>
      <c r="AE261" s="439"/>
      <c r="AF261" s="439"/>
      <c r="AG261" s="439"/>
    </row>
    <row r="262" ht="15.75" customHeight="1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  <c r="AA262" s="439"/>
      <c r="AB262" s="439"/>
      <c r="AC262" s="439"/>
      <c r="AD262" s="439"/>
      <c r="AE262" s="439"/>
      <c r="AF262" s="439"/>
      <c r="AG262" s="439"/>
    </row>
    <row r="263" ht="15.75" customHeight="1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  <c r="AA263" s="439"/>
      <c r="AB263" s="439"/>
      <c r="AC263" s="439"/>
      <c r="AD263" s="439"/>
      <c r="AE263" s="439"/>
      <c r="AF263" s="439"/>
      <c r="AG263" s="439"/>
    </row>
    <row r="264" ht="15.75" customHeight="1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  <c r="AA264" s="439"/>
      <c r="AB264" s="439"/>
      <c r="AC264" s="439"/>
      <c r="AD264" s="439"/>
      <c r="AE264" s="439"/>
      <c r="AF264" s="439"/>
      <c r="AG264" s="439"/>
    </row>
    <row r="265" ht="15.75" customHeight="1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  <c r="AA265" s="439"/>
      <c r="AB265" s="439"/>
      <c r="AC265" s="439"/>
      <c r="AD265" s="439"/>
      <c r="AE265" s="439"/>
      <c r="AF265" s="439"/>
      <c r="AG265" s="439"/>
    </row>
    <row r="266" ht="15.75" customHeight="1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  <c r="AA266" s="439"/>
      <c r="AB266" s="439"/>
      <c r="AC266" s="439"/>
      <c r="AD266" s="439"/>
      <c r="AE266" s="439"/>
      <c r="AF266" s="439"/>
      <c r="AG266" s="439"/>
    </row>
    <row r="267" ht="15.75" customHeight="1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  <c r="AA267" s="439"/>
      <c r="AB267" s="439"/>
      <c r="AC267" s="439"/>
      <c r="AD267" s="439"/>
      <c r="AE267" s="439"/>
      <c r="AF267" s="439"/>
      <c r="AG267" s="439"/>
    </row>
    <row r="268" ht="15.75" customHeight="1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  <c r="AA268" s="439"/>
      <c r="AB268" s="439"/>
      <c r="AC268" s="439"/>
      <c r="AD268" s="439"/>
      <c r="AE268" s="439"/>
      <c r="AF268" s="439"/>
      <c r="AG268" s="439"/>
    </row>
    <row r="269" ht="15.75" customHeight="1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  <c r="AA269" s="439"/>
      <c r="AB269" s="439"/>
      <c r="AC269" s="439"/>
      <c r="AD269" s="439"/>
      <c r="AE269" s="439"/>
      <c r="AF269" s="439"/>
      <c r="AG269" s="439"/>
    </row>
    <row r="270" ht="15.75" customHeight="1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  <c r="AA270" s="439"/>
      <c r="AB270" s="439"/>
      <c r="AC270" s="439"/>
      <c r="AD270" s="439"/>
      <c r="AE270" s="439"/>
      <c r="AF270" s="439"/>
      <c r="AG270" s="439"/>
    </row>
    <row r="271" ht="15.75" customHeight="1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  <c r="AA271" s="439"/>
      <c r="AB271" s="439"/>
      <c r="AC271" s="439"/>
      <c r="AD271" s="439"/>
      <c r="AE271" s="439"/>
      <c r="AF271" s="439"/>
      <c r="AG271" s="439"/>
    </row>
    <row r="272" ht="15.75" customHeight="1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  <c r="AA272" s="439"/>
      <c r="AB272" s="439"/>
      <c r="AC272" s="439"/>
      <c r="AD272" s="439"/>
      <c r="AE272" s="439"/>
      <c r="AF272" s="439"/>
      <c r="AG272" s="439"/>
    </row>
    <row r="273" ht="15.75" customHeight="1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  <c r="AA273" s="439"/>
      <c r="AB273" s="439"/>
      <c r="AC273" s="439"/>
      <c r="AD273" s="439"/>
      <c r="AE273" s="439"/>
      <c r="AF273" s="439"/>
      <c r="AG273" s="439"/>
    </row>
    <row r="274" ht="15.75" customHeight="1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  <c r="AA274" s="439"/>
      <c r="AB274" s="439"/>
      <c r="AC274" s="439"/>
      <c r="AD274" s="439"/>
      <c r="AE274" s="439"/>
      <c r="AF274" s="439"/>
      <c r="AG274" s="439"/>
    </row>
    <row r="275" ht="15.75" customHeight="1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  <c r="AA275" s="439"/>
      <c r="AB275" s="439"/>
      <c r="AC275" s="439"/>
      <c r="AD275" s="439"/>
      <c r="AE275" s="439"/>
      <c r="AF275" s="439"/>
      <c r="AG275" s="439"/>
    </row>
    <row r="276" ht="15.75" customHeight="1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  <c r="AA276" s="439"/>
      <c r="AB276" s="439"/>
      <c r="AC276" s="439"/>
      <c r="AD276" s="439"/>
      <c r="AE276" s="439"/>
      <c r="AF276" s="439"/>
      <c r="AG276" s="439"/>
    </row>
    <row r="277" ht="15.75" customHeight="1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  <c r="AA277" s="439"/>
      <c r="AB277" s="439"/>
      <c r="AC277" s="439"/>
      <c r="AD277" s="439"/>
      <c r="AE277" s="439"/>
      <c r="AF277" s="439"/>
      <c r="AG277" s="439"/>
    </row>
    <row r="278" ht="15.75" customHeight="1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  <c r="AA278" s="439"/>
      <c r="AB278" s="439"/>
      <c r="AC278" s="439"/>
      <c r="AD278" s="439"/>
      <c r="AE278" s="439"/>
      <c r="AF278" s="439"/>
      <c r="AG278" s="439"/>
    </row>
    <row r="279" ht="15.75" customHeight="1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  <c r="AA279" s="439"/>
      <c r="AB279" s="439"/>
      <c r="AC279" s="439"/>
      <c r="AD279" s="439"/>
      <c r="AE279" s="439"/>
      <c r="AF279" s="439"/>
      <c r="AG279" s="439"/>
    </row>
    <row r="280" ht="15.75" customHeight="1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  <c r="AA280" s="439"/>
      <c r="AB280" s="439"/>
      <c r="AC280" s="439"/>
      <c r="AD280" s="439"/>
      <c r="AE280" s="439"/>
      <c r="AF280" s="439"/>
      <c r="AG280" s="439"/>
    </row>
    <row r="281" ht="15.75" customHeight="1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  <c r="AA281" s="439"/>
      <c r="AB281" s="439"/>
      <c r="AC281" s="439"/>
      <c r="AD281" s="439"/>
      <c r="AE281" s="439"/>
      <c r="AF281" s="439"/>
      <c r="AG281" s="439"/>
    </row>
    <row r="282" ht="15.75" customHeight="1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  <c r="AA282" s="439"/>
      <c r="AB282" s="439"/>
      <c r="AC282" s="439"/>
      <c r="AD282" s="439"/>
      <c r="AE282" s="439"/>
      <c r="AF282" s="439"/>
      <c r="AG282" s="439"/>
    </row>
    <row r="283" ht="15.75" customHeight="1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  <c r="AA283" s="439"/>
      <c r="AB283" s="439"/>
      <c r="AC283" s="439"/>
      <c r="AD283" s="439"/>
      <c r="AE283" s="439"/>
      <c r="AF283" s="439"/>
      <c r="AG283" s="439"/>
    </row>
    <row r="284" ht="15.75" customHeight="1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  <c r="AA284" s="439"/>
      <c r="AB284" s="439"/>
      <c r="AC284" s="439"/>
      <c r="AD284" s="439"/>
      <c r="AE284" s="439"/>
      <c r="AF284" s="439"/>
      <c r="AG284" s="439"/>
    </row>
    <row r="285" ht="15.75" customHeight="1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  <c r="AA285" s="439"/>
      <c r="AB285" s="439"/>
      <c r="AC285" s="439"/>
      <c r="AD285" s="439"/>
      <c r="AE285" s="439"/>
      <c r="AF285" s="439"/>
      <c r="AG285" s="439"/>
    </row>
    <row r="286" ht="15.75" customHeight="1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  <c r="AA286" s="439"/>
      <c r="AB286" s="439"/>
      <c r="AC286" s="439"/>
      <c r="AD286" s="439"/>
      <c r="AE286" s="439"/>
      <c r="AF286" s="439"/>
      <c r="AG286" s="439"/>
    </row>
    <row r="287" ht="15.75" customHeight="1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  <c r="AA287" s="439"/>
      <c r="AB287" s="439"/>
      <c r="AC287" s="439"/>
      <c r="AD287" s="439"/>
      <c r="AE287" s="439"/>
      <c r="AF287" s="439"/>
      <c r="AG287" s="439"/>
    </row>
    <row r="288" ht="15.75" customHeight="1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  <c r="AA288" s="439"/>
      <c r="AB288" s="439"/>
      <c r="AC288" s="439"/>
      <c r="AD288" s="439"/>
      <c r="AE288" s="439"/>
      <c r="AF288" s="439"/>
      <c r="AG288" s="439"/>
    </row>
    <row r="289" ht="15.75" customHeight="1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  <c r="AA289" s="439"/>
      <c r="AB289" s="439"/>
      <c r="AC289" s="439"/>
      <c r="AD289" s="439"/>
      <c r="AE289" s="439"/>
      <c r="AF289" s="439"/>
      <c r="AG289" s="439"/>
    </row>
    <row r="290" ht="15.75" customHeight="1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  <c r="AA290" s="439"/>
      <c r="AB290" s="439"/>
      <c r="AC290" s="439"/>
      <c r="AD290" s="439"/>
      <c r="AE290" s="439"/>
      <c r="AF290" s="439"/>
      <c r="AG290" s="439"/>
    </row>
    <row r="291" ht="15.75" customHeight="1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  <c r="AA291" s="439"/>
      <c r="AB291" s="439"/>
      <c r="AC291" s="439"/>
      <c r="AD291" s="439"/>
      <c r="AE291" s="439"/>
      <c r="AF291" s="439"/>
      <c r="AG291" s="439"/>
    </row>
    <row r="292" ht="15.75" customHeight="1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  <c r="AA292" s="439"/>
      <c r="AB292" s="439"/>
      <c r="AC292" s="439"/>
      <c r="AD292" s="439"/>
      <c r="AE292" s="439"/>
      <c r="AF292" s="439"/>
      <c r="AG292" s="439"/>
    </row>
    <row r="293" ht="15.75" customHeight="1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  <c r="AA293" s="439"/>
      <c r="AB293" s="439"/>
      <c r="AC293" s="439"/>
      <c r="AD293" s="439"/>
      <c r="AE293" s="439"/>
      <c r="AF293" s="439"/>
      <c r="AG293" s="439"/>
    </row>
    <row r="294" ht="15.75" customHeight="1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  <c r="AA294" s="439"/>
      <c r="AB294" s="439"/>
      <c r="AC294" s="439"/>
      <c r="AD294" s="439"/>
      <c r="AE294" s="439"/>
      <c r="AF294" s="439"/>
      <c r="AG294" s="439"/>
    </row>
    <row r="295" ht="15.75" customHeight="1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  <c r="AA295" s="439"/>
      <c r="AB295" s="439"/>
      <c r="AC295" s="439"/>
      <c r="AD295" s="439"/>
      <c r="AE295" s="439"/>
      <c r="AF295" s="439"/>
      <c r="AG295" s="439"/>
    </row>
    <row r="296" ht="15.75" customHeight="1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  <c r="AA296" s="439"/>
      <c r="AB296" s="439"/>
      <c r="AC296" s="439"/>
      <c r="AD296" s="439"/>
      <c r="AE296" s="439"/>
      <c r="AF296" s="439"/>
      <c r="AG296" s="439"/>
    </row>
    <row r="297" ht="15.75" customHeight="1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  <c r="AA297" s="439"/>
      <c r="AB297" s="439"/>
      <c r="AC297" s="439"/>
      <c r="AD297" s="439"/>
      <c r="AE297" s="439"/>
      <c r="AF297" s="439"/>
      <c r="AG297" s="439"/>
    </row>
    <row r="298" ht="15.75" customHeight="1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  <c r="AA298" s="439"/>
      <c r="AB298" s="439"/>
      <c r="AC298" s="439"/>
      <c r="AD298" s="439"/>
      <c r="AE298" s="439"/>
      <c r="AF298" s="439"/>
      <c r="AG298" s="439"/>
    </row>
    <row r="299" ht="15.75" customHeight="1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  <c r="AA299" s="439"/>
      <c r="AB299" s="439"/>
      <c r="AC299" s="439"/>
      <c r="AD299" s="439"/>
      <c r="AE299" s="439"/>
      <c r="AF299" s="439"/>
      <c r="AG299" s="439"/>
    </row>
    <row r="300" ht="15.75" customHeight="1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  <c r="AA300" s="439"/>
      <c r="AB300" s="439"/>
      <c r="AC300" s="439"/>
      <c r="AD300" s="439"/>
      <c r="AE300" s="439"/>
      <c r="AF300" s="439"/>
      <c r="AG300" s="439"/>
    </row>
    <row r="301" ht="15.75" customHeight="1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  <c r="AA301" s="439"/>
      <c r="AB301" s="439"/>
      <c r="AC301" s="439"/>
      <c r="AD301" s="439"/>
      <c r="AE301" s="439"/>
      <c r="AF301" s="439"/>
      <c r="AG301" s="439"/>
    </row>
    <row r="302" ht="15.75" customHeight="1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  <c r="AA302" s="439"/>
      <c r="AB302" s="439"/>
      <c r="AC302" s="439"/>
      <c r="AD302" s="439"/>
      <c r="AE302" s="439"/>
      <c r="AF302" s="439"/>
      <c r="AG302" s="439"/>
    </row>
    <row r="303" ht="15.75" customHeight="1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  <c r="AA303" s="439"/>
      <c r="AB303" s="439"/>
      <c r="AC303" s="439"/>
      <c r="AD303" s="439"/>
      <c r="AE303" s="439"/>
      <c r="AF303" s="439"/>
      <c r="AG303" s="439"/>
    </row>
    <row r="304" ht="15.75" customHeight="1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  <c r="AA304" s="439"/>
      <c r="AB304" s="439"/>
      <c r="AC304" s="439"/>
      <c r="AD304" s="439"/>
      <c r="AE304" s="439"/>
      <c r="AF304" s="439"/>
      <c r="AG304" s="439"/>
    </row>
    <row r="305" ht="15.75" customHeight="1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  <c r="AA305" s="439"/>
      <c r="AB305" s="439"/>
      <c r="AC305" s="439"/>
      <c r="AD305" s="439"/>
      <c r="AE305" s="439"/>
      <c r="AF305" s="439"/>
      <c r="AG305" s="439"/>
    </row>
    <row r="306" ht="15.75" customHeight="1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  <c r="AA306" s="439"/>
      <c r="AB306" s="439"/>
      <c r="AC306" s="439"/>
      <c r="AD306" s="439"/>
      <c r="AE306" s="439"/>
      <c r="AF306" s="439"/>
      <c r="AG306" s="439"/>
    </row>
    <row r="307" ht="15.75" customHeight="1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  <c r="AA307" s="439"/>
      <c r="AB307" s="439"/>
      <c r="AC307" s="439"/>
      <c r="AD307" s="439"/>
      <c r="AE307" s="439"/>
      <c r="AF307" s="439"/>
      <c r="AG307" s="439"/>
    </row>
    <row r="308" ht="15.75" customHeight="1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  <c r="AA308" s="439"/>
      <c r="AB308" s="439"/>
      <c r="AC308" s="439"/>
      <c r="AD308" s="439"/>
      <c r="AE308" s="439"/>
      <c r="AF308" s="439"/>
      <c r="AG308" s="439"/>
    </row>
    <row r="309" ht="15.75" customHeight="1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  <c r="AA309" s="439"/>
      <c r="AB309" s="439"/>
      <c r="AC309" s="439"/>
      <c r="AD309" s="439"/>
      <c r="AE309" s="439"/>
      <c r="AF309" s="439"/>
      <c r="AG309" s="439"/>
    </row>
    <row r="310" ht="15.75" customHeight="1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  <c r="AA310" s="439"/>
      <c r="AB310" s="439"/>
      <c r="AC310" s="439"/>
      <c r="AD310" s="439"/>
      <c r="AE310" s="439"/>
      <c r="AF310" s="439"/>
      <c r="AG310" s="439"/>
    </row>
    <row r="311" ht="15.75" customHeight="1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  <c r="AA311" s="439"/>
      <c r="AB311" s="439"/>
      <c r="AC311" s="439"/>
      <c r="AD311" s="439"/>
      <c r="AE311" s="439"/>
      <c r="AF311" s="439"/>
      <c r="AG311" s="439"/>
    </row>
    <row r="312" ht="15.75" customHeight="1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  <c r="AA312" s="439"/>
      <c r="AB312" s="439"/>
      <c r="AC312" s="439"/>
      <c r="AD312" s="439"/>
      <c r="AE312" s="439"/>
      <c r="AF312" s="439"/>
      <c r="AG312" s="439"/>
    </row>
    <row r="313" ht="15.75" customHeight="1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  <c r="AA313" s="439"/>
      <c r="AB313" s="439"/>
      <c r="AC313" s="439"/>
      <c r="AD313" s="439"/>
      <c r="AE313" s="439"/>
      <c r="AF313" s="439"/>
      <c r="AG313" s="439"/>
    </row>
    <row r="314" ht="15.75" customHeight="1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  <c r="AA314" s="439"/>
      <c r="AB314" s="439"/>
      <c r="AC314" s="439"/>
      <c r="AD314" s="439"/>
      <c r="AE314" s="439"/>
      <c r="AF314" s="439"/>
      <c r="AG314" s="439"/>
    </row>
    <row r="315" ht="15.75" customHeight="1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  <c r="AA315" s="439"/>
      <c r="AB315" s="439"/>
      <c r="AC315" s="439"/>
      <c r="AD315" s="439"/>
      <c r="AE315" s="439"/>
      <c r="AF315" s="439"/>
      <c r="AG315" s="439"/>
    </row>
    <row r="316" ht="15.75" customHeight="1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  <c r="AA316" s="439"/>
      <c r="AB316" s="439"/>
      <c r="AC316" s="439"/>
      <c r="AD316" s="439"/>
      <c r="AE316" s="439"/>
      <c r="AF316" s="439"/>
      <c r="AG316" s="439"/>
    </row>
    <row r="317" ht="15.75" customHeight="1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  <c r="AA317" s="439"/>
      <c r="AB317" s="439"/>
      <c r="AC317" s="439"/>
      <c r="AD317" s="439"/>
      <c r="AE317" s="439"/>
      <c r="AF317" s="439"/>
      <c r="AG317" s="439"/>
    </row>
    <row r="318" ht="15.75" customHeight="1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  <c r="AA318" s="439"/>
      <c r="AB318" s="439"/>
      <c r="AC318" s="439"/>
      <c r="AD318" s="439"/>
      <c r="AE318" s="439"/>
      <c r="AF318" s="439"/>
      <c r="AG318" s="439"/>
    </row>
    <row r="319" ht="15.75" customHeight="1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  <c r="AA319" s="439"/>
      <c r="AB319" s="439"/>
      <c r="AC319" s="439"/>
      <c r="AD319" s="439"/>
      <c r="AE319" s="439"/>
      <c r="AF319" s="439"/>
      <c r="AG319" s="439"/>
    </row>
    <row r="320" ht="15.75" customHeight="1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  <c r="AA320" s="439"/>
      <c r="AB320" s="439"/>
      <c r="AC320" s="439"/>
      <c r="AD320" s="439"/>
      <c r="AE320" s="439"/>
      <c r="AF320" s="439"/>
      <c r="AG320" s="439"/>
    </row>
    <row r="321" ht="15.75" customHeight="1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  <c r="AA321" s="439"/>
      <c r="AB321" s="439"/>
      <c r="AC321" s="439"/>
      <c r="AD321" s="439"/>
      <c r="AE321" s="439"/>
      <c r="AF321" s="439"/>
      <c r="AG321" s="439"/>
    </row>
    <row r="322" ht="15.75" customHeight="1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  <c r="AA322" s="439"/>
      <c r="AB322" s="439"/>
      <c r="AC322" s="439"/>
      <c r="AD322" s="439"/>
      <c r="AE322" s="439"/>
      <c r="AF322" s="439"/>
      <c r="AG322" s="439"/>
    </row>
    <row r="323" ht="15.75" customHeight="1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  <c r="AA323" s="439"/>
      <c r="AB323" s="439"/>
      <c r="AC323" s="439"/>
      <c r="AD323" s="439"/>
      <c r="AE323" s="439"/>
      <c r="AF323" s="439"/>
      <c r="AG323" s="439"/>
    </row>
    <row r="324" ht="15.75" customHeight="1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  <c r="AA324" s="439"/>
      <c r="AB324" s="439"/>
      <c r="AC324" s="439"/>
      <c r="AD324" s="439"/>
      <c r="AE324" s="439"/>
      <c r="AF324" s="439"/>
      <c r="AG324" s="439"/>
    </row>
    <row r="325" ht="15.75" customHeight="1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  <c r="AA325" s="439"/>
      <c r="AB325" s="439"/>
      <c r="AC325" s="439"/>
      <c r="AD325" s="439"/>
      <c r="AE325" s="439"/>
      <c r="AF325" s="439"/>
      <c r="AG325" s="439"/>
    </row>
    <row r="326" ht="15.75" customHeight="1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  <c r="AA326" s="439"/>
      <c r="AB326" s="439"/>
      <c r="AC326" s="439"/>
      <c r="AD326" s="439"/>
      <c r="AE326" s="439"/>
      <c r="AF326" s="439"/>
      <c r="AG326" s="439"/>
    </row>
    <row r="327" ht="15.75" customHeight="1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  <c r="AA327" s="439"/>
      <c r="AB327" s="439"/>
      <c r="AC327" s="439"/>
      <c r="AD327" s="439"/>
      <c r="AE327" s="439"/>
      <c r="AF327" s="439"/>
      <c r="AG327" s="439"/>
    </row>
    <row r="328" ht="15.75" customHeight="1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  <c r="AA328" s="439"/>
      <c r="AB328" s="439"/>
      <c r="AC328" s="439"/>
      <c r="AD328" s="439"/>
      <c r="AE328" s="439"/>
      <c r="AF328" s="439"/>
      <c r="AG328" s="439"/>
    </row>
    <row r="329" ht="15.75" customHeight="1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  <c r="AA329" s="439"/>
      <c r="AB329" s="439"/>
      <c r="AC329" s="439"/>
      <c r="AD329" s="439"/>
      <c r="AE329" s="439"/>
      <c r="AF329" s="439"/>
      <c r="AG329" s="439"/>
    </row>
    <row r="330" ht="15.75" customHeight="1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  <c r="AA330" s="439"/>
      <c r="AB330" s="439"/>
      <c r="AC330" s="439"/>
      <c r="AD330" s="439"/>
      <c r="AE330" s="439"/>
      <c r="AF330" s="439"/>
      <c r="AG330" s="439"/>
    </row>
    <row r="331" ht="15.75" customHeight="1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  <c r="AA331" s="439"/>
      <c r="AB331" s="439"/>
      <c r="AC331" s="439"/>
      <c r="AD331" s="439"/>
      <c r="AE331" s="439"/>
      <c r="AF331" s="439"/>
      <c r="AG331" s="439"/>
    </row>
    <row r="332" ht="15.75" customHeight="1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  <c r="AA332" s="439"/>
      <c r="AB332" s="439"/>
      <c r="AC332" s="439"/>
      <c r="AD332" s="439"/>
      <c r="AE332" s="439"/>
      <c r="AF332" s="439"/>
      <c r="AG332" s="439"/>
    </row>
    <row r="333" ht="15.75" customHeight="1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  <c r="AA333" s="439"/>
      <c r="AB333" s="439"/>
      <c r="AC333" s="439"/>
      <c r="AD333" s="439"/>
      <c r="AE333" s="439"/>
      <c r="AF333" s="439"/>
      <c r="AG333" s="439"/>
    </row>
    <row r="334" ht="15.75" customHeight="1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  <c r="AA334" s="439"/>
      <c r="AB334" s="439"/>
      <c r="AC334" s="439"/>
      <c r="AD334" s="439"/>
      <c r="AE334" s="439"/>
      <c r="AF334" s="439"/>
      <c r="AG334" s="439"/>
    </row>
    <row r="335" ht="15.75" customHeight="1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  <c r="AA335" s="439"/>
      <c r="AB335" s="439"/>
      <c r="AC335" s="439"/>
      <c r="AD335" s="439"/>
      <c r="AE335" s="439"/>
      <c r="AF335" s="439"/>
      <c r="AG335" s="439"/>
    </row>
    <row r="336" ht="15.75" customHeight="1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  <c r="AA336" s="439"/>
      <c r="AB336" s="439"/>
      <c r="AC336" s="439"/>
      <c r="AD336" s="439"/>
      <c r="AE336" s="439"/>
      <c r="AF336" s="439"/>
      <c r="AG336" s="439"/>
    </row>
    <row r="337" ht="15.75" customHeight="1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  <c r="AA337" s="439"/>
      <c r="AB337" s="439"/>
      <c r="AC337" s="439"/>
      <c r="AD337" s="439"/>
      <c r="AE337" s="439"/>
      <c r="AF337" s="439"/>
      <c r="AG337" s="439"/>
    </row>
    <row r="338" ht="15.75" customHeight="1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  <c r="AA338" s="439"/>
      <c r="AB338" s="439"/>
      <c r="AC338" s="439"/>
      <c r="AD338" s="439"/>
      <c r="AE338" s="439"/>
      <c r="AF338" s="439"/>
      <c r="AG338" s="439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B4:B5"/>
    <mergeCell ref="C4:C5"/>
    <mergeCell ref="D4:I4"/>
    <mergeCell ref="J4:O4"/>
    <mergeCell ref="P4:U4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3.75"/>
    <col customWidth="1" min="4" max="4" width="12.63"/>
    <col customWidth="1" hidden="1" min="5" max="7" width="12.63"/>
    <col customWidth="1" hidden="1" min="8" max="8" width="11.25"/>
    <col customWidth="1" hidden="1" min="9" max="9" width="12.63"/>
    <col customWidth="1" min="10" max="10" width="12.63"/>
    <col customWidth="1" hidden="1" min="11" max="13" width="12.63"/>
    <col customWidth="1" hidden="1" min="14" max="14" width="11.25"/>
    <col customWidth="1" hidden="1" min="15" max="15" width="12.63"/>
    <col customWidth="1" min="16" max="16" width="12.63"/>
    <col customWidth="1" hidden="1" min="17" max="19" width="12.63"/>
    <col customWidth="1" hidden="1" min="20" max="20" width="11.25"/>
    <col customWidth="1" hidden="1" min="21" max="21" width="12.63"/>
  </cols>
  <sheetData>
    <row r="1" ht="15.75" customHeight="1">
      <c r="A1" s="439"/>
      <c r="B1" s="440" t="s">
        <v>0</v>
      </c>
      <c r="C1" s="439"/>
      <c r="D1" s="439"/>
      <c r="E1" s="439"/>
      <c r="F1" s="530"/>
      <c r="G1" s="767"/>
      <c r="H1" s="439"/>
      <c r="I1" s="439"/>
      <c r="J1" s="439"/>
      <c r="K1" s="439"/>
      <c r="L1" s="530"/>
      <c r="M1" s="767"/>
      <c r="N1" s="439"/>
      <c r="O1" s="439"/>
      <c r="P1" s="439"/>
      <c r="Q1" s="439"/>
      <c r="R1" s="530"/>
      <c r="S1" s="767"/>
      <c r="T1" s="439"/>
      <c r="U1" s="439"/>
    </row>
    <row r="2" ht="15.75" customHeight="1">
      <c r="A2" s="439"/>
      <c r="B2" s="441" t="s">
        <v>307</v>
      </c>
      <c r="C2" s="442"/>
      <c r="D2" s="692"/>
      <c r="E2" s="692"/>
      <c r="F2" s="530"/>
      <c r="G2" s="439"/>
      <c r="H2" s="439"/>
      <c r="I2" s="439"/>
      <c r="J2" s="692"/>
      <c r="K2" s="692"/>
      <c r="L2" s="530"/>
      <c r="M2" s="439"/>
      <c r="N2" s="439"/>
      <c r="O2" s="439"/>
      <c r="P2" s="692"/>
      <c r="Q2" s="692"/>
      <c r="R2" s="530"/>
      <c r="S2" s="439"/>
      <c r="T2" s="439"/>
      <c r="U2" s="439"/>
    </row>
    <row r="3" ht="15.75" customHeight="1">
      <c r="A3" s="439"/>
      <c r="B3" s="439"/>
      <c r="C3" s="439"/>
      <c r="D3" s="439"/>
      <c r="E3" s="439"/>
      <c r="F3" s="530"/>
      <c r="G3" s="439"/>
      <c r="H3" s="439"/>
      <c r="I3" s="439"/>
      <c r="J3" s="439"/>
      <c r="K3" s="439"/>
      <c r="L3" s="530"/>
      <c r="M3" s="439"/>
      <c r="N3" s="439"/>
      <c r="O3" s="439"/>
      <c r="P3" s="439"/>
      <c r="Q3" s="439"/>
      <c r="R3" s="530"/>
      <c r="S3" s="439"/>
      <c r="T3" s="439"/>
      <c r="U3" s="439"/>
    </row>
    <row r="4" ht="15.75" customHeight="1">
      <c r="A4" s="439"/>
      <c r="B4" s="443" t="s">
        <v>162</v>
      </c>
      <c r="C4" s="443" t="s">
        <v>163</v>
      </c>
      <c r="D4" s="531" t="s">
        <v>164</v>
      </c>
      <c r="E4" s="10"/>
      <c r="F4" s="10"/>
      <c r="G4" s="10"/>
      <c r="H4" s="10"/>
      <c r="I4" s="13"/>
      <c r="J4" s="531" t="s">
        <v>165</v>
      </c>
      <c r="K4" s="10"/>
      <c r="L4" s="10"/>
      <c r="M4" s="10"/>
      <c r="N4" s="10"/>
      <c r="O4" s="13"/>
      <c r="P4" s="446" t="s">
        <v>166</v>
      </c>
      <c r="Q4" s="10"/>
      <c r="R4" s="10"/>
      <c r="S4" s="10"/>
      <c r="T4" s="10"/>
      <c r="U4" s="13"/>
    </row>
    <row r="5" ht="15.75" customHeight="1">
      <c r="A5" s="532"/>
      <c r="B5" s="448"/>
      <c r="C5" s="448"/>
      <c r="D5" s="449" t="s">
        <v>167</v>
      </c>
      <c r="E5" s="768" t="s">
        <v>18</v>
      </c>
      <c r="F5" s="769" t="s">
        <v>168</v>
      </c>
      <c r="G5" s="768" t="s">
        <v>18</v>
      </c>
      <c r="H5" s="768" t="s">
        <v>169</v>
      </c>
      <c r="I5" s="450" t="s">
        <v>260</v>
      </c>
      <c r="J5" s="449" t="s">
        <v>167</v>
      </c>
      <c r="K5" s="768" t="s">
        <v>18</v>
      </c>
      <c r="L5" s="769" t="s">
        <v>168</v>
      </c>
      <c r="M5" s="768" t="s">
        <v>18</v>
      </c>
      <c r="N5" s="768" t="s">
        <v>169</v>
      </c>
      <c r="O5" s="450" t="s">
        <v>260</v>
      </c>
      <c r="P5" s="451" t="s">
        <v>167</v>
      </c>
      <c r="Q5" s="451" t="s">
        <v>18</v>
      </c>
      <c r="R5" s="538" t="s">
        <v>168</v>
      </c>
      <c r="S5" s="451" t="s">
        <v>18</v>
      </c>
      <c r="T5" s="451" t="s">
        <v>169</v>
      </c>
      <c r="U5" s="451" t="s">
        <v>260</v>
      </c>
    </row>
    <row r="6" ht="15.75" hidden="1" customHeight="1">
      <c r="A6" s="439"/>
      <c r="B6" s="461"/>
      <c r="C6" s="497" t="s">
        <v>73</v>
      </c>
      <c r="D6" s="703">
        <v>4432.0</v>
      </c>
      <c r="E6" s="540"/>
      <c r="F6" s="541"/>
      <c r="G6" s="540"/>
      <c r="H6" s="646"/>
      <c r="I6" s="542"/>
      <c r="J6" s="703">
        <v>4432.0</v>
      </c>
      <c r="K6" s="540"/>
      <c r="L6" s="541"/>
      <c r="M6" s="540"/>
      <c r="N6" s="646"/>
      <c r="O6" s="542"/>
      <c r="P6" s="755">
        <v>4432.0</v>
      </c>
      <c r="Q6" s="461"/>
      <c r="R6" s="498"/>
      <c r="S6" s="461"/>
      <c r="T6" s="741"/>
      <c r="U6" s="461"/>
    </row>
    <row r="7" ht="15.75" hidden="1" customHeight="1">
      <c r="A7" s="439"/>
      <c r="B7" s="469"/>
      <c r="C7" s="465" t="s">
        <v>80</v>
      </c>
      <c r="D7" s="704">
        <v>2983.0</v>
      </c>
      <c r="E7" s="539"/>
      <c r="F7" s="521"/>
      <c r="G7" s="539"/>
      <c r="H7" s="649"/>
      <c r="I7" s="479"/>
      <c r="J7" s="704">
        <v>2983.0</v>
      </c>
      <c r="K7" s="539"/>
      <c r="L7" s="521"/>
      <c r="M7" s="539"/>
      <c r="N7" s="649"/>
      <c r="O7" s="479"/>
      <c r="P7" s="755">
        <v>2983.0</v>
      </c>
      <c r="Q7" s="469"/>
      <c r="R7" s="474"/>
      <c r="S7" s="469"/>
      <c r="T7" s="737"/>
      <c r="U7" s="469"/>
    </row>
    <row r="8" ht="15.75" hidden="1" customHeight="1">
      <c r="A8" s="439"/>
      <c r="B8" s="469"/>
      <c r="C8" s="465" t="s">
        <v>87</v>
      </c>
      <c r="D8" s="704">
        <f>D24+D25+D28+D16</f>
        <v>4144195.05</v>
      </c>
      <c r="E8" s="557"/>
      <c r="F8" s="521"/>
      <c r="G8" s="539"/>
      <c r="H8" s="649"/>
      <c r="I8" s="479"/>
      <c r="J8" s="704">
        <f>J24+J25+J28+J16</f>
        <v>4374917</v>
      </c>
      <c r="K8" s="557"/>
      <c r="L8" s="521"/>
      <c r="M8" s="539"/>
      <c r="N8" s="649"/>
      <c r="O8" s="479"/>
      <c r="P8" s="755">
        <f>P24+P25+P28+P16</f>
        <v>4055486</v>
      </c>
      <c r="Q8" s="605"/>
      <c r="R8" s="474"/>
      <c r="S8" s="469"/>
      <c r="T8" s="737"/>
      <c r="U8" s="469"/>
    </row>
    <row r="9" ht="15.75" hidden="1" customHeight="1">
      <c r="A9" s="439"/>
      <c r="B9" s="469"/>
      <c r="C9" s="465" t="s">
        <v>94</v>
      </c>
      <c r="D9" s="704">
        <f>D17+D21+D19+D20</f>
        <v>6260438.9</v>
      </c>
      <c r="E9" s="557"/>
      <c r="F9" s="521"/>
      <c r="G9" s="539"/>
      <c r="H9" s="649"/>
      <c r="I9" s="479"/>
      <c r="J9" s="704">
        <f>J17+J21+J19+J20</f>
        <v>5778388</v>
      </c>
      <c r="K9" s="557"/>
      <c r="L9" s="521"/>
      <c r="M9" s="539"/>
      <c r="N9" s="649"/>
      <c r="O9" s="479"/>
      <c r="P9" s="755">
        <f>P17+P21+P19+P20</f>
        <v>4780574</v>
      </c>
      <c r="Q9" s="605"/>
      <c r="R9" s="474"/>
      <c r="S9" s="469"/>
      <c r="T9" s="737"/>
      <c r="U9" s="469"/>
    </row>
    <row r="10" ht="15.75" hidden="1" customHeight="1">
      <c r="A10" s="439"/>
      <c r="B10" s="770"/>
      <c r="C10" s="525" t="s">
        <v>101</v>
      </c>
      <c r="D10" s="771">
        <f>SUM(D8:D9)-D29</f>
        <v>-0.000000001862645149</v>
      </c>
      <c r="E10" s="772"/>
      <c r="F10" s="773"/>
      <c r="G10" s="772"/>
      <c r="H10" s="774"/>
      <c r="I10" s="775"/>
      <c r="J10" s="771">
        <f>SUM(J8:J9)-J29</f>
        <v>-16000</v>
      </c>
      <c r="K10" s="772"/>
      <c r="L10" s="773"/>
      <c r="M10" s="772"/>
      <c r="N10" s="774"/>
      <c r="O10" s="775"/>
      <c r="P10" s="755">
        <f>SUM(P8:P9)-P29</f>
        <v>-20000</v>
      </c>
      <c r="Q10" s="770"/>
      <c r="R10" s="776"/>
      <c r="S10" s="770"/>
      <c r="T10" s="777"/>
      <c r="U10" s="770"/>
    </row>
    <row r="11" ht="15.75" hidden="1" customHeight="1">
      <c r="A11" s="439"/>
      <c r="B11" s="461"/>
      <c r="C11" s="497" t="s">
        <v>108</v>
      </c>
      <c r="D11" s="703">
        <f t="shared" ref="D11:D12" si="1">D8/D6</f>
        <v>935.06206</v>
      </c>
      <c r="E11" s="552"/>
      <c r="F11" s="541"/>
      <c r="G11" s="540"/>
      <c r="H11" s="646"/>
      <c r="I11" s="542"/>
      <c r="J11" s="703">
        <f t="shared" ref="J11:J12" si="2">J8/J6</f>
        <v>987.1202617</v>
      </c>
      <c r="K11" s="552"/>
      <c r="L11" s="541"/>
      <c r="M11" s="540"/>
      <c r="N11" s="646"/>
      <c r="O11" s="542"/>
      <c r="P11" s="755">
        <f t="shared" ref="P11:P12" si="3">P8/P6</f>
        <v>915.0464801</v>
      </c>
      <c r="Q11" s="778"/>
      <c r="R11" s="498"/>
      <c r="S11" s="461"/>
      <c r="T11" s="741"/>
      <c r="U11" s="461"/>
    </row>
    <row r="12" ht="15.75" hidden="1" customHeight="1">
      <c r="A12" s="439"/>
      <c r="B12" s="469"/>
      <c r="C12" s="465" t="s">
        <v>115</v>
      </c>
      <c r="D12" s="704">
        <f t="shared" si="1"/>
        <v>2098.705632</v>
      </c>
      <c r="E12" s="557"/>
      <c r="F12" s="521"/>
      <c r="G12" s="539"/>
      <c r="H12" s="649"/>
      <c r="I12" s="479"/>
      <c r="J12" s="704">
        <f t="shared" si="2"/>
        <v>1937.106269</v>
      </c>
      <c r="K12" s="557"/>
      <c r="L12" s="521"/>
      <c r="M12" s="539"/>
      <c r="N12" s="649"/>
      <c r="O12" s="479"/>
      <c r="P12" s="755">
        <f t="shared" si="3"/>
        <v>1602.606101</v>
      </c>
      <c r="Q12" s="605"/>
      <c r="R12" s="474"/>
      <c r="S12" s="469"/>
      <c r="T12" s="737"/>
      <c r="U12" s="469"/>
    </row>
    <row r="13" ht="15.75" hidden="1" customHeight="1">
      <c r="A13" s="439"/>
      <c r="B13" s="469"/>
      <c r="C13" s="483"/>
      <c r="D13" s="705"/>
      <c r="E13" s="544"/>
      <c r="F13" s="545"/>
      <c r="G13" s="544"/>
      <c r="H13" s="706"/>
      <c r="I13" s="546"/>
      <c r="J13" s="705"/>
      <c r="K13" s="544"/>
      <c r="L13" s="545"/>
      <c r="M13" s="544"/>
      <c r="N13" s="706"/>
      <c r="O13" s="546"/>
      <c r="P13" s="755"/>
      <c r="Q13" s="543"/>
      <c r="R13" s="501"/>
      <c r="S13" s="543"/>
      <c r="T13" s="731"/>
      <c r="U13" s="543"/>
    </row>
    <row r="14" ht="15.75" customHeight="1">
      <c r="A14" s="439"/>
      <c r="B14" s="457" t="s">
        <v>170</v>
      </c>
      <c r="C14" s="664" t="s">
        <v>296</v>
      </c>
      <c r="D14" s="713">
        <f>SUM(D16:D21)</f>
        <v>8773903.15</v>
      </c>
      <c r="E14" s="667"/>
      <c r="F14" s="665">
        <f>SUM(F16:F21)</f>
        <v>0</v>
      </c>
      <c r="G14" s="667"/>
      <c r="H14" s="779"/>
      <c r="I14" s="780"/>
      <c r="J14" s="713">
        <f>SUM(J16:J21)</f>
        <v>8661774</v>
      </c>
      <c r="K14" s="667"/>
      <c r="L14" s="665">
        <f>SUM(L16:L21)</f>
        <v>0</v>
      </c>
      <c r="M14" s="667"/>
      <c r="N14" s="779"/>
      <c r="O14" s="780"/>
      <c r="P14" s="713">
        <f>SUM(P16:P21)</f>
        <v>7183571</v>
      </c>
      <c r="Q14" s="667"/>
      <c r="R14" s="665">
        <f>SUM(R16:R21)</f>
        <v>0</v>
      </c>
      <c r="S14" s="667"/>
      <c r="T14" s="779"/>
      <c r="U14" s="780"/>
    </row>
    <row r="15" ht="15.75" customHeight="1">
      <c r="A15" s="439"/>
      <c r="B15" s="452"/>
      <c r="C15" s="781"/>
      <c r="D15" s="781"/>
      <c r="E15" s="782"/>
      <c r="F15" s="782"/>
      <c r="G15" s="782"/>
      <c r="H15" s="782"/>
      <c r="I15" s="782"/>
      <c r="J15" s="782"/>
      <c r="K15" s="782"/>
      <c r="L15" s="782"/>
      <c r="M15" s="782"/>
      <c r="N15" s="782"/>
      <c r="O15" s="782"/>
      <c r="P15" s="782"/>
      <c r="Q15" s="782"/>
      <c r="R15" s="782"/>
      <c r="S15" s="782"/>
      <c r="T15" s="782"/>
      <c r="U15" s="782"/>
    </row>
    <row r="16" ht="15.75" customHeight="1">
      <c r="A16" s="439"/>
      <c r="B16" s="469" t="s">
        <v>23</v>
      </c>
      <c r="C16" s="465" t="s">
        <v>172</v>
      </c>
      <c r="D16" s="704">
        <v>2513464.25</v>
      </c>
      <c r="E16" s="557" t="str">
        <f t="shared" ref="E16:E22" si="4">D16/#REF!</f>
        <v>#REF!</v>
      </c>
      <c r="F16" s="521"/>
      <c r="G16" s="557" t="str">
        <f t="shared" ref="G16:G21" si="5">F16/#REF!</f>
        <v>#REF!</v>
      </c>
      <c r="H16" s="649">
        <f>D16-F16</f>
        <v>2513464.25</v>
      </c>
      <c r="I16" s="562" t="str">
        <f t="shared" ref="I16:I17" si="6">H16/F16</f>
        <v>#DIV/0!</v>
      </c>
      <c r="J16" s="704">
        <v>2883386.0</v>
      </c>
      <c r="K16" s="557" t="str">
        <f t="shared" ref="K16:K22" si="7">J16/#REF!</f>
        <v>#REF!</v>
      </c>
      <c r="L16" s="521"/>
      <c r="M16" s="557" t="str">
        <f t="shared" ref="M16:M21" si="8">L16/#REF!</f>
        <v>#REF!</v>
      </c>
      <c r="N16" s="649">
        <f>J16-L16</f>
        <v>2883386</v>
      </c>
      <c r="O16" s="562" t="str">
        <f t="shared" ref="O16:O17" si="9">N16/L16</f>
        <v>#DIV/0!</v>
      </c>
      <c r="P16" s="747">
        <v>2402997.0</v>
      </c>
      <c r="Q16" s="605" t="str">
        <f t="shared" ref="Q16:Q22" si="10">P16/#REF!</f>
        <v>#REF!</v>
      </c>
      <c r="R16" s="474"/>
      <c r="S16" s="605" t="str">
        <f t="shared" ref="S16:S21" si="11">R16/#REF!</f>
        <v>#REF!</v>
      </c>
      <c r="T16" s="737">
        <f>P16-R16</f>
        <v>2402997</v>
      </c>
      <c r="U16" s="605" t="str">
        <f t="shared" ref="U16:U17" si="12">T16/R16</f>
        <v>#DIV/0!</v>
      </c>
    </row>
    <row r="17" ht="15.75" customHeight="1">
      <c r="A17" s="439"/>
      <c r="B17" s="465"/>
      <c r="C17" s="465" t="s">
        <v>173</v>
      </c>
      <c r="D17" s="704">
        <f>2337756.21+1573983+927993+456373+115958</f>
        <v>5412063.21</v>
      </c>
      <c r="E17" s="557" t="str">
        <f t="shared" si="4"/>
        <v>#REF!</v>
      </c>
      <c r="F17" s="521"/>
      <c r="G17" s="557" t="str">
        <f t="shared" si="5"/>
        <v>#REF!</v>
      </c>
      <c r="H17" s="649">
        <f>D17-SUM(F17:F18)</f>
        <v>5412063.21</v>
      </c>
      <c r="I17" s="562" t="str">
        <f t="shared" si="6"/>
        <v>#DIV/0!</v>
      </c>
      <c r="J17" s="759">
        <v>5778388.0</v>
      </c>
      <c r="K17" s="557" t="str">
        <f t="shared" si="7"/>
        <v>#REF!</v>
      </c>
      <c r="L17" s="521"/>
      <c r="M17" s="557" t="str">
        <f t="shared" si="8"/>
        <v>#REF!</v>
      </c>
      <c r="N17" s="649">
        <f>J17-SUM(L17:L18)</f>
        <v>5778388</v>
      </c>
      <c r="O17" s="562" t="str">
        <f t="shared" si="9"/>
        <v>#DIV/0!</v>
      </c>
      <c r="P17" s="747">
        <v>4780574.0</v>
      </c>
      <c r="Q17" s="605" t="str">
        <f t="shared" si="10"/>
        <v>#REF!</v>
      </c>
      <c r="R17" s="474"/>
      <c r="S17" s="605" t="str">
        <f t="shared" si="11"/>
        <v>#REF!</v>
      </c>
      <c r="T17" s="737">
        <f>P17-SUM(R17:R18)</f>
        <v>4780574</v>
      </c>
      <c r="U17" s="605" t="str">
        <f t="shared" si="12"/>
        <v>#DIV/0!</v>
      </c>
    </row>
    <row r="18" ht="15.75" customHeight="1">
      <c r="A18" s="439"/>
      <c r="B18" s="465"/>
      <c r="C18" s="465" t="s">
        <v>261</v>
      </c>
      <c r="D18" s="467">
        <v>0.0</v>
      </c>
      <c r="E18" s="557" t="str">
        <f t="shared" si="4"/>
        <v>#REF!</v>
      </c>
      <c r="F18" s="521"/>
      <c r="G18" s="557" t="str">
        <f t="shared" si="5"/>
        <v>#REF!</v>
      </c>
      <c r="H18" s="649"/>
      <c r="I18" s="562"/>
      <c r="J18" s="467">
        <v>0.0</v>
      </c>
      <c r="K18" s="557" t="str">
        <f t="shared" si="7"/>
        <v>#REF!</v>
      </c>
      <c r="L18" s="521"/>
      <c r="M18" s="557" t="str">
        <f t="shared" si="8"/>
        <v>#REF!</v>
      </c>
      <c r="N18" s="649"/>
      <c r="O18" s="562"/>
      <c r="P18" s="474">
        <v>0.0</v>
      </c>
      <c r="Q18" s="605" t="str">
        <f t="shared" si="10"/>
        <v>#REF!</v>
      </c>
      <c r="R18" s="474"/>
      <c r="S18" s="605" t="str">
        <f t="shared" si="11"/>
        <v>#REF!</v>
      </c>
      <c r="T18" s="737"/>
      <c r="U18" s="605"/>
    </row>
    <row r="19" ht="15.75" customHeight="1">
      <c r="A19" s="439"/>
      <c r="B19" s="465"/>
      <c r="C19" s="465" t="s">
        <v>174</v>
      </c>
      <c r="D19" s="704">
        <v>572331.0</v>
      </c>
      <c r="E19" s="557" t="str">
        <f t="shared" si="4"/>
        <v>#REF!</v>
      </c>
      <c r="F19" s="521"/>
      <c r="G19" s="557" t="str">
        <f t="shared" si="5"/>
        <v>#REF!</v>
      </c>
      <c r="H19" s="649"/>
      <c r="I19" s="562"/>
      <c r="J19" s="467">
        <v>0.0</v>
      </c>
      <c r="K19" s="557" t="str">
        <f t="shared" si="7"/>
        <v>#REF!</v>
      </c>
      <c r="L19" s="521"/>
      <c r="M19" s="557" t="str">
        <f t="shared" si="8"/>
        <v>#REF!</v>
      </c>
      <c r="N19" s="649"/>
      <c r="O19" s="562"/>
      <c r="P19" s="474">
        <v>0.0</v>
      </c>
      <c r="Q19" s="605" t="str">
        <f t="shared" si="10"/>
        <v>#REF!</v>
      </c>
      <c r="R19" s="474"/>
      <c r="S19" s="605" t="str">
        <f t="shared" si="11"/>
        <v>#REF!</v>
      </c>
      <c r="T19" s="737"/>
      <c r="U19" s="605"/>
    </row>
    <row r="20" ht="15.75" customHeight="1">
      <c r="A20" s="439"/>
      <c r="B20" s="465"/>
      <c r="C20" s="465" t="s">
        <v>175</v>
      </c>
      <c r="D20" s="704">
        <v>46298.159999999996</v>
      </c>
      <c r="E20" s="557" t="str">
        <f t="shared" si="4"/>
        <v>#REF!</v>
      </c>
      <c r="F20" s="521"/>
      <c r="G20" s="557" t="str">
        <f t="shared" si="5"/>
        <v>#REF!</v>
      </c>
      <c r="H20" s="649">
        <f>D20-SUM(F20:F23)</f>
        <v>46298.16</v>
      </c>
      <c r="I20" s="562" t="str">
        <f t="shared" ref="I20:I21" si="13">H20/F20</f>
        <v>#DIV/0!</v>
      </c>
      <c r="J20" s="467">
        <v>0.0</v>
      </c>
      <c r="K20" s="557" t="str">
        <f t="shared" si="7"/>
        <v>#REF!</v>
      </c>
      <c r="L20" s="521"/>
      <c r="M20" s="557" t="str">
        <f t="shared" si="8"/>
        <v>#REF!</v>
      </c>
      <c r="N20" s="649">
        <f>J20-SUM(L20:L23)</f>
        <v>0</v>
      </c>
      <c r="O20" s="562" t="str">
        <f t="shared" ref="O20:O21" si="14">N20/L20</f>
        <v>#DIV/0!</v>
      </c>
      <c r="P20" s="474">
        <v>0.0</v>
      </c>
      <c r="Q20" s="605" t="str">
        <f t="shared" si="10"/>
        <v>#REF!</v>
      </c>
      <c r="R20" s="474"/>
      <c r="S20" s="605" t="str">
        <f t="shared" si="11"/>
        <v>#REF!</v>
      </c>
      <c r="T20" s="737">
        <f>P20-SUM(R20:R23)</f>
        <v>0</v>
      </c>
      <c r="U20" s="605" t="str">
        <f t="shared" ref="U20:U21" si="15">T20/R20</f>
        <v>#DIV/0!</v>
      </c>
    </row>
    <row r="21" ht="15.75" customHeight="1">
      <c r="A21" s="439"/>
      <c r="B21" s="465"/>
      <c r="C21" s="465" t="s">
        <v>176</v>
      </c>
      <c r="D21" s="704">
        <v>229746.52999999997</v>
      </c>
      <c r="E21" s="557" t="str">
        <f t="shared" si="4"/>
        <v>#REF!</v>
      </c>
      <c r="F21" s="521"/>
      <c r="G21" s="557" t="str">
        <f t="shared" si="5"/>
        <v>#REF!</v>
      </c>
      <c r="H21" s="649">
        <f>D21-SUM(F21:F23)</f>
        <v>229746.53</v>
      </c>
      <c r="I21" s="562" t="str">
        <f t="shared" si="13"/>
        <v>#DIV/0!</v>
      </c>
      <c r="J21" s="467">
        <v>0.0</v>
      </c>
      <c r="K21" s="557" t="str">
        <f t="shared" si="7"/>
        <v>#REF!</v>
      </c>
      <c r="L21" s="521"/>
      <c r="M21" s="557" t="str">
        <f t="shared" si="8"/>
        <v>#REF!</v>
      </c>
      <c r="N21" s="649">
        <f>J21-SUM(L21:L23)</f>
        <v>0</v>
      </c>
      <c r="O21" s="562" t="str">
        <f t="shared" si="14"/>
        <v>#DIV/0!</v>
      </c>
      <c r="P21" s="474">
        <v>0.0</v>
      </c>
      <c r="Q21" s="605" t="str">
        <f t="shared" si="10"/>
        <v>#REF!</v>
      </c>
      <c r="R21" s="474"/>
      <c r="S21" s="605" t="str">
        <f t="shared" si="11"/>
        <v>#REF!</v>
      </c>
      <c r="T21" s="737">
        <f>P21-SUM(R21:R23)</f>
        <v>0</v>
      </c>
      <c r="U21" s="605" t="str">
        <f t="shared" si="15"/>
        <v>#DIV/0!</v>
      </c>
    </row>
    <row r="22" ht="15.75" customHeight="1">
      <c r="A22" s="439"/>
      <c r="B22" s="465"/>
      <c r="C22" s="465" t="s">
        <v>263</v>
      </c>
      <c r="D22" s="467">
        <v>0.0</v>
      </c>
      <c r="E22" s="557" t="str">
        <f t="shared" si="4"/>
        <v>#REF!</v>
      </c>
      <c r="F22" s="521"/>
      <c r="G22" s="557"/>
      <c r="H22" s="649"/>
      <c r="I22" s="573" t="str">
        <f>IFERROR(H22/F22,"")</f>
        <v/>
      </c>
      <c r="J22" s="704">
        <v>8000.0</v>
      </c>
      <c r="K22" s="557" t="str">
        <f t="shared" si="7"/>
        <v>#REF!</v>
      </c>
      <c r="L22" s="521"/>
      <c r="M22" s="557"/>
      <c r="N22" s="649"/>
      <c r="O22" s="573" t="str">
        <f>IFERROR(N22/L22,"")</f>
        <v/>
      </c>
      <c r="P22" s="747">
        <v>10000.0</v>
      </c>
      <c r="Q22" s="605" t="str">
        <f t="shared" si="10"/>
        <v>#REF!</v>
      </c>
      <c r="R22" s="474"/>
      <c r="S22" s="605"/>
      <c r="T22" s="737"/>
      <c r="U22" s="783" t="str">
        <f>IFERROR(T22/R22,"")</f>
        <v/>
      </c>
    </row>
    <row r="23" ht="15.75" customHeight="1">
      <c r="A23" s="439"/>
      <c r="B23" s="465"/>
      <c r="C23" s="465"/>
      <c r="D23" s="704"/>
      <c r="E23" s="539"/>
      <c r="F23" s="521"/>
      <c r="G23" s="557"/>
      <c r="H23" s="649"/>
      <c r="I23" s="562"/>
      <c r="J23" s="704"/>
      <c r="K23" s="539"/>
      <c r="L23" s="521"/>
      <c r="M23" s="557"/>
      <c r="N23" s="649"/>
      <c r="O23" s="562"/>
      <c r="P23" s="737"/>
      <c r="Q23" s="469"/>
      <c r="R23" s="474"/>
      <c r="S23" s="605"/>
      <c r="T23" s="737"/>
      <c r="U23" s="605"/>
    </row>
    <row r="24" ht="15.75" customHeight="1">
      <c r="A24" s="439"/>
      <c r="B24" s="469" t="s">
        <v>21</v>
      </c>
      <c r="C24" s="465" t="s">
        <v>21</v>
      </c>
      <c r="D24" s="704">
        <v>1273758.75</v>
      </c>
      <c r="E24" s="557">
        <f t="shared" ref="E24:E26" si="16">D24/$D$29</f>
        <v>0.1224222549</v>
      </c>
      <c r="F24" s="521"/>
      <c r="G24" s="557" t="str">
        <f t="shared" ref="G24:G26" si="17">F24/$F$29</f>
        <v>#DIV/0!</v>
      </c>
      <c r="H24" s="649">
        <f>D24-F24</f>
        <v>1273758.75</v>
      </c>
      <c r="I24" s="562" t="str">
        <f t="shared" ref="I24:I26" si="18">H24/F24</f>
        <v>#DIV/0!</v>
      </c>
      <c r="J24" s="704">
        <v>1116341.0</v>
      </c>
      <c r="K24" s="557">
        <f t="shared" ref="K24:K25" si="19">J24/$D$29</f>
        <v>0.1072926741</v>
      </c>
      <c r="L24" s="521"/>
      <c r="M24" s="557" t="str">
        <f t="shared" ref="M24:M25" si="20">L24/$F$29</f>
        <v>#DIV/0!</v>
      </c>
      <c r="N24" s="649">
        <f>J24-L24</f>
        <v>1116341</v>
      </c>
      <c r="O24" s="562" t="str">
        <f t="shared" ref="O24:O25" si="21">N24/L24</f>
        <v>#DIV/0!</v>
      </c>
      <c r="P24" s="747">
        <v>1307976.0</v>
      </c>
      <c r="Q24" s="605">
        <f t="shared" ref="Q24:Q26" si="22">P24/$D$29</f>
        <v>0.1257109098</v>
      </c>
      <c r="R24" s="474"/>
      <c r="S24" s="605" t="str">
        <f t="shared" ref="S24:S26" si="23">R24/$F$29</f>
        <v>#DIV/0!</v>
      </c>
      <c r="T24" s="737">
        <f>P24-R24</f>
        <v>1307976</v>
      </c>
      <c r="U24" s="605" t="str">
        <f t="shared" ref="U24:U26" si="24">T24/R24</f>
        <v>#DIV/0!</v>
      </c>
    </row>
    <row r="25" ht="15.75" customHeight="1">
      <c r="A25" s="439"/>
      <c r="B25" s="469" t="s">
        <v>22</v>
      </c>
      <c r="C25" s="465" t="s">
        <v>22</v>
      </c>
      <c r="D25" s="748">
        <v>0.0</v>
      </c>
      <c r="E25" s="784">
        <f t="shared" si="16"/>
        <v>0</v>
      </c>
      <c r="F25" s="784"/>
      <c r="G25" s="784" t="str">
        <f t="shared" si="17"/>
        <v>#DIV/0!</v>
      </c>
      <c r="H25" s="784">
        <v>0.0</v>
      </c>
      <c r="I25" s="785" t="str">
        <f t="shared" si="18"/>
        <v>#DIV/0!</v>
      </c>
      <c r="J25" s="748">
        <v>0.0</v>
      </c>
      <c r="K25" s="557">
        <f t="shared" si="19"/>
        <v>0</v>
      </c>
      <c r="L25" s="521"/>
      <c r="M25" s="557" t="str">
        <f t="shared" si="20"/>
        <v>#DIV/0!</v>
      </c>
      <c r="N25" s="649">
        <v>0.0</v>
      </c>
      <c r="O25" s="562" t="str">
        <f t="shared" si="21"/>
        <v>#DIV/0!</v>
      </c>
      <c r="P25" s="749">
        <v>0.0</v>
      </c>
      <c r="Q25" s="605">
        <f t="shared" si="22"/>
        <v>0</v>
      </c>
      <c r="R25" s="474"/>
      <c r="S25" s="605" t="str">
        <f t="shared" si="23"/>
        <v>#DIV/0!</v>
      </c>
      <c r="T25" s="737">
        <v>0.0</v>
      </c>
      <c r="U25" s="605" t="str">
        <f t="shared" si="24"/>
        <v>#DIV/0!</v>
      </c>
    </row>
    <row r="26" ht="15.75" customHeight="1">
      <c r="A26" s="439"/>
      <c r="B26" s="469" t="s">
        <v>23</v>
      </c>
      <c r="C26" s="465" t="s">
        <v>177</v>
      </c>
      <c r="D26" s="576">
        <f>SUM(D16:D22)</f>
        <v>8773903.15</v>
      </c>
      <c r="E26" s="577">
        <f t="shared" si="16"/>
        <v>0.8432687966</v>
      </c>
      <c r="F26" s="578"/>
      <c r="G26" s="577" t="str">
        <f t="shared" si="17"/>
        <v>#DIV/0!</v>
      </c>
      <c r="H26" s="734">
        <f>D26-SUM(F26:F28)</f>
        <v>8773903.15</v>
      </c>
      <c r="I26" s="580" t="str">
        <f t="shared" si="18"/>
        <v>#DIV/0!</v>
      </c>
      <c r="J26" s="576">
        <f t="shared" ref="J26:P26" si="25">SUM(J16:J22)</f>
        <v>8669774</v>
      </c>
      <c r="K26" s="576" t="str">
        <f t="shared" si="25"/>
        <v>#REF!</v>
      </c>
      <c r="L26" s="576">
        <f t="shared" si="25"/>
        <v>0</v>
      </c>
      <c r="M26" s="576" t="str">
        <f t="shared" si="25"/>
        <v>#REF!</v>
      </c>
      <c r="N26" s="576">
        <f t="shared" si="25"/>
        <v>8661774</v>
      </c>
      <c r="O26" s="576" t="str">
        <f t="shared" si="25"/>
        <v>#DIV/0!</v>
      </c>
      <c r="P26" s="581">
        <f t="shared" si="25"/>
        <v>7193571</v>
      </c>
      <c r="Q26" s="605">
        <f t="shared" si="22"/>
        <v>0.6913814589</v>
      </c>
      <c r="R26" s="474"/>
      <c r="S26" s="605" t="str">
        <f t="shared" si="23"/>
        <v>#DIV/0!</v>
      </c>
      <c r="T26" s="737">
        <f>P26-SUM(R26:R28)</f>
        <v>7193571</v>
      </c>
      <c r="U26" s="605" t="str">
        <f t="shared" si="24"/>
        <v>#DIV/0!</v>
      </c>
    </row>
    <row r="27" ht="15.75" customHeight="1">
      <c r="A27" s="439"/>
      <c r="B27" s="465"/>
      <c r="C27" s="465"/>
      <c r="D27" s="704"/>
      <c r="E27" s="557"/>
      <c r="F27" s="521"/>
      <c r="G27" s="557"/>
      <c r="H27" s="539"/>
      <c r="I27" s="562"/>
      <c r="J27" s="704"/>
      <c r="K27" s="557"/>
      <c r="L27" s="521"/>
      <c r="M27" s="557"/>
      <c r="N27" s="539"/>
      <c r="O27" s="562"/>
      <c r="P27" s="737"/>
      <c r="Q27" s="605"/>
      <c r="R27" s="474"/>
      <c r="S27" s="605"/>
      <c r="T27" s="469"/>
      <c r="U27" s="605"/>
    </row>
    <row r="28" ht="15.75" customHeight="1">
      <c r="A28" s="439"/>
      <c r="B28" s="483"/>
      <c r="C28" s="483" t="s">
        <v>178</v>
      </c>
      <c r="D28" s="705">
        <v>356972.05</v>
      </c>
      <c r="E28" s="564">
        <f>D28/$D$29</f>
        <v>0.03430894847</v>
      </c>
      <c r="F28" s="545"/>
      <c r="G28" s="564">
        <v>0.0595</v>
      </c>
      <c r="H28" s="706">
        <f t="shared" ref="H28:H29" si="26">D28-F28</f>
        <v>356972.05</v>
      </c>
      <c r="I28" s="565" t="str">
        <f>H28/F28</f>
        <v>#DIV/0!</v>
      </c>
      <c r="J28" s="705">
        <v>375190.0</v>
      </c>
      <c r="K28" s="564">
        <f>J28/$D$29</f>
        <v>0.03605989426</v>
      </c>
      <c r="L28" s="545"/>
      <c r="M28" s="564">
        <v>0.0595</v>
      </c>
      <c r="N28" s="706">
        <f t="shared" ref="N28:N29" si="27">J28-L28</f>
        <v>375190</v>
      </c>
      <c r="O28" s="565" t="str">
        <f>N28/L28</f>
        <v>#DIV/0!</v>
      </c>
      <c r="P28" s="739">
        <v>344513.0</v>
      </c>
      <c r="Q28" s="786">
        <f>P28/$D$29</f>
        <v>0.03311149644</v>
      </c>
      <c r="R28" s="501"/>
      <c r="S28" s="786">
        <v>0.0595</v>
      </c>
      <c r="T28" s="731">
        <f t="shared" ref="T28:T29" si="28">P28-R28</f>
        <v>344513</v>
      </c>
      <c r="U28" s="786" t="str">
        <f>T28/R28</f>
        <v>#DIV/0!</v>
      </c>
    </row>
    <row r="29" ht="15.75" customHeight="1">
      <c r="A29" s="439"/>
      <c r="B29" s="490"/>
      <c r="C29" s="490" t="s">
        <v>179</v>
      </c>
      <c r="D29" s="459">
        <f>D24+D25+D26+D28</f>
        <v>10404633.95</v>
      </c>
      <c r="E29" s="584"/>
      <c r="F29" s="459">
        <f>F24+F25+F26+F28+F22</f>
        <v>0</v>
      </c>
      <c r="G29" s="584"/>
      <c r="H29" s="645">
        <f t="shared" si="26"/>
        <v>10404633.95</v>
      </c>
      <c r="I29" s="585"/>
      <c r="J29" s="459">
        <f>J22+J24+J25+J26+J28</f>
        <v>10169305</v>
      </c>
      <c r="K29" s="584"/>
      <c r="L29" s="459">
        <f>L24+L25+L26+L28+L22</f>
        <v>0</v>
      </c>
      <c r="M29" s="584"/>
      <c r="N29" s="645">
        <f t="shared" si="27"/>
        <v>10169305</v>
      </c>
      <c r="O29" s="585"/>
      <c r="P29" s="491">
        <f>P22+P24+P25+P26+P28</f>
        <v>8856060</v>
      </c>
      <c r="Q29" s="457"/>
      <c r="R29" s="491">
        <f>R24+R25+R26+R28+R22</f>
        <v>0</v>
      </c>
      <c r="S29" s="457"/>
      <c r="T29" s="668">
        <f t="shared" si="28"/>
        <v>8856060</v>
      </c>
      <c r="U29" s="457"/>
    </row>
    <row r="30" ht="15.75" customHeight="1">
      <c r="A30" s="439"/>
      <c r="B30" s="461"/>
      <c r="C30" s="497"/>
      <c r="D30" s="703"/>
      <c r="E30" s="540"/>
      <c r="F30" s="541"/>
      <c r="G30" s="540"/>
      <c r="H30" s="540"/>
      <c r="I30" s="542"/>
      <c r="J30" s="703"/>
      <c r="K30" s="540"/>
      <c r="L30" s="541"/>
      <c r="M30" s="540"/>
      <c r="N30" s="540"/>
      <c r="O30" s="542"/>
      <c r="P30" s="741"/>
      <c r="Q30" s="461"/>
      <c r="R30" s="498"/>
      <c r="S30" s="461"/>
      <c r="T30" s="461"/>
      <c r="U30" s="461"/>
    </row>
    <row r="31" ht="15.75" hidden="1" customHeight="1">
      <c r="A31" s="439"/>
      <c r="B31" s="465"/>
      <c r="C31" s="465"/>
      <c r="D31" s="704"/>
      <c r="E31" s="557"/>
      <c r="F31" s="521"/>
      <c r="G31" s="649"/>
      <c r="H31" s="649"/>
      <c r="I31" s="742"/>
      <c r="J31" s="704"/>
      <c r="K31" s="557"/>
      <c r="L31" s="521"/>
      <c r="M31" s="649"/>
      <c r="N31" s="649"/>
      <c r="O31" s="742"/>
      <c r="P31" s="737"/>
      <c r="Q31" s="605"/>
      <c r="R31" s="474"/>
      <c r="S31" s="737"/>
      <c r="T31" s="737"/>
      <c r="U31" s="737"/>
    </row>
    <row r="32" ht="15.75" hidden="1" customHeight="1">
      <c r="A32" s="439"/>
      <c r="B32" s="465" t="s">
        <v>217</v>
      </c>
      <c r="C32" s="465">
        <v>1669.0</v>
      </c>
      <c r="D32" s="704"/>
      <c r="E32" s="557"/>
      <c r="F32" s="521"/>
      <c r="G32" s="649"/>
      <c r="H32" s="649"/>
      <c r="I32" s="742"/>
      <c r="J32" s="704"/>
      <c r="K32" s="557"/>
      <c r="L32" s="521"/>
      <c r="M32" s="649"/>
      <c r="N32" s="649"/>
      <c r="O32" s="742"/>
      <c r="P32" s="737"/>
      <c r="Q32" s="605"/>
      <c r="R32" s="474"/>
      <c r="S32" s="737"/>
      <c r="T32" s="737"/>
      <c r="U32" s="737"/>
    </row>
    <row r="33" ht="15.75" hidden="1" customHeight="1">
      <c r="A33" s="439"/>
      <c r="B33" s="787">
        <v>0.07</v>
      </c>
      <c r="C33" s="465"/>
      <c r="D33" s="704">
        <f>B33*$D$29</f>
        <v>728324.3765</v>
      </c>
      <c r="E33" s="649">
        <f t="shared" ref="E33:E38" si="29">D33/$C$32</f>
        <v>436.3836887</v>
      </c>
      <c r="F33" s="521"/>
      <c r="G33" s="649"/>
      <c r="H33" s="649"/>
      <c r="I33" s="742"/>
      <c r="J33" s="704">
        <f>H33*$D$29</f>
        <v>0</v>
      </c>
      <c r="K33" s="649">
        <f t="shared" ref="K33:K38" si="30">J33/$C$32</f>
        <v>0</v>
      </c>
      <c r="L33" s="521"/>
      <c r="M33" s="649"/>
      <c r="N33" s="649"/>
      <c r="O33" s="742"/>
      <c r="P33" s="737"/>
      <c r="Q33" s="737">
        <f t="shared" ref="Q33:Q38" si="31">P33/$C$32</f>
        <v>0</v>
      </c>
      <c r="R33" s="474"/>
      <c r="S33" s="737"/>
      <c r="T33" s="737"/>
      <c r="U33" s="737"/>
    </row>
    <row r="34" ht="15.75" hidden="1" customHeight="1">
      <c r="A34" s="439"/>
      <c r="B34" s="787">
        <f>B33*1.18</f>
        <v>0.0826</v>
      </c>
      <c r="C34" s="465"/>
      <c r="D34" s="704">
        <f>$B$34*$D$29</f>
        <v>859422.7643</v>
      </c>
      <c r="E34" s="649">
        <f t="shared" si="29"/>
        <v>514.9327527</v>
      </c>
      <c r="F34" s="521"/>
      <c r="G34" s="649"/>
      <c r="H34" s="649"/>
      <c r="I34" s="742"/>
      <c r="J34" s="704">
        <f>$B$34*$D$29</f>
        <v>859422.7643</v>
      </c>
      <c r="K34" s="649">
        <f t="shared" si="30"/>
        <v>514.9327527</v>
      </c>
      <c r="L34" s="521"/>
      <c r="M34" s="649"/>
      <c r="N34" s="649"/>
      <c r="O34" s="742"/>
      <c r="P34" s="737"/>
      <c r="Q34" s="737">
        <f t="shared" si="31"/>
        <v>0</v>
      </c>
      <c r="R34" s="474"/>
      <c r="S34" s="737"/>
      <c r="T34" s="737"/>
      <c r="U34" s="737"/>
    </row>
    <row r="35" ht="15.75" hidden="1" customHeight="1">
      <c r="A35" s="439"/>
      <c r="B35" s="787">
        <v>0.08</v>
      </c>
      <c r="C35" s="465"/>
      <c r="D35" s="704">
        <f>$B$35*$D$29</f>
        <v>832370.716</v>
      </c>
      <c r="E35" s="649">
        <f t="shared" si="29"/>
        <v>498.7242157</v>
      </c>
      <c r="F35" s="521"/>
      <c r="G35" s="649"/>
      <c r="H35" s="649"/>
      <c r="I35" s="742"/>
      <c r="J35" s="704">
        <f>$B$35*$D$29</f>
        <v>832370.716</v>
      </c>
      <c r="K35" s="649">
        <f t="shared" si="30"/>
        <v>498.7242157</v>
      </c>
      <c r="L35" s="521"/>
      <c r="M35" s="649"/>
      <c r="N35" s="649"/>
      <c r="O35" s="742"/>
      <c r="P35" s="737"/>
      <c r="Q35" s="737">
        <f t="shared" si="31"/>
        <v>0</v>
      </c>
      <c r="R35" s="474"/>
      <c r="S35" s="737"/>
      <c r="T35" s="737"/>
      <c r="U35" s="737"/>
    </row>
    <row r="36" ht="15.75" hidden="1" customHeight="1">
      <c r="A36" s="439"/>
      <c r="B36" s="787">
        <f>B35*1.18</f>
        <v>0.0944</v>
      </c>
      <c r="C36" s="465"/>
      <c r="D36" s="704">
        <f>$B$36*$D$29</f>
        <v>982197.4449</v>
      </c>
      <c r="E36" s="649">
        <f t="shared" si="29"/>
        <v>588.4945745</v>
      </c>
      <c r="F36" s="521"/>
      <c r="G36" s="649"/>
      <c r="H36" s="649"/>
      <c r="I36" s="742"/>
      <c r="J36" s="704">
        <f>$B$36*$D$29</f>
        <v>982197.4449</v>
      </c>
      <c r="K36" s="649">
        <f t="shared" si="30"/>
        <v>588.4945745</v>
      </c>
      <c r="L36" s="521"/>
      <c r="M36" s="649"/>
      <c r="N36" s="649"/>
      <c r="O36" s="742"/>
      <c r="P36" s="737"/>
      <c r="Q36" s="737">
        <f t="shared" si="31"/>
        <v>0</v>
      </c>
      <c r="R36" s="474"/>
      <c r="S36" s="737"/>
      <c r="T36" s="737"/>
      <c r="U36" s="737"/>
    </row>
    <row r="37" ht="15.75" hidden="1" customHeight="1">
      <c r="A37" s="439"/>
      <c r="B37" s="787">
        <v>0.09</v>
      </c>
      <c r="C37" s="465"/>
      <c r="D37" s="704">
        <f>$B$37*$D$29</f>
        <v>936417.0555</v>
      </c>
      <c r="E37" s="649">
        <f t="shared" si="29"/>
        <v>561.0647427</v>
      </c>
      <c r="F37" s="521"/>
      <c r="G37" s="649"/>
      <c r="H37" s="649"/>
      <c r="I37" s="742"/>
      <c r="J37" s="704">
        <f>$B$37*$D$29</f>
        <v>936417.0555</v>
      </c>
      <c r="K37" s="649">
        <f t="shared" si="30"/>
        <v>561.0647427</v>
      </c>
      <c r="L37" s="521"/>
      <c r="M37" s="649"/>
      <c r="N37" s="649"/>
      <c r="O37" s="742"/>
      <c r="P37" s="737"/>
      <c r="Q37" s="737">
        <f t="shared" si="31"/>
        <v>0</v>
      </c>
      <c r="R37" s="474"/>
      <c r="S37" s="737"/>
      <c r="T37" s="737"/>
      <c r="U37" s="737"/>
    </row>
    <row r="38" ht="15.75" hidden="1" customHeight="1">
      <c r="A38" s="439"/>
      <c r="B38" s="783">
        <f>B37*1.18</f>
        <v>0.1062</v>
      </c>
      <c r="C38" s="465"/>
      <c r="D38" s="704">
        <f>$B$38*$D$29</f>
        <v>1104972.125</v>
      </c>
      <c r="E38" s="649">
        <f t="shared" si="29"/>
        <v>662.0563963</v>
      </c>
      <c r="F38" s="521"/>
      <c r="G38" s="649"/>
      <c r="H38" s="649"/>
      <c r="I38" s="742"/>
      <c r="J38" s="704">
        <f>$B$38*$D$29</f>
        <v>1104972.125</v>
      </c>
      <c r="K38" s="649">
        <f t="shared" si="30"/>
        <v>662.0563963</v>
      </c>
      <c r="L38" s="521"/>
      <c r="M38" s="649"/>
      <c r="N38" s="649"/>
      <c r="O38" s="742"/>
      <c r="P38" s="737"/>
      <c r="Q38" s="737">
        <f t="shared" si="31"/>
        <v>0</v>
      </c>
      <c r="R38" s="474"/>
      <c r="S38" s="737"/>
      <c r="T38" s="737"/>
      <c r="U38" s="737"/>
    </row>
    <row r="39" ht="15.75" hidden="1" customHeight="1">
      <c r="A39" s="439"/>
      <c r="B39" s="465"/>
      <c r="C39" s="465"/>
      <c r="D39" s="704"/>
      <c r="E39" s="557"/>
      <c r="F39" s="521"/>
      <c r="G39" s="649"/>
      <c r="H39" s="649"/>
      <c r="I39" s="742"/>
      <c r="J39" s="704"/>
      <c r="K39" s="557"/>
      <c r="L39" s="521"/>
      <c r="M39" s="649"/>
      <c r="N39" s="649"/>
      <c r="O39" s="742"/>
      <c r="P39" s="737"/>
      <c r="Q39" s="605"/>
      <c r="R39" s="474"/>
      <c r="S39" s="737"/>
      <c r="T39" s="737"/>
      <c r="U39" s="737"/>
    </row>
    <row r="40" ht="15.75" hidden="1" customHeight="1">
      <c r="A40" s="439"/>
      <c r="B40" s="469"/>
      <c r="C40" s="469"/>
      <c r="D40" s="704"/>
      <c r="E40" s="539"/>
      <c r="F40" s="521"/>
      <c r="G40" s="539"/>
      <c r="H40" s="539"/>
      <c r="I40" s="479"/>
      <c r="J40" s="704"/>
      <c r="K40" s="539"/>
      <c r="L40" s="521"/>
      <c r="M40" s="539"/>
      <c r="N40" s="539"/>
      <c r="O40" s="479"/>
      <c r="P40" s="737"/>
      <c r="Q40" s="469"/>
      <c r="R40" s="474"/>
      <c r="S40" s="469"/>
      <c r="T40" s="469"/>
      <c r="U40" s="469"/>
    </row>
    <row r="41" ht="15.75" customHeight="1">
      <c r="A41" s="439"/>
      <c r="B41" s="481" t="s">
        <v>183</v>
      </c>
      <c r="C41" s="465"/>
      <c r="D41" s="704"/>
      <c r="E41" s="539"/>
      <c r="F41" s="521"/>
      <c r="G41" s="539"/>
      <c r="H41" s="539"/>
      <c r="I41" s="479"/>
      <c r="J41" s="704"/>
      <c r="K41" s="539"/>
      <c r="L41" s="521"/>
      <c r="M41" s="539"/>
      <c r="N41" s="539"/>
      <c r="O41" s="479"/>
      <c r="P41" s="737"/>
      <c r="Q41" s="469"/>
      <c r="R41" s="474"/>
      <c r="S41" s="469"/>
      <c r="T41" s="469"/>
      <c r="U41" s="469"/>
    </row>
    <row r="42" ht="15.75" customHeight="1">
      <c r="A42" s="439"/>
      <c r="B42" s="788" t="s">
        <v>28</v>
      </c>
      <c r="C42" s="465"/>
      <c r="D42" s="704"/>
      <c r="E42" s="539"/>
      <c r="F42" s="521"/>
      <c r="G42" s="539"/>
      <c r="H42" s="539"/>
      <c r="I42" s="479"/>
      <c r="J42" s="704"/>
      <c r="K42" s="539"/>
      <c r="L42" s="521"/>
      <c r="M42" s="539"/>
      <c r="N42" s="539"/>
      <c r="O42" s="479"/>
      <c r="P42" s="737"/>
      <c r="Q42" s="469"/>
      <c r="R42" s="474"/>
      <c r="S42" s="469"/>
      <c r="T42" s="469"/>
      <c r="U42" s="469"/>
    </row>
    <row r="43" ht="15.75" customHeight="1">
      <c r="A43" s="439"/>
      <c r="B43" s="465"/>
      <c r="C43" s="587" t="s">
        <v>184</v>
      </c>
      <c r="D43" s="704"/>
      <c r="E43" s="539"/>
      <c r="F43" s="521"/>
      <c r="G43" s="539"/>
      <c r="H43" s="539"/>
      <c r="I43" s="479"/>
      <c r="J43" s="704"/>
      <c r="K43" s="539"/>
      <c r="L43" s="521"/>
      <c r="M43" s="539"/>
      <c r="N43" s="539"/>
      <c r="O43" s="479"/>
      <c r="P43" s="737"/>
      <c r="Q43" s="469"/>
      <c r="R43" s="474"/>
      <c r="S43" s="469"/>
      <c r="T43" s="469"/>
      <c r="U43" s="469"/>
    </row>
    <row r="44" ht="15.75" customHeight="1">
      <c r="A44" s="439"/>
      <c r="B44" s="465"/>
      <c r="C44" s="465" t="s">
        <v>185</v>
      </c>
      <c r="D44" s="704">
        <f>'MSBC CK Allocation'!B33</f>
        <v>755668.0196</v>
      </c>
      <c r="E44" s="557">
        <f>D44/D26</f>
        <v>0.08612677924</v>
      </c>
      <c r="F44" s="521"/>
      <c r="G44" s="557">
        <v>0.02</v>
      </c>
      <c r="H44" s="521">
        <f t="shared" ref="H44:H46" si="32">D44-F44</f>
        <v>755668.0196</v>
      </c>
      <c r="I44" s="562" t="str">
        <f t="shared" ref="I44:I46" si="33">H44/F44</f>
        <v>#DIV/0!</v>
      </c>
      <c r="J44" s="704">
        <f>'MSBC CK Allocation'!C33</f>
        <v>764499.9172</v>
      </c>
      <c r="K44" s="557">
        <f>J44/J26</f>
        <v>0.08817991301</v>
      </c>
      <c r="L44" s="521"/>
      <c r="M44" s="557">
        <v>0.02</v>
      </c>
      <c r="N44" s="521">
        <f t="shared" ref="N44:N46" si="34">J44-L44</f>
        <v>764499.9172</v>
      </c>
      <c r="O44" s="562" t="str">
        <f t="shared" ref="O44:O46" si="35">N44/L44</f>
        <v>#DIV/0!</v>
      </c>
      <c r="P44" s="737">
        <f>'MSBC CK Allocation'!D33</f>
        <v>723599.5676</v>
      </c>
      <c r="Q44" s="605">
        <f>P44/P26</f>
        <v>0.1005897582</v>
      </c>
      <c r="R44" s="474"/>
      <c r="S44" s="605">
        <v>0.02</v>
      </c>
      <c r="T44" s="474">
        <f t="shared" ref="T44:T46" si="36">P44-R44</f>
        <v>723599.5676</v>
      </c>
      <c r="U44" s="605" t="str">
        <f t="shared" ref="U44:U46" si="37">T44/R44</f>
        <v>#DIV/0!</v>
      </c>
    </row>
    <row r="45" ht="15.75" customHeight="1">
      <c r="A45" s="439"/>
      <c r="B45" s="465"/>
      <c r="C45" s="465" t="s">
        <v>186</v>
      </c>
      <c r="D45" s="704">
        <v>2202700.495108818</v>
      </c>
      <c r="E45" s="557">
        <v>0.2557</v>
      </c>
      <c r="F45" s="521"/>
      <c r="G45" s="557">
        <v>0.2305</v>
      </c>
      <c r="H45" s="521">
        <f t="shared" si="32"/>
        <v>2202700.495</v>
      </c>
      <c r="I45" s="562" t="str">
        <f t="shared" si="33"/>
        <v>#DIV/0!</v>
      </c>
      <c r="J45" s="704">
        <f>(2155123.53)+288241.93</f>
        <v>2443365.46</v>
      </c>
      <c r="K45" s="557">
        <v>0.2557</v>
      </c>
      <c r="L45" s="521"/>
      <c r="M45" s="557">
        <v>0.2305</v>
      </c>
      <c r="N45" s="521">
        <f t="shared" si="34"/>
        <v>2443365.46</v>
      </c>
      <c r="O45" s="562" t="str">
        <f t="shared" si="35"/>
        <v>#DIV/0!</v>
      </c>
      <c r="P45" s="737">
        <f>1981500.06+235002.76</f>
        <v>2216502.82</v>
      </c>
      <c r="Q45" s="605">
        <v>0.2557</v>
      </c>
      <c r="R45" s="474"/>
      <c r="S45" s="605">
        <v>0.2305</v>
      </c>
      <c r="T45" s="474">
        <f t="shared" si="36"/>
        <v>2216502.82</v>
      </c>
      <c r="U45" s="605" t="str">
        <f t="shared" si="37"/>
        <v>#DIV/0!</v>
      </c>
    </row>
    <row r="46" ht="15.75" customHeight="1">
      <c r="A46" s="439"/>
      <c r="B46" s="465"/>
      <c r="C46" s="465" t="s">
        <v>21</v>
      </c>
      <c r="D46" s="704">
        <v>273527.35536036384</v>
      </c>
      <c r="E46" s="557">
        <v>0.1796</v>
      </c>
      <c r="F46" s="521"/>
      <c r="G46" s="557">
        <v>0.1363</v>
      </c>
      <c r="H46" s="521">
        <f t="shared" si="32"/>
        <v>273527.3554</v>
      </c>
      <c r="I46" s="562" t="str">
        <f t="shared" si="33"/>
        <v>#DIV/0!</v>
      </c>
      <c r="J46" s="704">
        <f>(150432.01)+174121.8</f>
        <v>324553.81</v>
      </c>
      <c r="K46" s="557">
        <v>0.1796</v>
      </c>
      <c r="L46" s="521"/>
      <c r="M46" s="557">
        <v>0.1363</v>
      </c>
      <c r="N46" s="521">
        <f t="shared" si="34"/>
        <v>324553.81</v>
      </c>
      <c r="O46" s="562" t="str">
        <f t="shared" si="35"/>
        <v>#DIV/0!</v>
      </c>
      <c r="P46" s="747">
        <v>273945.0</v>
      </c>
      <c r="Q46" s="605">
        <v>0.1796</v>
      </c>
      <c r="R46" s="474"/>
      <c r="S46" s="605">
        <v>0.1363</v>
      </c>
      <c r="T46" s="474">
        <f t="shared" si="36"/>
        <v>273945</v>
      </c>
      <c r="U46" s="605" t="str">
        <f t="shared" si="37"/>
        <v>#DIV/0!</v>
      </c>
    </row>
    <row r="47" ht="15.75" hidden="1" customHeight="1">
      <c r="A47" s="439"/>
      <c r="B47" s="465"/>
      <c r="C47" s="465" t="s">
        <v>22</v>
      </c>
      <c r="D47" s="704"/>
      <c r="E47" s="539"/>
      <c r="F47" s="521"/>
      <c r="G47" s="557"/>
      <c r="H47" s="521"/>
      <c r="I47" s="562"/>
      <c r="J47" s="704"/>
      <c r="K47" s="539"/>
      <c r="L47" s="521"/>
      <c r="M47" s="557"/>
      <c r="N47" s="521"/>
      <c r="O47" s="562"/>
      <c r="P47" s="737"/>
      <c r="Q47" s="469"/>
      <c r="R47" s="474"/>
      <c r="S47" s="605"/>
      <c r="T47" s="474"/>
      <c r="U47" s="605"/>
    </row>
    <row r="48" ht="15.75" customHeight="1">
      <c r="A48" s="789"/>
      <c r="B48" s="483"/>
      <c r="C48" s="483" t="s">
        <v>187</v>
      </c>
      <c r="D48" s="705">
        <f>'Calculation Sheet for GST on Pu'!C24</f>
        <v>104018.1243</v>
      </c>
      <c r="E48" s="564">
        <f>D48/SUM(D44:D47)</f>
        <v>0.03218486254</v>
      </c>
      <c r="F48" s="545"/>
      <c r="G48" s="564" t="str">
        <f>F48/SUM(F44:F46)</f>
        <v>#DIV/0!</v>
      </c>
      <c r="H48" s="545">
        <f>D48-F48</f>
        <v>104018.1243</v>
      </c>
      <c r="I48" s="565" t="str">
        <f>H48/F48</f>
        <v>#DIV/0!</v>
      </c>
      <c r="J48" s="705">
        <f>'Calculation Sheet for GST on Pu'!D24</f>
        <v>114058.6235</v>
      </c>
      <c r="K48" s="557">
        <f>J48/SUM(J44:J47)</f>
        <v>0.03228909635</v>
      </c>
      <c r="L48" s="521"/>
      <c r="M48" s="557" t="str">
        <f>L48/SUM(L44:L46)</f>
        <v>#DIV/0!</v>
      </c>
      <c r="N48" s="521">
        <f>J48-L48</f>
        <v>114058.6235</v>
      </c>
      <c r="O48" s="562" t="str">
        <f>N48/L48</f>
        <v>#DIV/0!</v>
      </c>
      <c r="P48" s="474">
        <f>'Calculation Sheet for GST on Pu'!E24</f>
        <v>125833.5744</v>
      </c>
      <c r="Q48" s="605">
        <f>P48/SUM(P44:P47)</f>
        <v>0.03915112604</v>
      </c>
      <c r="R48" s="474"/>
      <c r="S48" s="605" t="str">
        <f>R48/SUM(R44:R46)</f>
        <v>#DIV/0!</v>
      </c>
      <c r="T48" s="474">
        <f>P48-R48</f>
        <v>125833.5744</v>
      </c>
      <c r="U48" s="605" t="str">
        <f>T48/R48</f>
        <v>#DIV/0!</v>
      </c>
    </row>
    <row r="49" ht="15.75" customHeight="1">
      <c r="A49" s="439"/>
      <c r="B49" s="493"/>
      <c r="C49" s="493" t="s">
        <v>188</v>
      </c>
      <c r="D49" s="668">
        <f>SUM(D44:D48)</f>
        <v>3335913.994</v>
      </c>
      <c r="E49" s="613">
        <f t="shared" ref="E49:E52" si="38">D49/D$29</f>
        <v>0.3206181025</v>
      </c>
      <c r="F49" s="512"/>
      <c r="G49" s="669" t="str">
        <f>F49/F$29</f>
        <v>#DIV/0!</v>
      </c>
      <c r="H49" s="512">
        <f>SUM(H44:H48)</f>
        <v>3335913.994</v>
      </c>
      <c r="I49" s="670"/>
      <c r="J49" s="668">
        <f>SUM(J44:J48)</f>
        <v>3646477.811</v>
      </c>
      <c r="K49" s="757">
        <f t="shared" ref="K49:K52" si="39">J49/J$29</f>
        <v>0.3585768949</v>
      </c>
      <c r="L49" s="521"/>
      <c r="M49" s="557" t="str">
        <f>L49/L$29</f>
        <v>#DIV/0!</v>
      </c>
      <c r="N49" s="521">
        <f>SUM(N44:N48)</f>
        <v>3646477.811</v>
      </c>
      <c r="O49" s="479"/>
      <c r="P49" s="668">
        <f>SUM(P44:P48)</f>
        <v>3339880.962</v>
      </c>
      <c r="Q49" s="790">
        <f t="shared" ref="Q49:Q52" si="40">P49/P$29</f>
        <v>0.3771294415</v>
      </c>
      <c r="R49" s="474"/>
      <c r="S49" s="605" t="str">
        <f>R49/R$29</f>
        <v>#DIV/0!</v>
      </c>
      <c r="T49" s="474">
        <f>SUM(T44:T48)</f>
        <v>3339880.962</v>
      </c>
      <c r="U49" s="469"/>
    </row>
    <row r="50" ht="15.75" customHeight="1">
      <c r="A50" s="439"/>
      <c r="B50" s="526"/>
      <c r="C50" s="526" t="s">
        <v>189</v>
      </c>
      <c r="D50" s="454">
        <v>213063.0</v>
      </c>
      <c r="E50" s="589">
        <f t="shared" si="38"/>
        <v>0.02047770263</v>
      </c>
      <c r="F50" s="590"/>
      <c r="G50" s="589">
        <v>0.0102</v>
      </c>
      <c r="H50" s="590">
        <f>D50-F50</f>
        <v>213063</v>
      </c>
      <c r="I50" s="591" t="str">
        <f>H50/F50</f>
        <v>#DIV/0!</v>
      </c>
      <c r="J50" s="454">
        <v>229061.0</v>
      </c>
      <c r="K50" s="564">
        <f t="shared" si="39"/>
        <v>0.02252474481</v>
      </c>
      <c r="L50" s="545"/>
      <c r="M50" s="564">
        <v>0.0102</v>
      </c>
      <c r="N50" s="545">
        <f>J50-L50</f>
        <v>229061</v>
      </c>
      <c r="O50" s="565" t="str">
        <f>N50/L50</f>
        <v>#DIV/0!</v>
      </c>
      <c r="P50" s="745">
        <v>199075.0</v>
      </c>
      <c r="Q50" s="786">
        <f t="shared" si="40"/>
        <v>0.02247895791</v>
      </c>
      <c r="R50" s="501"/>
      <c r="S50" s="786">
        <v>0.0102</v>
      </c>
      <c r="T50" s="501">
        <f>P50-R50</f>
        <v>199075</v>
      </c>
      <c r="U50" s="786" t="str">
        <f>T50/R50</f>
        <v>#DIV/0!</v>
      </c>
    </row>
    <row r="51" ht="15.75" customHeight="1">
      <c r="A51" s="439"/>
      <c r="B51" s="490"/>
      <c r="C51" s="490" t="s">
        <v>190</v>
      </c>
      <c r="D51" s="740">
        <f>D49+D50</f>
        <v>3548976.994</v>
      </c>
      <c r="E51" s="547">
        <f t="shared" si="38"/>
        <v>0.3410958051</v>
      </c>
      <c r="F51" s="548">
        <f>F49+F50</f>
        <v>0</v>
      </c>
      <c r="G51" s="547" t="str">
        <f t="shared" ref="G51:G52" si="41">F51/F$29</f>
        <v>#DIV/0!</v>
      </c>
      <c r="H51" s="645">
        <f>H49+H50</f>
        <v>3548976.994</v>
      </c>
      <c r="I51" s="585"/>
      <c r="J51" s="740">
        <f>J49+J50</f>
        <v>3875538.811</v>
      </c>
      <c r="K51" s="547">
        <f t="shared" si="39"/>
        <v>0.3811016398</v>
      </c>
      <c r="L51" s="548">
        <f>L49+L50</f>
        <v>0</v>
      </c>
      <c r="M51" s="547" t="str">
        <f t="shared" ref="M51:M52" si="42">L51/L$29</f>
        <v>#DIV/0!</v>
      </c>
      <c r="N51" s="645">
        <f>N49+N50</f>
        <v>3875538.811</v>
      </c>
      <c r="O51" s="585"/>
      <c r="P51" s="668">
        <f>P49+P50</f>
        <v>3538955.962</v>
      </c>
      <c r="Q51" s="613">
        <f t="shared" si="40"/>
        <v>0.3996083994</v>
      </c>
      <c r="R51" s="491">
        <f>R49+R50</f>
        <v>0</v>
      </c>
      <c r="S51" s="613" t="str">
        <f t="shared" ref="S51:S52" si="43">R51/R$29</f>
        <v>#DIV/0!</v>
      </c>
      <c r="T51" s="668">
        <f>T49+T50</f>
        <v>3538955.962</v>
      </c>
      <c r="U51" s="457"/>
    </row>
    <row r="52" ht="15.75" customHeight="1">
      <c r="A52" s="439"/>
      <c r="B52" s="791" t="s">
        <v>32</v>
      </c>
      <c r="C52" s="792" t="s">
        <v>32</v>
      </c>
      <c r="D52" s="740">
        <f>D29-D51</f>
        <v>6855656.956</v>
      </c>
      <c r="E52" s="547">
        <f t="shared" si="38"/>
        <v>0.6589041949</v>
      </c>
      <c r="F52" s="548" t="str">
        <f>F29-F51-#REF!</f>
        <v>#REF!</v>
      </c>
      <c r="G52" s="547" t="str">
        <f t="shared" si="41"/>
        <v>#REF!</v>
      </c>
      <c r="H52" s="645" t="str">
        <f>H29-H51-#REF!</f>
        <v>#REF!</v>
      </c>
      <c r="I52" s="549" t="str">
        <f>H52/H$29</f>
        <v>#REF!</v>
      </c>
      <c r="J52" s="740">
        <f>J29-J51</f>
        <v>6293766.189</v>
      </c>
      <c r="K52" s="547">
        <f t="shared" si="39"/>
        <v>0.6188983602</v>
      </c>
      <c r="L52" s="548" t="str">
        <f>L29-L51-#REF!</f>
        <v>#REF!</v>
      </c>
      <c r="M52" s="547" t="str">
        <f t="shared" si="42"/>
        <v>#REF!</v>
      </c>
      <c r="N52" s="645" t="str">
        <f>N29-N51-#REF!</f>
        <v>#REF!</v>
      </c>
      <c r="O52" s="549" t="str">
        <f>N52/N$29</f>
        <v>#REF!</v>
      </c>
      <c r="P52" s="668">
        <f>P29-P51</f>
        <v>5317104.038</v>
      </c>
      <c r="Q52" s="613">
        <f t="shared" si="40"/>
        <v>0.6003916006</v>
      </c>
      <c r="R52" s="491" t="str">
        <f>R29-R51-#REF!</f>
        <v>#REF!</v>
      </c>
      <c r="S52" s="613" t="str">
        <f t="shared" si="43"/>
        <v>#REF!</v>
      </c>
      <c r="T52" s="668" t="str">
        <f>T29-T51-#REF!</f>
        <v>#REF!</v>
      </c>
      <c r="U52" s="613" t="str">
        <f>T52/T$29</f>
        <v>#REF!</v>
      </c>
    </row>
    <row r="53" ht="15.75" customHeight="1">
      <c r="A53" s="439"/>
      <c r="B53" s="526"/>
      <c r="C53" s="526"/>
      <c r="D53" s="454"/>
      <c r="E53" s="620"/>
      <c r="F53" s="590"/>
      <c r="G53" s="620"/>
      <c r="H53" s="620"/>
      <c r="I53" s="455"/>
      <c r="J53" s="454"/>
      <c r="K53" s="620"/>
      <c r="L53" s="590"/>
      <c r="M53" s="620"/>
      <c r="N53" s="620"/>
      <c r="O53" s="455"/>
      <c r="P53" s="793"/>
      <c r="Q53" s="794"/>
      <c r="R53" s="522"/>
      <c r="S53" s="794"/>
      <c r="T53" s="794"/>
      <c r="U53" s="794"/>
    </row>
    <row r="54" ht="15.75" customHeight="1">
      <c r="A54" s="439"/>
      <c r="B54" s="493"/>
      <c r="C54" s="795" t="s">
        <v>191</v>
      </c>
      <c r="D54" s="755"/>
      <c r="E54" s="670"/>
      <c r="F54" s="512"/>
      <c r="G54" s="670"/>
      <c r="H54" s="670"/>
      <c r="I54" s="670"/>
      <c r="J54" s="755"/>
      <c r="K54" s="670"/>
      <c r="L54" s="512"/>
      <c r="M54" s="670"/>
      <c r="N54" s="670"/>
      <c r="O54" s="670"/>
      <c r="P54" s="755"/>
      <c r="Q54" s="670"/>
      <c r="R54" s="512"/>
      <c r="S54" s="670"/>
      <c r="T54" s="670"/>
      <c r="U54" s="670"/>
    </row>
    <row r="55" ht="15.75" customHeight="1">
      <c r="A55" s="439"/>
      <c r="B55" s="497"/>
      <c r="C55" s="497" t="s">
        <v>192</v>
      </c>
      <c r="D55" s="463">
        <v>69749.66</v>
      </c>
      <c r="E55" s="552">
        <f t="shared" ref="E55:E61" si="44">D55/D$29</f>
        <v>0.00670371109</v>
      </c>
      <c r="F55" s="541">
        <f t="shared" ref="F55:F59" si="45">G55*F$29</f>
        <v>0</v>
      </c>
      <c r="G55" s="552"/>
      <c r="H55" s="646">
        <f t="shared" ref="H55:H60" si="46">D55-F55</f>
        <v>69749.66</v>
      </c>
      <c r="I55" s="556" t="str">
        <f t="shared" ref="I55:I59" si="47">H55/F55</f>
        <v>#DIV/0!</v>
      </c>
      <c r="J55" s="463">
        <v>64314.0</v>
      </c>
      <c r="K55" s="552">
        <f t="shared" ref="K55:K61" si="48">J55/J$29</f>
        <v>0.006324325999</v>
      </c>
      <c r="L55" s="541">
        <f t="shared" ref="L55:L59" si="49">M55*L$29</f>
        <v>0</v>
      </c>
      <c r="M55" s="552"/>
      <c r="N55" s="646">
        <f t="shared" ref="N55:N60" si="50">J55-L55</f>
        <v>64314</v>
      </c>
      <c r="O55" s="556" t="str">
        <f t="shared" ref="O55:O59" si="51">N55/L55</f>
        <v>#DIV/0!</v>
      </c>
      <c r="P55" s="505">
        <v>72020.0</v>
      </c>
      <c r="Q55" s="778">
        <f t="shared" ref="Q55:Q61" si="52">P55/P$29</f>
        <v>0.00813228456</v>
      </c>
      <c r="R55" s="498">
        <f t="shared" ref="R55:R59" si="53">S55*R$29</f>
        <v>0</v>
      </c>
      <c r="S55" s="778"/>
      <c r="T55" s="741">
        <f t="shared" ref="T55:T60" si="54">P55-R55</f>
        <v>72020</v>
      </c>
      <c r="U55" s="778" t="str">
        <f t="shared" ref="U55:U59" si="55">T55/R55</f>
        <v>#DIV/0!</v>
      </c>
    </row>
    <row r="56" ht="15.75" customHeight="1">
      <c r="A56" s="439"/>
      <c r="B56" s="465"/>
      <c r="C56" s="465" t="s">
        <v>193</v>
      </c>
      <c r="D56" s="467">
        <v>87886.93000000001</v>
      </c>
      <c r="E56" s="557">
        <f t="shared" si="44"/>
        <v>0.008446902642</v>
      </c>
      <c r="F56" s="521">
        <f t="shared" si="45"/>
        <v>0</v>
      </c>
      <c r="G56" s="557"/>
      <c r="H56" s="649">
        <f t="shared" si="46"/>
        <v>87886.93</v>
      </c>
      <c r="I56" s="562" t="str">
        <f t="shared" si="47"/>
        <v>#DIV/0!</v>
      </c>
      <c r="J56" s="467">
        <v>133261.0</v>
      </c>
      <c r="K56" s="557">
        <f t="shared" si="48"/>
        <v>0.01310423869</v>
      </c>
      <c r="L56" s="521">
        <f t="shared" si="49"/>
        <v>0</v>
      </c>
      <c r="M56" s="557"/>
      <c r="N56" s="649">
        <f t="shared" si="50"/>
        <v>133261</v>
      </c>
      <c r="O56" s="562" t="str">
        <f t="shared" si="51"/>
        <v>#DIV/0!</v>
      </c>
      <c r="P56" s="506">
        <v>150886.0</v>
      </c>
      <c r="Q56" s="605">
        <f t="shared" si="52"/>
        <v>0.01703759911</v>
      </c>
      <c r="R56" s="474">
        <f t="shared" si="53"/>
        <v>0</v>
      </c>
      <c r="S56" s="605"/>
      <c r="T56" s="737">
        <f t="shared" si="54"/>
        <v>150886</v>
      </c>
      <c r="U56" s="605" t="str">
        <f t="shared" si="55"/>
        <v>#DIV/0!</v>
      </c>
    </row>
    <row r="57" ht="15.75" customHeight="1">
      <c r="A57" s="439"/>
      <c r="B57" s="465"/>
      <c r="C57" s="465" t="s">
        <v>266</v>
      </c>
      <c r="D57" s="467">
        <v>0.0</v>
      </c>
      <c r="E57" s="557">
        <f t="shared" si="44"/>
        <v>0</v>
      </c>
      <c r="F57" s="521">
        <f t="shared" si="45"/>
        <v>0</v>
      </c>
      <c r="G57" s="557"/>
      <c r="H57" s="784">
        <f t="shared" si="46"/>
        <v>0</v>
      </c>
      <c r="I57" s="562" t="str">
        <f t="shared" si="47"/>
        <v>#DIV/0!</v>
      </c>
      <c r="J57" s="467">
        <v>0.0</v>
      </c>
      <c r="K57" s="557">
        <f t="shared" si="48"/>
        <v>0</v>
      </c>
      <c r="L57" s="521">
        <f t="shared" si="49"/>
        <v>0</v>
      </c>
      <c r="M57" s="557"/>
      <c r="N57" s="784">
        <f t="shared" si="50"/>
        <v>0</v>
      </c>
      <c r="O57" s="562" t="str">
        <f t="shared" si="51"/>
        <v>#DIV/0!</v>
      </c>
      <c r="P57" s="506">
        <v>0.0</v>
      </c>
      <c r="Q57" s="605">
        <f t="shared" si="52"/>
        <v>0</v>
      </c>
      <c r="R57" s="474">
        <f t="shared" si="53"/>
        <v>0</v>
      </c>
      <c r="S57" s="605"/>
      <c r="T57" s="752">
        <f t="shared" si="54"/>
        <v>0</v>
      </c>
      <c r="U57" s="605" t="str">
        <f t="shared" si="55"/>
        <v>#DIV/0!</v>
      </c>
    </row>
    <row r="58" ht="15.75" customHeight="1">
      <c r="A58" s="439"/>
      <c r="B58" s="465"/>
      <c r="C58" s="465" t="s">
        <v>194</v>
      </c>
      <c r="D58" s="467">
        <v>37665.0</v>
      </c>
      <c r="E58" s="557">
        <f t="shared" si="44"/>
        <v>0.003620021635</v>
      </c>
      <c r="F58" s="521">
        <f t="shared" si="45"/>
        <v>0</v>
      </c>
      <c r="G58" s="557"/>
      <c r="H58" s="649">
        <f t="shared" si="46"/>
        <v>37665</v>
      </c>
      <c r="I58" s="562" t="str">
        <f t="shared" si="47"/>
        <v>#DIV/0!</v>
      </c>
      <c r="J58" s="467">
        <v>16391.0</v>
      </c>
      <c r="K58" s="557">
        <f t="shared" si="48"/>
        <v>0.00161181123</v>
      </c>
      <c r="L58" s="521">
        <f t="shared" si="49"/>
        <v>0</v>
      </c>
      <c r="M58" s="557"/>
      <c r="N58" s="649">
        <f t="shared" si="50"/>
        <v>16391</v>
      </c>
      <c r="O58" s="562" t="str">
        <f t="shared" si="51"/>
        <v>#DIV/0!</v>
      </c>
      <c r="P58" s="506">
        <v>9483.0</v>
      </c>
      <c r="Q58" s="605">
        <f t="shared" si="52"/>
        <v>0.001070792203</v>
      </c>
      <c r="R58" s="474">
        <f t="shared" si="53"/>
        <v>0</v>
      </c>
      <c r="S58" s="605"/>
      <c r="T58" s="737">
        <f t="shared" si="54"/>
        <v>9483</v>
      </c>
      <c r="U58" s="605" t="str">
        <f t="shared" si="55"/>
        <v>#DIV/0!</v>
      </c>
    </row>
    <row r="59" ht="15.75" customHeight="1">
      <c r="A59" s="439"/>
      <c r="B59" s="465"/>
      <c r="C59" s="465" t="s">
        <v>195</v>
      </c>
      <c r="D59" s="467">
        <v>32569.9</v>
      </c>
      <c r="E59" s="557">
        <f t="shared" si="44"/>
        <v>0.003130326368</v>
      </c>
      <c r="F59" s="521">
        <f t="shared" si="45"/>
        <v>0</v>
      </c>
      <c r="G59" s="557"/>
      <c r="H59" s="649">
        <f t="shared" si="46"/>
        <v>32569.9</v>
      </c>
      <c r="I59" s="562" t="str">
        <f t="shared" si="47"/>
        <v>#DIV/0!</v>
      </c>
      <c r="J59" s="467">
        <v>33076.0</v>
      </c>
      <c r="K59" s="557">
        <f t="shared" si="48"/>
        <v>0.00325253299</v>
      </c>
      <c r="L59" s="521">
        <f t="shared" si="49"/>
        <v>0</v>
      </c>
      <c r="M59" s="557"/>
      <c r="N59" s="649">
        <f t="shared" si="50"/>
        <v>33076</v>
      </c>
      <c r="O59" s="562" t="str">
        <f t="shared" si="51"/>
        <v>#DIV/0!</v>
      </c>
      <c r="P59" s="506">
        <v>37111.0</v>
      </c>
      <c r="Q59" s="605">
        <f t="shared" si="52"/>
        <v>0.004190463931</v>
      </c>
      <c r="R59" s="474">
        <f t="shared" si="53"/>
        <v>0</v>
      </c>
      <c r="S59" s="605"/>
      <c r="T59" s="737">
        <f t="shared" si="54"/>
        <v>37111</v>
      </c>
      <c r="U59" s="605" t="str">
        <f t="shared" si="55"/>
        <v>#DIV/0!</v>
      </c>
    </row>
    <row r="60" ht="15.75" customHeight="1">
      <c r="A60" s="439"/>
      <c r="B60" s="483"/>
      <c r="C60" s="483" t="s">
        <v>196</v>
      </c>
      <c r="D60" s="485">
        <v>1616.3333333333333</v>
      </c>
      <c r="E60" s="564">
        <f t="shared" si="44"/>
        <v>0.0001553474482</v>
      </c>
      <c r="F60" s="545"/>
      <c r="G60" s="564"/>
      <c r="H60" s="706">
        <f t="shared" si="46"/>
        <v>1616.333333</v>
      </c>
      <c r="I60" s="565"/>
      <c r="J60" s="485">
        <v>6675.0</v>
      </c>
      <c r="K60" s="564">
        <f t="shared" si="48"/>
        <v>0.0006563870392</v>
      </c>
      <c r="L60" s="545"/>
      <c r="M60" s="564"/>
      <c r="N60" s="706">
        <f t="shared" si="50"/>
        <v>6675</v>
      </c>
      <c r="O60" s="565"/>
      <c r="P60" s="488">
        <v>333.0</v>
      </c>
      <c r="Q60" s="786">
        <f t="shared" si="52"/>
        <v>0.00003760137126</v>
      </c>
      <c r="R60" s="501"/>
      <c r="S60" s="786"/>
      <c r="T60" s="731">
        <f t="shared" si="54"/>
        <v>333</v>
      </c>
      <c r="U60" s="786"/>
    </row>
    <row r="61" ht="15.75" customHeight="1">
      <c r="A61" s="439"/>
      <c r="B61" s="493"/>
      <c r="C61" s="490" t="s">
        <v>197</v>
      </c>
      <c r="D61" s="459">
        <f>SUM(D55:D60)</f>
        <v>229487.8233</v>
      </c>
      <c r="E61" s="547">
        <f t="shared" si="44"/>
        <v>0.02205630918</v>
      </c>
      <c r="F61" s="548">
        <f>SUM(F55:F60)</f>
        <v>0</v>
      </c>
      <c r="G61" s="547" t="str">
        <f>F61/F$29</f>
        <v>#DIV/0!</v>
      </c>
      <c r="H61" s="645">
        <f>SUM(H55:H60)</f>
        <v>229487.8233</v>
      </c>
      <c r="I61" s="585"/>
      <c r="J61" s="459">
        <f>SUM(J55:J60)</f>
        <v>253717</v>
      </c>
      <c r="K61" s="547">
        <f t="shared" si="48"/>
        <v>0.02494929595</v>
      </c>
      <c r="L61" s="548">
        <f>SUM(L55:L60)</f>
        <v>0</v>
      </c>
      <c r="M61" s="547" t="str">
        <f>L61/L$29</f>
        <v>#DIV/0!</v>
      </c>
      <c r="N61" s="645">
        <f>SUM(N55:N60)</f>
        <v>253717</v>
      </c>
      <c r="O61" s="585"/>
      <c r="P61" s="491">
        <f>SUM(P55:P60)</f>
        <v>269833</v>
      </c>
      <c r="Q61" s="613">
        <f t="shared" si="52"/>
        <v>0.03046874118</v>
      </c>
      <c r="R61" s="491">
        <f>SUM(R55:R60)</f>
        <v>0</v>
      </c>
      <c r="S61" s="613" t="str">
        <f>R61/R$29</f>
        <v>#DIV/0!</v>
      </c>
      <c r="T61" s="668">
        <f>SUM(T55:T60)</f>
        <v>269833</v>
      </c>
      <c r="U61" s="457"/>
    </row>
    <row r="62" ht="15.75" customHeight="1">
      <c r="A62" s="439"/>
      <c r="B62" s="465"/>
      <c r="C62" s="465"/>
      <c r="D62" s="467"/>
      <c r="E62" s="539"/>
      <c r="F62" s="521"/>
      <c r="G62" s="539"/>
      <c r="H62" s="539"/>
      <c r="I62" s="479"/>
      <c r="J62" s="467"/>
      <c r="K62" s="539"/>
      <c r="L62" s="521"/>
      <c r="M62" s="539"/>
      <c r="N62" s="539"/>
      <c r="O62" s="479"/>
      <c r="P62" s="474"/>
      <c r="Q62" s="469"/>
      <c r="R62" s="474"/>
      <c r="S62" s="469"/>
      <c r="T62" s="469"/>
      <c r="U62" s="469"/>
    </row>
    <row r="63" ht="15.75" customHeight="1">
      <c r="A63" s="439"/>
      <c r="B63" s="490"/>
      <c r="C63" s="511" t="s">
        <v>202</v>
      </c>
      <c r="D63" s="459">
        <f>SUM(D64:D74)</f>
        <v>98796.5</v>
      </c>
      <c r="E63" s="547">
        <f t="shared" ref="E63:E73" si="56">D63/D$29</f>
        <v>0.009495432562</v>
      </c>
      <c r="F63" s="548">
        <f>SUM(F64:F74)</f>
        <v>0</v>
      </c>
      <c r="G63" s="547" t="str">
        <f t="shared" ref="G63:G68" si="57">F63/F$29</f>
        <v>#DIV/0!</v>
      </c>
      <c r="H63" s="548">
        <f>SUM(H64:H74)</f>
        <v>98796.5</v>
      </c>
      <c r="I63" s="585"/>
      <c r="J63" s="459">
        <f>SUM(J64:J74)</f>
        <v>116275</v>
      </c>
      <c r="K63" s="547">
        <f t="shared" ref="K63:K73" si="58">J63/J$29</f>
        <v>0.01143391805</v>
      </c>
      <c r="L63" s="548">
        <f>SUM(L64:L74)</f>
        <v>0</v>
      </c>
      <c r="M63" s="547" t="str">
        <f t="shared" ref="M63:M68" si="59">L63/L$29</f>
        <v>#DIV/0!</v>
      </c>
      <c r="N63" s="548">
        <f>SUM(N64:N74)</f>
        <v>116275</v>
      </c>
      <c r="O63" s="585"/>
      <c r="P63" s="491">
        <f>SUM(P64:P74)</f>
        <v>97750</v>
      </c>
      <c r="Q63" s="613">
        <f t="shared" ref="Q63:Q73" si="60">P63/P$29</f>
        <v>0.01103763976</v>
      </c>
      <c r="R63" s="491">
        <f>SUM(R64:R74)</f>
        <v>0</v>
      </c>
      <c r="S63" s="613" t="str">
        <f t="shared" ref="S63:S68" si="61">R63/R$29</f>
        <v>#DIV/0!</v>
      </c>
      <c r="T63" s="491">
        <f>SUM(T64:T74)</f>
        <v>97750</v>
      </c>
      <c r="U63" s="457"/>
    </row>
    <row r="64" ht="15.75" customHeight="1">
      <c r="A64" s="439"/>
      <c r="B64" s="497"/>
      <c r="C64" s="497" t="s">
        <v>268</v>
      </c>
      <c r="D64" s="463">
        <v>0.0</v>
      </c>
      <c r="E64" s="552">
        <f t="shared" si="56"/>
        <v>0</v>
      </c>
      <c r="F64" s="541"/>
      <c r="G64" s="552" t="str">
        <f t="shared" si="57"/>
        <v>#DIV/0!</v>
      </c>
      <c r="H64" s="541">
        <f t="shared" ref="H64:H68" si="62">D64-F64</f>
        <v>0</v>
      </c>
      <c r="I64" s="556"/>
      <c r="J64" s="463">
        <v>0.0</v>
      </c>
      <c r="K64" s="552">
        <f t="shared" si="58"/>
        <v>0</v>
      </c>
      <c r="L64" s="541"/>
      <c r="M64" s="552" t="str">
        <f t="shared" si="59"/>
        <v>#DIV/0!</v>
      </c>
      <c r="N64" s="541">
        <f t="shared" ref="N64:N68" si="63">J64-L64</f>
        <v>0</v>
      </c>
      <c r="O64" s="556"/>
      <c r="P64" s="498">
        <v>0.0</v>
      </c>
      <c r="Q64" s="778">
        <f t="shared" si="60"/>
        <v>0</v>
      </c>
      <c r="R64" s="498"/>
      <c r="S64" s="778" t="str">
        <f t="shared" si="61"/>
        <v>#DIV/0!</v>
      </c>
      <c r="T64" s="498">
        <f t="shared" ref="T64:T68" si="64">P64-R64</f>
        <v>0</v>
      </c>
      <c r="U64" s="778"/>
    </row>
    <row r="65" ht="15.75" customHeight="1">
      <c r="A65" s="439"/>
      <c r="B65" s="465"/>
      <c r="C65" s="465" t="s">
        <v>209</v>
      </c>
      <c r="D65" s="463">
        <v>0.0</v>
      </c>
      <c r="E65" s="557">
        <f t="shared" si="56"/>
        <v>0</v>
      </c>
      <c r="F65" s="521"/>
      <c r="G65" s="557" t="str">
        <f t="shared" si="57"/>
        <v>#DIV/0!</v>
      </c>
      <c r="H65" s="521">
        <f t="shared" si="62"/>
        <v>0</v>
      </c>
      <c r="I65" s="562" t="str">
        <f t="shared" ref="I65:I68" si="65">H65/F65</f>
        <v>#DIV/0!</v>
      </c>
      <c r="J65" s="463">
        <v>0.0</v>
      </c>
      <c r="K65" s="557">
        <f t="shared" si="58"/>
        <v>0</v>
      </c>
      <c r="L65" s="521"/>
      <c r="M65" s="557" t="str">
        <f t="shared" si="59"/>
        <v>#DIV/0!</v>
      </c>
      <c r="N65" s="521">
        <f t="shared" si="63"/>
        <v>0</v>
      </c>
      <c r="O65" s="562" t="str">
        <f t="shared" ref="O65:O68" si="66">N65/L65</f>
        <v>#DIV/0!</v>
      </c>
      <c r="P65" s="498">
        <v>0.0</v>
      </c>
      <c r="Q65" s="605">
        <f t="shared" si="60"/>
        <v>0</v>
      </c>
      <c r="R65" s="474"/>
      <c r="S65" s="605" t="str">
        <f t="shared" si="61"/>
        <v>#DIV/0!</v>
      </c>
      <c r="T65" s="474">
        <f t="shared" si="64"/>
        <v>0</v>
      </c>
      <c r="U65" s="605" t="str">
        <f t="shared" ref="U65:U68" si="67">T65/R65</f>
        <v>#DIV/0!</v>
      </c>
    </row>
    <row r="66" ht="15.75" customHeight="1">
      <c r="A66" s="439"/>
      <c r="B66" s="465"/>
      <c r="C66" s="465" t="s">
        <v>210</v>
      </c>
      <c r="D66" s="463">
        <v>0.0</v>
      </c>
      <c r="E66" s="557">
        <f t="shared" si="56"/>
        <v>0</v>
      </c>
      <c r="F66" s="521"/>
      <c r="G66" s="557" t="str">
        <f t="shared" si="57"/>
        <v>#DIV/0!</v>
      </c>
      <c r="H66" s="521">
        <f t="shared" si="62"/>
        <v>0</v>
      </c>
      <c r="I66" s="562" t="str">
        <f t="shared" si="65"/>
        <v>#DIV/0!</v>
      </c>
      <c r="J66" s="463">
        <v>0.0</v>
      </c>
      <c r="K66" s="557">
        <f t="shared" si="58"/>
        <v>0</v>
      </c>
      <c r="L66" s="521"/>
      <c r="M66" s="557" t="str">
        <f t="shared" si="59"/>
        <v>#DIV/0!</v>
      </c>
      <c r="N66" s="521">
        <f t="shared" si="63"/>
        <v>0</v>
      </c>
      <c r="O66" s="562" t="str">
        <f t="shared" si="66"/>
        <v>#DIV/0!</v>
      </c>
      <c r="P66" s="498">
        <v>0.0</v>
      </c>
      <c r="Q66" s="605">
        <f t="shared" si="60"/>
        <v>0</v>
      </c>
      <c r="R66" s="474"/>
      <c r="S66" s="605" t="str">
        <f t="shared" si="61"/>
        <v>#DIV/0!</v>
      </c>
      <c r="T66" s="474">
        <f t="shared" si="64"/>
        <v>0</v>
      </c>
      <c r="U66" s="605" t="str">
        <f t="shared" si="67"/>
        <v>#DIV/0!</v>
      </c>
    </row>
    <row r="67" ht="15.75" customHeight="1">
      <c r="A67" s="439"/>
      <c r="B67" s="465"/>
      <c r="C67" s="465" t="s">
        <v>269</v>
      </c>
      <c r="D67" s="463">
        <v>0.0</v>
      </c>
      <c r="E67" s="557">
        <f t="shared" si="56"/>
        <v>0</v>
      </c>
      <c r="F67" s="521"/>
      <c r="G67" s="557" t="str">
        <f t="shared" si="57"/>
        <v>#DIV/0!</v>
      </c>
      <c r="H67" s="521">
        <f t="shared" si="62"/>
        <v>0</v>
      </c>
      <c r="I67" s="562" t="str">
        <f t="shared" si="65"/>
        <v>#DIV/0!</v>
      </c>
      <c r="J67" s="463">
        <v>0.0</v>
      </c>
      <c r="K67" s="557">
        <f t="shared" si="58"/>
        <v>0</v>
      </c>
      <c r="L67" s="521"/>
      <c r="M67" s="557" t="str">
        <f t="shared" si="59"/>
        <v>#DIV/0!</v>
      </c>
      <c r="N67" s="521">
        <f t="shared" si="63"/>
        <v>0</v>
      </c>
      <c r="O67" s="562" t="str">
        <f t="shared" si="66"/>
        <v>#DIV/0!</v>
      </c>
      <c r="P67" s="498">
        <v>0.0</v>
      </c>
      <c r="Q67" s="605">
        <f t="shared" si="60"/>
        <v>0</v>
      </c>
      <c r="R67" s="474"/>
      <c r="S67" s="605" t="str">
        <f t="shared" si="61"/>
        <v>#DIV/0!</v>
      </c>
      <c r="T67" s="474">
        <f t="shared" si="64"/>
        <v>0</v>
      </c>
      <c r="U67" s="605" t="str">
        <f t="shared" si="67"/>
        <v>#DIV/0!</v>
      </c>
    </row>
    <row r="68" ht="15.75" customHeight="1">
      <c r="A68" s="439"/>
      <c r="B68" s="465"/>
      <c r="C68" s="465" t="s">
        <v>308</v>
      </c>
      <c r="D68" s="463">
        <v>0.0</v>
      </c>
      <c r="E68" s="557">
        <f t="shared" si="56"/>
        <v>0</v>
      </c>
      <c r="F68" s="521"/>
      <c r="G68" s="557" t="str">
        <f t="shared" si="57"/>
        <v>#DIV/0!</v>
      </c>
      <c r="H68" s="521">
        <f t="shared" si="62"/>
        <v>0</v>
      </c>
      <c r="I68" s="562" t="str">
        <f t="shared" si="65"/>
        <v>#DIV/0!</v>
      </c>
      <c r="J68" s="463">
        <v>0.0</v>
      </c>
      <c r="K68" s="557">
        <f t="shared" si="58"/>
        <v>0</v>
      </c>
      <c r="L68" s="521"/>
      <c r="M68" s="557" t="str">
        <f t="shared" si="59"/>
        <v>#DIV/0!</v>
      </c>
      <c r="N68" s="521">
        <f t="shared" si="63"/>
        <v>0</v>
      </c>
      <c r="O68" s="562" t="str">
        <f t="shared" si="66"/>
        <v>#DIV/0!</v>
      </c>
      <c r="P68" s="498">
        <v>0.0</v>
      </c>
      <c r="Q68" s="605">
        <f t="shared" si="60"/>
        <v>0</v>
      </c>
      <c r="R68" s="474"/>
      <c r="S68" s="605" t="str">
        <f t="shared" si="61"/>
        <v>#DIV/0!</v>
      </c>
      <c r="T68" s="474">
        <f t="shared" si="64"/>
        <v>0</v>
      </c>
      <c r="U68" s="605" t="str">
        <f t="shared" si="67"/>
        <v>#DIV/0!</v>
      </c>
    </row>
    <row r="69" ht="15.75" customHeight="1">
      <c r="A69" s="439"/>
      <c r="B69" s="465"/>
      <c r="C69" s="465" t="s">
        <v>309</v>
      </c>
      <c r="D69" s="463">
        <v>0.0</v>
      </c>
      <c r="E69" s="557">
        <f t="shared" si="56"/>
        <v>0</v>
      </c>
      <c r="F69" s="521"/>
      <c r="G69" s="557"/>
      <c r="H69" s="521"/>
      <c r="I69" s="562"/>
      <c r="J69" s="463">
        <v>0.0</v>
      </c>
      <c r="K69" s="557">
        <f t="shared" si="58"/>
        <v>0</v>
      </c>
      <c r="L69" s="521"/>
      <c r="M69" s="557"/>
      <c r="N69" s="521"/>
      <c r="O69" s="562"/>
      <c r="P69" s="498">
        <v>0.0</v>
      </c>
      <c r="Q69" s="605">
        <f t="shared" si="60"/>
        <v>0</v>
      </c>
      <c r="R69" s="474"/>
      <c r="S69" s="605"/>
      <c r="T69" s="474"/>
      <c r="U69" s="605"/>
    </row>
    <row r="70" ht="15.75" customHeight="1">
      <c r="A70" s="439"/>
      <c r="B70" s="465"/>
      <c r="C70" s="465" t="s">
        <v>310</v>
      </c>
      <c r="D70" s="463">
        <v>0.0</v>
      </c>
      <c r="E70" s="557">
        <f t="shared" si="56"/>
        <v>0</v>
      </c>
      <c r="F70" s="521"/>
      <c r="G70" s="557" t="str">
        <f t="shared" ref="G70:G72" si="68">F70/F$29</f>
        <v>#DIV/0!</v>
      </c>
      <c r="H70" s="521">
        <f t="shared" ref="H70:H72" si="69">D70-F70</f>
        <v>0</v>
      </c>
      <c r="I70" s="562" t="str">
        <f t="shared" ref="I70:I72" si="70">H70/F70</f>
        <v>#DIV/0!</v>
      </c>
      <c r="J70" s="463">
        <v>0.0</v>
      </c>
      <c r="K70" s="557">
        <f t="shared" si="58"/>
        <v>0</v>
      </c>
      <c r="L70" s="521"/>
      <c r="M70" s="557" t="str">
        <f t="shared" ref="M70:M72" si="71">L70/L$29</f>
        <v>#DIV/0!</v>
      </c>
      <c r="N70" s="521">
        <f t="shared" ref="N70:N72" si="72">J70-L70</f>
        <v>0</v>
      </c>
      <c r="O70" s="562" t="str">
        <f t="shared" ref="O70:O72" si="73">N70/L70</f>
        <v>#DIV/0!</v>
      </c>
      <c r="P70" s="498">
        <v>0.0</v>
      </c>
      <c r="Q70" s="605">
        <f t="shared" si="60"/>
        <v>0</v>
      </c>
      <c r="R70" s="474"/>
      <c r="S70" s="605" t="str">
        <f t="shared" ref="S70:S72" si="74">R70/R$29</f>
        <v>#DIV/0!</v>
      </c>
      <c r="T70" s="474">
        <f t="shared" ref="T70:T72" si="75">P70-R70</f>
        <v>0</v>
      </c>
      <c r="U70" s="605" t="str">
        <f t="shared" ref="U70:U72" si="76">T70/R70</f>
        <v>#DIV/0!</v>
      </c>
    </row>
    <row r="71" ht="15.75" customHeight="1">
      <c r="A71" s="439"/>
      <c r="B71" s="465"/>
      <c r="C71" s="465" t="s">
        <v>301</v>
      </c>
      <c r="D71" s="463">
        <v>0.0</v>
      </c>
      <c r="E71" s="557">
        <f t="shared" si="56"/>
        <v>0</v>
      </c>
      <c r="F71" s="521"/>
      <c r="G71" s="557" t="str">
        <f t="shared" si="68"/>
        <v>#DIV/0!</v>
      </c>
      <c r="H71" s="521">
        <f t="shared" si="69"/>
        <v>0</v>
      </c>
      <c r="I71" s="562" t="str">
        <f t="shared" si="70"/>
        <v>#DIV/0!</v>
      </c>
      <c r="J71" s="463">
        <v>0.0</v>
      </c>
      <c r="K71" s="557">
        <f t="shared" si="58"/>
        <v>0</v>
      </c>
      <c r="L71" s="521"/>
      <c r="M71" s="557" t="str">
        <f t="shared" si="71"/>
        <v>#DIV/0!</v>
      </c>
      <c r="N71" s="521">
        <f t="shared" si="72"/>
        <v>0</v>
      </c>
      <c r="O71" s="562" t="str">
        <f t="shared" si="73"/>
        <v>#DIV/0!</v>
      </c>
      <c r="P71" s="498">
        <v>0.0</v>
      </c>
      <c r="Q71" s="605">
        <f t="shared" si="60"/>
        <v>0</v>
      </c>
      <c r="R71" s="474"/>
      <c r="S71" s="605" t="str">
        <f t="shared" si="74"/>
        <v>#DIV/0!</v>
      </c>
      <c r="T71" s="474">
        <f t="shared" si="75"/>
        <v>0</v>
      </c>
      <c r="U71" s="605" t="str">
        <f t="shared" si="76"/>
        <v>#DIV/0!</v>
      </c>
    </row>
    <row r="72" ht="15.75" customHeight="1">
      <c r="A72" s="439"/>
      <c r="B72" s="465"/>
      <c r="C72" s="465" t="s">
        <v>211</v>
      </c>
      <c r="D72" s="463">
        <v>0.0</v>
      </c>
      <c r="E72" s="557">
        <f t="shared" si="56"/>
        <v>0</v>
      </c>
      <c r="F72" s="521"/>
      <c r="G72" s="557" t="str">
        <f t="shared" si="68"/>
        <v>#DIV/0!</v>
      </c>
      <c r="H72" s="521">
        <f t="shared" si="69"/>
        <v>0</v>
      </c>
      <c r="I72" s="562" t="str">
        <f t="shared" si="70"/>
        <v>#DIV/0!</v>
      </c>
      <c r="J72" s="463">
        <v>0.0</v>
      </c>
      <c r="K72" s="557">
        <f t="shared" si="58"/>
        <v>0</v>
      </c>
      <c r="L72" s="521"/>
      <c r="M72" s="557" t="str">
        <f t="shared" si="71"/>
        <v>#DIV/0!</v>
      </c>
      <c r="N72" s="521">
        <f t="shared" si="72"/>
        <v>0</v>
      </c>
      <c r="O72" s="562" t="str">
        <f t="shared" si="73"/>
        <v>#DIV/0!</v>
      </c>
      <c r="P72" s="498">
        <v>0.0</v>
      </c>
      <c r="Q72" s="605">
        <f t="shared" si="60"/>
        <v>0</v>
      </c>
      <c r="R72" s="474"/>
      <c r="S72" s="605" t="str">
        <f t="shared" si="74"/>
        <v>#DIV/0!</v>
      </c>
      <c r="T72" s="474">
        <f t="shared" si="75"/>
        <v>0</v>
      </c>
      <c r="U72" s="605" t="str">
        <f t="shared" si="76"/>
        <v>#DIV/0!</v>
      </c>
    </row>
    <row r="73" ht="15.75" customHeight="1">
      <c r="A73" s="439"/>
      <c r="B73" s="465"/>
      <c r="C73" s="465" t="s">
        <v>270</v>
      </c>
      <c r="D73" s="463">
        <v>0.0</v>
      </c>
      <c r="E73" s="557">
        <f t="shared" si="56"/>
        <v>0</v>
      </c>
      <c r="F73" s="521"/>
      <c r="G73" s="557"/>
      <c r="H73" s="521"/>
      <c r="I73" s="562"/>
      <c r="J73" s="463">
        <v>0.0</v>
      </c>
      <c r="K73" s="557">
        <f t="shared" si="58"/>
        <v>0</v>
      </c>
      <c r="L73" s="521"/>
      <c r="M73" s="557"/>
      <c r="N73" s="521"/>
      <c r="O73" s="562"/>
      <c r="P73" s="498">
        <v>0.0</v>
      </c>
      <c r="Q73" s="605">
        <f t="shared" si="60"/>
        <v>0</v>
      </c>
      <c r="R73" s="474"/>
      <c r="S73" s="605"/>
      <c r="T73" s="474"/>
      <c r="U73" s="605"/>
    </row>
    <row r="74" ht="15.75" customHeight="1">
      <c r="A74" s="439"/>
      <c r="B74" s="465"/>
      <c r="C74" s="465" t="s">
        <v>271</v>
      </c>
      <c r="D74" s="467">
        <v>98796.50000000001</v>
      </c>
      <c r="E74" s="557">
        <f>D74/D$28</f>
        <v>0.2767625645</v>
      </c>
      <c r="F74" s="521"/>
      <c r="G74" s="557" t="str">
        <f>F74/F$29</f>
        <v>#DIV/0!</v>
      </c>
      <c r="H74" s="521">
        <f>D74-F74</f>
        <v>98796.5</v>
      </c>
      <c r="I74" s="562" t="str">
        <f>H74/F74</f>
        <v>#DIV/0!</v>
      </c>
      <c r="J74" s="467">
        <v>116275.0</v>
      </c>
      <c r="K74" s="557">
        <f>J74/J$28</f>
        <v>0.3099096458</v>
      </c>
      <c r="L74" s="521"/>
      <c r="M74" s="557" t="str">
        <f>L74/L$29</f>
        <v>#DIV/0!</v>
      </c>
      <c r="N74" s="521">
        <f>J74-L74</f>
        <v>116275</v>
      </c>
      <c r="O74" s="562" t="str">
        <f>N74/L74</f>
        <v>#DIV/0!</v>
      </c>
      <c r="P74" s="506">
        <v>97750.0</v>
      </c>
      <c r="Q74" s="605">
        <f>P74/P$28</f>
        <v>0.2837338504</v>
      </c>
      <c r="R74" s="474"/>
      <c r="S74" s="605" t="str">
        <f>R74/R$29</f>
        <v>#DIV/0!</v>
      </c>
      <c r="T74" s="474">
        <f>P74-R74</f>
        <v>97750</v>
      </c>
      <c r="U74" s="605" t="str">
        <f>T74/R74</f>
        <v>#DIV/0!</v>
      </c>
    </row>
    <row r="75" ht="15.75" customHeight="1">
      <c r="A75" s="439"/>
      <c r="B75" s="483"/>
      <c r="C75" s="610"/>
      <c r="D75" s="485"/>
      <c r="E75" s="544"/>
      <c r="F75" s="545"/>
      <c r="G75" s="544"/>
      <c r="H75" s="544"/>
      <c r="I75" s="546"/>
      <c r="J75" s="485"/>
      <c r="K75" s="544"/>
      <c r="L75" s="545"/>
      <c r="M75" s="544"/>
      <c r="N75" s="544"/>
      <c r="O75" s="546"/>
      <c r="P75" s="501"/>
      <c r="Q75" s="543"/>
      <c r="R75" s="501"/>
      <c r="S75" s="543"/>
      <c r="T75" s="543"/>
      <c r="U75" s="543"/>
    </row>
    <row r="76" ht="15.75" customHeight="1">
      <c r="A76" s="439"/>
      <c r="B76" s="490"/>
      <c r="C76" s="511" t="s">
        <v>35</v>
      </c>
      <c r="D76" s="459">
        <f>SUM(D77:D80)</f>
        <v>674779.24</v>
      </c>
      <c r="E76" s="547">
        <f t="shared" ref="E76:E80" si="77">D76/D$29</f>
        <v>0.06485372222</v>
      </c>
      <c r="F76" s="548">
        <f>SUM(F77:F80)</f>
        <v>0</v>
      </c>
      <c r="G76" s="547" t="str">
        <f t="shared" ref="G76:G80" si="78">F76/F$29</f>
        <v>#DIV/0!</v>
      </c>
      <c r="H76" s="548">
        <f>SUM(H77:H80)</f>
        <v>674779.24</v>
      </c>
      <c r="I76" s="549"/>
      <c r="J76" s="459">
        <f>SUM(J77:J80)</f>
        <v>721776</v>
      </c>
      <c r="K76" s="547">
        <f t="shared" ref="K76:K80" si="79">J76/J$29</f>
        <v>0.07097594182</v>
      </c>
      <c r="L76" s="548">
        <f>SUM(L77:L80)</f>
        <v>0</v>
      </c>
      <c r="M76" s="547" t="str">
        <f t="shared" ref="M76:M80" si="80">L76/L$29</f>
        <v>#DIV/0!</v>
      </c>
      <c r="N76" s="548">
        <f>SUM(N77:N80)</f>
        <v>721776</v>
      </c>
      <c r="O76" s="549"/>
      <c r="P76" s="491">
        <f>SUM(P77:P80)</f>
        <v>601258</v>
      </c>
      <c r="Q76" s="613">
        <f t="shared" ref="Q76:Q80" si="81">P76/P$29</f>
        <v>0.06789226812</v>
      </c>
      <c r="R76" s="491">
        <f>SUM(R77:R80)</f>
        <v>0</v>
      </c>
      <c r="S76" s="613" t="str">
        <f t="shared" ref="S76:S80" si="82">R76/R$29</f>
        <v>#DIV/0!</v>
      </c>
      <c r="T76" s="491">
        <f>SUM(T77:T80)</f>
        <v>601258</v>
      </c>
      <c r="U76" s="613"/>
    </row>
    <row r="77" ht="15.75" customHeight="1">
      <c r="A77" s="439"/>
      <c r="B77" s="497"/>
      <c r="C77" s="497" t="s">
        <v>212</v>
      </c>
      <c r="D77" s="463">
        <v>4125.0</v>
      </c>
      <c r="E77" s="552">
        <f t="shared" si="77"/>
        <v>0.0003964579648</v>
      </c>
      <c r="F77" s="541">
        <v>0.0</v>
      </c>
      <c r="G77" s="552" t="str">
        <f t="shared" si="78"/>
        <v>#DIV/0!</v>
      </c>
      <c r="H77" s="521">
        <f t="shared" ref="H77:H80" si="83">D77-F77</f>
        <v>4125</v>
      </c>
      <c r="I77" s="556"/>
      <c r="J77" s="463">
        <v>1682.0</v>
      </c>
      <c r="K77" s="552">
        <f t="shared" si="79"/>
        <v>0.0001653997004</v>
      </c>
      <c r="L77" s="541">
        <v>0.0</v>
      </c>
      <c r="M77" s="552" t="str">
        <f t="shared" si="80"/>
        <v>#DIV/0!</v>
      </c>
      <c r="N77" s="521">
        <f t="shared" ref="N77:N80" si="84">J77-L77</f>
        <v>1682</v>
      </c>
      <c r="O77" s="556"/>
      <c r="P77" s="505">
        <v>177.0</v>
      </c>
      <c r="Q77" s="778">
        <f t="shared" si="81"/>
        <v>0.00001998631446</v>
      </c>
      <c r="R77" s="498">
        <v>0.0</v>
      </c>
      <c r="S77" s="778" t="str">
        <f t="shared" si="82"/>
        <v>#DIV/0!</v>
      </c>
      <c r="T77" s="474">
        <f t="shared" ref="T77:T80" si="85">P77-R77</f>
        <v>177</v>
      </c>
      <c r="U77" s="778"/>
    </row>
    <row r="78" ht="15.75" customHeight="1">
      <c r="A78" s="439"/>
      <c r="B78" s="465"/>
      <c r="C78" s="465" t="s">
        <v>213</v>
      </c>
      <c r="D78" s="514">
        <v>0.0</v>
      </c>
      <c r="E78" s="557">
        <f t="shared" si="77"/>
        <v>0</v>
      </c>
      <c r="F78" s="521">
        <v>0.0</v>
      </c>
      <c r="G78" s="557" t="str">
        <f t="shared" si="78"/>
        <v>#DIV/0!</v>
      </c>
      <c r="H78" s="521">
        <f t="shared" si="83"/>
        <v>0</v>
      </c>
      <c r="I78" s="562" t="str">
        <f t="shared" ref="I78:I80" si="86">H78/F78</f>
        <v>#DIV/0!</v>
      </c>
      <c r="J78" s="514">
        <v>0.0</v>
      </c>
      <c r="K78" s="557">
        <f t="shared" si="79"/>
        <v>0</v>
      </c>
      <c r="L78" s="521">
        <v>0.0</v>
      </c>
      <c r="M78" s="557" t="str">
        <f t="shared" si="80"/>
        <v>#DIV/0!</v>
      </c>
      <c r="N78" s="521">
        <f t="shared" si="84"/>
        <v>0</v>
      </c>
      <c r="O78" s="562" t="str">
        <f t="shared" ref="O78:O80" si="87">N78/L78</f>
        <v>#DIV/0!</v>
      </c>
      <c r="P78" s="506">
        <v>0.0</v>
      </c>
      <c r="Q78" s="605">
        <f t="shared" si="81"/>
        <v>0</v>
      </c>
      <c r="R78" s="474">
        <v>0.0</v>
      </c>
      <c r="S78" s="605" t="str">
        <f t="shared" si="82"/>
        <v>#DIV/0!</v>
      </c>
      <c r="T78" s="474">
        <f t="shared" si="85"/>
        <v>0</v>
      </c>
      <c r="U78" s="605" t="str">
        <f t="shared" ref="U78:U80" si="88">T78/R78</f>
        <v>#DIV/0!</v>
      </c>
    </row>
    <row r="79" ht="15.75" customHeight="1">
      <c r="A79" s="439"/>
      <c r="B79" s="465"/>
      <c r="C79" s="465" t="s">
        <v>272</v>
      </c>
      <c r="D79" s="467">
        <v>420514.54000000004</v>
      </c>
      <c r="E79" s="557">
        <f t="shared" si="77"/>
        <v>0.04041608211</v>
      </c>
      <c r="F79" s="521">
        <v>0.0</v>
      </c>
      <c r="G79" s="557" t="str">
        <f t="shared" si="78"/>
        <v>#DIV/0!</v>
      </c>
      <c r="H79" s="521">
        <f t="shared" si="83"/>
        <v>420514.54</v>
      </c>
      <c r="I79" s="562" t="str">
        <f t="shared" si="86"/>
        <v>#DIV/0!</v>
      </c>
      <c r="J79" s="467">
        <v>428912.0</v>
      </c>
      <c r="K79" s="557">
        <f t="shared" si="79"/>
        <v>0.04217712027</v>
      </c>
      <c r="L79" s="521">
        <v>0.0</v>
      </c>
      <c r="M79" s="557" t="str">
        <f t="shared" si="80"/>
        <v>#DIV/0!</v>
      </c>
      <c r="N79" s="521">
        <f t="shared" si="84"/>
        <v>428912</v>
      </c>
      <c r="O79" s="562" t="str">
        <f t="shared" si="87"/>
        <v>#DIV/0!</v>
      </c>
      <c r="P79" s="474">
        <v>379512.0</v>
      </c>
      <c r="Q79" s="605">
        <f t="shared" si="81"/>
        <v>0.0428533682</v>
      </c>
      <c r="R79" s="474">
        <v>0.0</v>
      </c>
      <c r="S79" s="605" t="str">
        <f t="shared" si="82"/>
        <v>#DIV/0!</v>
      </c>
      <c r="T79" s="474">
        <f t="shared" si="85"/>
        <v>379512</v>
      </c>
      <c r="U79" s="605" t="str">
        <f t="shared" si="88"/>
        <v>#DIV/0!</v>
      </c>
    </row>
    <row r="80" ht="15.75" customHeight="1">
      <c r="A80" s="439"/>
      <c r="B80" s="465"/>
      <c r="C80" s="465" t="s">
        <v>311</v>
      </c>
      <c r="D80" s="467">
        <v>250139.69999999998</v>
      </c>
      <c r="E80" s="557">
        <f t="shared" si="77"/>
        <v>0.02404118215</v>
      </c>
      <c r="F80" s="521">
        <v>0.0</v>
      </c>
      <c r="G80" s="557" t="str">
        <f t="shared" si="78"/>
        <v>#DIV/0!</v>
      </c>
      <c r="H80" s="521">
        <f t="shared" si="83"/>
        <v>250139.7</v>
      </c>
      <c r="I80" s="562" t="str">
        <f t="shared" si="86"/>
        <v>#DIV/0!</v>
      </c>
      <c r="J80" s="467">
        <v>291182.0</v>
      </c>
      <c r="K80" s="557">
        <f t="shared" si="79"/>
        <v>0.02863342185</v>
      </c>
      <c r="L80" s="521">
        <v>0.0</v>
      </c>
      <c r="M80" s="557" t="str">
        <f t="shared" si="80"/>
        <v>#DIV/0!</v>
      </c>
      <c r="N80" s="521">
        <f t="shared" si="84"/>
        <v>291182</v>
      </c>
      <c r="O80" s="562" t="str">
        <f t="shared" si="87"/>
        <v>#DIV/0!</v>
      </c>
      <c r="P80" s="602">
        <v>221569.0</v>
      </c>
      <c r="Q80" s="605">
        <f t="shared" si="81"/>
        <v>0.0250189136</v>
      </c>
      <c r="R80" s="474">
        <v>0.0</v>
      </c>
      <c r="S80" s="605" t="str">
        <f t="shared" si="82"/>
        <v>#DIV/0!</v>
      </c>
      <c r="T80" s="474">
        <f t="shared" si="85"/>
        <v>221569</v>
      </c>
      <c r="U80" s="605" t="str">
        <f t="shared" si="88"/>
        <v>#DIV/0!</v>
      </c>
    </row>
    <row r="81" ht="15.75" customHeight="1">
      <c r="A81" s="439"/>
      <c r="B81" s="465"/>
      <c r="C81" s="465"/>
      <c r="D81" s="467"/>
      <c r="E81" s="539"/>
      <c r="F81" s="521"/>
      <c r="G81" s="539"/>
      <c r="H81" s="521"/>
      <c r="I81" s="479"/>
      <c r="J81" s="467"/>
      <c r="K81" s="539"/>
      <c r="L81" s="521"/>
      <c r="M81" s="539"/>
      <c r="N81" s="521"/>
      <c r="O81" s="479"/>
      <c r="P81" s="474"/>
      <c r="Q81" s="469"/>
      <c r="R81" s="474"/>
      <c r="S81" s="469"/>
      <c r="T81" s="474"/>
      <c r="U81" s="469"/>
    </row>
    <row r="82" ht="15.75" customHeight="1">
      <c r="A82" s="439"/>
      <c r="B82" s="483"/>
      <c r="C82" s="483"/>
      <c r="D82" s="485"/>
      <c r="E82" s="544"/>
      <c r="F82" s="545"/>
      <c r="G82" s="544"/>
      <c r="H82" s="544"/>
      <c r="I82" s="546"/>
      <c r="J82" s="485"/>
      <c r="K82" s="544"/>
      <c r="L82" s="545"/>
      <c r="M82" s="544"/>
      <c r="N82" s="544"/>
      <c r="O82" s="546"/>
      <c r="P82" s="501"/>
      <c r="Q82" s="543"/>
      <c r="R82" s="501"/>
      <c r="S82" s="543"/>
      <c r="T82" s="543"/>
      <c r="U82" s="543"/>
    </row>
    <row r="83" ht="15.75" customHeight="1">
      <c r="A83" s="439"/>
      <c r="B83" s="490"/>
      <c r="C83" s="511" t="s">
        <v>216</v>
      </c>
      <c r="D83" s="459">
        <f>SUM(D84:D88)</f>
        <v>1115873</v>
      </c>
      <c r="E83" s="547">
        <f t="shared" ref="E83:E88" si="89">D83/D$29</f>
        <v>0.1072476942</v>
      </c>
      <c r="F83" s="548">
        <f>SUM(F84:F88)</f>
        <v>0</v>
      </c>
      <c r="G83" s="547" t="str">
        <f t="shared" ref="G83:G84" si="90">F83/F$29</f>
        <v>#DIV/0!</v>
      </c>
      <c r="H83" s="548">
        <f>SUM(H84:H88)</f>
        <v>1115873</v>
      </c>
      <c r="I83" s="585"/>
      <c r="J83" s="459">
        <f>SUM(J84:J88)</f>
        <v>1073634</v>
      </c>
      <c r="K83" s="547">
        <f t="shared" ref="K83:K88" si="91">J83/J$29</f>
        <v>0.1055759464</v>
      </c>
      <c r="L83" s="548">
        <f>SUM(L84:L88)</f>
        <v>0</v>
      </c>
      <c r="M83" s="547" t="str">
        <f t="shared" ref="M83:M84" si="92">L83/L$29</f>
        <v>#DIV/0!</v>
      </c>
      <c r="N83" s="548">
        <f>SUM(N84:N88)</f>
        <v>1073634</v>
      </c>
      <c r="O83" s="585"/>
      <c r="P83" s="491">
        <f>SUM(P84:P88)</f>
        <v>1073951</v>
      </c>
      <c r="Q83" s="613">
        <f t="shared" ref="Q83:Q88" si="93">P83/P$29</f>
        <v>0.1212673582</v>
      </c>
      <c r="R83" s="491">
        <f>SUM(R84:R88)</f>
        <v>0</v>
      </c>
      <c r="S83" s="613" t="str">
        <f t="shared" ref="S83:S84" si="94">R83/R$29</f>
        <v>#DIV/0!</v>
      </c>
      <c r="T83" s="491">
        <f>SUM(T84:T88)</f>
        <v>1073951</v>
      </c>
      <c r="U83" s="457"/>
    </row>
    <row r="84" ht="15.75" customHeight="1">
      <c r="A84" s="439"/>
      <c r="B84" s="497"/>
      <c r="C84" s="497" t="s">
        <v>312</v>
      </c>
      <c r="D84" s="463">
        <v>837506.0</v>
      </c>
      <c r="E84" s="552">
        <f t="shared" si="89"/>
        <v>0.08049355739</v>
      </c>
      <c r="F84" s="541"/>
      <c r="G84" s="552" t="str">
        <f t="shared" si="90"/>
        <v>#DIV/0!</v>
      </c>
      <c r="H84" s="541">
        <f t="shared" ref="H84:H88" si="95">D84-F84</f>
        <v>837506</v>
      </c>
      <c r="I84" s="556" t="str">
        <f>H84/F84</f>
        <v>#DIV/0!</v>
      </c>
      <c r="J84" s="505">
        <v>837505.0</v>
      </c>
      <c r="K84" s="552">
        <f t="shared" si="91"/>
        <v>0.08235616888</v>
      </c>
      <c r="L84" s="541"/>
      <c r="M84" s="552" t="str">
        <f t="shared" si="92"/>
        <v>#DIV/0!</v>
      </c>
      <c r="N84" s="541">
        <f t="shared" ref="N84:N88" si="96">J84-L84</f>
        <v>837505</v>
      </c>
      <c r="O84" s="556" t="str">
        <f>N84/L84</f>
        <v>#DIV/0!</v>
      </c>
      <c r="P84" s="505">
        <v>837505.0</v>
      </c>
      <c r="Q84" s="778">
        <f t="shared" si="93"/>
        <v>0.0945685779</v>
      </c>
      <c r="R84" s="498"/>
      <c r="S84" s="778" t="str">
        <f t="shared" si="94"/>
        <v>#DIV/0!</v>
      </c>
      <c r="T84" s="498">
        <f t="shared" ref="T84:T88" si="97">P84-R84</f>
        <v>837505</v>
      </c>
      <c r="U84" s="778" t="str">
        <f>T84/R84</f>
        <v>#DIV/0!</v>
      </c>
    </row>
    <row r="85" ht="15.75" customHeight="1">
      <c r="A85" s="439"/>
      <c r="B85" s="465"/>
      <c r="C85" s="465" t="s">
        <v>313</v>
      </c>
      <c r="D85" s="467">
        <v>43330.0</v>
      </c>
      <c r="E85" s="557">
        <f t="shared" si="89"/>
        <v>0.004164490573</v>
      </c>
      <c r="F85" s="521"/>
      <c r="G85" s="557"/>
      <c r="H85" s="521">
        <f t="shared" si="95"/>
        <v>43330</v>
      </c>
      <c r="I85" s="562"/>
      <c r="J85" s="463">
        <v>43330.0</v>
      </c>
      <c r="K85" s="557">
        <f t="shared" si="91"/>
        <v>0.004260861485</v>
      </c>
      <c r="L85" s="521"/>
      <c r="M85" s="557"/>
      <c r="N85" s="521">
        <f t="shared" si="96"/>
        <v>43330</v>
      </c>
      <c r="O85" s="562"/>
      <c r="P85" s="498">
        <v>43330.0</v>
      </c>
      <c r="Q85" s="605">
        <f t="shared" si="93"/>
        <v>0.004892694946</v>
      </c>
      <c r="R85" s="474"/>
      <c r="S85" s="605"/>
      <c r="T85" s="474">
        <f t="shared" si="97"/>
        <v>43330</v>
      </c>
      <c r="U85" s="605"/>
    </row>
    <row r="86" ht="15.75" customHeight="1">
      <c r="A86" s="439"/>
      <c r="B86" s="465"/>
      <c r="C86" s="465" t="s">
        <v>218</v>
      </c>
      <c r="D86" s="467">
        <v>173968.0</v>
      </c>
      <c r="E86" s="557">
        <f t="shared" si="89"/>
        <v>0.01672024223</v>
      </c>
      <c r="F86" s="521"/>
      <c r="G86" s="557" t="str">
        <f t="shared" ref="G86:G88" si="98">F86/F$29</f>
        <v>#DIV/0!</v>
      </c>
      <c r="H86" s="521">
        <f t="shared" si="95"/>
        <v>173968</v>
      </c>
      <c r="I86" s="562" t="str">
        <f t="shared" ref="I86:I88" si="99">H86/F86</f>
        <v>#DIV/0!</v>
      </c>
      <c r="J86" s="514">
        <v>131135.0</v>
      </c>
      <c r="K86" s="557">
        <f t="shared" si="91"/>
        <v>0.01289517819</v>
      </c>
      <c r="L86" s="521"/>
      <c r="M86" s="557" t="str">
        <f t="shared" ref="M86:M88" si="100">L86/L$29</f>
        <v>#DIV/0!</v>
      </c>
      <c r="N86" s="521">
        <f t="shared" si="96"/>
        <v>131135</v>
      </c>
      <c r="O86" s="562" t="str">
        <f t="shared" ref="O86:O88" si="101">N86/L86</f>
        <v>#DIV/0!</v>
      </c>
      <c r="P86" s="506">
        <v>131492.0</v>
      </c>
      <c r="Q86" s="605">
        <f t="shared" si="93"/>
        <v>0.01484768622</v>
      </c>
      <c r="R86" s="474"/>
      <c r="S86" s="605" t="str">
        <f t="shared" ref="S86:S88" si="102">R86/R$29</f>
        <v>#DIV/0!</v>
      </c>
      <c r="T86" s="474">
        <f t="shared" si="97"/>
        <v>131492</v>
      </c>
      <c r="U86" s="605" t="str">
        <f t="shared" ref="U86:U88" si="103">T86/R86</f>
        <v>#DIV/0!</v>
      </c>
    </row>
    <row r="87" ht="15.75" customHeight="1">
      <c r="A87" s="439"/>
      <c r="B87" s="465"/>
      <c r="C87" s="465" t="s">
        <v>219</v>
      </c>
      <c r="D87" s="514">
        <v>60449.0</v>
      </c>
      <c r="E87" s="557">
        <f t="shared" si="89"/>
        <v>0.005809815155</v>
      </c>
      <c r="F87" s="521"/>
      <c r="G87" s="557" t="str">
        <f t="shared" si="98"/>
        <v>#DIV/0!</v>
      </c>
      <c r="H87" s="521">
        <f t="shared" si="95"/>
        <v>60449</v>
      </c>
      <c r="I87" s="562" t="str">
        <f t="shared" si="99"/>
        <v>#DIV/0!</v>
      </c>
      <c r="J87" s="514">
        <v>61044.0</v>
      </c>
      <c r="K87" s="557">
        <f t="shared" si="91"/>
        <v>0.006002770101</v>
      </c>
      <c r="L87" s="521"/>
      <c r="M87" s="557" t="str">
        <f t="shared" si="100"/>
        <v>#DIV/0!</v>
      </c>
      <c r="N87" s="521">
        <f t="shared" si="96"/>
        <v>61044</v>
      </c>
      <c r="O87" s="562" t="str">
        <f t="shared" si="101"/>
        <v>#DIV/0!</v>
      </c>
      <c r="P87" s="506">
        <v>61004.0</v>
      </c>
      <c r="Q87" s="605">
        <f t="shared" si="93"/>
        <v>0.006888390548</v>
      </c>
      <c r="R87" s="474"/>
      <c r="S87" s="605" t="str">
        <f t="shared" si="102"/>
        <v>#DIV/0!</v>
      </c>
      <c r="T87" s="474">
        <f t="shared" si="97"/>
        <v>61004</v>
      </c>
      <c r="U87" s="605" t="str">
        <f t="shared" si="103"/>
        <v>#DIV/0!</v>
      </c>
    </row>
    <row r="88" ht="15.75" customHeight="1">
      <c r="A88" s="439"/>
      <c r="B88" s="465"/>
      <c r="C88" s="465" t="s">
        <v>220</v>
      </c>
      <c r="D88" s="514">
        <v>620.0</v>
      </c>
      <c r="E88" s="557">
        <f t="shared" si="89"/>
        <v>0.00005958883349</v>
      </c>
      <c r="F88" s="521"/>
      <c r="G88" s="557" t="str">
        <f t="shared" si="98"/>
        <v>#DIV/0!</v>
      </c>
      <c r="H88" s="521">
        <f t="shared" si="95"/>
        <v>620</v>
      </c>
      <c r="I88" s="562" t="str">
        <f t="shared" si="99"/>
        <v>#DIV/0!</v>
      </c>
      <c r="J88" s="514">
        <v>620.0</v>
      </c>
      <c r="K88" s="557">
        <f t="shared" si="91"/>
        <v>0.00006096778492</v>
      </c>
      <c r="L88" s="521"/>
      <c r="M88" s="557" t="str">
        <f t="shared" si="100"/>
        <v>#DIV/0!</v>
      </c>
      <c r="N88" s="521">
        <f t="shared" si="96"/>
        <v>620</v>
      </c>
      <c r="O88" s="562" t="str">
        <f t="shared" si="101"/>
        <v>#DIV/0!</v>
      </c>
      <c r="P88" s="506">
        <v>620.0</v>
      </c>
      <c r="Q88" s="605">
        <f t="shared" si="93"/>
        <v>0.00007000855911</v>
      </c>
      <c r="R88" s="474"/>
      <c r="S88" s="605" t="str">
        <f t="shared" si="102"/>
        <v>#DIV/0!</v>
      </c>
      <c r="T88" s="474">
        <f t="shared" si="97"/>
        <v>620</v>
      </c>
      <c r="U88" s="605" t="str">
        <f t="shared" si="103"/>
        <v>#DIV/0!</v>
      </c>
    </row>
    <row r="89" ht="15.75" customHeight="1">
      <c r="A89" s="439"/>
      <c r="B89" s="483"/>
      <c r="C89" s="610"/>
      <c r="D89" s="485"/>
      <c r="E89" s="544"/>
      <c r="F89" s="545"/>
      <c r="G89" s="544"/>
      <c r="H89" s="544"/>
      <c r="I89" s="546"/>
      <c r="J89" s="485"/>
      <c r="K89" s="544"/>
      <c r="L89" s="545"/>
      <c r="M89" s="544"/>
      <c r="N89" s="544"/>
      <c r="O89" s="546"/>
      <c r="P89" s="501"/>
      <c r="Q89" s="543"/>
      <c r="R89" s="501"/>
      <c r="S89" s="543"/>
      <c r="T89" s="543"/>
      <c r="U89" s="543"/>
    </row>
    <row r="90" ht="15.75" customHeight="1">
      <c r="A90" s="439"/>
      <c r="B90" s="493"/>
      <c r="C90" s="511" t="s">
        <v>37</v>
      </c>
      <c r="D90" s="459">
        <f>SUM(D91:D99)</f>
        <v>1746002.687</v>
      </c>
      <c r="E90" s="547">
        <f t="shared" ref="E90:E97" si="104">D90/D$29</f>
        <v>0.1678101022</v>
      </c>
      <c r="F90" s="548">
        <f>SUM(F91:F97)</f>
        <v>0</v>
      </c>
      <c r="G90" s="547" t="str">
        <f t="shared" ref="G90:G97" si="105">F90/F$29</f>
        <v>#DIV/0!</v>
      </c>
      <c r="H90" s="548">
        <f>SUM(H91:H97)</f>
        <v>1746002.687</v>
      </c>
      <c r="I90" s="585"/>
      <c r="J90" s="459">
        <f>SUM(J91:J99)</f>
        <v>1808386.667</v>
      </c>
      <c r="K90" s="547">
        <f t="shared" ref="K90:K97" si="106">J90/J$29</f>
        <v>0.1778279505</v>
      </c>
      <c r="L90" s="548">
        <f>SUM(L91:L97)</f>
        <v>0</v>
      </c>
      <c r="M90" s="547" t="str">
        <f t="shared" ref="M90:M97" si="107">L90/L$29</f>
        <v>#DIV/0!</v>
      </c>
      <c r="N90" s="548">
        <f>SUM(N91:N97)</f>
        <v>1787146.667</v>
      </c>
      <c r="O90" s="585"/>
      <c r="P90" s="491">
        <f>SUM(P91:P99)</f>
        <v>1736769</v>
      </c>
      <c r="Q90" s="613">
        <f t="shared" ref="Q90:Q97" si="108">P90/P$29</f>
        <v>0.1961107987</v>
      </c>
      <c r="R90" s="491">
        <f>SUM(R91:R97)</f>
        <v>0</v>
      </c>
      <c r="S90" s="613" t="str">
        <f t="shared" ref="S90:S97" si="109">R90/R$29</f>
        <v>#DIV/0!</v>
      </c>
      <c r="T90" s="491">
        <f>SUM(T91:T97)</f>
        <v>1736769</v>
      </c>
      <c r="U90" s="457"/>
    </row>
    <row r="91" ht="15.75" customHeight="1">
      <c r="A91" s="439"/>
      <c r="B91" s="497"/>
      <c r="C91" s="497" t="s">
        <v>221</v>
      </c>
      <c r="D91" s="513">
        <v>0.0</v>
      </c>
      <c r="E91" s="552">
        <f t="shared" si="104"/>
        <v>0</v>
      </c>
      <c r="F91" s="541"/>
      <c r="G91" s="552" t="str">
        <f t="shared" si="105"/>
        <v>#DIV/0!</v>
      </c>
      <c r="H91" s="541">
        <f t="shared" ref="H91:H97" si="110">D91-F91</f>
        <v>0</v>
      </c>
      <c r="I91" s="556" t="str">
        <f t="shared" ref="I91:I97" si="111">H91/F91</f>
        <v>#DIV/0!</v>
      </c>
      <c r="J91" s="513">
        <v>0.0</v>
      </c>
      <c r="K91" s="552">
        <f t="shared" si="106"/>
        <v>0</v>
      </c>
      <c r="L91" s="541"/>
      <c r="M91" s="552" t="str">
        <f t="shared" si="107"/>
        <v>#DIV/0!</v>
      </c>
      <c r="N91" s="541">
        <f t="shared" ref="N91:N97" si="112">J91-L91</f>
        <v>0</v>
      </c>
      <c r="O91" s="556" t="str">
        <f t="shared" ref="O91:O97" si="113">N91/L91</f>
        <v>#DIV/0!</v>
      </c>
      <c r="P91" s="505">
        <v>0.0</v>
      </c>
      <c r="Q91" s="778">
        <f t="shared" si="108"/>
        <v>0</v>
      </c>
      <c r="R91" s="498"/>
      <c r="S91" s="778" t="str">
        <f t="shared" si="109"/>
        <v>#DIV/0!</v>
      </c>
      <c r="T91" s="498">
        <f t="shared" ref="T91:T97" si="114">P91-R91</f>
        <v>0</v>
      </c>
      <c r="U91" s="778" t="str">
        <f t="shared" ref="U91:U97" si="115">T91/R91</f>
        <v>#DIV/0!</v>
      </c>
    </row>
    <row r="92" ht="15.75" customHeight="1">
      <c r="A92" s="439"/>
      <c r="B92" s="465"/>
      <c r="C92" s="465" t="s">
        <v>222</v>
      </c>
      <c r="D92" s="467">
        <v>1700708.6666666667</v>
      </c>
      <c r="E92" s="557">
        <f t="shared" si="104"/>
        <v>0.1634568477</v>
      </c>
      <c r="F92" s="521"/>
      <c r="G92" s="557" t="str">
        <f t="shared" si="105"/>
        <v>#DIV/0!</v>
      </c>
      <c r="H92" s="521">
        <f t="shared" si="110"/>
        <v>1700708.667</v>
      </c>
      <c r="I92" s="562" t="str">
        <f t="shared" si="111"/>
        <v>#DIV/0!</v>
      </c>
      <c r="J92" s="467">
        <v>1742868.6666666667</v>
      </c>
      <c r="K92" s="557">
        <f t="shared" si="106"/>
        <v>0.171385229</v>
      </c>
      <c r="L92" s="521"/>
      <c r="M92" s="557" t="str">
        <f t="shared" si="107"/>
        <v>#DIV/0!</v>
      </c>
      <c r="N92" s="521">
        <f t="shared" si="112"/>
        <v>1742868.667</v>
      </c>
      <c r="O92" s="562" t="str">
        <f t="shared" si="113"/>
        <v>#DIV/0!</v>
      </c>
      <c r="P92" s="506">
        <v>1686710.0</v>
      </c>
      <c r="Q92" s="605">
        <f t="shared" si="108"/>
        <v>0.1904582851</v>
      </c>
      <c r="R92" s="474"/>
      <c r="S92" s="605" t="str">
        <f t="shared" si="109"/>
        <v>#DIV/0!</v>
      </c>
      <c r="T92" s="474">
        <f t="shared" si="114"/>
        <v>1686710</v>
      </c>
      <c r="U92" s="605" t="str">
        <f t="shared" si="115"/>
        <v>#DIV/0!</v>
      </c>
    </row>
    <row r="93" ht="15.75" customHeight="1">
      <c r="A93" s="439"/>
      <c r="B93" s="465"/>
      <c r="C93" s="465" t="s">
        <v>223</v>
      </c>
      <c r="D93" s="467">
        <v>1350.0</v>
      </c>
      <c r="E93" s="557">
        <f t="shared" si="104"/>
        <v>0.0001297498794</v>
      </c>
      <c r="F93" s="521"/>
      <c r="G93" s="557" t="str">
        <f t="shared" si="105"/>
        <v>#DIV/0!</v>
      </c>
      <c r="H93" s="521">
        <f t="shared" si="110"/>
        <v>1350</v>
      </c>
      <c r="I93" s="562" t="str">
        <f t="shared" si="111"/>
        <v>#DIV/0!</v>
      </c>
      <c r="J93" s="467">
        <v>543.0</v>
      </c>
      <c r="K93" s="557">
        <f t="shared" si="106"/>
        <v>0.00005339597937</v>
      </c>
      <c r="L93" s="521"/>
      <c r="M93" s="557" t="str">
        <f t="shared" si="107"/>
        <v>#DIV/0!</v>
      </c>
      <c r="N93" s="521">
        <f t="shared" si="112"/>
        <v>543</v>
      </c>
      <c r="O93" s="562" t="str">
        <f t="shared" si="113"/>
        <v>#DIV/0!</v>
      </c>
      <c r="P93" s="506">
        <v>3058.0</v>
      </c>
      <c r="Q93" s="605">
        <f t="shared" si="108"/>
        <v>0.0003453002803</v>
      </c>
      <c r="R93" s="474"/>
      <c r="S93" s="605" t="str">
        <f t="shared" si="109"/>
        <v>#DIV/0!</v>
      </c>
      <c r="T93" s="474">
        <f t="shared" si="114"/>
        <v>3058</v>
      </c>
      <c r="U93" s="605" t="str">
        <f t="shared" si="115"/>
        <v>#DIV/0!</v>
      </c>
    </row>
    <row r="94" ht="15.75" customHeight="1">
      <c r="A94" s="439"/>
      <c r="B94" s="465"/>
      <c r="C94" s="465" t="s">
        <v>225</v>
      </c>
      <c r="D94" s="463">
        <v>36387.02</v>
      </c>
      <c r="E94" s="557">
        <f t="shared" si="104"/>
        <v>0.003497193671</v>
      </c>
      <c r="F94" s="521"/>
      <c r="G94" s="557" t="str">
        <f t="shared" si="105"/>
        <v>#DIV/0!</v>
      </c>
      <c r="H94" s="521">
        <f t="shared" si="110"/>
        <v>36387.02</v>
      </c>
      <c r="I94" s="562" t="str">
        <f t="shared" si="111"/>
        <v>#DIV/0!</v>
      </c>
      <c r="J94" s="467">
        <v>41118.0</v>
      </c>
      <c r="K94" s="557">
        <f t="shared" si="106"/>
        <v>0.004043344162</v>
      </c>
      <c r="L94" s="521"/>
      <c r="M94" s="557" t="str">
        <f t="shared" si="107"/>
        <v>#DIV/0!</v>
      </c>
      <c r="N94" s="521">
        <f t="shared" si="112"/>
        <v>41118</v>
      </c>
      <c r="O94" s="562" t="str">
        <f t="shared" si="113"/>
        <v>#DIV/0!</v>
      </c>
      <c r="P94" s="506">
        <v>41254.0</v>
      </c>
      <c r="Q94" s="605">
        <f t="shared" si="108"/>
        <v>0.00465827919</v>
      </c>
      <c r="R94" s="474"/>
      <c r="S94" s="605" t="str">
        <f t="shared" si="109"/>
        <v>#DIV/0!</v>
      </c>
      <c r="T94" s="474">
        <f t="shared" si="114"/>
        <v>41254</v>
      </c>
      <c r="U94" s="605" t="str">
        <f t="shared" si="115"/>
        <v>#DIV/0!</v>
      </c>
    </row>
    <row r="95" ht="15.75" customHeight="1">
      <c r="A95" s="439"/>
      <c r="B95" s="465"/>
      <c r="C95" s="465" t="s">
        <v>226</v>
      </c>
      <c r="D95" s="514">
        <v>0.0</v>
      </c>
      <c r="E95" s="557">
        <f t="shared" si="104"/>
        <v>0</v>
      </c>
      <c r="F95" s="521"/>
      <c r="G95" s="557" t="str">
        <f t="shared" si="105"/>
        <v>#DIV/0!</v>
      </c>
      <c r="H95" s="521">
        <f t="shared" si="110"/>
        <v>0</v>
      </c>
      <c r="I95" s="562" t="str">
        <f t="shared" si="111"/>
        <v>#DIV/0!</v>
      </c>
      <c r="J95" s="514">
        <v>0.0</v>
      </c>
      <c r="K95" s="557">
        <f t="shared" si="106"/>
        <v>0</v>
      </c>
      <c r="L95" s="521"/>
      <c r="M95" s="557" t="str">
        <f t="shared" si="107"/>
        <v>#DIV/0!</v>
      </c>
      <c r="N95" s="521">
        <f t="shared" si="112"/>
        <v>0</v>
      </c>
      <c r="O95" s="562" t="str">
        <f t="shared" si="113"/>
        <v>#DIV/0!</v>
      </c>
      <c r="P95" s="506">
        <v>0.0</v>
      </c>
      <c r="Q95" s="605">
        <f t="shared" si="108"/>
        <v>0</v>
      </c>
      <c r="R95" s="474"/>
      <c r="S95" s="605" t="str">
        <f t="shared" si="109"/>
        <v>#DIV/0!</v>
      </c>
      <c r="T95" s="474">
        <f t="shared" si="114"/>
        <v>0</v>
      </c>
      <c r="U95" s="605" t="str">
        <f t="shared" si="115"/>
        <v>#DIV/0!</v>
      </c>
    </row>
    <row r="96" ht="15.75" customHeight="1">
      <c r="A96" s="439"/>
      <c r="B96" s="465"/>
      <c r="C96" s="465" t="s">
        <v>227</v>
      </c>
      <c r="D96" s="467">
        <v>7557.0</v>
      </c>
      <c r="E96" s="557">
        <f t="shared" si="104"/>
        <v>0.0007263109915</v>
      </c>
      <c r="F96" s="521"/>
      <c r="G96" s="557" t="str">
        <f t="shared" si="105"/>
        <v>#DIV/0!</v>
      </c>
      <c r="H96" s="521">
        <f t="shared" si="110"/>
        <v>7557</v>
      </c>
      <c r="I96" s="562" t="str">
        <f t="shared" si="111"/>
        <v>#DIV/0!</v>
      </c>
      <c r="J96" s="467">
        <v>2617.0</v>
      </c>
      <c r="K96" s="557">
        <f t="shared" si="106"/>
        <v>0.0002573430534</v>
      </c>
      <c r="L96" s="521"/>
      <c r="M96" s="557" t="str">
        <f t="shared" si="107"/>
        <v>#DIV/0!</v>
      </c>
      <c r="N96" s="521">
        <f t="shared" si="112"/>
        <v>2617</v>
      </c>
      <c r="O96" s="562" t="str">
        <f t="shared" si="113"/>
        <v>#DIV/0!</v>
      </c>
      <c r="P96" s="506">
        <v>5747.0</v>
      </c>
      <c r="Q96" s="605">
        <f t="shared" si="108"/>
        <v>0.0006489341761</v>
      </c>
      <c r="R96" s="474"/>
      <c r="S96" s="605" t="str">
        <f t="shared" si="109"/>
        <v>#DIV/0!</v>
      </c>
      <c r="T96" s="474">
        <f t="shared" si="114"/>
        <v>5747</v>
      </c>
      <c r="U96" s="605" t="str">
        <f t="shared" si="115"/>
        <v>#DIV/0!</v>
      </c>
    </row>
    <row r="97" ht="15.75" customHeight="1">
      <c r="A97" s="439"/>
      <c r="B97" s="465"/>
      <c r="C97" s="465" t="s">
        <v>228</v>
      </c>
      <c r="D97" s="514">
        <v>0.0</v>
      </c>
      <c r="E97" s="557">
        <f t="shared" si="104"/>
        <v>0</v>
      </c>
      <c r="F97" s="521"/>
      <c r="G97" s="557" t="str">
        <f t="shared" si="105"/>
        <v>#DIV/0!</v>
      </c>
      <c r="H97" s="521">
        <f t="shared" si="110"/>
        <v>0</v>
      </c>
      <c r="I97" s="562" t="str">
        <f t="shared" si="111"/>
        <v>#DIV/0!</v>
      </c>
      <c r="J97" s="514">
        <v>0.0</v>
      </c>
      <c r="K97" s="557">
        <f t="shared" si="106"/>
        <v>0</v>
      </c>
      <c r="L97" s="521"/>
      <c r="M97" s="557" t="str">
        <f t="shared" si="107"/>
        <v>#DIV/0!</v>
      </c>
      <c r="N97" s="521">
        <f t="shared" si="112"/>
        <v>0</v>
      </c>
      <c r="O97" s="562" t="str">
        <f t="shared" si="113"/>
        <v>#DIV/0!</v>
      </c>
      <c r="P97" s="506">
        <v>0.0</v>
      </c>
      <c r="Q97" s="605">
        <f t="shared" si="108"/>
        <v>0</v>
      </c>
      <c r="R97" s="474"/>
      <c r="S97" s="605" t="str">
        <f t="shared" si="109"/>
        <v>#DIV/0!</v>
      </c>
      <c r="T97" s="474">
        <f t="shared" si="114"/>
        <v>0</v>
      </c>
      <c r="U97" s="605" t="str">
        <f t="shared" si="115"/>
        <v>#DIV/0!</v>
      </c>
    </row>
    <row r="98" ht="15.75" customHeight="1">
      <c r="A98" s="439"/>
      <c r="B98" s="465"/>
      <c r="C98" s="762" t="s">
        <v>314</v>
      </c>
      <c r="D98" s="514">
        <v>0.0</v>
      </c>
      <c r="E98" s="557"/>
      <c r="F98" s="521"/>
      <c r="G98" s="557"/>
      <c r="H98" s="521"/>
      <c r="I98" s="562"/>
      <c r="J98" s="514">
        <v>21240.0</v>
      </c>
      <c r="K98" s="557"/>
      <c r="L98" s="521"/>
      <c r="M98" s="557"/>
      <c r="N98" s="521"/>
      <c r="O98" s="562"/>
      <c r="P98" s="506">
        <v>0.0</v>
      </c>
      <c r="Q98" s="605"/>
      <c r="R98" s="474"/>
      <c r="S98" s="605"/>
      <c r="T98" s="474"/>
      <c r="U98" s="605"/>
    </row>
    <row r="99" ht="15.75" customHeight="1">
      <c r="A99" s="439"/>
      <c r="B99" s="465"/>
      <c r="C99" s="587" t="s">
        <v>276</v>
      </c>
      <c r="D99" s="467"/>
      <c r="E99" s="557">
        <f t="shared" ref="E99:E102" si="116">D99/D$29</f>
        <v>0</v>
      </c>
      <c r="F99" s="521"/>
      <c r="G99" s="557" t="str">
        <f>F99/F$29</f>
        <v>#DIV/0!</v>
      </c>
      <c r="H99" s="521">
        <f>D99-F99</f>
        <v>0</v>
      </c>
      <c r="I99" s="562" t="str">
        <f>H99/F99</f>
        <v>#DIV/0!</v>
      </c>
      <c r="J99" s="467"/>
      <c r="K99" s="557">
        <f t="shared" ref="K99:K102" si="117">J99/J$29</f>
        <v>0</v>
      </c>
      <c r="L99" s="521"/>
      <c r="M99" s="557" t="str">
        <f>L99/L$29</f>
        <v>#DIV/0!</v>
      </c>
      <c r="N99" s="521">
        <f>J99-L99</f>
        <v>0</v>
      </c>
      <c r="O99" s="562" t="str">
        <f>N99/L99</f>
        <v>#DIV/0!</v>
      </c>
      <c r="P99" s="474"/>
      <c r="Q99" s="605">
        <f t="shared" ref="Q99:Q102" si="118">P99/P$29</f>
        <v>0</v>
      </c>
      <c r="R99" s="474"/>
      <c r="S99" s="605" t="str">
        <f>R99/R$29</f>
        <v>#DIV/0!</v>
      </c>
      <c r="T99" s="474">
        <f>P99-R99</f>
        <v>0</v>
      </c>
      <c r="U99" s="605" t="str">
        <f>T99/R99</f>
        <v>#DIV/0!</v>
      </c>
    </row>
    <row r="100" ht="15.75" customHeight="1">
      <c r="A100" s="439"/>
      <c r="B100" s="483"/>
      <c r="C100" s="610"/>
      <c r="D100" s="485"/>
      <c r="E100" s="564">
        <f t="shared" si="116"/>
        <v>0</v>
      </c>
      <c r="F100" s="545"/>
      <c r="G100" s="544"/>
      <c r="H100" s="544"/>
      <c r="I100" s="546"/>
      <c r="J100" s="485"/>
      <c r="K100" s="557">
        <f t="shared" si="117"/>
        <v>0</v>
      </c>
      <c r="L100" s="521"/>
      <c r="M100" s="539"/>
      <c r="N100" s="539"/>
      <c r="O100" s="479"/>
      <c r="P100" s="501"/>
      <c r="Q100" s="605">
        <f t="shared" si="118"/>
        <v>0</v>
      </c>
      <c r="R100" s="474"/>
      <c r="S100" s="469"/>
      <c r="T100" s="469"/>
      <c r="U100" s="469"/>
    </row>
    <row r="101" ht="15.75" customHeight="1">
      <c r="A101" s="439"/>
      <c r="B101" s="493"/>
      <c r="C101" s="511" t="s">
        <v>38</v>
      </c>
      <c r="D101" s="491">
        <f>SUM(D102)</f>
        <v>25508</v>
      </c>
      <c r="E101" s="613">
        <f t="shared" si="116"/>
        <v>0.002451599943</v>
      </c>
      <c r="F101" s="491">
        <f>SUM(F102)</f>
        <v>0</v>
      </c>
      <c r="G101" s="613" t="str">
        <f>F101/F$29</f>
        <v>#DIV/0!</v>
      </c>
      <c r="H101" s="491">
        <f>SUM(H102)</f>
        <v>25508</v>
      </c>
      <c r="I101" s="457"/>
      <c r="J101" s="491">
        <f>SUM(J102)</f>
        <v>16427</v>
      </c>
      <c r="K101" s="757">
        <f t="shared" si="117"/>
        <v>0.001615351295</v>
      </c>
      <c r="L101" s="470">
        <f>SUM(L102)</f>
        <v>0</v>
      </c>
      <c r="M101" s="577" t="str">
        <f>L101/L$29</f>
        <v>#DIV/0!</v>
      </c>
      <c r="N101" s="578">
        <f>SUM(N102)</f>
        <v>16427</v>
      </c>
      <c r="O101" s="657"/>
      <c r="P101" s="491">
        <f>SUM(P102)</f>
        <v>13958</v>
      </c>
      <c r="Q101" s="790">
        <f t="shared" si="118"/>
        <v>0.001576095916</v>
      </c>
      <c r="R101" s="472">
        <f>SUM(R102)</f>
        <v>0</v>
      </c>
      <c r="S101" s="790" t="str">
        <f>R101/R$29</f>
        <v>#DIV/0!</v>
      </c>
      <c r="T101" s="472">
        <f>SUM(T102)</f>
        <v>13958</v>
      </c>
      <c r="U101" s="788"/>
    </row>
    <row r="102" ht="15.75" customHeight="1">
      <c r="A102" s="439"/>
      <c r="B102" s="497"/>
      <c r="C102" s="497" t="s">
        <v>277</v>
      </c>
      <c r="D102" s="463">
        <v>25508.0</v>
      </c>
      <c r="E102" s="552">
        <f t="shared" si="116"/>
        <v>0.002451599943</v>
      </c>
      <c r="F102" s="541"/>
      <c r="G102" s="552">
        <v>0.012</v>
      </c>
      <c r="H102" s="541">
        <f>D102-F102</f>
        <v>25508</v>
      </c>
      <c r="I102" s="542"/>
      <c r="J102" s="513">
        <v>16427.0</v>
      </c>
      <c r="K102" s="557">
        <f t="shared" si="117"/>
        <v>0.001615351295</v>
      </c>
      <c r="L102" s="521"/>
      <c r="M102" s="557">
        <v>0.012</v>
      </c>
      <c r="N102" s="521">
        <f>J102-L102</f>
        <v>16427</v>
      </c>
      <c r="O102" s="479"/>
      <c r="P102" s="505">
        <v>13958.0</v>
      </c>
      <c r="Q102" s="605">
        <f t="shared" si="118"/>
        <v>0.001576095916</v>
      </c>
      <c r="R102" s="474"/>
      <c r="S102" s="605">
        <v>0.012</v>
      </c>
      <c r="T102" s="474">
        <f>P102-R102</f>
        <v>13958</v>
      </c>
      <c r="U102" s="469"/>
    </row>
    <row r="103" ht="15.75" customHeight="1">
      <c r="A103" s="439"/>
      <c r="B103" s="483"/>
      <c r="C103" s="483"/>
      <c r="D103" s="485"/>
      <c r="E103" s="544"/>
      <c r="F103" s="545"/>
      <c r="G103" s="544"/>
      <c r="H103" s="544"/>
      <c r="I103" s="546"/>
      <c r="J103" s="485"/>
      <c r="K103" s="539"/>
      <c r="L103" s="521"/>
      <c r="M103" s="539"/>
      <c r="N103" s="539"/>
      <c r="O103" s="479"/>
      <c r="P103" s="501"/>
      <c r="Q103" s="469"/>
      <c r="R103" s="474"/>
      <c r="S103" s="469"/>
      <c r="T103" s="469"/>
      <c r="U103" s="469"/>
    </row>
    <row r="104" ht="15.75" customHeight="1">
      <c r="A104" s="439"/>
      <c r="B104" s="493"/>
      <c r="C104" s="511" t="s">
        <v>235</v>
      </c>
      <c r="D104" s="491">
        <f>SUM(D105:D106)</f>
        <v>52082.33333</v>
      </c>
      <c r="E104" s="613">
        <f t="shared" ref="E104:E105" si="119">D104/D$29</f>
        <v>0.005005686272</v>
      </c>
      <c r="F104" s="491">
        <f>SUM(F105:F106)</f>
        <v>49820.33333</v>
      </c>
      <c r="G104" s="613" t="str">
        <f t="shared" ref="G104:G105" si="120">F104/F$29</f>
        <v>#DIV/0!</v>
      </c>
      <c r="H104" s="668">
        <f>SUM(H105:H106)</f>
        <v>52082.33333</v>
      </c>
      <c r="I104" s="457"/>
      <c r="J104" s="491">
        <f>SUM(J105:J106)</f>
        <v>52082.33333</v>
      </c>
      <c r="K104" s="757">
        <f t="shared" ref="K104:K106" si="121">J104/J$29</f>
        <v>0.005121523382</v>
      </c>
      <c r="L104" s="578">
        <f>SUM(L105:L106)</f>
        <v>0</v>
      </c>
      <c r="M104" s="577" t="str">
        <f t="shared" ref="M104:M106" si="122">L104/L$29</f>
        <v>#DIV/0!</v>
      </c>
      <c r="N104" s="734">
        <f>SUM(N105:N106)</f>
        <v>52082.33333</v>
      </c>
      <c r="O104" s="657"/>
      <c r="P104" s="491">
        <f>SUM(P105:P106)</f>
        <v>36904</v>
      </c>
      <c r="Q104" s="790">
        <f t="shared" ref="Q104:Q106" si="123">P104/P$29</f>
        <v>0.004167090106</v>
      </c>
      <c r="R104" s="472">
        <f>SUM(R105:R106)</f>
        <v>0</v>
      </c>
      <c r="S104" s="790" t="str">
        <f t="shared" ref="S104:S106" si="124">R104/R$29</f>
        <v>#DIV/0!</v>
      </c>
      <c r="T104" s="796">
        <f>SUM(T105:T106)</f>
        <v>36904</v>
      </c>
      <c r="U104" s="788"/>
    </row>
    <row r="105" ht="15.75" customHeight="1">
      <c r="A105" s="439"/>
      <c r="B105" s="497"/>
      <c r="C105" s="497" t="s">
        <v>236</v>
      </c>
      <c r="D105" s="513">
        <v>2262.0</v>
      </c>
      <c r="E105" s="552">
        <f t="shared" si="119"/>
        <v>0.0002174031312</v>
      </c>
      <c r="F105" s="541"/>
      <c r="G105" s="552" t="str">
        <f t="shared" si="120"/>
        <v>#DIV/0!</v>
      </c>
      <c r="H105" s="646">
        <f>D105-F105</f>
        <v>2262</v>
      </c>
      <c r="I105" s="556" t="str">
        <f>H105/F105</f>
        <v>#DIV/0!</v>
      </c>
      <c r="J105" s="513">
        <v>2262.0</v>
      </c>
      <c r="K105" s="557">
        <f t="shared" si="121"/>
        <v>0.0002224340798</v>
      </c>
      <c r="L105" s="521"/>
      <c r="M105" s="557" t="str">
        <f t="shared" si="122"/>
        <v>#DIV/0!</v>
      </c>
      <c r="N105" s="649">
        <f t="shared" ref="N105:N106" si="125">J105-L105</f>
        <v>2262</v>
      </c>
      <c r="O105" s="562" t="str">
        <f t="shared" ref="O105:O107" si="126">N105/L105</f>
        <v>#DIV/0!</v>
      </c>
      <c r="P105" s="505">
        <v>4166.0</v>
      </c>
      <c r="Q105" s="605">
        <f t="shared" si="123"/>
        <v>0.0004704123504</v>
      </c>
      <c r="R105" s="474"/>
      <c r="S105" s="605" t="str">
        <f t="shared" si="124"/>
        <v>#DIV/0!</v>
      </c>
      <c r="T105" s="737">
        <f t="shared" ref="T105:T106" si="127">P105-R105</f>
        <v>4166</v>
      </c>
      <c r="U105" s="605" t="str">
        <f t="shared" ref="U105:U107" si="128">T105/R105</f>
        <v>#DIV/0!</v>
      </c>
    </row>
    <row r="106" ht="15.75" customHeight="1">
      <c r="A106" s="439"/>
      <c r="B106" s="465"/>
      <c r="C106" s="465" t="s">
        <v>304</v>
      </c>
      <c r="D106" s="467">
        <v>49820.333333333336</v>
      </c>
      <c r="E106" s="467">
        <v>49820.333333333336</v>
      </c>
      <c r="F106" s="467">
        <v>49820.333333333336</v>
      </c>
      <c r="G106" s="467">
        <v>49820.333333333336</v>
      </c>
      <c r="H106" s="467">
        <v>49820.333333333336</v>
      </c>
      <c r="I106" s="467">
        <v>49820.333333333336</v>
      </c>
      <c r="J106" s="467">
        <v>49820.333333333336</v>
      </c>
      <c r="K106" s="557">
        <f t="shared" si="121"/>
        <v>0.004899089302</v>
      </c>
      <c r="L106" s="521"/>
      <c r="M106" s="557" t="str">
        <f t="shared" si="122"/>
        <v>#DIV/0!</v>
      </c>
      <c r="N106" s="649">
        <f t="shared" si="125"/>
        <v>49820.33333</v>
      </c>
      <c r="O106" s="562" t="str">
        <f t="shared" si="126"/>
        <v>#DIV/0!</v>
      </c>
      <c r="P106" s="506">
        <v>32738.0</v>
      </c>
      <c r="Q106" s="605">
        <f t="shared" si="123"/>
        <v>0.003696677755</v>
      </c>
      <c r="R106" s="474"/>
      <c r="S106" s="605" t="str">
        <f t="shared" si="124"/>
        <v>#DIV/0!</v>
      </c>
      <c r="T106" s="737">
        <f t="shared" si="127"/>
        <v>32738</v>
      </c>
      <c r="U106" s="605" t="str">
        <f t="shared" si="128"/>
        <v>#DIV/0!</v>
      </c>
    </row>
    <row r="107" ht="15.75" customHeight="1">
      <c r="A107" s="439"/>
      <c r="B107" s="483"/>
      <c r="C107" s="483"/>
      <c r="D107" s="485"/>
      <c r="E107" s="544"/>
      <c r="F107" s="545"/>
      <c r="G107" s="544"/>
      <c r="H107" s="706"/>
      <c r="I107" s="565" t="str">
        <f>H107/F107</f>
        <v>#DIV/0!</v>
      </c>
      <c r="J107" s="485"/>
      <c r="K107" s="539"/>
      <c r="L107" s="521"/>
      <c r="M107" s="539"/>
      <c r="N107" s="649"/>
      <c r="O107" s="562" t="str">
        <f t="shared" si="126"/>
        <v>#DIV/0!</v>
      </c>
      <c r="P107" s="501"/>
      <c r="Q107" s="469"/>
      <c r="R107" s="474"/>
      <c r="S107" s="469"/>
      <c r="T107" s="737"/>
      <c r="U107" s="605" t="str">
        <f t="shared" si="128"/>
        <v>#DIV/0!</v>
      </c>
    </row>
    <row r="108" ht="15.75" customHeight="1">
      <c r="A108" s="439"/>
      <c r="B108" s="493"/>
      <c r="C108" s="511" t="s">
        <v>40</v>
      </c>
      <c r="D108" s="491">
        <f>SUM(D109:D121)</f>
        <v>329004.25</v>
      </c>
      <c r="E108" s="613">
        <f t="shared" ref="E108:E110" si="129">D108/D$29</f>
        <v>0.03162093463</v>
      </c>
      <c r="F108" s="491">
        <f>SUM(F109:F120)</f>
        <v>15522.25</v>
      </c>
      <c r="G108" s="613" t="str">
        <f t="shared" ref="G108:G110" si="130">F108/F$29</f>
        <v>#DIV/0!</v>
      </c>
      <c r="H108" s="491">
        <f>SUM(H109:H121)</f>
        <v>329004.25</v>
      </c>
      <c r="I108" s="457"/>
      <c r="J108" s="491">
        <f>SUM(J109:J121)</f>
        <v>118453.25</v>
      </c>
      <c r="K108" s="757">
        <f t="shared" ref="K108:K121" si="131">J108/J$29</f>
        <v>0.01164811656</v>
      </c>
      <c r="L108" s="578">
        <f>SUM(L109:L120)</f>
        <v>0</v>
      </c>
      <c r="M108" s="577" t="str">
        <f t="shared" ref="M108:M124" si="132">L108/L$29</f>
        <v>#DIV/0!</v>
      </c>
      <c r="N108" s="470">
        <f>SUM(N109:N121)</f>
        <v>118453.25</v>
      </c>
      <c r="O108" s="657"/>
      <c r="P108" s="491">
        <f>SUM(P109:P121)</f>
        <v>70885</v>
      </c>
      <c r="Q108" s="790">
        <f t="shared" ref="Q108:Q121" si="133">P108/P$29</f>
        <v>0.00800412373</v>
      </c>
      <c r="R108" s="472">
        <f>SUM(R109:R120)</f>
        <v>0</v>
      </c>
      <c r="S108" s="790" t="str">
        <f t="shared" ref="S108:S124" si="134">R108/R$29</f>
        <v>#DIV/0!</v>
      </c>
      <c r="T108" s="472">
        <f>SUM(T109:T121)</f>
        <v>70885</v>
      </c>
      <c r="U108" s="788"/>
    </row>
    <row r="109" ht="15.75" customHeight="1">
      <c r="A109" s="439"/>
      <c r="B109" s="497"/>
      <c r="C109" s="497" t="s">
        <v>238</v>
      </c>
      <c r="D109" s="463">
        <v>0.0</v>
      </c>
      <c r="E109" s="552">
        <f t="shared" si="129"/>
        <v>0</v>
      </c>
      <c r="F109" s="541"/>
      <c r="G109" s="552" t="str">
        <f t="shared" si="130"/>
        <v>#DIV/0!</v>
      </c>
      <c r="H109" s="541">
        <f t="shared" ref="H109:H110" si="135">D109-F109</f>
        <v>0</v>
      </c>
      <c r="I109" s="556" t="str">
        <f t="shared" ref="I109:I110" si="136">H109/F109</f>
        <v>#DIV/0!</v>
      </c>
      <c r="J109" s="463">
        <v>0.0</v>
      </c>
      <c r="K109" s="557">
        <f t="shared" si="131"/>
        <v>0</v>
      </c>
      <c r="L109" s="521"/>
      <c r="M109" s="557" t="str">
        <f t="shared" si="132"/>
        <v>#DIV/0!</v>
      </c>
      <c r="N109" s="521">
        <f t="shared" ref="N109:N121" si="137">J109-L109</f>
        <v>0</v>
      </c>
      <c r="O109" s="562" t="str">
        <f t="shared" ref="O109:O121" si="138">N109/L109</f>
        <v>#DIV/0!</v>
      </c>
      <c r="P109" s="505">
        <v>0.0</v>
      </c>
      <c r="Q109" s="605">
        <f t="shared" si="133"/>
        <v>0</v>
      </c>
      <c r="R109" s="474"/>
      <c r="S109" s="605" t="str">
        <f t="shared" si="134"/>
        <v>#DIV/0!</v>
      </c>
      <c r="T109" s="474">
        <f t="shared" ref="T109:T121" si="139">P109-R109</f>
        <v>0</v>
      </c>
      <c r="U109" s="605" t="str">
        <f t="shared" ref="U109:U121" si="140">T109/R109</f>
        <v>#DIV/0!</v>
      </c>
    </row>
    <row r="110" ht="15.75" customHeight="1">
      <c r="A110" s="439"/>
      <c r="B110" s="465"/>
      <c r="C110" s="465" t="s">
        <v>239</v>
      </c>
      <c r="D110" s="467">
        <v>1072.0</v>
      </c>
      <c r="E110" s="557">
        <f t="shared" si="129"/>
        <v>0.0001030310153</v>
      </c>
      <c r="F110" s="521"/>
      <c r="G110" s="557" t="str">
        <f t="shared" si="130"/>
        <v>#DIV/0!</v>
      </c>
      <c r="H110" s="521">
        <f t="shared" si="135"/>
        <v>1072</v>
      </c>
      <c r="I110" s="562" t="str">
        <f t="shared" si="136"/>
        <v>#DIV/0!</v>
      </c>
      <c r="J110" s="467">
        <v>1339.0</v>
      </c>
      <c r="K110" s="557">
        <f t="shared" si="131"/>
        <v>0.0001316707484</v>
      </c>
      <c r="L110" s="521"/>
      <c r="M110" s="557" t="str">
        <f t="shared" si="132"/>
        <v>#DIV/0!</v>
      </c>
      <c r="N110" s="521">
        <f t="shared" si="137"/>
        <v>1339</v>
      </c>
      <c r="O110" s="562" t="str">
        <f t="shared" si="138"/>
        <v>#DIV/0!</v>
      </c>
      <c r="P110" s="506">
        <v>564.0</v>
      </c>
      <c r="Q110" s="605">
        <f t="shared" si="133"/>
        <v>0.00006368520538</v>
      </c>
      <c r="R110" s="474"/>
      <c r="S110" s="605" t="str">
        <f t="shared" si="134"/>
        <v>#DIV/0!</v>
      </c>
      <c r="T110" s="474">
        <f t="shared" si="139"/>
        <v>564</v>
      </c>
      <c r="U110" s="605" t="str">
        <f t="shared" si="140"/>
        <v>#DIV/0!</v>
      </c>
    </row>
    <row r="111" ht="15.75" customHeight="1">
      <c r="A111" s="439"/>
      <c r="B111" s="465"/>
      <c r="C111" s="465" t="s">
        <v>240</v>
      </c>
      <c r="D111" s="467">
        <v>1362.25</v>
      </c>
      <c r="E111" s="467">
        <v>1362.25</v>
      </c>
      <c r="F111" s="467">
        <v>1362.25</v>
      </c>
      <c r="G111" s="467">
        <v>1362.25</v>
      </c>
      <c r="H111" s="467">
        <v>1362.25</v>
      </c>
      <c r="I111" s="467">
        <v>1362.25</v>
      </c>
      <c r="J111" s="467">
        <v>1362.25</v>
      </c>
      <c r="K111" s="557">
        <f t="shared" si="131"/>
        <v>0.0001339570403</v>
      </c>
      <c r="L111" s="521"/>
      <c r="M111" s="557" t="str">
        <f t="shared" si="132"/>
        <v>#DIV/0!</v>
      </c>
      <c r="N111" s="521">
        <f t="shared" si="137"/>
        <v>1362.25</v>
      </c>
      <c r="O111" s="562" t="str">
        <f t="shared" si="138"/>
        <v>#DIV/0!</v>
      </c>
      <c r="P111" s="506">
        <v>1362.0</v>
      </c>
      <c r="Q111" s="605">
        <f t="shared" si="133"/>
        <v>0.000153792996</v>
      </c>
      <c r="R111" s="474"/>
      <c r="S111" s="605" t="str">
        <f t="shared" si="134"/>
        <v>#DIV/0!</v>
      </c>
      <c r="T111" s="474">
        <f t="shared" si="139"/>
        <v>1362</v>
      </c>
      <c r="U111" s="605" t="str">
        <f t="shared" si="140"/>
        <v>#DIV/0!</v>
      </c>
    </row>
    <row r="112" ht="15.75" customHeight="1">
      <c r="A112" s="439"/>
      <c r="B112" s="465"/>
      <c r="C112" s="465" t="s">
        <v>241</v>
      </c>
      <c r="D112" s="467">
        <v>0.0</v>
      </c>
      <c r="E112" s="557">
        <f t="shared" ref="E112:E118" si="141">D112/D$29</f>
        <v>0</v>
      </c>
      <c r="F112" s="521"/>
      <c r="G112" s="557" t="str">
        <f t="shared" ref="G112:G118" si="142">F112/F$29</f>
        <v>#DIV/0!</v>
      </c>
      <c r="H112" s="521">
        <f t="shared" ref="H112:H118" si="143">D112-F112</f>
        <v>0</v>
      </c>
      <c r="I112" s="562" t="str">
        <f t="shared" ref="I112:I118" si="144">H112/F112</f>
        <v>#DIV/0!</v>
      </c>
      <c r="J112" s="467">
        <v>0.0</v>
      </c>
      <c r="K112" s="557">
        <f t="shared" si="131"/>
        <v>0</v>
      </c>
      <c r="L112" s="521"/>
      <c r="M112" s="557" t="str">
        <f t="shared" si="132"/>
        <v>#DIV/0!</v>
      </c>
      <c r="N112" s="521">
        <f t="shared" si="137"/>
        <v>0</v>
      </c>
      <c r="O112" s="562" t="str">
        <f t="shared" si="138"/>
        <v>#DIV/0!</v>
      </c>
      <c r="P112" s="506">
        <v>0.0</v>
      </c>
      <c r="Q112" s="605">
        <f t="shared" si="133"/>
        <v>0</v>
      </c>
      <c r="R112" s="474"/>
      <c r="S112" s="605" t="str">
        <f t="shared" si="134"/>
        <v>#DIV/0!</v>
      </c>
      <c r="T112" s="474">
        <f t="shared" si="139"/>
        <v>0</v>
      </c>
      <c r="U112" s="605" t="str">
        <f t="shared" si="140"/>
        <v>#DIV/0!</v>
      </c>
    </row>
    <row r="113" ht="15.75" customHeight="1">
      <c r="A113" s="439"/>
      <c r="B113" s="465"/>
      <c r="C113" s="465" t="s">
        <v>292</v>
      </c>
      <c r="D113" s="467">
        <v>0.0</v>
      </c>
      <c r="E113" s="557">
        <f t="shared" si="141"/>
        <v>0</v>
      </c>
      <c r="F113" s="521"/>
      <c r="G113" s="557" t="str">
        <f t="shared" si="142"/>
        <v>#DIV/0!</v>
      </c>
      <c r="H113" s="521">
        <f t="shared" si="143"/>
        <v>0</v>
      </c>
      <c r="I113" s="562" t="str">
        <f t="shared" si="144"/>
        <v>#DIV/0!</v>
      </c>
      <c r="J113" s="467">
        <v>0.0</v>
      </c>
      <c r="K113" s="557">
        <f t="shared" si="131"/>
        <v>0</v>
      </c>
      <c r="L113" s="521"/>
      <c r="M113" s="557" t="str">
        <f t="shared" si="132"/>
        <v>#DIV/0!</v>
      </c>
      <c r="N113" s="521">
        <f t="shared" si="137"/>
        <v>0</v>
      </c>
      <c r="O113" s="562" t="str">
        <f t="shared" si="138"/>
        <v>#DIV/0!</v>
      </c>
      <c r="P113" s="506">
        <v>0.0</v>
      </c>
      <c r="Q113" s="605">
        <f t="shared" si="133"/>
        <v>0</v>
      </c>
      <c r="R113" s="474"/>
      <c r="S113" s="605" t="str">
        <f t="shared" si="134"/>
        <v>#DIV/0!</v>
      </c>
      <c r="T113" s="474">
        <f t="shared" si="139"/>
        <v>0</v>
      </c>
      <c r="U113" s="605" t="str">
        <f t="shared" si="140"/>
        <v>#DIV/0!</v>
      </c>
    </row>
    <row r="114" ht="15.75" customHeight="1">
      <c r="A114" s="439"/>
      <c r="B114" s="465"/>
      <c r="C114" s="465" t="s">
        <v>244</v>
      </c>
      <c r="D114" s="467">
        <v>277890.0</v>
      </c>
      <c r="E114" s="557">
        <f t="shared" si="141"/>
        <v>0.02670829184</v>
      </c>
      <c r="F114" s="521"/>
      <c r="G114" s="557" t="str">
        <f t="shared" si="142"/>
        <v>#DIV/0!</v>
      </c>
      <c r="H114" s="521">
        <f t="shared" si="143"/>
        <v>277890</v>
      </c>
      <c r="I114" s="562" t="str">
        <f t="shared" si="144"/>
        <v>#DIV/0!</v>
      </c>
      <c r="J114" s="514">
        <v>52201.0</v>
      </c>
      <c r="K114" s="557">
        <f t="shared" si="131"/>
        <v>0.005133192485</v>
      </c>
      <c r="L114" s="521"/>
      <c r="M114" s="557" t="str">
        <f t="shared" si="132"/>
        <v>#DIV/0!</v>
      </c>
      <c r="N114" s="521">
        <f t="shared" si="137"/>
        <v>52201</v>
      </c>
      <c r="O114" s="562" t="str">
        <f t="shared" si="138"/>
        <v>#DIV/0!</v>
      </c>
      <c r="P114" s="506">
        <v>21904.0</v>
      </c>
      <c r="Q114" s="605">
        <f t="shared" si="133"/>
        <v>0.002473334643</v>
      </c>
      <c r="R114" s="474"/>
      <c r="S114" s="605" t="str">
        <f t="shared" si="134"/>
        <v>#DIV/0!</v>
      </c>
      <c r="T114" s="474">
        <f t="shared" si="139"/>
        <v>21904</v>
      </c>
      <c r="U114" s="605" t="str">
        <f t="shared" si="140"/>
        <v>#DIV/0!</v>
      </c>
    </row>
    <row r="115" ht="15.75" customHeight="1">
      <c r="A115" s="439"/>
      <c r="B115" s="465"/>
      <c r="C115" s="465" t="s">
        <v>243</v>
      </c>
      <c r="D115" s="467">
        <v>6195.0</v>
      </c>
      <c r="E115" s="557">
        <f t="shared" si="141"/>
        <v>0.0005954077798</v>
      </c>
      <c r="F115" s="521"/>
      <c r="G115" s="557" t="str">
        <f t="shared" si="142"/>
        <v>#DIV/0!</v>
      </c>
      <c r="H115" s="521">
        <f t="shared" si="143"/>
        <v>6195</v>
      </c>
      <c r="I115" s="562" t="str">
        <f t="shared" si="144"/>
        <v>#DIV/0!</v>
      </c>
      <c r="J115" s="467">
        <v>8909.0</v>
      </c>
      <c r="K115" s="557">
        <f t="shared" si="131"/>
        <v>0.0008760677352</v>
      </c>
      <c r="L115" s="521"/>
      <c r="M115" s="557" t="str">
        <f t="shared" si="132"/>
        <v>#DIV/0!</v>
      </c>
      <c r="N115" s="521">
        <f t="shared" si="137"/>
        <v>8909</v>
      </c>
      <c r="O115" s="562" t="str">
        <f t="shared" si="138"/>
        <v>#DIV/0!</v>
      </c>
      <c r="P115" s="506">
        <v>8909.0</v>
      </c>
      <c r="Q115" s="605">
        <f t="shared" si="133"/>
        <v>0.001005977828</v>
      </c>
      <c r="R115" s="474"/>
      <c r="S115" s="605" t="str">
        <f t="shared" si="134"/>
        <v>#DIV/0!</v>
      </c>
      <c r="T115" s="474">
        <f t="shared" si="139"/>
        <v>8909</v>
      </c>
      <c r="U115" s="605" t="str">
        <f t="shared" si="140"/>
        <v>#DIV/0!</v>
      </c>
    </row>
    <row r="116" ht="15.75" customHeight="1">
      <c r="A116" s="439"/>
      <c r="B116" s="465"/>
      <c r="C116" s="465" t="s">
        <v>246</v>
      </c>
      <c r="D116" s="467">
        <v>0.0</v>
      </c>
      <c r="E116" s="557">
        <f t="shared" si="141"/>
        <v>0</v>
      </c>
      <c r="F116" s="521"/>
      <c r="G116" s="557" t="str">
        <f t="shared" si="142"/>
        <v>#DIV/0!</v>
      </c>
      <c r="H116" s="521">
        <f t="shared" si="143"/>
        <v>0</v>
      </c>
      <c r="I116" s="562" t="str">
        <f t="shared" si="144"/>
        <v>#DIV/0!</v>
      </c>
      <c r="J116" s="467">
        <v>0.0</v>
      </c>
      <c r="K116" s="557">
        <f t="shared" si="131"/>
        <v>0</v>
      </c>
      <c r="L116" s="521"/>
      <c r="M116" s="557" t="str">
        <f t="shared" si="132"/>
        <v>#DIV/0!</v>
      </c>
      <c r="N116" s="521">
        <f t="shared" si="137"/>
        <v>0</v>
      </c>
      <c r="O116" s="562" t="str">
        <f t="shared" si="138"/>
        <v>#DIV/0!</v>
      </c>
      <c r="P116" s="506">
        <v>3150.0</v>
      </c>
      <c r="Q116" s="605">
        <f t="shared" si="133"/>
        <v>0.0003556886471</v>
      </c>
      <c r="R116" s="474"/>
      <c r="S116" s="605" t="str">
        <f t="shared" si="134"/>
        <v>#DIV/0!</v>
      </c>
      <c r="T116" s="474">
        <f t="shared" si="139"/>
        <v>3150</v>
      </c>
      <c r="U116" s="605" t="str">
        <f t="shared" si="140"/>
        <v>#DIV/0!</v>
      </c>
    </row>
    <row r="117" ht="15.75" customHeight="1">
      <c r="A117" s="439"/>
      <c r="B117" s="465"/>
      <c r="C117" s="465" t="s">
        <v>247</v>
      </c>
      <c r="D117" s="467">
        <v>16230.0</v>
      </c>
      <c r="E117" s="557">
        <f t="shared" si="141"/>
        <v>0.001559881883</v>
      </c>
      <c r="F117" s="521"/>
      <c r="G117" s="557" t="str">
        <f t="shared" si="142"/>
        <v>#DIV/0!</v>
      </c>
      <c r="H117" s="521">
        <f t="shared" si="143"/>
        <v>16230</v>
      </c>
      <c r="I117" s="562" t="str">
        <f t="shared" si="144"/>
        <v>#DIV/0!</v>
      </c>
      <c r="J117" s="467">
        <v>19335.0</v>
      </c>
      <c r="K117" s="557">
        <f t="shared" si="131"/>
        <v>0.001901309873</v>
      </c>
      <c r="L117" s="521"/>
      <c r="M117" s="557" t="str">
        <f t="shared" si="132"/>
        <v>#DIV/0!</v>
      </c>
      <c r="N117" s="521">
        <f t="shared" si="137"/>
        <v>19335</v>
      </c>
      <c r="O117" s="562" t="str">
        <f t="shared" si="138"/>
        <v>#DIV/0!</v>
      </c>
      <c r="P117" s="506">
        <v>18852.0</v>
      </c>
      <c r="Q117" s="605">
        <f t="shared" si="133"/>
        <v>0.002128711865</v>
      </c>
      <c r="R117" s="474"/>
      <c r="S117" s="605" t="str">
        <f t="shared" si="134"/>
        <v>#DIV/0!</v>
      </c>
      <c r="T117" s="474">
        <f t="shared" si="139"/>
        <v>18852</v>
      </c>
      <c r="U117" s="605" t="str">
        <f t="shared" si="140"/>
        <v>#DIV/0!</v>
      </c>
    </row>
    <row r="118" ht="15.75" customHeight="1">
      <c r="A118" s="439"/>
      <c r="B118" s="465"/>
      <c r="C118" s="465" t="s">
        <v>248</v>
      </c>
      <c r="D118" s="467">
        <v>10360.0</v>
      </c>
      <c r="E118" s="557">
        <f t="shared" si="141"/>
        <v>0.0009957101855</v>
      </c>
      <c r="F118" s="521"/>
      <c r="G118" s="557" t="str">
        <f t="shared" si="142"/>
        <v>#DIV/0!</v>
      </c>
      <c r="H118" s="521">
        <f t="shared" si="143"/>
        <v>10360</v>
      </c>
      <c r="I118" s="562" t="str">
        <f t="shared" si="144"/>
        <v>#DIV/0!</v>
      </c>
      <c r="J118" s="467">
        <v>19412.0</v>
      </c>
      <c r="K118" s="557">
        <f t="shared" si="131"/>
        <v>0.001908881679</v>
      </c>
      <c r="L118" s="521"/>
      <c r="M118" s="557" t="str">
        <f t="shared" si="132"/>
        <v>#DIV/0!</v>
      </c>
      <c r="N118" s="521">
        <f t="shared" si="137"/>
        <v>19412</v>
      </c>
      <c r="O118" s="562" t="str">
        <f t="shared" si="138"/>
        <v>#DIV/0!</v>
      </c>
      <c r="P118" s="506">
        <v>1984.0</v>
      </c>
      <c r="Q118" s="605">
        <f t="shared" si="133"/>
        <v>0.0002240273892</v>
      </c>
      <c r="R118" s="474"/>
      <c r="S118" s="605" t="str">
        <f t="shared" si="134"/>
        <v>#DIV/0!</v>
      </c>
      <c r="T118" s="474">
        <f t="shared" si="139"/>
        <v>1984</v>
      </c>
      <c r="U118" s="605" t="str">
        <f t="shared" si="140"/>
        <v>#DIV/0!</v>
      </c>
    </row>
    <row r="119" ht="15.75" customHeight="1">
      <c r="A119" s="439"/>
      <c r="B119" s="465"/>
      <c r="C119" s="465" t="s">
        <v>315</v>
      </c>
      <c r="D119" s="467">
        <v>14160.0</v>
      </c>
      <c r="E119" s="467">
        <v>14160.0</v>
      </c>
      <c r="F119" s="467">
        <v>14160.0</v>
      </c>
      <c r="G119" s="467">
        <v>14160.0</v>
      </c>
      <c r="H119" s="467">
        <v>14160.0</v>
      </c>
      <c r="I119" s="467">
        <v>14160.0</v>
      </c>
      <c r="J119" s="467">
        <v>14160.0</v>
      </c>
      <c r="K119" s="557">
        <f t="shared" si="131"/>
        <v>0.001392425539</v>
      </c>
      <c r="L119" s="521"/>
      <c r="M119" s="557" t="str">
        <f t="shared" si="132"/>
        <v>#DIV/0!</v>
      </c>
      <c r="N119" s="521">
        <f t="shared" si="137"/>
        <v>14160</v>
      </c>
      <c r="O119" s="562" t="str">
        <f t="shared" si="138"/>
        <v>#DIV/0!</v>
      </c>
      <c r="P119" s="506">
        <v>14160.0</v>
      </c>
      <c r="Q119" s="605">
        <f t="shared" si="133"/>
        <v>0.001598905156</v>
      </c>
      <c r="R119" s="474"/>
      <c r="S119" s="605" t="str">
        <f t="shared" si="134"/>
        <v>#DIV/0!</v>
      </c>
      <c r="T119" s="474">
        <f t="shared" si="139"/>
        <v>14160</v>
      </c>
      <c r="U119" s="605" t="str">
        <f t="shared" si="140"/>
        <v>#DIV/0!</v>
      </c>
    </row>
    <row r="120" ht="15.75" customHeight="1">
      <c r="A120" s="439"/>
      <c r="B120" s="465"/>
      <c r="C120" s="465" t="s">
        <v>306</v>
      </c>
      <c r="D120" s="467">
        <v>0.0</v>
      </c>
      <c r="E120" s="557">
        <f t="shared" ref="E120:E121" si="145">D120/D$29</f>
        <v>0</v>
      </c>
      <c r="F120" s="521"/>
      <c r="G120" s="557" t="str">
        <f t="shared" ref="G120:G124" si="146">F120/F$29</f>
        <v>#DIV/0!</v>
      </c>
      <c r="H120" s="521">
        <f t="shared" ref="H120:H121" si="147">D120-F120</f>
        <v>0</v>
      </c>
      <c r="I120" s="562" t="str">
        <f t="shared" ref="I120:I121" si="148">H120/F120</f>
        <v>#DIV/0!</v>
      </c>
      <c r="J120" s="467">
        <v>0.0</v>
      </c>
      <c r="K120" s="557">
        <f t="shared" si="131"/>
        <v>0</v>
      </c>
      <c r="L120" s="521"/>
      <c r="M120" s="557" t="str">
        <f t="shared" si="132"/>
        <v>#DIV/0!</v>
      </c>
      <c r="N120" s="521">
        <f t="shared" si="137"/>
        <v>0</v>
      </c>
      <c r="O120" s="562" t="str">
        <f t="shared" si="138"/>
        <v>#DIV/0!</v>
      </c>
      <c r="P120" s="506">
        <v>0.0</v>
      </c>
      <c r="Q120" s="605">
        <f t="shared" si="133"/>
        <v>0</v>
      </c>
      <c r="R120" s="474"/>
      <c r="S120" s="605" t="str">
        <f t="shared" si="134"/>
        <v>#DIV/0!</v>
      </c>
      <c r="T120" s="474">
        <f t="shared" si="139"/>
        <v>0</v>
      </c>
      <c r="U120" s="605" t="str">
        <f t="shared" si="140"/>
        <v>#DIV/0!</v>
      </c>
    </row>
    <row r="121" ht="15.75" customHeight="1">
      <c r="A121" s="439"/>
      <c r="B121" s="465"/>
      <c r="C121" s="762" t="s">
        <v>293</v>
      </c>
      <c r="D121" s="514">
        <v>1735.0</v>
      </c>
      <c r="E121" s="557">
        <f t="shared" si="145"/>
        <v>0.0001667526228</v>
      </c>
      <c r="F121" s="521"/>
      <c r="G121" s="557" t="str">
        <f t="shared" si="146"/>
        <v>#DIV/0!</v>
      </c>
      <c r="H121" s="521">
        <f t="shared" si="147"/>
        <v>1735</v>
      </c>
      <c r="I121" s="562" t="str">
        <f t="shared" si="148"/>
        <v>#DIV/0!</v>
      </c>
      <c r="J121" s="514">
        <v>1735.0</v>
      </c>
      <c r="K121" s="557">
        <f t="shared" si="131"/>
        <v>0.0001706114626</v>
      </c>
      <c r="L121" s="521"/>
      <c r="M121" s="557" t="str">
        <f t="shared" si="132"/>
        <v>#DIV/0!</v>
      </c>
      <c r="N121" s="521">
        <f t="shared" si="137"/>
        <v>1735</v>
      </c>
      <c r="O121" s="562" t="str">
        <f t="shared" si="138"/>
        <v>#DIV/0!</v>
      </c>
      <c r="P121" s="506">
        <v>0.0</v>
      </c>
      <c r="Q121" s="605">
        <f t="shared" si="133"/>
        <v>0</v>
      </c>
      <c r="R121" s="474"/>
      <c r="S121" s="605" t="str">
        <f t="shared" si="134"/>
        <v>#DIV/0!</v>
      </c>
      <c r="T121" s="474">
        <f t="shared" si="139"/>
        <v>0</v>
      </c>
      <c r="U121" s="605" t="str">
        <f t="shared" si="140"/>
        <v>#DIV/0!</v>
      </c>
    </row>
    <row r="122" ht="15.75" customHeight="1">
      <c r="A122" s="439"/>
      <c r="B122" s="465"/>
      <c r="C122" s="465"/>
      <c r="D122" s="467"/>
      <c r="E122" s="539"/>
      <c r="F122" s="521"/>
      <c r="G122" s="557" t="str">
        <f t="shared" si="146"/>
        <v>#DIV/0!</v>
      </c>
      <c r="H122" s="539"/>
      <c r="I122" s="479"/>
      <c r="J122" s="467"/>
      <c r="K122" s="539"/>
      <c r="L122" s="521"/>
      <c r="M122" s="557" t="str">
        <f t="shared" si="132"/>
        <v>#DIV/0!</v>
      </c>
      <c r="N122" s="539"/>
      <c r="O122" s="479"/>
      <c r="P122" s="474"/>
      <c r="Q122" s="469"/>
      <c r="R122" s="474"/>
      <c r="S122" s="605" t="str">
        <f t="shared" si="134"/>
        <v>#DIV/0!</v>
      </c>
      <c r="T122" s="469"/>
      <c r="U122" s="469"/>
    </row>
    <row r="123" ht="15.75" customHeight="1">
      <c r="A123" s="439"/>
      <c r="B123" s="483"/>
      <c r="C123" s="619"/>
      <c r="D123" s="485"/>
      <c r="E123" s="544"/>
      <c r="F123" s="545"/>
      <c r="G123" s="564" t="str">
        <f t="shared" si="146"/>
        <v>#DIV/0!</v>
      </c>
      <c r="H123" s="544"/>
      <c r="I123" s="546"/>
      <c r="J123" s="485"/>
      <c r="K123" s="539"/>
      <c r="L123" s="521"/>
      <c r="M123" s="557" t="str">
        <f t="shared" si="132"/>
        <v>#DIV/0!</v>
      </c>
      <c r="N123" s="539"/>
      <c r="O123" s="479"/>
      <c r="P123" s="501"/>
      <c r="Q123" s="469"/>
      <c r="R123" s="474"/>
      <c r="S123" s="605" t="str">
        <f t="shared" si="134"/>
        <v>#DIV/0!</v>
      </c>
      <c r="T123" s="469"/>
      <c r="U123" s="469"/>
    </row>
    <row r="124" ht="15.75" customHeight="1">
      <c r="A124" s="439"/>
      <c r="B124" s="493"/>
      <c r="C124" s="511" t="s">
        <v>41</v>
      </c>
      <c r="D124" s="512">
        <f>SUM(D125:D126)</f>
        <v>0</v>
      </c>
      <c r="E124" s="669">
        <f>D124/D$29</f>
        <v>0</v>
      </c>
      <c r="F124" s="512">
        <f>SUM(F125:F126)</f>
        <v>0</v>
      </c>
      <c r="G124" s="669" t="str">
        <f t="shared" si="146"/>
        <v>#DIV/0!</v>
      </c>
      <c r="H124" s="797">
        <f>SUM(H125)</f>
        <v>0</v>
      </c>
      <c r="I124" s="670"/>
      <c r="J124" s="512">
        <f>SUM(J125:J126)</f>
        <v>0</v>
      </c>
      <c r="K124" s="560">
        <f>J124/J$29</f>
        <v>0</v>
      </c>
      <c r="L124" s="521">
        <f>SUM(L125:L126)</f>
        <v>0</v>
      </c>
      <c r="M124" s="557" t="str">
        <f t="shared" si="132"/>
        <v>#DIV/0!</v>
      </c>
      <c r="N124" s="784">
        <f>SUM(N125)</f>
        <v>0</v>
      </c>
      <c r="O124" s="479"/>
      <c r="P124" s="512">
        <f>SUM(P125:P126)</f>
        <v>0</v>
      </c>
      <c r="Q124" s="605">
        <f>P124/P$29</f>
        <v>0</v>
      </c>
      <c r="R124" s="474">
        <f>SUM(R125:R126)</f>
        <v>0</v>
      </c>
      <c r="S124" s="605" t="str">
        <f t="shared" si="134"/>
        <v>#DIV/0!</v>
      </c>
      <c r="T124" s="752">
        <f>SUM(T125)</f>
        <v>0</v>
      </c>
      <c r="U124" s="469"/>
    </row>
    <row r="125" ht="15.75" customHeight="1">
      <c r="A125" s="439"/>
      <c r="B125" s="497"/>
      <c r="C125" s="497" t="s">
        <v>250</v>
      </c>
      <c r="D125" s="463">
        <v>0.0</v>
      </c>
      <c r="E125" s="540"/>
      <c r="F125" s="541"/>
      <c r="G125" s="540"/>
      <c r="H125" s="463">
        <v>0.0</v>
      </c>
      <c r="I125" s="542"/>
      <c r="J125" s="463">
        <v>0.0</v>
      </c>
      <c r="K125" s="539"/>
      <c r="L125" s="521"/>
      <c r="M125" s="539"/>
      <c r="N125" s="467">
        <v>0.0</v>
      </c>
      <c r="O125" s="479"/>
      <c r="P125" s="498">
        <v>0.0</v>
      </c>
      <c r="Q125" s="469"/>
      <c r="R125" s="474"/>
      <c r="S125" s="469"/>
      <c r="T125" s="474">
        <v>0.0</v>
      </c>
      <c r="U125" s="469"/>
    </row>
    <row r="126" ht="15.75" customHeight="1">
      <c r="A126" s="439"/>
      <c r="B126" s="465"/>
      <c r="C126" s="465" t="s">
        <v>41</v>
      </c>
      <c r="D126" s="467">
        <v>0.0</v>
      </c>
      <c r="E126" s="557">
        <f>D126/D$29</f>
        <v>0</v>
      </c>
      <c r="F126" s="521">
        <v>0.0</v>
      </c>
      <c r="G126" s="557" t="str">
        <f>F126/F$29</f>
        <v>#DIV/0!</v>
      </c>
      <c r="H126" s="467">
        <v>0.0</v>
      </c>
      <c r="I126" s="479"/>
      <c r="J126" s="467">
        <v>0.0</v>
      </c>
      <c r="K126" s="557">
        <f>J126/J$29</f>
        <v>0</v>
      </c>
      <c r="L126" s="521">
        <v>0.0</v>
      </c>
      <c r="M126" s="557" t="str">
        <f>L126/L$29</f>
        <v>#DIV/0!</v>
      </c>
      <c r="N126" s="467">
        <v>0.0</v>
      </c>
      <c r="O126" s="479"/>
      <c r="P126" s="474">
        <v>0.0</v>
      </c>
      <c r="Q126" s="605">
        <f>P126/P$29</f>
        <v>0</v>
      </c>
      <c r="R126" s="474">
        <v>0.0</v>
      </c>
      <c r="S126" s="605" t="str">
        <f>R126/R$29</f>
        <v>#DIV/0!</v>
      </c>
      <c r="T126" s="474">
        <v>0.0</v>
      </c>
      <c r="U126" s="469"/>
    </row>
    <row r="127" ht="15.75" customHeight="1">
      <c r="A127" s="439"/>
      <c r="B127" s="483"/>
      <c r="C127" s="483"/>
      <c r="D127" s="485"/>
      <c r="E127" s="544"/>
      <c r="F127" s="545"/>
      <c r="G127" s="544"/>
      <c r="H127" s="544"/>
      <c r="I127" s="546"/>
      <c r="J127" s="485"/>
      <c r="K127" s="539"/>
      <c r="L127" s="521"/>
      <c r="M127" s="539"/>
      <c r="N127" s="539"/>
      <c r="O127" s="479"/>
      <c r="P127" s="501"/>
      <c r="Q127" s="469"/>
      <c r="R127" s="474"/>
      <c r="S127" s="469"/>
      <c r="T127" s="469"/>
      <c r="U127" s="469"/>
    </row>
    <row r="128" ht="15.75" customHeight="1">
      <c r="A128" s="439"/>
      <c r="B128" s="493"/>
      <c r="C128" s="511" t="s">
        <v>42</v>
      </c>
      <c r="D128" s="512">
        <f>SUM(D129:D130)</f>
        <v>0</v>
      </c>
      <c r="E128" s="669">
        <f>D128/D$29</f>
        <v>0</v>
      </c>
      <c r="F128" s="512">
        <f>SUM(F129:F130)</f>
        <v>0</v>
      </c>
      <c r="G128" s="669" t="str">
        <f>F128/F$29</f>
        <v>#DIV/0!</v>
      </c>
      <c r="H128" s="512">
        <f>SUM(H129:H130)</f>
        <v>0</v>
      </c>
      <c r="I128" s="670"/>
      <c r="J128" s="512">
        <f>SUM(J129:J130)</f>
        <v>0</v>
      </c>
      <c r="K128" s="560">
        <f>J128/J$29</f>
        <v>0</v>
      </c>
      <c r="L128" s="521">
        <f>SUM(L129:L130)</f>
        <v>0</v>
      </c>
      <c r="M128" s="557" t="str">
        <f>L128/L$29</f>
        <v>#DIV/0!</v>
      </c>
      <c r="N128" s="467">
        <f>SUM(N129:N130)</f>
        <v>0</v>
      </c>
      <c r="O128" s="479"/>
      <c r="P128" s="512">
        <f>SUM(P129:P130)</f>
        <v>0</v>
      </c>
      <c r="Q128" s="605">
        <f>P128/P$29</f>
        <v>0</v>
      </c>
      <c r="R128" s="474">
        <f>SUM(R129:R130)</f>
        <v>0</v>
      </c>
      <c r="S128" s="605" t="str">
        <f>R128/R$29</f>
        <v>#DIV/0!</v>
      </c>
      <c r="T128" s="474">
        <f>SUM(T129:T130)</f>
        <v>0</v>
      </c>
      <c r="U128" s="469"/>
    </row>
    <row r="129" ht="15.75" customHeight="1">
      <c r="A129" s="439"/>
      <c r="B129" s="497"/>
      <c r="C129" s="497" t="s">
        <v>285</v>
      </c>
      <c r="D129" s="463">
        <v>0.0</v>
      </c>
      <c r="E129" s="540"/>
      <c r="F129" s="541"/>
      <c r="G129" s="552"/>
      <c r="H129" s="540"/>
      <c r="I129" s="542"/>
      <c r="J129" s="463">
        <v>0.0</v>
      </c>
      <c r="K129" s="539"/>
      <c r="L129" s="521"/>
      <c r="M129" s="557"/>
      <c r="N129" s="539"/>
      <c r="O129" s="479"/>
      <c r="P129" s="498">
        <v>0.0</v>
      </c>
      <c r="Q129" s="469"/>
      <c r="R129" s="474"/>
      <c r="S129" s="605"/>
      <c r="T129" s="469"/>
      <c r="U129" s="469"/>
    </row>
    <row r="130" ht="15.75" customHeight="1">
      <c r="A130" s="439"/>
      <c r="B130" s="465"/>
      <c r="C130" s="465" t="s">
        <v>253</v>
      </c>
      <c r="D130" s="467">
        <v>0.0</v>
      </c>
      <c r="E130" s="539"/>
      <c r="F130" s="521"/>
      <c r="G130" s="557"/>
      <c r="H130" s="539"/>
      <c r="I130" s="479"/>
      <c r="J130" s="467">
        <v>0.0</v>
      </c>
      <c r="K130" s="539"/>
      <c r="L130" s="521"/>
      <c r="M130" s="557"/>
      <c r="N130" s="539"/>
      <c r="O130" s="479"/>
      <c r="P130" s="474">
        <v>0.0</v>
      </c>
      <c r="Q130" s="469"/>
      <c r="R130" s="474"/>
      <c r="S130" s="605"/>
      <c r="T130" s="469"/>
      <c r="U130" s="469"/>
    </row>
    <row r="131" ht="15.75" customHeight="1">
      <c r="A131" s="439"/>
      <c r="B131" s="465"/>
      <c r="C131" s="465"/>
      <c r="D131" s="467"/>
      <c r="E131" s="539"/>
      <c r="F131" s="521"/>
      <c r="G131" s="539"/>
      <c r="H131" s="539"/>
      <c r="I131" s="479"/>
      <c r="J131" s="467"/>
      <c r="K131" s="539"/>
      <c r="L131" s="521"/>
      <c r="M131" s="539"/>
      <c r="N131" s="539"/>
      <c r="O131" s="479"/>
      <c r="P131" s="474"/>
      <c r="Q131" s="469"/>
      <c r="R131" s="474"/>
      <c r="S131" s="469"/>
      <c r="T131" s="469"/>
      <c r="U131" s="469"/>
    </row>
    <row r="132" ht="15.75" customHeight="1">
      <c r="A132" s="439"/>
      <c r="B132" s="483"/>
      <c r="C132" s="483"/>
      <c r="D132" s="485"/>
      <c r="E132" s="544"/>
      <c r="F132" s="545"/>
      <c r="G132" s="544"/>
      <c r="H132" s="544"/>
      <c r="I132" s="546"/>
      <c r="J132" s="485"/>
      <c r="K132" s="544"/>
      <c r="L132" s="545"/>
      <c r="M132" s="544"/>
      <c r="N132" s="544"/>
      <c r="O132" s="546"/>
      <c r="P132" s="501"/>
      <c r="Q132" s="543"/>
      <c r="R132" s="501"/>
      <c r="S132" s="543"/>
      <c r="T132" s="543"/>
      <c r="U132" s="543"/>
    </row>
    <row r="133" ht="15.75" customHeight="1">
      <c r="A133" s="439"/>
      <c r="B133" s="490"/>
      <c r="C133" s="490" t="s">
        <v>254</v>
      </c>
      <c r="D133" s="459">
        <f>D61+D63+D76+D83+D90+D101+D104+D108+D124+D128</f>
        <v>4271533.833</v>
      </c>
      <c r="E133" s="547">
        <f>D133/D$29</f>
        <v>0.4105414812</v>
      </c>
      <c r="F133" s="459">
        <f>F61+F63+F76+F83+F90+F101+F104+F108+F124+F128</f>
        <v>65342.58333</v>
      </c>
      <c r="G133" s="547" t="str">
        <f>F133/F$29</f>
        <v>#DIV/0!</v>
      </c>
      <c r="H133" s="459">
        <f>H61+H63+H76+H83+H90+H101+H104+H108+H124+H128</f>
        <v>4271533.833</v>
      </c>
      <c r="I133" s="585"/>
      <c r="J133" s="459">
        <f>J61+J63+J76+J83+J90+J101+J104+J108+J124+J128</f>
        <v>4160751.25</v>
      </c>
      <c r="K133" s="547">
        <f>J133/J$29</f>
        <v>0.409148044</v>
      </c>
      <c r="L133" s="459">
        <f>L61+L63+L76+L83+L90+L101+L104+L108+L124+L128</f>
        <v>0</v>
      </c>
      <c r="M133" s="547" t="str">
        <f>L133/L$29</f>
        <v>#DIV/0!</v>
      </c>
      <c r="N133" s="459">
        <f>N61+N63+N76+N83+N90+N101+N104+N108+N124+N128</f>
        <v>4139511.25</v>
      </c>
      <c r="O133" s="585"/>
      <c r="P133" s="491">
        <f>P61+P63+P76+P83+P90+P101+P104+P108+P124+P128</f>
        <v>3901308</v>
      </c>
      <c r="Q133" s="613">
        <f>P133/P$29</f>
        <v>0.4405241157</v>
      </c>
      <c r="R133" s="491">
        <f>R61+R63+R76+R83+R90+R101+R104+R108+R124+R128</f>
        <v>0</v>
      </c>
      <c r="S133" s="613" t="str">
        <f>R133/R$29</f>
        <v>#DIV/0!</v>
      </c>
      <c r="T133" s="491">
        <f>T61+T63+T76+T83+T90+T101+T104+T108+T124+T128</f>
        <v>3901308</v>
      </c>
      <c r="U133" s="457"/>
    </row>
    <row r="134" ht="15.75" customHeight="1">
      <c r="A134" s="439"/>
      <c r="B134" s="526"/>
      <c r="C134" s="526"/>
      <c r="D134" s="515"/>
      <c r="E134" s="620"/>
      <c r="F134" s="590"/>
      <c r="G134" s="620"/>
      <c r="H134" s="620"/>
      <c r="I134" s="455"/>
      <c r="J134" s="515"/>
      <c r="K134" s="620"/>
      <c r="L134" s="590"/>
      <c r="M134" s="620"/>
      <c r="N134" s="620"/>
      <c r="O134" s="455"/>
      <c r="P134" s="522"/>
      <c r="Q134" s="794"/>
      <c r="R134" s="522"/>
      <c r="S134" s="794"/>
      <c r="T134" s="794"/>
      <c r="U134" s="794"/>
    </row>
    <row r="135" ht="15.75" customHeight="1">
      <c r="A135" s="439"/>
      <c r="B135" s="490"/>
      <c r="C135" s="490" t="s">
        <v>255</v>
      </c>
      <c r="D135" s="459">
        <f>D52-D133</f>
        <v>2584123.122</v>
      </c>
      <c r="E135" s="547">
        <f>D135/D$29</f>
        <v>0.2483627136</v>
      </c>
      <c r="F135" s="548" t="str">
        <f>F52-F133</f>
        <v>#REF!</v>
      </c>
      <c r="G135" s="547" t="str">
        <f>F135/F$29</f>
        <v>#REF!</v>
      </c>
      <c r="H135" s="584"/>
      <c r="I135" s="585"/>
      <c r="J135" s="459">
        <f>J52-J133</f>
        <v>2133014.939</v>
      </c>
      <c r="K135" s="547">
        <f>J135/J$29</f>
        <v>0.2097503162</v>
      </c>
      <c r="L135" s="548" t="str">
        <f>L52-L133</f>
        <v>#REF!</v>
      </c>
      <c r="M135" s="547" t="str">
        <f>L135/L$29</f>
        <v>#REF!</v>
      </c>
      <c r="N135" s="584"/>
      <c r="O135" s="585"/>
      <c r="P135" s="491">
        <f>P52-P133</f>
        <v>1415796.038</v>
      </c>
      <c r="Q135" s="613">
        <f>P135/P$29</f>
        <v>0.1598674849</v>
      </c>
      <c r="R135" s="491" t="str">
        <f>R52-R133</f>
        <v>#REF!</v>
      </c>
      <c r="S135" s="613" t="str">
        <f>R135/R$29</f>
        <v>#REF!</v>
      </c>
      <c r="T135" s="457"/>
      <c r="U135" s="457"/>
    </row>
    <row r="136" ht="15.75" customHeight="1">
      <c r="A136" s="439"/>
      <c r="B136" s="439"/>
      <c r="C136" s="439"/>
      <c r="D136" s="798"/>
      <c r="E136" s="247"/>
      <c r="F136" s="798"/>
      <c r="G136" s="247"/>
      <c r="H136" s="247"/>
      <c r="I136" s="247"/>
      <c r="J136" s="798"/>
      <c r="K136" s="247"/>
      <c r="L136" s="798"/>
      <c r="M136" s="247"/>
      <c r="N136" s="247"/>
      <c r="O136" s="247"/>
      <c r="P136" s="798"/>
      <c r="Q136" s="247"/>
      <c r="R136" s="798"/>
      <c r="S136" s="247"/>
      <c r="T136" s="247"/>
      <c r="U136" s="247"/>
    </row>
    <row r="137" ht="15.75" customHeight="1">
      <c r="A137" s="439"/>
      <c r="B137" s="439"/>
      <c r="C137" s="692"/>
      <c r="D137" s="798"/>
      <c r="E137" s="247"/>
      <c r="F137" s="798"/>
      <c r="G137" s="247"/>
      <c r="H137" s="247"/>
      <c r="I137" s="247"/>
      <c r="J137" s="798"/>
      <c r="K137" s="247"/>
      <c r="L137" s="798"/>
      <c r="M137" s="247"/>
      <c r="N137" s="247"/>
      <c r="O137" s="247"/>
      <c r="P137" s="798"/>
      <c r="Q137" s="247"/>
      <c r="R137" s="798"/>
      <c r="S137" s="247"/>
      <c r="T137" s="247"/>
      <c r="U137" s="247"/>
    </row>
    <row r="138" ht="15.75" customHeight="1">
      <c r="A138" s="439"/>
      <c r="B138" s="439"/>
      <c r="C138" s="439"/>
      <c r="D138" s="798"/>
      <c r="E138" s="247"/>
      <c r="F138" s="798"/>
      <c r="G138" s="247"/>
      <c r="H138" s="247"/>
      <c r="I138" s="247"/>
      <c r="J138" s="798"/>
      <c r="K138" s="247"/>
      <c r="L138" s="798"/>
      <c r="M138" s="247"/>
      <c r="N138" s="247"/>
      <c r="O138" s="247"/>
      <c r="P138" s="798"/>
      <c r="Q138" s="247"/>
      <c r="R138" s="798"/>
      <c r="S138" s="247"/>
      <c r="T138" s="247"/>
      <c r="U138" s="247"/>
    </row>
    <row r="139" ht="15.75" customHeight="1">
      <c r="A139" s="439"/>
      <c r="B139" s="439"/>
      <c r="C139" s="439"/>
      <c r="D139" s="798"/>
      <c r="E139" s="247"/>
      <c r="F139" s="798"/>
      <c r="G139" s="247"/>
      <c r="H139" s="247"/>
      <c r="I139" s="247"/>
      <c r="J139" s="798"/>
      <c r="K139" s="247"/>
      <c r="L139" s="798"/>
      <c r="M139" s="247"/>
      <c r="N139" s="247"/>
      <c r="O139" s="247"/>
      <c r="P139" s="798"/>
      <c r="Q139" s="247"/>
      <c r="R139" s="798"/>
      <c r="S139" s="247"/>
      <c r="T139" s="247"/>
      <c r="U139" s="247"/>
    </row>
    <row r="140" ht="15.75" customHeight="1">
      <c r="A140" s="439"/>
      <c r="B140" s="439"/>
      <c r="C140" s="439"/>
      <c r="D140" s="798"/>
      <c r="E140" s="247"/>
      <c r="F140" s="798"/>
      <c r="G140" s="247"/>
      <c r="H140" s="247"/>
      <c r="I140" s="247"/>
      <c r="J140" s="798"/>
      <c r="K140" s="247"/>
      <c r="L140" s="798"/>
      <c r="M140" s="247"/>
      <c r="N140" s="247"/>
      <c r="O140" s="247"/>
      <c r="P140" s="798"/>
      <c r="Q140" s="247"/>
      <c r="R140" s="798"/>
      <c r="S140" s="247"/>
      <c r="T140" s="247"/>
      <c r="U140" s="247"/>
    </row>
    <row r="141" ht="15.75" customHeight="1">
      <c r="A141" s="439"/>
      <c r="B141" s="439"/>
      <c r="C141" s="439"/>
      <c r="D141" s="798"/>
      <c r="E141" s="247"/>
      <c r="F141" s="798"/>
      <c r="G141" s="247"/>
      <c r="H141" s="247"/>
      <c r="I141" s="247"/>
      <c r="J141" s="798"/>
      <c r="K141" s="247"/>
      <c r="L141" s="798"/>
      <c r="M141" s="247"/>
      <c r="N141" s="247"/>
      <c r="O141" s="247"/>
      <c r="P141" s="798"/>
      <c r="Q141" s="247"/>
      <c r="R141" s="798"/>
      <c r="S141" s="247"/>
      <c r="T141" s="247"/>
      <c r="U141" s="247"/>
    </row>
    <row r="142" ht="15.75" customHeight="1">
      <c r="A142" s="439"/>
      <c r="B142" s="439"/>
      <c r="C142" s="439"/>
      <c r="D142" s="798"/>
      <c r="E142" s="247"/>
      <c r="F142" s="798"/>
      <c r="G142" s="247"/>
      <c r="H142" s="247"/>
      <c r="I142" s="247"/>
      <c r="J142" s="798"/>
      <c r="K142" s="247"/>
      <c r="L142" s="798"/>
      <c r="M142" s="247"/>
      <c r="N142" s="247"/>
      <c r="O142" s="247"/>
      <c r="P142" s="798"/>
      <c r="Q142" s="247"/>
      <c r="R142" s="798"/>
      <c r="S142" s="247"/>
      <c r="T142" s="247"/>
      <c r="U142" s="247"/>
    </row>
    <row r="143" ht="15.75" customHeight="1">
      <c r="A143" s="439"/>
      <c r="B143" s="439"/>
      <c r="C143" s="439"/>
      <c r="D143" s="798"/>
      <c r="E143" s="247"/>
      <c r="F143" s="798"/>
      <c r="G143" s="247"/>
      <c r="H143" s="247"/>
      <c r="I143" s="247"/>
      <c r="J143" s="798"/>
      <c r="K143" s="247"/>
      <c r="L143" s="798"/>
      <c r="M143" s="247"/>
      <c r="N143" s="247"/>
      <c r="O143" s="247"/>
      <c r="P143" s="798"/>
      <c r="Q143" s="247"/>
      <c r="R143" s="798"/>
      <c r="S143" s="247"/>
      <c r="T143" s="247"/>
      <c r="U143" s="247"/>
    </row>
    <row r="144" ht="15.75" customHeight="1">
      <c r="A144" s="439"/>
      <c r="B144" s="439"/>
      <c r="C144" s="439"/>
      <c r="D144" s="798"/>
      <c r="E144" s="247"/>
      <c r="F144" s="798"/>
      <c r="G144" s="247"/>
      <c r="H144" s="247"/>
      <c r="I144" s="247"/>
      <c r="J144" s="798"/>
      <c r="K144" s="247"/>
      <c r="L144" s="798"/>
      <c r="M144" s="247"/>
      <c r="N144" s="247"/>
      <c r="O144" s="247"/>
      <c r="P144" s="798"/>
      <c r="Q144" s="247"/>
      <c r="R144" s="798"/>
      <c r="S144" s="247"/>
      <c r="T144" s="247"/>
      <c r="U144" s="247"/>
    </row>
    <row r="145" ht="15.75" customHeight="1">
      <c r="A145" s="439"/>
      <c r="B145" s="439"/>
      <c r="C145" s="439"/>
      <c r="D145" s="798"/>
      <c r="E145" s="247"/>
      <c r="F145" s="798"/>
      <c r="G145" s="247"/>
      <c r="H145" s="247"/>
      <c r="I145" s="247"/>
      <c r="J145" s="798"/>
      <c r="K145" s="247"/>
      <c r="L145" s="798"/>
      <c r="M145" s="247"/>
      <c r="N145" s="247"/>
      <c r="O145" s="247"/>
      <c r="P145" s="798"/>
      <c r="Q145" s="247"/>
      <c r="R145" s="798"/>
      <c r="S145" s="247"/>
      <c r="T145" s="247"/>
      <c r="U145" s="247"/>
    </row>
    <row r="146" ht="15.75" customHeight="1">
      <c r="A146" s="439"/>
      <c r="B146" s="439"/>
      <c r="C146" s="439"/>
      <c r="D146" s="798"/>
      <c r="E146" s="247"/>
      <c r="F146" s="798"/>
      <c r="G146" s="247"/>
      <c r="H146" s="247"/>
      <c r="I146" s="247"/>
      <c r="J146" s="798"/>
      <c r="K146" s="247"/>
      <c r="L146" s="798"/>
      <c r="M146" s="247"/>
      <c r="N146" s="247"/>
      <c r="O146" s="247"/>
      <c r="P146" s="798"/>
      <c r="Q146" s="247"/>
      <c r="R146" s="798"/>
      <c r="S146" s="247"/>
      <c r="T146" s="247"/>
      <c r="U146" s="247"/>
    </row>
    <row r="147" ht="15.75" customHeight="1">
      <c r="A147" s="439"/>
      <c r="B147" s="439"/>
      <c r="C147" s="439"/>
      <c r="D147" s="798"/>
      <c r="E147" s="247"/>
      <c r="F147" s="798"/>
      <c r="G147" s="247"/>
      <c r="H147" s="247"/>
      <c r="I147" s="247"/>
      <c r="J147" s="798"/>
      <c r="K147" s="247"/>
      <c r="L147" s="798"/>
      <c r="M147" s="247"/>
      <c r="N147" s="247"/>
      <c r="O147" s="247"/>
      <c r="P147" s="798"/>
      <c r="Q147" s="247"/>
      <c r="R147" s="798"/>
      <c r="S147" s="247"/>
      <c r="T147" s="247"/>
      <c r="U147" s="247"/>
    </row>
    <row r="148" ht="15.75" customHeight="1">
      <c r="A148" s="439"/>
      <c r="B148" s="439"/>
      <c r="C148" s="439"/>
      <c r="D148" s="798"/>
      <c r="E148" s="247"/>
      <c r="F148" s="798"/>
      <c r="G148" s="247"/>
      <c r="H148" s="247"/>
      <c r="I148" s="247"/>
      <c r="J148" s="798"/>
      <c r="K148" s="247"/>
      <c r="L148" s="798"/>
      <c r="M148" s="247"/>
      <c r="N148" s="247"/>
      <c r="O148" s="247"/>
      <c r="P148" s="798"/>
      <c r="Q148" s="247"/>
      <c r="R148" s="798"/>
      <c r="S148" s="247"/>
      <c r="T148" s="247"/>
      <c r="U148" s="247"/>
    </row>
    <row r="149" ht="15.75" customHeight="1">
      <c r="A149" s="439"/>
      <c r="B149" s="439"/>
      <c r="C149" s="439"/>
      <c r="D149" s="798"/>
      <c r="E149" s="247"/>
      <c r="F149" s="798"/>
      <c r="G149" s="247"/>
      <c r="H149" s="247"/>
      <c r="I149" s="247"/>
      <c r="J149" s="798"/>
      <c r="K149" s="247"/>
      <c r="L149" s="798"/>
      <c r="M149" s="247"/>
      <c r="N149" s="247"/>
      <c r="O149" s="247"/>
      <c r="P149" s="798"/>
      <c r="Q149" s="247"/>
      <c r="R149" s="798"/>
      <c r="S149" s="247"/>
      <c r="T149" s="247"/>
      <c r="U149" s="247"/>
    </row>
    <row r="150" ht="15.75" customHeight="1">
      <c r="A150" s="439"/>
      <c r="B150" s="439"/>
      <c r="C150" s="439"/>
      <c r="D150" s="798"/>
      <c r="E150" s="247"/>
      <c r="F150" s="798"/>
      <c r="G150" s="247"/>
      <c r="H150" s="247"/>
      <c r="I150" s="247"/>
      <c r="J150" s="798"/>
      <c r="K150" s="247"/>
      <c r="L150" s="798"/>
      <c r="M150" s="247"/>
      <c r="N150" s="247"/>
      <c r="O150" s="247"/>
      <c r="P150" s="798"/>
      <c r="Q150" s="247"/>
      <c r="R150" s="798"/>
      <c r="S150" s="247"/>
      <c r="T150" s="247"/>
      <c r="U150" s="247"/>
    </row>
    <row r="151" ht="15.75" customHeight="1">
      <c r="A151" s="439"/>
      <c r="B151" s="439"/>
      <c r="C151" s="439"/>
      <c r="D151" s="798"/>
      <c r="E151" s="247"/>
      <c r="F151" s="798"/>
      <c r="G151" s="247"/>
      <c r="H151" s="247"/>
      <c r="I151" s="247"/>
      <c r="J151" s="798"/>
      <c r="K151" s="247"/>
      <c r="L151" s="798"/>
      <c r="M151" s="247"/>
      <c r="N151" s="247"/>
      <c r="O151" s="247"/>
      <c r="P151" s="798"/>
      <c r="Q151" s="247"/>
      <c r="R151" s="798"/>
      <c r="S151" s="247"/>
      <c r="T151" s="247"/>
      <c r="U151" s="247"/>
    </row>
    <row r="152" ht="15.75" customHeight="1">
      <c r="A152" s="439"/>
      <c r="B152" s="439"/>
      <c r="C152" s="439"/>
      <c r="D152" s="798"/>
      <c r="E152" s="247"/>
      <c r="F152" s="798"/>
      <c r="G152" s="247"/>
      <c r="H152" s="247"/>
      <c r="I152" s="247"/>
      <c r="J152" s="798"/>
      <c r="K152" s="247"/>
      <c r="L152" s="798"/>
      <c r="M152" s="247"/>
      <c r="N152" s="247"/>
      <c r="O152" s="247"/>
      <c r="P152" s="798"/>
      <c r="Q152" s="247"/>
      <c r="R152" s="798"/>
      <c r="S152" s="247"/>
      <c r="T152" s="247"/>
      <c r="U152" s="247"/>
    </row>
    <row r="153" ht="15.75" customHeight="1">
      <c r="A153" s="439"/>
      <c r="B153" s="439"/>
      <c r="C153" s="439"/>
      <c r="D153" s="798"/>
      <c r="E153" s="247"/>
      <c r="F153" s="798"/>
      <c r="G153" s="247"/>
      <c r="H153" s="247"/>
      <c r="I153" s="247"/>
      <c r="J153" s="798"/>
      <c r="K153" s="247"/>
      <c r="L153" s="798"/>
      <c r="M153" s="247"/>
      <c r="N153" s="247"/>
      <c r="O153" s="247"/>
      <c r="P153" s="798"/>
      <c r="Q153" s="247"/>
      <c r="R153" s="798"/>
      <c r="S153" s="247"/>
      <c r="T153" s="247"/>
      <c r="U153" s="247"/>
    </row>
    <row r="154" ht="15.75" customHeight="1">
      <c r="A154" s="439"/>
      <c r="B154" s="439"/>
      <c r="C154" s="439"/>
      <c r="D154" s="798"/>
      <c r="E154" s="247"/>
      <c r="F154" s="798"/>
      <c r="G154" s="247"/>
      <c r="H154" s="247"/>
      <c r="I154" s="247"/>
      <c r="J154" s="798"/>
      <c r="K154" s="247"/>
      <c r="L154" s="798"/>
      <c r="M154" s="247"/>
      <c r="N154" s="247"/>
      <c r="O154" s="247"/>
      <c r="P154" s="798"/>
      <c r="Q154" s="247"/>
      <c r="R154" s="798"/>
      <c r="S154" s="247"/>
      <c r="T154" s="247"/>
      <c r="U154" s="247"/>
    </row>
    <row r="155" ht="15.75" customHeight="1">
      <c r="A155" s="439"/>
      <c r="B155" s="439"/>
      <c r="C155" s="439"/>
      <c r="D155" s="798"/>
      <c r="E155" s="247"/>
      <c r="F155" s="798"/>
      <c r="G155" s="247"/>
      <c r="H155" s="247"/>
      <c r="I155" s="247"/>
      <c r="J155" s="798"/>
      <c r="K155" s="247"/>
      <c r="L155" s="798"/>
      <c r="M155" s="247"/>
      <c r="N155" s="247"/>
      <c r="O155" s="247"/>
      <c r="P155" s="798"/>
      <c r="Q155" s="247"/>
      <c r="R155" s="798"/>
      <c r="S155" s="247"/>
      <c r="T155" s="247"/>
      <c r="U155" s="247"/>
    </row>
    <row r="156" ht="15.75" customHeight="1">
      <c r="A156" s="439"/>
      <c r="B156" s="439"/>
      <c r="C156" s="439"/>
      <c r="D156" s="798"/>
      <c r="E156" s="247"/>
      <c r="F156" s="798"/>
      <c r="G156" s="247"/>
      <c r="H156" s="247"/>
      <c r="I156" s="247"/>
      <c r="J156" s="798"/>
      <c r="K156" s="247"/>
      <c r="L156" s="798"/>
      <c r="M156" s="247"/>
      <c r="N156" s="247"/>
      <c r="O156" s="247"/>
      <c r="P156" s="798"/>
      <c r="Q156" s="247"/>
      <c r="R156" s="798"/>
      <c r="S156" s="247"/>
      <c r="T156" s="247"/>
      <c r="U156" s="247"/>
    </row>
    <row r="157" ht="15.75" customHeight="1">
      <c r="A157" s="439"/>
      <c r="B157" s="439"/>
      <c r="C157" s="439"/>
      <c r="D157" s="798"/>
      <c r="E157" s="247"/>
      <c r="F157" s="798"/>
      <c r="G157" s="247"/>
      <c r="H157" s="247"/>
      <c r="I157" s="247"/>
      <c r="J157" s="798"/>
      <c r="K157" s="247"/>
      <c r="L157" s="798"/>
      <c r="M157" s="247"/>
      <c r="N157" s="247"/>
      <c r="O157" s="247"/>
      <c r="P157" s="798"/>
      <c r="Q157" s="247"/>
      <c r="R157" s="798"/>
      <c r="S157" s="247"/>
      <c r="T157" s="247"/>
      <c r="U157" s="247"/>
    </row>
    <row r="158" ht="15.75" customHeight="1">
      <c r="A158" s="439"/>
      <c r="B158" s="439"/>
      <c r="C158" s="439"/>
      <c r="D158" s="798"/>
      <c r="E158" s="247"/>
      <c r="F158" s="798"/>
      <c r="G158" s="247"/>
      <c r="H158" s="247"/>
      <c r="I158" s="247"/>
      <c r="J158" s="798"/>
      <c r="K158" s="247"/>
      <c r="L158" s="798"/>
      <c r="M158" s="247"/>
      <c r="N158" s="247"/>
      <c r="O158" s="247"/>
      <c r="P158" s="798"/>
      <c r="Q158" s="247"/>
      <c r="R158" s="798"/>
      <c r="S158" s="247"/>
      <c r="T158" s="247"/>
      <c r="U158" s="247"/>
    </row>
    <row r="159" ht="15.75" customHeight="1">
      <c r="A159" s="439"/>
      <c r="B159" s="439"/>
      <c r="C159" s="439"/>
      <c r="D159" s="798"/>
      <c r="E159" s="247"/>
      <c r="F159" s="798"/>
      <c r="G159" s="247"/>
      <c r="H159" s="247"/>
      <c r="I159" s="247"/>
      <c r="J159" s="798"/>
      <c r="K159" s="247"/>
      <c r="L159" s="798"/>
      <c r="M159" s="247"/>
      <c r="N159" s="247"/>
      <c r="O159" s="247"/>
      <c r="P159" s="798"/>
      <c r="Q159" s="247"/>
      <c r="R159" s="798"/>
      <c r="S159" s="247"/>
      <c r="T159" s="247"/>
      <c r="U159" s="247"/>
    </row>
    <row r="160" ht="15.75" customHeight="1">
      <c r="A160" s="439"/>
      <c r="B160" s="439"/>
      <c r="C160" s="439"/>
      <c r="D160" s="798"/>
      <c r="E160" s="247"/>
      <c r="F160" s="798"/>
      <c r="G160" s="247"/>
      <c r="H160" s="247"/>
      <c r="I160" s="247"/>
      <c r="J160" s="798"/>
      <c r="K160" s="247"/>
      <c r="L160" s="798"/>
      <c r="M160" s="247"/>
      <c r="N160" s="247"/>
      <c r="O160" s="247"/>
      <c r="P160" s="798"/>
      <c r="Q160" s="247"/>
      <c r="R160" s="798"/>
      <c r="S160" s="247"/>
      <c r="T160" s="247"/>
      <c r="U160" s="247"/>
    </row>
    <row r="161" ht="15.75" customHeight="1">
      <c r="A161" s="439"/>
      <c r="B161" s="439"/>
      <c r="C161" s="439"/>
      <c r="D161" s="798"/>
      <c r="E161" s="247"/>
      <c r="F161" s="798"/>
      <c r="G161" s="247"/>
      <c r="H161" s="247"/>
      <c r="I161" s="247"/>
      <c r="J161" s="798"/>
      <c r="K161" s="247"/>
      <c r="L161" s="798"/>
      <c r="M161" s="247"/>
      <c r="N161" s="247"/>
      <c r="O161" s="247"/>
      <c r="P161" s="798"/>
      <c r="Q161" s="247"/>
      <c r="R161" s="798"/>
      <c r="S161" s="247"/>
      <c r="T161" s="247"/>
      <c r="U161" s="247"/>
    </row>
    <row r="162" ht="15.75" customHeight="1">
      <c r="A162" s="439"/>
      <c r="B162" s="439"/>
      <c r="C162" s="439"/>
      <c r="D162" s="798"/>
      <c r="E162" s="247"/>
      <c r="F162" s="798"/>
      <c r="G162" s="247"/>
      <c r="H162" s="247"/>
      <c r="I162" s="247"/>
      <c r="J162" s="798"/>
      <c r="K162" s="247"/>
      <c r="L162" s="798"/>
      <c r="M162" s="247"/>
      <c r="N162" s="247"/>
      <c r="O162" s="247"/>
      <c r="P162" s="798"/>
      <c r="Q162" s="247"/>
      <c r="R162" s="798"/>
      <c r="S162" s="247"/>
      <c r="T162" s="247"/>
      <c r="U162" s="247"/>
    </row>
    <row r="163" ht="15.75" customHeight="1">
      <c r="A163" s="439"/>
      <c r="B163" s="439"/>
      <c r="C163" s="439"/>
      <c r="D163" s="798"/>
      <c r="E163" s="247"/>
      <c r="F163" s="798"/>
      <c r="G163" s="247"/>
      <c r="H163" s="247"/>
      <c r="I163" s="247"/>
      <c r="J163" s="798"/>
      <c r="K163" s="247"/>
      <c r="L163" s="798"/>
      <c r="M163" s="247"/>
      <c r="N163" s="247"/>
      <c r="O163" s="247"/>
      <c r="P163" s="798"/>
      <c r="Q163" s="247"/>
      <c r="R163" s="798"/>
      <c r="S163" s="247"/>
      <c r="T163" s="247"/>
      <c r="U163" s="247"/>
    </row>
    <row r="164" ht="15.75" customHeight="1">
      <c r="A164" s="439"/>
      <c r="B164" s="439"/>
      <c r="C164" s="439"/>
      <c r="D164" s="798"/>
      <c r="E164" s="247"/>
      <c r="F164" s="798"/>
      <c r="G164" s="247"/>
      <c r="H164" s="247"/>
      <c r="I164" s="247"/>
      <c r="J164" s="798"/>
      <c r="K164" s="247"/>
      <c r="L164" s="798"/>
      <c r="M164" s="247"/>
      <c r="N164" s="247"/>
      <c r="O164" s="247"/>
      <c r="P164" s="798"/>
      <c r="Q164" s="247"/>
      <c r="R164" s="798"/>
      <c r="S164" s="247"/>
      <c r="T164" s="247"/>
      <c r="U164" s="247"/>
    </row>
    <row r="165" ht="15.75" customHeight="1">
      <c r="A165" s="439"/>
      <c r="B165" s="439"/>
      <c r="C165" s="439"/>
      <c r="D165" s="798"/>
      <c r="E165" s="247"/>
      <c r="F165" s="798"/>
      <c r="G165" s="247"/>
      <c r="H165" s="247"/>
      <c r="I165" s="247"/>
      <c r="J165" s="798"/>
      <c r="K165" s="247"/>
      <c r="L165" s="798"/>
      <c r="M165" s="247"/>
      <c r="N165" s="247"/>
      <c r="O165" s="247"/>
      <c r="P165" s="798"/>
      <c r="Q165" s="247"/>
      <c r="R165" s="798"/>
      <c r="S165" s="247"/>
      <c r="T165" s="247"/>
      <c r="U165" s="247"/>
    </row>
    <row r="166" ht="15.75" customHeight="1">
      <c r="A166" s="439"/>
      <c r="B166" s="439"/>
      <c r="C166" s="439"/>
      <c r="D166" s="798"/>
      <c r="E166" s="247"/>
      <c r="F166" s="798"/>
      <c r="G166" s="247"/>
      <c r="H166" s="247"/>
      <c r="I166" s="247"/>
      <c r="J166" s="798"/>
      <c r="K166" s="247"/>
      <c r="L166" s="798"/>
      <c r="M166" s="247"/>
      <c r="N166" s="247"/>
      <c r="O166" s="247"/>
      <c r="P166" s="798"/>
      <c r="Q166" s="247"/>
      <c r="R166" s="798"/>
      <c r="S166" s="247"/>
      <c r="T166" s="247"/>
      <c r="U166" s="247"/>
    </row>
    <row r="167" ht="15.75" customHeight="1">
      <c r="A167" s="439"/>
      <c r="B167" s="439"/>
      <c r="C167" s="439"/>
      <c r="D167" s="798"/>
      <c r="E167" s="247"/>
      <c r="F167" s="798"/>
      <c r="G167" s="247"/>
      <c r="H167" s="247"/>
      <c r="I167" s="247"/>
      <c r="J167" s="798"/>
      <c r="K167" s="247"/>
      <c r="L167" s="798"/>
      <c r="M167" s="247"/>
      <c r="N167" s="247"/>
      <c r="O167" s="247"/>
      <c r="P167" s="798"/>
      <c r="Q167" s="247"/>
      <c r="R167" s="798"/>
      <c r="S167" s="247"/>
      <c r="T167" s="247"/>
      <c r="U167" s="247"/>
    </row>
    <row r="168" ht="15.75" customHeight="1">
      <c r="A168" s="439"/>
      <c r="B168" s="439"/>
      <c r="C168" s="439"/>
      <c r="D168" s="798"/>
      <c r="E168" s="247"/>
      <c r="F168" s="798"/>
      <c r="G168" s="247"/>
      <c r="H168" s="247"/>
      <c r="I168" s="247"/>
      <c r="J168" s="798"/>
      <c r="K168" s="247"/>
      <c r="L168" s="798"/>
      <c r="M168" s="247"/>
      <c r="N168" s="247"/>
      <c r="O168" s="247"/>
      <c r="P168" s="798"/>
      <c r="Q168" s="247"/>
      <c r="R168" s="798"/>
      <c r="S168" s="247"/>
      <c r="T168" s="247"/>
      <c r="U168" s="247"/>
    </row>
    <row r="169" ht="15.75" customHeight="1">
      <c r="A169" s="439"/>
      <c r="B169" s="439"/>
      <c r="C169" s="439"/>
      <c r="D169" s="798"/>
      <c r="E169" s="247"/>
      <c r="F169" s="798"/>
      <c r="G169" s="247"/>
      <c r="H169" s="247"/>
      <c r="I169" s="247"/>
      <c r="J169" s="798"/>
      <c r="K169" s="247"/>
      <c r="L169" s="798"/>
      <c r="M169" s="247"/>
      <c r="N169" s="247"/>
      <c r="O169" s="247"/>
      <c r="P169" s="798"/>
      <c r="Q169" s="247"/>
      <c r="R169" s="798"/>
      <c r="S169" s="247"/>
      <c r="T169" s="247"/>
      <c r="U169" s="247"/>
    </row>
    <row r="170" ht="15.75" customHeight="1">
      <c r="A170" s="439"/>
      <c r="B170" s="439"/>
      <c r="C170" s="439"/>
      <c r="D170" s="798"/>
      <c r="E170" s="247"/>
      <c r="F170" s="798"/>
      <c r="G170" s="247"/>
      <c r="H170" s="247"/>
      <c r="I170" s="247"/>
      <c r="J170" s="798"/>
      <c r="K170" s="247"/>
      <c r="L170" s="798"/>
      <c r="M170" s="247"/>
      <c r="N170" s="247"/>
      <c r="O170" s="247"/>
      <c r="P170" s="798"/>
      <c r="Q170" s="247"/>
      <c r="R170" s="798"/>
      <c r="S170" s="247"/>
      <c r="T170" s="247"/>
      <c r="U170" s="247"/>
    </row>
    <row r="171" ht="15.75" customHeight="1">
      <c r="A171" s="439"/>
      <c r="B171" s="439"/>
      <c r="C171" s="439"/>
      <c r="D171" s="798"/>
      <c r="E171" s="247"/>
      <c r="F171" s="798"/>
      <c r="G171" s="247"/>
      <c r="H171" s="247"/>
      <c r="I171" s="247"/>
      <c r="J171" s="798"/>
      <c r="K171" s="247"/>
      <c r="L171" s="798"/>
      <c r="M171" s="247"/>
      <c r="N171" s="247"/>
      <c r="O171" s="247"/>
      <c r="P171" s="798"/>
      <c r="Q171" s="247"/>
      <c r="R171" s="798"/>
      <c r="S171" s="247"/>
      <c r="T171" s="247"/>
      <c r="U171" s="247"/>
    </row>
    <row r="172" ht="15.75" customHeight="1">
      <c r="A172" s="439"/>
      <c r="B172" s="439"/>
      <c r="C172" s="439"/>
      <c r="D172" s="798"/>
      <c r="E172" s="247"/>
      <c r="F172" s="798"/>
      <c r="G172" s="247"/>
      <c r="H172" s="247"/>
      <c r="I172" s="247"/>
      <c r="J172" s="798"/>
      <c r="K172" s="247"/>
      <c r="L172" s="798"/>
      <c r="M172" s="247"/>
      <c r="N172" s="247"/>
      <c r="O172" s="247"/>
      <c r="P172" s="798"/>
      <c r="Q172" s="247"/>
      <c r="R172" s="798"/>
      <c r="S172" s="247"/>
      <c r="T172" s="247"/>
      <c r="U172" s="247"/>
    </row>
    <row r="173" ht="15.75" customHeight="1">
      <c r="A173" s="439"/>
      <c r="B173" s="439"/>
      <c r="C173" s="439"/>
      <c r="D173" s="798"/>
      <c r="E173" s="247"/>
      <c r="F173" s="798"/>
      <c r="G173" s="247"/>
      <c r="H173" s="247"/>
      <c r="I173" s="247"/>
      <c r="J173" s="798"/>
      <c r="K173" s="247"/>
      <c r="L173" s="798"/>
      <c r="M173" s="247"/>
      <c r="N173" s="247"/>
      <c r="O173" s="247"/>
      <c r="P173" s="798"/>
      <c r="Q173" s="247"/>
      <c r="R173" s="798"/>
      <c r="S173" s="247"/>
      <c r="T173" s="247"/>
      <c r="U173" s="247"/>
    </row>
    <row r="174" ht="15.75" customHeight="1">
      <c r="A174" s="439"/>
      <c r="B174" s="439"/>
      <c r="C174" s="439"/>
      <c r="D174" s="798"/>
      <c r="E174" s="247"/>
      <c r="F174" s="798"/>
      <c r="G174" s="247"/>
      <c r="H174" s="247"/>
      <c r="I174" s="247"/>
      <c r="J174" s="798"/>
      <c r="K174" s="247"/>
      <c r="L174" s="798"/>
      <c r="M174" s="247"/>
      <c r="N174" s="247"/>
      <c r="O174" s="247"/>
      <c r="P174" s="798"/>
      <c r="Q174" s="247"/>
      <c r="R174" s="798"/>
      <c r="S174" s="247"/>
      <c r="T174" s="247"/>
      <c r="U174" s="247"/>
    </row>
    <row r="175" ht="15.75" customHeight="1">
      <c r="A175" s="439"/>
      <c r="B175" s="439"/>
      <c r="C175" s="439"/>
      <c r="D175" s="798"/>
      <c r="E175" s="247"/>
      <c r="F175" s="798"/>
      <c r="G175" s="247"/>
      <c r="H175" s="247"/>
      <c r="I175" s="247"/>
      <c r="J175" s="798"/>
      <c r="K175" s="247"/>
      <c r="L175" s="798"/>
      <c r="M175" s="247"/>
      <c r="N175" s="247"/>
      <c r="O175" s="247"/>
      <c r="P175" s="798"/>
      <c r="Q175" s="247"/>
      <c r="R175" s="798"/>
      <c r="S175" s="247"/>
      <c r="T175" s="247"/>
      <c r="U175" s="247"/>
    </row>
    <row r="176" ht="15.75" customHeight="1">
      <c r="A176" s="439"/>
      <c r="B176" s="439"/>
      <c r="C176" s="439"/>
      <c r="D176" s="798"/>
      <c r="E176" s="247"/>
      <c r="F176" s="798"/>
      <c r="G176" s="247"/>
      <c r="H176" s="247"/>
      <c r="I176" s="247"/>
      <c r="J176" s="798"/>
      <c r="K176" s="247"/>
      <c r="L176" s="798"/>
      <c r="M176" s="247"/>
      <c r="N176" s="247"/>
      <c r="O176" s="247"/>
      <c r="P176" s="798"/>
      <c r="Q176" s="247"/>
      <c r="R176" s="798"/>
      <c r="S176" s="247"/>
      <c r="T176" s="247"/>
      <c r="U176" s="247"/>
    </row>
    <row r="177" ht="15.75" customHeight="1">
      <c r="A177" s="439"/>
      <c r="B177" s="439"/>
      <c r="C177" s="439"/>
      <c r="D177" s="530"/>
      <c r="E177" s="439"/>
      <c r="F177" s="530"/>
      <c r="G177" s="439"/>
      <c r="H177" s="439"/>
      <c r="I177" s="439"/>
      <c r="J177" s="530"/>
      <c r="K177" s="439"/>
      <c r="L177" s="530"/>
      <c r="M177" s="439"/>
      <c r="N177" s="439"/>
      <c r="O177" s="439"/>
      <c r="P177" s="530"/>
      <c r="Q177" s="439"/>
      <c r="R177" s="530"/>
      <c r="S177" s="439"/>
      <c r="T177" s="439"/>
      <c r="U177" s="439"/>
    </row>
    <row r="178" ht="15.75" customHeight="1">
      <c r="A178" s="439"/>
      <c r="B178" s="439"/>
      <c r="C178" s="439"/>
      <c r="D178" s="530"/>
      <c r="E178" s="439"/>
      <c r="F178" s="530"/>
      <c r="G178" s="439"/>
      <c r="H178" s="439"/>
      <c r="I178" s="439"/>
      <c r="J178" s="530"/>
      <c r="K178" s="439"/>
      <c r="L178" s="530"/>
      <c r="M178" s="439"/>
      <c r="N178" s="439"/>
      <c r="O178" s="439"/>
      <c r="P178" s="530"/>
      <c r="Q178" s="439"/>
      <c r="R178" s="530"/>
      <c r="S178" s="439"/>
      <c r="T178" s="439"/>
      <c r="U178" s="439"/>
    </row>
    <row r="179" ht="15.75" customHeight="1">
      <c r="A179" s="439"/>
      <c r="B179" s="439"/>
      <c r="C179" s="439"/>
      <c r="D179" s="530"/>
      <c r="E179" s="439"/>
      <c r="F179" s="530"/>
      <c r="G179" s="439"/>
      <c r="H179" s="439"/>
      <c r="I179" s="439"/>
      <c r="J179" s="530"/>
      <c r="K179" s="439"/>
      <c r="L179" s="530"/>
      <c r="M179" s="439"/>
      <c r="N179" s="439"/>
      <c r="O179" s="439"/>
      <c r="P179" s="530"/>
      <c r="Q179" s="439"/>
      <c r="R179" s="530"/>
      <c r="S179" s="439"/>
      <c r="T179" s="439"/>
      <c r="U179" s="439"/>
    </row>
    <row r="180" ht="15.75" customHeight="1">
      <c r="A180" s="439"/>
      <c r="B180" s="439"/>
      <c r="C180" s="439"/>
      <c r="D180" s="530"/>
      <c r="E180" s="439"/>
      <c r="F180" s="530"/>
      <c r="G180" s="439"/>
      <c r="H180" s="439"/>
      <c r="I180" s="439"/>
      <c r="J180" s="530"/>
      <c r="K180" s="439"/>
      <c r="L180" s="530"/>
      <c r="M180" s="439"/>
      <c r="N180" s="439"/>
      <c r="O180" s="439"/>
      <c r="P180" s="530"/>
      <c r="Q180" s="439"/>
      <c r="R180" s="530"/>
      <c r="S180" s="439"/>
      <c r="T180" s="439"/>
      <c r="U180" s="439"/>
    </row>
    <row r="181" ht="15.75" customHeight="1">
      <c r="A181" s="439"/>
      <c r="B181" s="439"/>
      <c r="C181" s="439"/>
      <c r="D181" s="530"/>
      <c r="E181" s="439"/>
      <c r="F181" s="530"/>
      <c r="G181" s="439"/>
      <c r="H181" s="439"/>
      <c r="I181" s="439"/>
      <c r="J181" s="530"/>
      <c r="K181" s="439"/>
      <c r="L181" s="530"/>
      <c r="M181" s="439"/>
      <c r="N181" s="439"/>
      <c r="O181" s="439"/>
      <c r="P181" s="530"/>
      <c r="Q181" s="439"/>
      <c r="R181" s="530"/>
      <c r="S181" s="439"/>
      <c r="T181" s="439"/>
      <c r="U181" s="439"/>
    </row>
    <row r="182" ht="15.75" customHeight="1">
      <c r="A182" s="439"/>
      <c r="B182" s="439"/>
      <c r="C182" s="439"/>
      <c r="D182" s="530"/>
      <c r="E182" s="439"/>
      <c r="F182" s="530"/>
      <c r="G182" s="439"/>
      <c r="H182" s="439"/>
      <c r="I182" s="439"/>
      <c r="J182" s="530"/>
      <c r="K182" s="439"/>
      <c r="L182" s="530"/>
      <c r="M182" s="439"/>
      <c r="N182" s="439"/>
      <c r="O182" s="439"/>
      <c r="P182" s="530"/>
      <c r="Q182" s="439"/>
      <c r="R182" s="530"/>
      <c r="S182" s="439"/>
      <c r="T182" s="439"/>
      <c r="U182" s="439"/>
    </row>
    <row r="183" ht="15.75" customHeight="1">
      <c r="A183" s="439"/>
      <c r="B183" s="439"/>
      <c r="C183" s="439"/>
      <c r="D183" s="530"/>
      <c r="E183" s="439"/>
      <c r="F183" s="530"/>
      <c r="G183" s="439"/>
      <c r="H183" s="439"/>
      <c r="I183" s="439"/>
      <c r="J183" s="530"/>
      <c r="K183" s="439"/>
      <c r="L183" s="530"/>
      <c r="M183" s="439"/>
      <c r="N183" s="439"/>
      <c r="O183" s="439"/>
      <c r="P183" s="530"/>
      <c r="Q183" s="439"/>
      <c r="R183" s="530"/>
      <c r="S183" s="439"/>
      <c r="T183" s="439"/>
      <c r="U183" s="439"/>
    </row>
    <row r="184" ht="15.75" customHeight="1">
      <c r="A184" s="439"/>
      <c r="B184" s="439"/>
      <c r="C184" s="439"/>
      <c r="D184" s="530"/>
      <c r="E184" s="439"/>
      <c r="F184" s="530"/>
      <c r="G184" s="439"/>
      <c r="H184" s="439"/>
      <c r="I184" s="439"/>
      <c r="J184" s="530"/>
      <c r="K184" s="439"/>
      <c r="L184" s="530"/>
      <c r="M184" s="439"/>
      <c r="N184" s="439"/>
      <c r="O184" s="439"/>
      <c r="P184" s="530"/>
      <c r="Q184" s="439"/>
      <c r="R184" s="530"/>
      <c r="S184" s="439"/>
      <c r="T184" s="439"/>
      <c r="U184" s="439"/>
    </row>
    <row r="185" ht="15.75" customHeight="1">
      <c r="A185" s="439"/>
      <c r="B185" s="439"/>
      <c r="C185" s="439"/>
      <c r="D185" s="530"/>
      <c r="E185" s="439"/>
      <c r="F185" s="530"/>
      <c r="G185" s="439"/>
      <c r="H185" s="439"/>
      <c r="I185" s="439"/>
      <c r="J185" s="530"/>
      <c r="K185" s="439"/>
      <c r="L185" s="530"/>
      <c r="M185" s="439"/>
      <c r="N185" s="439"/>
      <c r="O185" s="439"/>
      <c r="P185" s="530"/>
      <c r="Q185" s="439"/>
      <c r="R185" s="530"/>
      <c r="S185" s="439"/>
      <c r="T185" s="439"/>
      <c r="U185" s="439"/>
    </row>
    <row r="186" ht="15.75" customHeight="1">
      <c r="A186" s="439"/>
      <c r="B186" s="439"/>
      <c r="C186" s="439"/>
      <c r="D186" s="530"/>
      <c r="E186" s="439"/>
      <c r="F186" s="530"/>
      <c r="G186" s="439"/>
      <c r="H186" s="439"/>
      <c r="I186" s="439"/>
      <c r="J186" s="530"/>
      <c r="K186" s="439"/>
      <c r="L186" s="530"/>
      <c r="M186" s="439"/>
      <c r="N186" s="439"/>
      <c r="O186" s="439"/>
      <c r="P186" s="530"/>
      <c r="Q186" s="439"/>
      <c r="R186" s="530"/>
      <c r="S186" s="439"/>
      <c r="T186" s="439"/>
      <c r="U186" s="439"/>
    </row>
    <row r="187" ht="15.75" customHeight="1">
      <c r="A187" s="439"/>
      <c r="B187" s="439"/>
      <c r="C187" s="439"/>
      <c r="D187" s="530"/>
      <c r="E187" s="439"/>
      <c r="F187" s="530"/>
      <c r="G187" s="439"/>
      <c r="H187" s="439"/>
      <c r="I187" s="439"/>
      <c r="J187" s="530"/>
      <c r="K187" s="439"/>
      <c r="L187" s="530"/>
      <c r="M187" s="439"/>
      <c r="N187" s="439"/>
      <c r="O187" s="439"/>
      <c r="P187" s="530"/>
      <c r="Q187" s="439"/>
      <c r="R187" s="530"/>
      <c r="S187" s="439"/>
      <c r="T187" s="439"/>
      <c r="U187" s="439"/>
    </row>
    <row r="188" ht="15.75" customHeight="1">
      <c r="A188" s="439"/>
      <c r="B188" s="439"/>
      <c r="C188" s="439"/>
      <c r="D188" s="530"/>
      <c r="E188" s="439"/>
      <c r="F188" s="530"/>
      <c r="G188" s="439"/>
      <c r="H188" s="439"/>
      <c r="I188" s="439"/>
      <c r="J188" s="530"/>
      <c r="K188" s="439"/>
      <c r="L188" s="530"/>
      <c r="M188" s="439"/>
      <c r="N188" s="439"/>
      <c r="O188" s="439"/>
      <c r="P188" s="530"/>
      <c r="Q188" s="439"/>
      <c r="R188" s="530"/>
      <c r="S188" s="439"/>
      <c r="T188" s="439"/>
      <c r="U188" s="439"/>
    </row>
    <row r="189" ht="15.75" customHeight="1">
      <c r="A189" s="439"/>
      <c r="B189" s="439"/>
      <c r="C189" s="439"/>
      <c r="D189" s="530"/>
      <c r="E189" s="439"/>
      <c r="F189" s="530"/>
      <c r="G189" s="439"/>
      <c r="H189" s="439"/>
      <c r="I189" s="439"/>
      <c r="J189" s="530"/>
      <c r="K189" s="439"/>
      <c r="L189" s="530"/>
      <c r="M189" s="439"/>
      <c r="N189" s="439"/>
      <c r="O189" s="439"/>
      <c r="P189" s="530"/>
      <c r="Q189" s="439"/>
      <c r="R189" s="530"/>
      <c r="S189" s="439"/>
      <c r="T189" s="439"/>
      <c r="U189" s="439"/>
    </row>
    <row r="190" ht="15.75" customHeight="1">
      <c r="A190" s="439"/>
      <c r="B190" s="439"/>
      <c r="C190" s="439"/>
      <c r="D190" s="530"/>
      <c r="E190" s="439"/>
      <c r="F190" s="530"/>
      <c r="G190" s="439"/>
      <c r="H190" s="439"/>
      <c r="I190" s="439"/>
      <c r="J190" s="530"/>
      <c r="K190" s="439"/>
      <c r="L190" s="530"/>
      <c r="M190" s="439"/>
      <c r="N190" s="439"/>
      <c r="O190" s="439"/>
      <c r="P190" s="530"/>
      <c r="Q190" s="439"/>
      <c r="R190" s="530"/>
      <c r="S190" s="439"/>
      <c r="T190" s="439"/>
      <c r="U190" s="439"/>
    </row>
    <row r="191" ht="15.75" customHeight="1">
      <c r="A191" s="439"/>
      <c r="B191" s="439"/>
      <c r="C191" s="439"/>
      <c r="D191" s="530"/>
      <c r="E191" s="439"/>
      <c r="F191" s="530"/>
      <c r="G191" s="439"/>
      <c r="H191" s="439"/>
      <c r="I191" s="439"/>
      <c r="J191" s="530"/>
      <c r="K191" s="439"/>
      <c r="L191" s="530"/>
      <c r="M191" s="439"/>
      <c r="N191" s="439"/>
      <c r="O191" s="439"/>
      <c r="P191" s="530"/>
      <c r="Q191" s="439"/>
      <c r="R191" s="530"/>
      <c r="S191" s="439"/>
      <c r="T191" s="439"/>
      <c r="U191" s="439"/>
    </row>
    <row r="192" ht="15.75" customHeight="1">
      <c r="A192" s="439"/>
      <c r="B192" s="439"/>
      <c r="C192" s="439"/>
      <c r="D192" s="530"/>
      <c r="E192" s="439"/>
      <c r="F192" s="530"/>
      <c r="G192" s="439"/>
      <c r="H192" s="439"/>
      <c r="I192" s="439"/>
      <c r="J192" s="530"/>
      <c r="K192" s="439"/>
      <c r="L192" s="530"/>
      <c r="M192" s="439"/>
      <c r="N192" s="439"/>
      <c r="O192" s="439"/>
      <c r="P192" s="530"/>
      <c r="Q192" s="439"/>
      <c r="R192" s="530"/>
      <c r="S192" s="439"/>
      <c r="T192" s="439"/>
      <c r="U192" s="439"/>
    </row>
    <row r="193" ht="15.75" customHeight="1">
      <c r="A193" s="439"/>
      <c r="B193" s="439"/>
      <c r="C193" s="439"/>
      <c r="D193" s="530"/>
      <c r="E193" s="439"/>
      <c r="F193" s="530"/>
      <c r="G193" s="439"/>
      <c r="H193" s="439"/>
      <c r="I193" s="439"/>
      <c r="J193" s="530"/>
      <c r="K193" s="439"/>
      <c r="L193" s="530"/>
      <c r="M193" s="439"/>
      <c r="N193" s="439"/>
      <c r="O193" s="439"/>
      <c r="P193" s="530"/>
      <c r="Q193" s="439"/>
      <c r="R193" s="530"/>
      <c r="S193" s="439"/>
      <c r="T193" s="439"/>
      <c r="U193" s="439"/>
    </row>
    <row r="194" ht="15.75" customHeight="1">
      <c r="A194" s="439"/>
      <c r="B194" s="439"/>
      <c r="C194" s="439"/>
      <c r="D194" s="530"/>
      <c r="E194" s="439"/>
      <c r="F194" s="530"/>
      <c r="G194" s="439"/>
      <c r="H194" s="439"/>
      <c r="I194" s="439"/>
      <c r="J194" s="530"/>
      <c r="K194" s="439"/>
      <c r="L194" s="530"/>
      <c r="M194" s="439"/>
      <c r="N194" s="439"/>
      <c r="O194" s="439"/>
      <c r="P194" s="530"/>
      <c r="Q194" s="439"/>
      <c r="R194" s="530"/>
      <c r="S194" s="439"/>
      <c r="T194" s="439"/>
      <c r="U194" s="439"/>
    </row>
    <row r="195" ht="15.75" customHeight="1">
      <c r="A195" s="439"/>
      <c r="B195" s="439"/>
      <c r="C195" s="439"/>
      <c r="D195" s="530"/>
      <c r="E195" s="439"/>
      <c r="F195" s="530"/>
      <c r="G195" s="439"/>
      <c r="H195" s="439"/>
      <c r="I195" s="439"/>
      <c r="J195" s="530"/>
      <c r="K195" s="439"/>
      <c r="L195" s="530"/>
      <c r="M195" s="439"/>
      <c r="N195" s="439"/>
      <c r="O195" s="439"/>
      <c r="P195" s="530"/>
      <c r="Q195" s="439"/>
      <c r="R195" s="530"/>
      <c r="S195" s="439"/>
      <c r="T195" s="439"/>
      <c r="U195" s="439"/>
    </row>
    <row r="196" ht="15.75" customHeight="1">
      <c r="A196" s="439"/>
      <c r="B196" s="439"/>
      <c r="C196" s="439"/>
      <c r="D196" s="530"/>
      <c r="E196" s="439"/>
      <c r="F196" s="530"/>
      <c r="G196" s="439"/>
      <c r="H196" s="439"/>
      <c r="I196" s="439"/>
      <c r="J196" s="530"/>
      <c r="K196" s="439"/>
      <c r="L196" s="530"/>
      <c r="M196" s="439"/>
      <c r="N196" s="439"/>
      <c r="O196" s="439"/>
      <c r="P196" s="530"/>
      <c r="Q196" s="439"/>
      <c r="R196" s="530"/>
      <c r="S196" s="439"/>
      <c r="T196" s="439"/>
      <c r="U196" s="439"/>
    </row>
    <row r="197" ht="15.75" customHeight="1">
      <c r="A197" s="439"/>
      <c r="B197" s="439"/>
      <c r="C197" s="439"/>
      <c r="D197" s="530"/>
      <c r="E197" s="439"/>
      <c r="F197" s="530"/>
      <c r="G197" s="439"/>
      <c r="H197" s="439"/>
      <c r="I197" s="439"/>
      <c r="J197" s="530"/>
      <c r="K197" s="439"/>
      <c r="L197" s="530"/>
      <c r="M197" s="439"/>
      <c r="N197" s="439"/>
      <c r="O197" s="439"/>
      <c r="P197" s="530"/>
      <c r="Q197" s="439"/>
      <c r="R197" s="530"/>
      <c r="S197" s="439"/>
      <c r="T197" s="439"/>
      <c r="U197" s="439"/>
    </row>
    <row r="198" ht="15.75" customHeight="1">
      <c r="A198" s="439"/>
      <c r="B198" s="439"/>
      <c r="C198" s="439"/>
      <c r="D198" s="530"/>
      <c r="E198" s="439"/>
      <c r="F198" s="530"/>
      <c r="G198" s="439"/>
      <c r="H198" s="439"/>
      <c r="I198" s="439"/>
      <c r="J198" s="530"/>
      <c r="K198" s="439"/>
      <c r="L198" s="530"/>
      <c r="M198" s="439"/>
      <c r="N198" s="439"/>
      <c r="O198" s="439"/>
      <c r="P198" s="530"/>
      <c r="Q198" s="439"/>
      <c r="R198" s="530"/>
      <c r="S198" s="439"/>
      <c r="T198" s="439"/>
      <c r="U198" s="439"/>
    </row>
    <row r="199" ht="15.75" customHeight="1">
      <c r="A199" s="439"/>
      <c r="B199" s="439"/>
      <c r="C199" s="439"/>
      <c r="D199" s="530"/>
      <c r="E199" s="439"/>
      <c r="F199" s="530"/>
      <c r="G199" s="439"/>
      <c r="H199" s="439"/>
      <c r="I199" s="439"/>
      <c r="J199" s="530"/>
      <c r="K199" s="439"/>
      <c r="L199" s="530"/>
      <c r="M199" s="439"/>
      <c r="N199" s="439"/>
      <c r="O199" s="439"/>
      <c r="P199" s="530"/>
      <c r="Q199" s="439"/>
      <c r="R199" s="530"/>
      <c r="S199" s="439"/>
      <c r="T199" s="439"/>
      <c r="U199" s="439"/>
    </row>
    <row r="200" ht="15.75" customHeight="1">
      <c r="A200" s="439"/>
      <c r="B200" s="439"/>
      <c r="C200" s="439"/>
      <c r="D200" s="530"/>
      <c r="E200" s="439"/>
      <c r="F200" s="530"/>
      <c r="G200" s="439"/>
      <c r="H200" s="439"/>
      <c r="I200" s="439"/>
      <c r="J200" s="530"/>
      <c r="K200" s="439"/>
      <c r="L200" s="530"/>
      <c r="M200" s="439"/>
      <c r="N200" s="439"/>
      <c r="O200" s="439"/>
      <c r="P200" s="530"/>
      <c r="Q200" s="439"/>
      <c r="R200" s="530"/>
      <c r="S200" s="439"/>
      <c r="T200" s="439"/>
      <c r="U200" s="439"/>
    </row>
    <row r="201" ht="15.75" customHeight="1">
      <c r="A201" s="439"/>
      <c r="B201" s="439"/>
      <c r="C201" s="439"/>
      <c r="D201" s="530"/>
      <c r="E201" s="439"/>
      <c r="F201" s="530"/>
      <c r="G201" s="439"/>
      <c r="H201" s="439"/>
      <c r="I201" s="439"/>
      <c r="J201" s="530"/>
      <c r="K201" s="439"/>
      <c r="L201" s="530"/>
      <c r="M201" s="439"/>
      <c r="N201" s="439"/>
      <c r="O201" s="439"/>
      <c r="P201" s="530"/>
      <c r="Q201" s="439"/>
      <c r="R201" s="530"/>
      <c r="S201" s="439"/>
      <c r="T201" s="439"/>
      <c r="U201" s="439"/>
    </row>
    <row r="202" ht="15.75" customHeight="1">
      <c r="A202" s="439"/>
      <c r="B202" s="439"/>
      <c r="C202" s="439"/>
      <c r="D202" s="530"/>
      <c r="E202" s="439"/>
      <c r="F202" s="530"/>
      <c r="G202" s="439"/>
      <c r="H202" s="439"/>
      <c r="I202" s="439"/>
      <c r="J202" s="530"/>
      <c r="K202" s="439"/>
      <c r="L202" s="530"/>
      <c r="M202" s="439"/>
      <c r="N202" s="439"/>
      <c r="O202" s="439"/>
      <c r="P202" s="530"/>
      <c r="Q202" s="439"/>
      <c r="R202" s="530"/>
      <c r="S202" s="439"/>
      <c r="T202" s="439"/>
      <c r="U202" s="439"/>
    </row>
    <row r="203" ht="15.75" customHeight="1">
      <c r="A203" s="439"/>
      <c r="B203" s="439"/>
      <c r="C203" s="439"/>
      <c r="D203" s="530"/>
      <c r="E203" s="439"/>
      <c r="F203" s="530"/>
      <c r="G203" s="439"/>
      <c r="H203" s="439"/>
      <c r="I203" s="439"/>
      <c r="J203" s="530"/>
      <c r="K203" s="439"/>
      <c r="L203" s="530"/>
      <c r="M203" s="439"/>
      <c r="N203" s="439"/>
      <c r="O203" s="439"/>
      <c r="P203" s="530"/>
      <c r="Q203" s="439"/>
      <c r="R203" s="530"/>
      <c r="S203" s="439"/>
      <c r="T203" s="439"/>
      <c r="U203" s="439"/>
    </row>
    <row r="204" ht="15.75" customHeight="1">
      <c r="A204" s="439"/>
      <c r="B204" s="439"/>
      <c r="C204" s="439"/>
      <c r="D204" s="530"/>
      <c r="E204" s="439"/>
      <c r="F204" s="530"/>
      <c r="G204" s="439"/>
      <c r="H204" s="439"/>
      <c r="I204" s="439"/>
      <c r="J204" s="530"/>
      <c r="K204" s="439"/>
      <c r="L204" s="530"/>
      <c r="M204" s="439"/>
      <c r="N204" s="439"/>
      <c r="O204" s="439"/>
      <c r="P204" s="530"/>
      <c r="Q204" s="439"/>
      <c r="R204" s="530"/>
      <c r="S204" s="439"/>
      <c r="T204" s="439"/>
      <c r="U204" s="439"/>
    </row>
    <row r="205" ht="15.75" customHeight="1">
      <c r="A205" s="439"/>
      <c r="B205" s="439"/>
      <c r="C205" s="439"/>
      <c r="D205" s="530"/>
      <c r="E205" s="439"/>
      <c r="F205" s="530"/>
      <c r="G205" s="439"/>
      <c r="H205" s="439"/>
      <c r="I205" s="439"/>
      <c r="J205" s="530"/>
      <c r="K205" s="439"/>
      <c r="L205" s="530"/>
      <c r="M205" s="439"/>
      <c r="N205" s="439"/>
      <c r="O205" s="439"/>
      <c r="P205" s="530"/>
      <c r="Q205" s="439"/>
      <c r="R205" s="530"/>
      <c r="S205" s="439"/>
      <c r="T205" s="439"/>
      <c r="U205" s="439"/>
    </row>
    <row r="206" ht="15.75" customHeight="1">
      <c r="A206" s="439"/>
      <c r="B206" s="439"/>
      <c r="C206" s="439"/>
      <c r="D206" s="530"/>
      <c r="E206" s="439"/>
      <c r="F206" s="530"/>
      <c r="G206" s="439"/>
      <c r="H206" s="439"/>
      <c r="I206" s="439"/>
      <c r="J206" s="530"/>
      <c r="K206" s="439"/>
      <c r="L206" s="530"/>
      <c r="M206" s="439"/>
      <c r="N206" s="439"/>
      <c r="O206" s="439"/>
      <c r="P206" s="530"/>
      <c r="Q206" s="439"/>
      <c r="R206" s="530"/>
      <c r="S206" s="439"/>
      <c r="T206" s="439"/>
      <c r="U206" s="439"/>
    </row>
    <row r="207" ht="15.75" customHeight="1">
      <c r="A207" s="439"/>
      <c r="B207" s="439"/>
      <c r="C207" s="439"/>
      <c r="D207" s="530"/>
      <c r="E207" s="439"/>
      <c r="F207" s="530"/>
      <c r="G207" s="439"/>
      <c r="H207" s="439"/>
      <c r="I207" s="439"/>
      <c r="J207" s="530"/>
      <c r="K207" s="439"/>
      <c r="L207" s="530"/>
      <c r="M207" s="439"/>
      <c r="N207" s="439"/>
      <c r="O207" s="439"/>
      <c r="P207" s="530"/>
      <c r="Q207" s="439"/>
      <c r="R207" s="530"/>
      <c r="S207" s="439"/>
      <c r="T207" s="439"/>
      <c r="U207" s="439"/>
    </row>
    <row r="208" ht="15.75" customHeight="1">
      <c r="A208" s="439"/>
      <c r="B208" s="439"/>
      <c r="C208" s="439"/>
      <c r="D208" s="530"/>
      <c r="E208" s="439"/>
      <c r="F208" s="530"/>
      <c r="G208" s="439"/>
      <c r="H208" s="439"/>
      <c r="I208" s="439"/>
      <c r="J208" s="530"/>
      <c r="K208" s="439"/>
      <c r="L208" s="530"/>
      <c r="M208" s="439"/>
      <c r="N208" s="439"/>
      <c r="O208" s="439"/>
      <c r="P208" s="530"/>
      <c r="Q208" s="439"/>
      <c r="R208" s="530"/>
      <c r="S208" s="439"/>
      <c r="T208" s="439"/>
      <c r="U208" s="439"/>
    </row>
    <row r="209" ht="15.75" customHeight="1">
      <c r="A209" s="439"/>
      <c r="B209" s="439"/>
      <c r="C209" s="439"/>
      <c r="D209" s="530"/>
      <c r="E209" s="439"/>
      <c r="F209" s="530"/>
      <c r="G209" s="439"/>
      <c r="H209" s="439"/>
      <c r="I209" s="439"/>
      <c r="J209" s="530"/>
      <c r="K209" s="439"/>
      <c r="L209" s="530"/>
      <c r="M209" s="439"/>
      <c r="N209" s="439"/>
      <c r="O209" s="439"/>
      <c r="P209" s="530"/>
      <c r="Q209" s="439"/>
      <c r="R209" s="530"/>
      <c r="S209" s="439"/>
      <c r="T209" s="439"/>
      <c r="U209" s="439"/>
    </row>
    <row r="210" ht="15.75" customHeight="1">
      <c r="A210" s="439"/>
      <c r="B210" s="439"/>
      <c r="C210" s="439"/>
      <c r="D210" s="530"/>
      <c r="E210" s="439"/>
      <c r="F210" s="530"/>
      <c r="G210" s="439"/>
      <c r="H210" s="439"/>
      <c r="I210" s="439"/>
      <c r="J210" s="530"/>
      <c r="K210" s="439"/>
      <c r="L210" s="530"/>
      <c r="M210" s="439"/>
      <c r="N210" s="439"/>
      <c r="O210" s="439"/>
      <c r="P210" s="530"/>
      <c r="Q210" s="439"/>
      <c r="R210" s="530"/>
      <c r="S210" s="439"/>
      <c r="T210" s="439"/>
      <c r="U210" s="439"/>
    </row>
    <row r="211" ht="15.75" customHeight="1">
      <c r="A211" s="439"/>
      <c r="B211" s="439"/>
      <c r="C211" s="439"/>
      <c r="D211" s="530"/>
      <c r="E211" s="439"/>
      <c r="F211" s="530"/>
      <c r="G211" s="439"/>
      <c r="H211" s="439"/>
      <c r="I211" s="439"/>
      <c r="J211" s="530"/>
      <c r="K211" s="439"/>
      <c r="L211" s="530"/>
      <c r="M211" s="439"/>
      <c r="N211" s="439"/>
      <c r="O211" s="439"/>
      <c r="P211" s="530"/>
      <c r="Q211" s="439"/>
      <c r="R211" s="530"/>
      <c r="S211" s="439"/>
      <c r="T211" s="439"/>
      <c r="U211" s="439"/>
    </row>
    <row r="212" ht="15.75" customHeight="1">
      <c r="A212" s="439"/>
      <c r="B212" s="439"/>
      <c r="C212" s="439"/>
      <c r="D212" s="530"/>
      <c r="E212" s="439"/>
      <c r="F212" s="530"/>
      <c r="G212" s="439"/>
      <c r="H212" s="439"/>
      <c r="I212" s="439"/>
      <c r="J212" s="530"/>
      <c r="K212" s="439"/>
      <c r="L212" s="530"/>
      <c r="M212" s="439"/>
      <c r="N212" s="439"/>
      <c r="O212" s="439"/>
      <c r="P212" s="530"/>
      <c r="Q212" s="439"/>
      <c r="R212" s="530"/>
      <c r="S212" s="439"/>
      <c r="T212" s="439"/>
      <c r="U212" s="439"/>
    </row>
    <row r="213" ht="15.75" customHeight="1">
      <c r="A213" s="439"/>
      <c r="B213" s="439"/>
      <c r="C213" s="439"/>
      <c r="D213" s="530"/>
      <c r="E213" s="439"/>
      <c r="F213" s="530"/>
      <c r="G213" s="439"/>
      <c r="H213" s="439"/>
      <c r="I213" s="439"/>
      <c r="J213" s="530"/>
      <c r="K213" s="439"/>
      <c r="L213" s="530"/>
      <c r="M213" s="439"/>
      <c r="N213" s="439"/>
      <c r="O213" s="439"/>
      <c r="P213" s="530"/>
      <c r="Q213" s="439"/>
      <c r="R213" s="530"/>
      <c r="S213" s="439"/>
      <c r="T213" s="439"/>
      <c r="U213" s="439"/>
    </row>
    <row r="214" ht="15.75" customHeight="1">
      <c r="A214" s="439"/>
      <c r="B214" s="439"/>
      <c r="C214" s="439"/>
      <c r="D214" s="530"/>
      <c r="E214" s="439"/>
      <c r="F214" s="530"/>
      <c r="G214" s="439"/>
      <c r="H214" s="439"/>
      <c r="I214" s="439"/>
      <c r="J214" s="530"/>
      <c r="K214" s="439"/>
      <c r="L214" s="530"/>
      <c r="M214" s="439"/>
      <c r="N214" s="439"/>
      <c r="O214" s="439"/>
      <c r="P214" s="530"/>
      <c r="Q214" s="439"/>
      <c r="R214" s="530"/>
      <c r="S214" s="439"/>
      <c r="T214" s="439"/>
      <c r="U214" s="439"/>
    </row>
    <row r="215" ht="15.75" customHeight="1">
      <c r="A215" s="439"/>
      <c r="B215" s="439"/>
      <c r="C215" s="439"/>
      <c r="D215" s="530"/>
      <c r="E215" s="439"/>
      <c r="F215" s="530"/>
      <c r="G215" s="439"/>
      <c r="H215" s="439"/>
      <c r="I215" s="439"/>
      <c r="J215" s="530"/>
      <c r="K215" s="439"/>
      <c r="L215" s="530"/>
      <c r="M215" s="439"/>
      <c r="N215" s="439"/>
      <c r="O215" s="439"/>
      <c r="P215" s="530"/>
      <c r="Q215" s="439"/>
      <c r="R215" s="530"/>
      <c r="S215" s="439"/>
      <c r="T215" s="439"/>
      <c r="U215" s="439"/>
    </row>
    <row r="216" ht="15.75" customHeight="1">
      <c r="A216" s="439"/>
      <c r="B216" s="439"/>
      <c r="C216" s="439"/>
      <c r="D216" s="530"/>
      <c r="E216" s="439"/>
      <c r="F216" s="530"/>
      <c r="G216" s="439"/>
      <c r="H216" s="439"/>
      <c r="I216" s="439"/>
      <c r="J216" s="530"/>
      <c r="K216" s="439"/>
      <c r="L216" s="530"/>
      <c r="M216" s="439"/>
      <c r="N216" s="439"/>
      <c r="O216" s="439"/>
      <c r="P216" s="530"/>
      <c r="Q216" s="439"/>
      <c r="R216" s="530"/>
      <c r="S216" s="439"/>
      <c r="T216" s="439"/>
      <c r="U216" s="439"/>
    </row>
    <row r="217" ht="15.75" customHeight="1">
      <c r="A217" s="439"/>
      <c r="B217" s="439"/>
      <c r="C217" s="439"/>
      <c r="D217" s="530"/>
      <c r="E217" s="439"/>
      <c r="F217" s="530"/>
      <c r="G217" s="439"/>
      <c r="H217" s="439"/>
      <c r="I217" s="439"/>
      <c r="J217" s="530"/>
      <c r="K217" s="439"/>
      <c r="L217" s="530"/>
      <c r="M217" s="439"/>
      <c r="N217" s="439"/>
      <c r="O217" s="439"/>
      <c r="P217" s="530"/>
      <c r="Q217" s="439"/>
      <c r="R217" s="530"/>
      <c r="S217" s="439"/>
      <c r="T217" s="439"/>
      <c r="U217" s="439"/>
    </row>
    <row r="218" ht="15.75" customHeight="1">
      <c r="A218" s="439"/>
      <c r="B218" s="439"/>
      <c r="C218" s="439"/>
      <c r="D218" s="530"/>
      <c r="E218" s="439"/>
      <c r="F218" s="530"/>
      <c r="G218" s="439"/>
      <c r="H218" s="439"/>
      <c r="I218" s="439"/>
      <c r="J218" s="530"/>
      <c r="K218" s="439"/>
      <c r="L218" s="530"/>
      <c r="M218" s="439"/>
      <c r="N218" s="439"/>
      <c r="O218" s="439"/>
      <c r="P218" s="530"/>
      <c r="Q218" s="439"/>
      <c r="R218" s="530"/>
      <c r="S218" s="439"/>
      <c r="T218" s="439"/>
      <c r="U218" s="439"/>
    </row>
    <row r="219" ht="15.75" customHeight="1">
      <c r="A219" s="439"/>
      <c r="B219" s="439"/>
      <c r="C219" s="439"/>
      <c r="D219" s="530"/>
      <c r="E219" s="439"/>
      <c r="F219" s="530"/>
      <c r="G219" s="439"/>
      <c r="H219" s="439"/>
      <c r="I219" s="439"/>
      <c r="J219" s="530"/>
      <c r="K219" s="439"/>
      <c r="L219" s="530"/>
      <c r="M219" s="439"/>
      <c r="N219" s="439"/>
      <c r="O219" s="439"/>
      <c r="P219" s="530"/>
      <c r="Q219" s="439"/>
      <c r="R219" s="530"/>
      <c r="S219" s="439"/>
      <c r="T219" s="439"/>
      <c r="U219" s="439"/>
    </row>
    <row r="220" ht="15.75" customHeight="1">
      <c r="A220" s="439"/>
      <c r="B220" s="439"/>
      <c r="C220" s="439"/>
      <c r="D220" s="530"/>
      <c r="E220" s="439"/>
      <c r="F220" s="530"/>
      <c r="G220" s="439"/>
      <c r="H220" s="439"/>
      <c r="I220" s="439"/>
      <c r="J220" s="530"/>
      <c r="K220" s="439"/>
      <c r="L220" s="530"/>
      <c r="M220" s="439"/>
      <c r="N220" s="439"/>
      <c r="O220" s="439"/>
      <c r="P220" s="530"/>
      <c r="Q220" s="439"/>
      <c r="R220" s="530"/>
      <c r="S220" s="439"/>
      <c r="T220" s="439"/>
      <c r="U220" s="439"/>
    </row>
    <row r="221" ht="15.75" customHeight="1">
      <c r="A221" s="439"/>
      <c r="B221" s="439"/>
      <c r="C221" s="439"/>
      <c r="D221" s="530"/>
      <c r="E221" s="439"/>
      <c r="F221" s="530"/>
      <c r="G221" s="439"/>
      <c r="H221" s="439"/>
      <c r="I221" s="439"/>
      <c r="J221" s="530"/>
      <c r="K221" s="439"/>
      <c r="L221" s="530"/>
      <c r="M221" s="439"/>
      <c r="N221" s="439"/>
      <c r="O221" s="439"/>
      <c r="P221" s="530"/>
      <c r="Q221" s="439"/>
      <c r="R221" s="530"/>
      <c r="S221" s="439"/>
      <c r="T221" s="439"/>
      <c r="U221" s="439"/>
    </row>
    <row r="222" ht="15.75" customHeight="1">
      <c r="A222" s="439"/>
      <c r="B222" s="439"/>
      <c r="C222" s="439"/>
      <c r="D222" s="530"/>
      <c r="E222" s="439"/>
      <c r="F222" s="530"/>
      <c r="G222" s="439"/>
      <c r="H222" s="439"/>
      <c r="I222" s="439"/>
      <c r="J222" s="530"/>
      <c r="K222" s="439"/>
      <c r="L222" s="530"/>
      <c r="M222" s="439"/>
      <c r="N222" s="439"/>
      <c r="O222" s="439"/>
      <c r="P222" s="530"/>
      <c r="Q222" s="439"/>
      <c r="R222" s="530"/>
      <c r="S222" s="439"/>
      <c r="T222" s="439"/>
      <c r="U222" s="439"/>
    </row>
    <row r="223" ht="15.75" customHeight="1">
      <c r="A223" s="439"/>
      <c r="B223" s="439"/>
      <c r="C223" s="439"/>
      <c r="D223" s="530"/>
      <c r="E223" s="439"/>
      <c r="F223" s="530"/>
      <c r="G223" s="439"/>
      <c r="H223" s="439"/>
      <c r="I223" s="439"/>
      <c r="J223" s="530"/>
      <c r="K223" s="439"/>
      <c r="L223" s="530"/>
      <c r="M223" s="439"/>
      <c r="N223" s="439"/>
      <c r="O223" s="439"/>
      <c r="P223" s="530"/>
      <c r="Q223" s="439"/>
      <c r="R223" s="530"/>
      <c r="S223" s="439"/>
      <c r="T223" s="439"/>
      <c r="U223" s="439"/>
    </row>
    <row r="224" ht="15.75" customHeight="1">
      <c r="A224" s="439"/>
      <c r="B224" s="439"/>
      <c r="C224" s="439"/>
      <c r="D224" s="530"/>
      <c r="E224" s="439"/>
      <c r="F224" s="530"/>
      <c r="G224" s="439"/>
      <c r="H224" s="439"/>
      <c r="I224" s="439"/>
      <c r="J224" s="530"/>
      <c r="K224" s="439"/>
      <c r="L224" s="530"/>
      <c r="M224" s="439"/>
      <c r="N224" s="439"/>
      <c r="O224" s="439"/>
      <c r="P224" s="530"/>
      <c r="Q224" s="439"/>
      <c r="R224" s="530"/>
      <c r="S224" s="439"/>
      <c r="T224" s="439"/>
      <c r="U224" s="439"/>
    </row>
    <row r="225" ht="15.75" customHeight="1">
      <c r="A225" s="439"/>
      <c r="B225" s="439"/>
      <c r="C225" s="439"/>
      <c r="D225" s="530"/>
      <c r="E225" s="439"/>
      <c r="F225" s="530"/>
      <c r="G225" s="439"/>
      <c r="H225" s="439"/>
      <c r="I225" s="439"/>
      <c r="J225" s="530"/>
      <c r="K225" s="439"/>
      <c r="L225" s="530"/>
      <c r="M225" s="439"/>
      <c r="N225" s="439"/>
      <c r="O225" s="439"/>
      <c r="P225" s="530"/>
      <c r="Q225" s="439"/>
      <c r="R225" s="530"/>
      <c r="S225" s="439"/>
      <c r="T225" s="439"/>
      <c r="U225" s="439"/>
    </row>
    <row r="226" ht="15.75" customHeight="1">
      <c r="A226" s="439"/>
      <c r="B226" s="439"/>
      <c r="C226" s="439"/>
      <c r="D226" s="530"/>
      <c r="E226" s="439"/>
      <c r="F226" s="530"/>
      <c r="G226" s="439"/>
      <c r="H226" s="439"/>
      <c r="I226" s="439"/>
      <c r="J226" s="530"/>
      <c r="K226" s="439"/>
      <c r="L226" s="530"/>
      <c r="M226" s="439"/>
      <c r="N226" s="439"/>
      <c r="O226" s="439"/>
      <c r="P226" s="530"/>
      <c r="Q226" s="439"/>
      <c r="R226" s="530"/>
      <c r="S226" s="439"/>
      <c r="T226" s="439"/>
      <c r="U226" s="439"/>
    </row>
    <row r="227" ht="15.75" customHeight="1">
      <c r="A227" s="439"/>
      <c r="B227" s="439"/>
      <c r="C227" s="439"/>
      <c r="D227" s="530"/>
      <c r="E227" s="439"/>
      <c r="F227" s="530"/>
      <c r="G227" s="439"/>
      <c r="H227" s="439"/>
      <c r="I227" s="439"/>
      <c r="J227" s="530"/>
      <c r="K227" s="439"/>
      <c r="L227" s="530"/>
      <c r="M227" s="439"/>
      <c r="N227" s="439"/>
      <c r="O227" s="439"/>
      <c r="P227" s="530"/>
      <c r="Q227" s="439"/>
      <c r="R227" s="530"/>
      <c r="S227" s="439"/>
      <c r="T227" s="439"/>
      <c r="U227" s="439"/>
    </row>
    <row r="228" ht="15.75" customHeight="1">
      <c r="A228" s="439"/>
      <c r="B228" s="439"/>
      <c r="C228" s="439"/>
      <c r="D228" s="530"/>
      <c r="E228" s="439"/>
      <c r="F228" s="530"/>
      <c r="G228" s="439"/>
      <c r="H228" s="439"/>
      <c r="I228" s="439"/>
      <c r="J228" s="530"/>
      <c r="K228" s="439"/>
      <c r="L228" s="530"/>
      <c r="M228" s="439"/>
      <c r="N228" s="439"/>
      <c r="O228" s="439"/>
      <c r="P228" s="530"/>
      <c r="Q228" s="439"/>
      <c r="R228" s="530"/>
      <c r="S228" s="439"/>
      <c r="T228" s="439"/>
      <c r="U228" s="439"/>
    </row>
    <row r="229" ht="15.75" customHeight="1">
      <c r="A229" s="439"/>
      <c r="B229" s="439"/>
      <c r="C229" s="439"/>
      <c r="D229" s="530"/>
      <c r="E229" s="439"/>
      <c r="F229" s="530"/>
      <c r="G229" s="439"/>
      <c r="H229" s="439"/>
      <c r="I229" s="439"/>
      <c r="J229" s="530"/>
      <c r="K229" s="439"/>
      <c r="L229" s="530"/>
      <c r="M229" s="439"/>
      <c r="N229" s="439"/>
      <c r="O229" s="439"/>
      <c r="P229" s="530"/>
      <c r="Q229" s="439"/>
      <c r="R229" s="530"/>
      <c r="S229" s="439"/>
      <c r="T229" s="439"/>
      <c r="U229" s="439"/>
    </row>
    <row r="230" ht="15.75" customHeight="1">
      <c r="A230" s="439"/>
      <c r="B230" s="439"/>
      <c r="C230" s="439"/>
      <c r="D230" s="530"/>
      <c r="E230" s="439"/>
      <c r="F230" s="530"/>
      <c r="G230" s="439"/>
      <c r="H230" s="439"/>
      <c r="I230" s="439"/>
      <c r="J230" s="530"/>
      <c r="K230" s="439"/>
      <c r="L230" s="530"/>
      <c r="M230" s="439"/>
      <c r="N230" s="439"/>
      <c r="O230" s="439"/>
      <c r="P230" s="530"/>
      <c r="Q230" s="439"/>
      <c r="R230" s="530"/>
      <c r="S230" s="439"/>
      <c r="T230" s="439"/>
      <c r="U230" s="439"/>
    </row>
    <row r="231" ht="15.75" customHeight="1">
      <c r="A231" s="439"/>
      <c r="B231" s="439"/>
      <c r="C231" s="439"/>
      <c r="D231" s="530"/>
      <c r="E231" s="439"/>
      <c r="F231" s="530"/>
      <c r="G231" s="439"/>
      <c r="H231" s="439"/>
      <c r="I231" s="439"/>
      <c r="J231" s="530"/>
      <c r="K231" s="439"/>
      <c r="L231" s="530"/>
      <c r="M231" s="439"/>
      <c r="N231" s="439"/>
      <c r="O231" s="439"/>
      <c r="P231" s="530"/>
      <c r="Q231" s="439"/>
      <c r="R231" s="530"/>
      <c r="S231" s="439"/>
      <c r="T231" s="439"/>
      <c r="U231" s="439"/>
    </row>
    <row r="232" ht="15.75" customHeight="1">
      <c r="A232" s="439"/>
      <c r="B232" s="439"/>
      <c r="C232" s="439"/>
      <c r="D232" s="530"/>
      <c r="E232" s="439"/>
      <c r="F232" s="530"/>
      <c r="G232" s="439"/>
      <c r="H232" s="439"/>
      <c r="I232" s="439"/>
      <c r="J232" s="530"/>
      <c r="K232" s="439"/>
      <c r="L232" s="530"/>
      <c r="M232" s="439"/>
      <c r="N232" s="439"/>
      <c r="O232" s="439"/>
      <c r="P232" s="530"/>
      <c r="Q232" s="439"/>
      <c r="R232" s="530"/>
      <c r="S232" s="439"/>
      <c r="T232" s="439"/>
      <c r="U232" s="439"/>
    </row>
    <row r="233" ht="15.75" customHeight="1">
      <c r="A233" s="439"/>
      <c r="B233" s="439"/>
      <c r="C233" s="439"/>
      <c r="D233" s="530"/>
      <c r="E233" s="439"/>
      <c r="F233" s="530"/>
      <c r="G233" s="439"/>
      <c r="H233" s="439"/>
      <c r="I233" s="439"/>
      <c r="J233" s="530"/>
      <c r="K233" s="439"/>
      <c r="L233" s="530"/>
      <c r="M233" s="439"/>
      <c r="N233" s="439"/>
      <c r="O233" s="439"/>
      <c r="P233" s="530"/>
      <c r="Q233" s="439"/>
      <c r="R233" s="530"/>
      <c r="S233" s="439"/>
      <c r="T233" s="439"/>
      <c r="U233" s="439"/>
    </row>
    <row r="234" ht="15.75" customHeight="1">
      <c r="A234" s="439"/>
      <c r="B234" s="439"/>
      <c r="C234" s="439"/>
      <c r="D234" s="530"/>
      <c r="E234" s="439"/>
      <c r="F234" s="530"/>
      <c r="G234" s="439"/>
      <c r="H234" s="439"/>
      <c r="I234" s="439"/>
      <c r="J234" s="530"/>
      <c r="K234" s="439"/>
      <c r="L234" s="530"/>
      <c r="M234" s="439"/>
      <c r="N234" s="439"/>
      <c r="O234" s="439"/>
      <c r="P234" s="530"/>
      <c r="Q234" s="439"/>
      <c r="R234" s="530"/>
      <c r="S234" s="439"/>
      <c r="T234" s="439"/>
      <c r="U234" s="439"/>
    </row>
    <row r="235" ht="15.75" customHeight="1">
      <c r="A235" s="439"/>
      <c r="B235" s="439"/>
      <c r="C235" s="439"/>
      <c r="D235" s="530"/>
      <c r="E235" s="439"/>
      <c r="F235" s="530"/>
      <c r="G235" s="439"/>
      <c r="H235" s="439"/>
      <c r="I235" s="439"/>
      <c r="J235" s="530"/>
      <c r="K235" s="439"/>
      <c r="L235" s="530"/>
      <c r="M235" s="439"/>
      <c r="N235" s="439"/>
      <c r="O235" s="439"/>
      <c r="P235" s="530"/>
      <c r="Q235" s="439"/>
      <c r="R235" s="530"/>
      <c r="S235" s="439"/>
      <c r="T235" s="439"/>
      <c r="U235" s="439"/>
    </row>
    <row r="236" ht="15.75" customHeight="1">
      <c r="A236" s="439"/>
      <c r="B236" s="439"/>
      <c r="C236" s="439"/>
      <c r="D236" s="530"/>
      <c r="E236" s="439"/>
      <c r="F236" s="530"/>
      <c r="G236" s="439"/>
      <c r="H236" s="439"/>
      <c r="I236" s="439"/>
      <c r="J236" s="530"/>
      <c r="K236" s="439"/>
      <c r="L236" s="530"/>
      <c r="M236" s="439"/>
      <c r="N236" s="439"/>
      <c r="O236" s="439"/>
      <c r="P236" s="530"/>
      <c r="Q236" s="439"/>
      <c r="R236" s="530"/>
      <c r="S236" s="439"/>
      <c r="T236" s="439"/>
      <c r="U236" s="439"/>
    </row>
    <row r="237" ht="15.75" customHeight="1">
      <c r="A237" s="439"/>
      <c r="B237" s="439"/>
      <c r="C237" s="439"/>
      <c r="D237" s="530"/>
      <c r="E237" s="439"/>
      <c r="F237" s="530"/>
      <c r="G237" s="439"/>
      <c r="H237" s="439"/>
      <c r="I237" s="439"/>
      <c r="J237" s="530"/>
      <c r="K237" s="439"/>
      <c r="L237" s="530"/>
      <c r="M237" s="439"/>
      <c r="N237" s="439"/>
      <c r="O237" s="439"/>
      <c r="P237" s="530"/>
      <c r="Q237" s="439"/>
      <c r="R237" s="530"/>
      <c r="S237" s="439"/>
      <c r="T237" s="439"/>
      <c r="U237" s="439"/>
    </row>
    <row r="238" ht="15.75" customHeight="1">
      <c r="A238" s="439"/>
      <c r="B238" s="439"/>
      <c r="C238" s="439"/>
      <c r="D238" s="530"/>
      <c r="E238" s="439"/>
      <c r="F238" s="530"/>
      <c r="G238" s="439"/>
      <c r="H238" s="439"/>
      <c r="I238" s="439"/>
      <c r="J238" s="530"/>
      <c r="K238" s="439"/>
      <c r="L238" s="530"/>
      <c r="M238" s="439"/>
      <c r="N238" s="439"/>
      <c r="O238" s="439"/>
      <c r="P238" s="530"/>
      <c r="Q238" s="439"/>
      <c r="R238" s="530"/>
      <c r="S238" s="439"/>
      <c r="T238" s="439"/>
      <c r="U238" s="439"/>
    </row>
    <row r="239" ht="15.75" customHeight="1">
      <c r="A239" s="439"/>
      <c r="B239" s="439"/>
      <c r="C239" s="439"/>
      <c r="D239" s="530"/>
      <c r="E239" s="439"/>
      <c r="F239" s="530"/>
      <c r="G239" s="439"/>
      <c r="H239" s="439"/>
      <c r="I239" s="439"/>
      <c r="J239" s="530"/>
      <c r="K239" s="439"/>
      <c r="L239" s="530"/>
      <c r="M239" s="439"/>
      <c r="N239" s="439"/>
      <c r="O239" s="439"/>
      <c r="P239" s="530"/>
      <c r="Q239" s="439"/>
      <c r="R239" s="530"/>
      <c r="S239" s="439"/>
      <c r="T239" s="439"/>
      <c r="U239" s="439"/>
    </row>
    <row r="240" ht="15.75" customHeight="1">
      <c r="A240" s="439"/>
      <c r="B240" s="439"/>
      <c r="C240" s="439"/>
      <c r="D240" s="530"/>
      <c r="E240" s="439"/>
      <c r="F240" s="530"/>
      <c r="G240" s="439"/>
      <c r="H240" s="439"/>
      <c r="I240" s="439"/>
      <c r="J240" s="530"/>
      <c r="K240" s="439"/>
      <c r="L240" s="530"/>
      <c r="M240" s="439"/>
      <c r="N240" s="439"/>
      <c r="O240" s="439"/>
      <c r="P240" s="530"/>
      <c r="Q240" s="439"/>
      <c r="R240" s="530"/>
      <c r="S240" s="439"/>
      <c r="T240" s="439"/>
      <c r="U240" s="439"/>
    </row>
    <row r="241" ht="15.75" customHeight="1">
      <c r="A241" s="439"/>
      <c r="B241" s="439"/>
      <c r="C241" s="439"/>
      <c r="D241" s="530"/>
      <c r="E241" s="439"/>
      <c r="F241" s="530"/>
      <c r="G241" s="439"/>
      <c r="H241" s="439"/>
      <c r="I241" s="439"/>
      <c r="J241" s="530"/>
      <c r="K241" s="439"/>
      <c r="L241" s="530"/>
      <c r="M241" s="439"/>
      <c r="N241" s="439"/>
      <c r="O241" s="439"/>
      <c r="P241" s="530"/>
      <c r="Q241" s="439"/>
      <c r="R241" s="530"/>
      <c r="S241" s="439"/>
      <c r="T241" s="439"/>
      <c r="U241" s="439"/>
    </row>
    <row r="242" ht="15.75" customHeight="1">
      <c r="A242" s="439"/>
      <c r="B242" s="439"/>
      <c r="C242" s="439"/>
      <c r="D242" s="530"/>
      <c r="E242" s="439"/>
      <c r="F242" s="530"/>
      <c r="G242" s="439"/>
      <c r="H242" s="439"/>
      <c r="I242" s="439"/>
      <c r="J242" s="530"/>
      <c r="K242" s="439"/>
      <c r="L242" s="530"/>
      <c r="M242" s="439"/>
      <c r="N242" s="439"/>
      <c r="O242" s="439"/>
      <c r="P242" s="530"/>
      <c r="Q242" s="439"/>
      <c r="R242" s="530"/>
      <c r="S242" s="439"/>
      <c r="T242" s="439"/>
      <c r="U242" s="439"/>
    </row>
    <row r="243" ht="15.75" customHeight="1">
      <c r="A243" s="439"/>
      <c r="B243" s="439"/>
      <c r="C243" s="439"/>
      <c r="D243" s="530"/>
      <c r="E243" s="439"/>
      <c r="F243" s="530"/>
      <c r="G243" s="439"/>
      <c r="H243" s="439"/>
      <c r="I243" s="439"/>
      <c r="J243" s="530"/>
      <c r="K243" s="439"/>
      <c r="L243" s="530"/>
      <c r="M243" s="439"/>
      <c r="N243" s="439"/>
      <c r="O243" s="439"/>
      <c r="P243" s="530"/>
      <c r="Q243" s="439"/>
      <c r="R243" s="530"/>
      <c r="S243" s="439"/>
      <c r="T243" s="439"/>
      <c r="U243" s="439"/>
    </row>
    <row r="244" ht="15.75" customHeight="1">
      <c r="A244" s="439"/>
      <c r="B244" s="439"/>
      <c r="C244" s="439"/>
      <c r="D244" s="530"/>
      <c r="E244" s="439"/>
      <c r="F244" s="530"/>
      <c r="G244" s="439"/>
      <c r="H244" s="439"/>
      <c r="I244" s="439"/>
      <c r="J244" s="530"/>
      <c r="K244" s="439"/>
      <c r="L244" s="530"/>
      <c r="M244" s="439"/>
      <c r="N244" s="439"/>
      <c r="O244" s="439"/>
      <c r="P244" s="530"/>
      <c r="Q244" s="439"/>
      <c r="R244" s="530"/>
      <c r="S244" s="439"/>
      <c r="T244" s="439"/>
      <c r="U244" s="439"/>
    </row>
    <row r="245" ht="15.75" customHeight="1">
      <c r="A245" s="439"/>
      <c r="B245" s="439"/>
      <c r="C245" s="439"/>
      <c r="D245" s="530"/>
      <c r="E245" s="439"/>
      <c r="F245" s="530"/>
      <c r="G245" s="439"/>
      <c r="H245" s="439"/>
      <c r="I245" s="439"/>
      <c r="J245" s="530"/>
      <c r="K245" s="439"/>
      <c r="L245" s="530"/>
      <c r="M245" s="439"/>
      <c r="N245" s="439"/>
      <c r="O245" s="439"/>
      <c r="P245" s="530"/>
      <c r="Q245" s="439"/>
      <c r="R245" s="530"/>
      <c r="S245" s="439"/>
      <c r="T245" s="439"/>
      <c r="U245" s="439"/>
    </row>
    <row r="246" ht="15.75" customHeight="1">
      <c r="A246" s="439"/>
      <c r="B246" s="439"/>
      <c r="C246" s="439"/>
      <c r="D246" s="530"/>
      <c r="E246" s="439"/>
      <c r="F246" s="530"/>
      <c r="G246" s="439"/>
      <c r="H246" s="439"/>
      <c r="I246" s="439"/>
      <c r="J246" s="530"/>
      <c r="K246" s="439"/>
      <c r="L246" s="530"/>
      <c r="M246" s="439"/>
      <c r="N246" s="439"/>
      <c r="O246" s="439"/>
      <c r="P246" s="530"/>
      <c r="Q246" s="439"/>
      <c r="R246" s="530"/>
      <c r="S246" s="439"/>
      <c r="T246" s="439"/>
      <c r="U246" s="439"/>
    </row>
    <row r="247" ht="15.75" customHeight="1">
      <c r="A247" s="439"/>
      <c r="B247" s="439"/>
      <c r="C247" s="439"/>
      <c r="D247" s="530"/>
      <c r="E247" s="439"/>
      <c r="F247" s="530"/>
      <c r="G247" s="439"/>
      <c r="H247" s="439"/>
      <c r="I247" s="439"/>
      <c r="J247" s="530"/>
      <c r="K247" s="439"/>
      <c r="L247" s="530"/>
      <c r="M247" s="439"/>
      <c r="N247" s="439"/>
      <c r="O247" s="439"/>
      <c r="P247" s="530"/>
      <c r="Q247" s="439"/>
      <c r="R247" s="530"/>
      <c r="S247" s="439"/>
      <c r="T247" s="439"/>
      <c r="U247" s="439"/>
    </row>
    <row r="248" ht="15.75" customHeight="1">
      <c r="A248" s="439"/>
      <c r="B248" s="439"/>
      <c r="C248" s="439"/>
      <c r="D248" s="530"/>
      <c r="E248" s="439"/>
      <c r="F248" s="530"/>
      <c r="G248" s="439"/>
      <c r="H248" s="439"/>
      <c r="I248" s="439"/>
      <c r="J248" s="530"/>
      <c r="K248" s="439"/>
      <c r="L248" s="530"/>
      <c r="M248" s="439"/>
      <c r="N248" s="439"/>
      <c r="O248" s="439"/>
      <c r="P248" s="530"/>
      <c r="Q248" s="439"/>
      <c r="R248" s="530"/>
      <c r="S248" s="439"/>
      <c r="T248" s="439"/>
      <c r="U248" s="439"/>
    </row>
    <row r="249" ht="15.75" customHeight="1">
      <c r="A249" s="439"/>
      <c r="B249" s="439"/>
      <c r="C249" s="439"/>
      <c r="D249" s="530"/>
      <c r="E249" s="439"/>
      <c r="F249" s="530"/>
      <c r="G249" s="439"/>
      <c r="H249" s="439"/>
      <c r="I249" s="439"/>
      <c r="J249" s="530"/>
      <c r="K249" s="439"/>
      <c r="L249" s="530"/>
      <c r="M249" s="439"/>
      <c r="N249" s="439"/>
      <c r="O249" s="439"/>
      <c r="P249" s="530"/>
      <c r="Q249" s="439"/>
      <c r="R249" s="530"/>
      <c r="S249" s="439"/>
      <c r="T249" s="439"/>
      <c r="U249" s="439"/>
    </row>
    <row r="250" ht="15.75" customHeight="1">
      <c r="A250" s="439"/>
      <c r="B250" s="439"/>
      <c r="C250" s="439"/>
      <c r="D250" s="530"/>
      <c r="E250" s="439"/>
      <c r="F250" s="530"/>
      <c r="G250" s="439"/>
      <c r="H250" s="439"/>
      <c r="I250" s="439"/>
      <c r="J250" s="530"/>
      <c r="K250" s="439"/>
      <c r="L250" s="530"/>
      <c r="M250" s="439"/>
      <c r="N250" s="439"/>
      <c r="O250" s="439"/>
      <c r="P250" s="530"/>
      <c r="Q250" s="439"/>
      <c r="R250" s="530"/>
      <c r="S250" s="439"/>
      <c r="T250" s="439"/>
      <c r="U250" s="439"/>
    </row>
    <row r="251" ht="15.75" customHeight="1">
      <c r="A251" s="439"/>
      <c r="B251" s="439"/>
      <c r="C251" s="439"/>
      <c r="D251" s="530"/>
      <c r="E251" s="439"/>
      <c r="F251" s="530"/>
      <c r="G251" s="439"/>
      <c r="H251" s="439"/>
      <c r="I251" s="439"/>
      <c r="J251" s="530"/>
      <c r="K251" s="439"/>
      <c r="L251" s="530"/>
      <c r="M251" s="439"/>
      <c r="N251" s="439"/>
      <c r="O251" s="439"/>
      <c r="P251" s="530"/>
      <c r="Q251" s="439"/>
      <c r="R251" s="530"/>
      <c r="S251" s="439"/>
      <c r="T251" s="439"/>
      <c r="U251" s="439"/>
    </row>
    <row r="252" ht="15.75" customHeight="1">
      <c r="A252" s="439"/>
      <c r="B252" s="439"/>
      <c r="C252" s="439"/>
      <c r="D252" s="530"/>
      <c r="E252" s="439"/>
      <c r="F252" s="530"/>
      <c r="G252" s="439"/>
      <c r="H252" s="439"/>
      <c r="I252" s="439"/>
      <c r="J252" s="530"/>
      <c r="K252" s="439"/>
      <c r="L252" s="530"/>
      <c r="M252" s="439"/>
      <c r="N252" s="439"/>
      <c r="O252" s="439"/>
      <c r="P252" s="530"/>
      <c r="Q252" s="439"/>
      <c r="R252" s="530"/>
      <c r="S252" s="439"/>
      <c r="T252" s="439"/>
      <c r="U252" s="439"/>
    </row>
    <row r="253" ht="15.75" customHeight="1">
      <c r="A253" s="439"/>
      <c r="B253" s="439"/>
      <c r="C253" s="439"/>
      <c r="D253" s="530"/>
      <c r="E253" s="439"/>
      <c r="F253" s="530"/>
      <c r="G253" s="439"/>
      <c r="H253" s="439"/>
      <c r="I253" s="439"/>
      <c r="J253" s="530"/>
      <c r="K253" s="439"/>
      <c r="L253" s="530"/>
      <c r="M253" s="439"/>
      <c r="N253" s="439"/>
      <c r="O253" s="439"/>
      <c r="P253" s="530"/>
      <c r="Q253" s="439"/>
      <c r="R253" s="530"/>
      <c r="S253" s="439"/>
      <c r="T253" s="439"/>
      <c r="U253" s="439"/>
    </row>
    <row r="254" ht="15.75" customHeight="1">
      <c r="A254" s="439"/>
      <c r="B254" s="439"/>
      <c r="C254" s="439"/>
      <c r="D254" s="530"/>
      <c r="E254" s="439"/>
      <c r="F254" s="530"/>
      <c r="G254" s="439"/>
      <c r="H254" s="439"/>
      <c r="I254" s="439"/>
      <c r="J254" s="530"/>
      <c r="K254" s="439"/>
      <c r="L254" s="530"/>
      <c r="M254" s="439"/>
      <c r="N254" s="439"/>
      <c r="O254" s="439"/>
      <c r="P254" s="530"/>
      <c r="Q254" s="439"/>
      <c r="R254" s="530"/>
      <c r="S254" s="439"/>
      <c r="T254" s="439"/>
      <c r="U254" s="439"/>
    </row>
    <row r="255" ht="15.75" customHeight="1">
      <c r="A255" s="439"/>
      <c r="B255" s="439"/>
      <c r="C255" s="439"/>
      <c r="D255" s="530"/>
      <c r="E255" s="439"/>
      <c r="F255" s="530"/>
      <c r="G255" s="439"/>
      <c r="H255" s="439"/>
      <c r="I255" s="439"/>
      <c r="J255" s="530"/>
      <c r="K255" s="439"/>
      <c r="L255" s="530"/>
      <c r="M255" s="439"/>
      <c r="N255" s="439"/>
      <c r="O255" s="439"/>
      <c r="P255" s="530"/>
      <c r="Q255" s="439"/>
      <c r="R255" s="530"/>
      <c r="S255" s="439"/>
      <c r="T255" s="439"/>
      <c r="U255" s="439"/>
    </row>
    <row r="256" ht="15.75" customHeight="1">
      <c r="A256" s="439"/>
      <c r="B256" s="439"/>
      <c r="C256" s="439"/>
      <c r="D256" s="439"/>
      <c r="E256" s="439"/>
      <c r="F256" s="530"/>
      <c r="G256" s="439"/>
      <c r="H256" s="439"/>
      <c r="I256" s="439"/>
      <c r="J256" s="439"/>
      <c r="K256" s="439"/>
      <c r="L256" s="530"/>
      <c r="M256" s="439"/>
      <c r="N256" s="439"/>
      <c r="O256" s="439"/>
      <c r="P256" s="439"/>
      <c r="Q256" s="439"/>
      <c r="R256" s="530"/>
      <c r="S256" s="439"/>
      <c r="T256" s="439"/>
      <c r="U256" s="439"/>
    </row>
    <row r="257" ht="15.75" customHeight="1">
      <c r="A257" s="439"/>
      <c r="B257" s="439"/>
      <c r="C257" s="439"/>
      <c r="D257" s="439"/>
      <c r="E257" s="439"/>
      <c r="F257" s="530"/>
      <c r="G257" s="439"/>
      <c r="H257" s="439"/>
      <c r="I257" s="439"/>
      <c r="J257" s="439"/>
      <c r="K257" s="439"/>
      <c r="L257" s="530"/>
      <c r="M257" s="439"/>
      <c r="N257" s="439"/>
      <c r="O257" s="439"/>
      <c r="P257" s="439"/>
      <c r="Q257" s="439"/>
      <c r="R257" s="530"/>
      <c r="S257" s="439"/>
      <c r="T257" s="439"/>
      <c r="U257" s="439"/>
    </row>
    <row r="258" ht="15.75" customHeight="1">
      <c r="A258" s="439"/>
      <c r="B258" s="439"/>
      <c r="C258" s="439"/>
      <c r="D258" s="439"/>
      <c r="E258" s="439"/>
      <c r="F258" s="530"/>
      <c r="G258" s="439"/>
      <c r="H258" s="439"/>
      <c r="I258" s="439"/>
      <c r="J258" s="439"/>
      <c r="K258" s="439"/>
      <c r="L258" s="530"/>
      <c r="M258" s="439"/>
      <c r="N258" s="439"/>
      <c r="O258" s="439"/>
      <c r="P258" s="439"/>
      <c r="Q258" s="439"/>
      <c r="R258" s="530"/>
      <c r="S258" s="439"/>
      <c r="T258" s="439"/>
      <c r="U258" s="439"/>
    </row>
    <row r="259" ht="15.75" customHeight="1">
      <c r="A259" s="439"/>
      <c r="B259" s="439"/>
      <c r="C259" s="439"/>
      <c r="D259" s="439"/>
      <c r="E259" s="439"/>
      <c r="F259" s="530"/>
      <c r="G259" s="439"/>
      <c r="H259" s="439"/>
      <c r="I259" s="439"/>
      <c r="J259" s="439"/>
      <c r="K259" s="439"/>
      <c r="L259" s="530"/>
      <c r="M259" s="439"/>
      <c r="N259" s="439"/>
      <c r="O259" s="439"/>
      <c r="P259" s="439"/>
      <c r="Q259" s="439"/>
      <c r="R259" s="530"/>
      <c r="S259" s="439"/>
      <c r="T259" s="439"/>
      <c r="U259" s="439"/>
    </row>
    <row r="260" ht="15.75" customHeight="1">
      <c r="A260" s="439"/>
      <c r="B260" s="439"/>
      <c r="C260" s="439"/>
      <c r="D260" s="439"/>
      <c r="E260" s="439"/>
      <c r="F260" s="530"/>
      <c r="G260" s="439"/>
      <c r="H260" s="439"/>
      <c r="I260" s="439"/>
      <c r="J260" s="439"/>
      <c r="K260" s="439"/>
      <c r="L260" s="530"/>
      <c r="M260" s="439"/>
      <c r="N260" s="439"/>
      <c r="O260" s="439"/>
      <c r="P260" s="439"/>
      <c r="Q260" s="439"/>
      <c r="R260" s="530"/>
      <c r="S260" s="439"/>
      <c r="T260" s="439"/>
      <c r="U260" s="439"/>
    </row>
    <row r="261" ht="15.75" customHeight="1">
      <c r="A261" s="439"/>
      <c r="B261" s="439"/>
      <c r="C261" s="439"/>
      <c r="D261" s="439"/>
      <c r="E261" s="439"/>
      <c r="F261" s="530"/>
      <c r="G261" s="439"/>
      <c r="H261" s="439"/>
      <c r="I261" s="439"/>
      <c r="J261" s="439"/>
      <c r="K261" s="439"/>
      <c r="L261" s="530"/>
      <c r="M261" s="439"/>
      <c r="N261" s="439"/>
      <c r="O261" s="439"/>
      <c r="P261" s="439"/>
      <c r="Q261" s="439"/>
      <c r="R261" s="530"/>
      <c r="S261" s="439"/>
      <c r="T261" s="439"/>
      <c r="U261" s="439"/>
    </row>
    <row r="262" ht="15.75" customHeight="1">
      <c r="A262" s="439"/>
      <c r="B262" s="439"/>
      <c r="C262" s="439"/>
      <c r="D262" s="439"/>
      <c r="E262" s="439"/>
      <c r="F262" s="530"/>
      <c r="G262" s="439"/>
      <c r="H262" s="439"/>
      <c r="I262" s="439"/>
      <c r="J262" s="439"/>
      <c r="K262" s="439"/>
      <c r="L262" s="530"/>
      <c r="M262" s="439"/>
      <c r="N262" s="439"/>
      <c r="O262" s="439"/>
      <c r="P262" s="439"/>
      <c r="Q262" s="439"/>
      <c r="R262" s="530"/>
      <c r="S262" s="439"/>
      <c r="T262" s="439"/>
      <c r="U262" s="439"/>
    </row>
    <row r="263" ht="15.75" customHeight="1">
      <c r="A263" s="439"/>
      <c r="B263" s="439"/>
      <c r="C263" s="439"/>
      <c r="D263" s="439"/>
      <c r="E263" s="439"/>
      <c r="F263" s="530"/>
      <c r="G263" s="439"/>
      <c r="H263" s="439"/>
      <c r="I263" s="439"/>
      <c r="J263" s="439"/>
      <c r="K263" s="439"/>
      <c r="L263" s="530"/>
      <c r="M263" s="439"/>
      <c r="N263" s="439"/>
      <c r="O263" s="439"/>
      <c r="P263" s="439"/>
      <c r="Q263" s="439"/>
      <c r="R263" s="530"/>
      <c r="S263" s="439"/>
      <c r="T263" s="439"/>
      <c r="U263" s="439"/>
    </row>
    <row r="264" ht="15.75" customHeight="1">
      <c r="A264" s="439"/>
      <c r="B264" s="439"/>
      <c r="C264" s="439"/>
      <c r="D264" s="439"/>
      <c r="E264" s="439"/>
      <c r="F264" s="530"/>
      <c r="G264" s="439"/>
      <c r="H264" s="439"/>
      <c r="I264" s="439"/>
      <c r="J264" s="439"/>
      <c r="K264" s="439"/>
      <c r="L264" s="530"/>
      <c r="M264" s="439"/>
      <c r="N264" s="439"/>
      <c r="O264" s="439"/>
      <c r="P264" s="439"/>
      <c r="Q264" s="439"/>
      <c r="R264" s="530"/>
      <c r="S264" s="439"/>
      <c r="T264" s="439"/>
      <c r="U264" s="439"/>
    </row>
    <row r="265" ht="15.75" customHeight="1">
      <c r="A265" s="439"/>
      <c r="B265" s="439"/>
      <c r="C265" s="439"/>
      <c r="D265" s="439"/>
      <c r="E265" s="439"/>
      <c r="F265" s="530"/>
      <c r="G265" s="439"/>
      <c r="H265" s="439"/>
      <c r="I265" s="439"/>
      <c r="J265" s="439"/>
      <c r="K265" s="439"/>
      <c r="L265" s="530"/>
      <c r="M265" s="439"/>
      <c r="N265" s="439"/>
      <c r="O265" s="439"/>
      <c r="P265" s="439"/>
      <c r="Q265" s="439"/>
      <c r="R265" s="530"/>
      <c r="S265" s="439"/>
      <c r="T265" s="439"/>
      <c r="U265" s="439"/>
    </row>
    <row r="266" ht="15.75" customHeight="1">
      <c r="A266" s="439"/>
      <c r="B266" s="439"/>
      <c r="C266" s="439"/>
      <c r="D266" s="439"/>
      <c r="E266" s="439"/>
      <c r="F266" s="530"/>
      <c r="G266" s="439"/>
      <c r="H266" s="439"/>
      <c r="I266" s="439"/>
      <c r="J266" s="439"/>
      <c r="K266" s="439"/>
      <c r="L266" s="530"/>
      <c r="M266" s="439"/>
      <c r="N266" s="439"/>
      <c r="O266" s="439"/>
      <c r="P266" s="439"/>
      <c r="Q266" s="439"/>
      <c r="R266" s="530"/>
      <c r="S266" s="439"/>
      <c r="T266" s="439"/>
      <c r="U266" s="439"/>
    </row>
    <row r="267" ht="15.75" customHeight="1">
      <c r="A267" s="439"/>
      <c r="B267" s="439"/>
      <c r="C267" s="439"/>
      <c r="D267" s="439"/>
      <c r="E267" s="439"/>
      <c r="F267" s="530"/>
      <c r="G267" s="439"/>
      <c r="H267" s="439"/>
      <c r="I267" s="439"/>
      <c r="J267" s="439"/>
      <c r="K267" s="439"/>
      <c r="L267" s="530"/>
      <c r="M267" s="439"/>
      <c r="N267" s="439"/>
      <c r="O267" s="439"/>
      <c r="P267" s="439"/>
      <c r="Q267" s="439"/>
      <c r="R267" s="530"/>
      <c r="S267" s="439"/>
      <c r="T267" s="439"/>
      <c r="U267" s="439"/>
    </row>
    <row r="268" ht="15.75" customHeight="1">
      <c r="A268" s="439"/>
      <c r="B268" s="439"/>
      <c r="C268" s="439"/>
      <c r="D268" s="439"/>
      <c r="E268" s="439"/>
      <c r="F268" s="530"/>
      <c r="G268" s="439"/>
      <c r="H268" s="439"/>
      <c r="I268" s="439"/>
      <c r="J268" s="439"/>
      <c r="K268" s="439"/>
      <c r="L268" s="530"/>
      <c r="M268" s="439"/>
      <c r="N268" s="439"/>
      <c r="O268" s="439"/>
      <c r="P268" s="439"/>
      <c r="Q268" s="439"/>
      <c r="R268" s="530"/>
      <c r="S268" s="439"/>
      <c r="T268" s="439"/>
      <c r="U268" s="439"/>
    </row>
    <row r="269" ht="15.75" customHeight="1">
      <c r="A269" s="439"/>
      <c r="B269" s="439"/>
      <c r="C269" s="439"/>
      <c r="D269" s="439"/>
      <c r="E269" s="439"/>
      <c r="F269" s="530"/>
      <c r="G269" s="439"/>
      <c r="H269" s="439"/>
      <c r="I269" s="439"/>
      <c r="J269" s="439"/>
      <c r="K269" s="439"/>
      <c r="L269" s="530"/>
      <c r="M269" s="439"/>
      <c r="N269" s="439"/>
      <c r="O269" s="439"/>
      <c r="P269" s="439"/>
      <c r="Q269" s="439"/>
      <c r="R269" s="530"/>
      <c r="S269" s="439"/>
      <c r="T269" s="439"/>
      <c r="U269" s="439"/>
    </row>
    <row r="270" ht="15.75" customHeight="1">
      <c r="A270" s="439"/>
      <c r="B270" s="439"/>
      <c r="C270" s="439"/>
      <c r="D270" s="439"/>
      <c r="E270" s="439"/>
      <c r="F270" s="530"/>
      <c r="G270" s="439"/>
      <c r="H270" s="439"/>
      <c r="I270" s="439"/>
      <c r="J270" s="439"/>
      <c r="K270" s="439"/>
      <c r="L270" s="530"/>
      <c r="M270" s="439"/>
      <c r="N270" s="439"/>
      <c r="O270" s="439"/>
      <c r="P270" s="439"/>
      <c r="Q270" s="439"/>
      <c r="R270" s="530"/>
      <c r="S270" s="439"/>
      <c r="T270" s="439"/>
      <c r="U270" s="439"/>
    </row>
    <row r="271" ht="15.75" customHeight="1">
      <c r="A271" s="439"/>
      <c r="B271" s="439"/>
      <c r="C271" s="439"/>
      <c r="D271" s="439"/>
      <c r="E271" s="439"/>
      <c r="F271" s="530"/>
      <c r="G271" s="439"/>
      <c r="H271" s="439"/>
      <c r="I271" s="439"/>
      <c r="J271" s="439"/>
      <c r="K271" s="439"/>
      <c r="L271" s="530"/>
      <c r="M271" s="439"/>
      <c r="N271" s="439"/>
      <c r="O271" s="439"/>
      <c r="P271" s="439"/>
      <c r="Q271" s="439"/>
      <c r="R271" s="530"/>
      <c r="S271" s="439"/>
      <c r="T271" s="439"/>
      <c r="U271" s="439"/>
    </row>
    <row r="272" ht="15.75" customHeight="1">
      <c r="A272" s="439"/>
      <c r="B272" s="439"/>
      <c r="C272" s="439"/>
      <c r="D272" s="439"/>
      <c r="E272" s="439"/>
      <c r="F272" s="530"/>
      <c r="G272" s="439"/>
      <c r="H272" s="439"/>
      <c r="I272" s="439"/>
      <c r="J272" s="439"/>
      <c r="K272" s="439"/>
      <c r="L272" s="530"/>
      <c r="M272" s="439"/>
      <c r="N272" s="439"/>
      <c r="O272" s="439"/>
      <c r="P272" s="439"/>
      <c r="Q272" s="439"/>
      <c r="R272" s="530"/>
      <c r="S272" s="439"/>
      <c r="T272" s="439"/>
      <c r="U272" s="439"/>
    </row>
    <row r="273" ht="15.75" customHeight="1">
      <c r="A273" s="439"/>
      <c r="B273" s="439"/>
      <c r="C273" s="439"/>
      <c r="D273" s="439"/>
      <c r="E273" s="439"/>
      <c r="F273" s="530"/>
      <c r="G273" s="439"/>
      <c r="H273" s="439"/>
      <c r="I273" s="439"/>
      <c r="J273" s="439"/>
      <c r="K273" s="439"/>
      <c r="L273" s="530"/>
      <c r="M273" s="439"/>
      <c r="N273" s="439"/>
      <c r="O273" s="439"/>
      <c r="P273" s="439"/>
      <c r="Q273" s="439"/>
      <c r="R273" s="530"/>
      <c r="S273" s="439"/>
      <c r="T273" s="439"/>
      <c r="U273" s="439"/>
    </row>
    <row r="274" ht="15.75" customHeight="1">
      <c r="A274" s="439"/>
      <c r="B274" s="439"/>
      <c r="C274" s="439"/>
      <c r="D274" s="439"/>
      <c r="E274" s="439"/>
      <c r="F274" s="530"/>
      <c r="G274" s="439"/>
      <c r="H274" s="439"/>
      <c r="I274" s="439"/>
      <c r="J274" s="439"/>
      <c r="K274" s="439"/>
      <c r="L274" s="530"/>
      <c r="M274" s="439"/>
      <c r="N274" s="439"/>
      <c r="O274" s="439"/>
      <c r="P274" s="439"/>
      <c r="Q274" s="439"/>
      <c r="R274" s="530"/>
      <c r="S274" s="439"/>
      <c r="T274" s="439"/>
      <c r="U274" s="439"/>
    </row>
    <row r="275" ht="15.75" customHeight="1">
      <c r="A275" s="439"/>
      <c r="B275" s="439"/>
      <c r="C275" s="439"/>
      <c r="D275" s="439"/>
      <c r="E275" s="439"/>
      <c r="F275" s="530"/>
      <c r="G275" s="439"/>
      <c r="H275" s="439"/>
      <c r="I275" s="439"/>
      <c r="J275" s="439"/>
      <c r="K275" s="439"/>
      <c r="L275" s="530"/>
      <c r="M275" s="439"/>
      <c r="N275" s="439"/>
      <c r="O275" s="439"/>
      <c r="P275" s="439"/>
      <c r="Q275" s="439"/>
      <c r="R275" s="530"/>
      <c r="S275" s="439"/>
      <c r="T275" s="439"/>
      <c r="U275" s="439"/>
    </row>
    <row r="276" ht="15.75" customHeight="1">
      <c r="A276" s="439"/>
      <c r="B276" s="439"/>
      <c r="C276" s="439"/>
      <c r="D276" s="439"/>
      <c r="E276" s="439"/>
      <c r="F276" s="530"/>
      <c r="G276" s="439"/>
      <c r="H276" s="439"/>
      <c r="I276" s="439"/>
      <c r="J276" s="439"/>
      <c r="K276" s="439"/>
      <c r="L276" s="530"/>
      <c r="M276" s="439"/>
      <c r="N276" s="439"/>
      <c r="O276" s="439"/>
      <c r="P276" s="439"/>
      <c r="Q276" s="439"/>
      <c r="R276" s="530"/>
      <c r="S276" s="439"/>
      <c r="T276" s="439"/>
      <c r="U276" s="439"/>
    </row>
    <row r="277" ht="15.75" customHeight="1">
      <c r="A277" s="439"/>
      <c r="B277" s="439"/>
      <c r="C277" s="439"/>
      <c r="D277" s="439"/>
      <c r="E277" s="439"/>
      <c r="F277" s="530"/>
      <c r="G277" s="439"/>
      <c r="H277" s="439"/>
      <c r="I277" s="439"/>
      <c r="J277" s="439"/>
      <c r="K277" s="439"/>
      <c r="L277" s="530"/>
      <c r="M277" s="439"/>
      <c r="N277" s="439"/>
      <c r="O277" s="439"/>
      <c r="P277" s="439"/>
      <c r="Q277" s="439"/>
      <c r="R277" s="530"/>
      <c r="S277" s="439"/>
      <c r="T277" s="439"/>
      <c r="U277" s="439"/>
    </row>
    <row r="278" ht="15.75" customHeight="1">
      <c r="A278" s="439"/>
      <c r="B278" s="439"/>
      <c r="C278" s="439"/>
      <c r="D278" s="439"/>
      <c r="E278" s="439"/>
      <c r="F278" s="530"/>
      <c r="G278" s="439"/>
      <c r="H278" s="439"/>
      <c r="I278" s="439"/>
      <c r="J278" s="439"/>
      <c r="K278" s="439"/>
      <c r="L278" s="530"/>
      <c r="M278" s="439"/>
      <c r="N278" s="439"/>
      <c r="O278" s="439"/>
      <c r="P278" s="439"/>
      <c r="Q278" s="439"/>
      <c r="R278" s="530"/>
      <c r="S278" s="439"/>
      <c r="T278" s="439"/>
      <c r="U278" s="439"/>
    </row>
    <row r="279" ht="15.75" customHeight="1">
      <c r="A279" s="439"/>
      <c r="B279" s="439"/>
      <c r="C279" s="439"/>
      <c r="D279" s="439"/>
      <c r="E279" s="439"/>
      <c r="F279" s="530"/>
      <c r="G279" s="439"/>
      <c r="H279" s="439"/>
      <c r="I279" s="439"/>
      <c r="J279" s="439"/>
      <c r="K279" s="439"/>
      <c r="L279" s="530"/>
      <c r="M279" s="439"/>
      <c r="N279" s="439"/>
      <c r="O279" s="439"/>
      <c r="P279" s="439"/>
      <c r="Q279" s="439"/>
      <c r="R279" s="530"/>
      <c r="S279" s="439"/>
      <c r="T279" s="439"/>
      <c r="U279" s="439"/>
    </row>
    <row r="280" ht="15.75" customHeight="1">
      <c r="A280" s="439"/>
      <c r="B280" s="439"/>
      <c r="C280" s="439"/>
      <c r="D280" s="439"/>
      <c r="E280" s="439"/>
      <c r="F280" s="530"/>
      <c r="G280" s="439"/>
      <c r="H280" s="439"/>
      <c r="I280" s="439"/>
      <c r="J280" s="439"/>
      <c r="K280" s="439"/>
      <c r="L280" s="530"/>
      <c r="M280" s="439"/>
      <c r="N280" s="439"/>
      <c r="O280" s="439"/>
      <c r="P280" s="439"/>
      <c r="Q280" s="439"/>
      <c r="R280" s="530"/>
      <c r="S280" s="439"/>
      <c r="T280" s="439"/>
      <c r="U280" s="439"/>
    </row>
    <row r="281" ht="15.75" customHeight="1">
      <c r="A281" s="439"/>
      <c r="B281" s="439"/>
      <c r="C281" s="439"/>
      <c r="D281" s="439"/>
      <c r="E281" s="439"/>
      <c r="F281" s="530"/>
      <c r="G281" s="439"/>
      <c r="H281" s="439"/>
      <c r="I281" s="439"/>
      <c r="J281" s="439"/>
      <c r="K281" s="439"/>
      <c r="L281" s="530"/>
      <c r="M281" s="439"/>
      <c r="N281" s="439"/>
      <c r="O281" s="439"/>
      <c r="P281" s="439"/>
      <c r="Q281" s="439"/>
      <c r="R281" s="530"/>
      <c r="S281" s="439"/>
      <c r="T281" s="439"/>
      <c r="U281" s="439"/>
    </row>
    <row r="282" ht="15.75" customHeight="1">
      <c r="A282" s="439"/>
      <c r="B282" s="439"/>
      <c r="C282" s="439"/>
      <c r="D282" s="439"/>
      <c r="E282" s="439"/>
      <c r="F282" s="530"/>
      <c r="G282" s="439"/>
      <c r="H282" s="439"/>
      <c r="I282" s="439"/>
      <c r="J282" s="439"/>
      <c r="K282" s="439"/>
      <c r="L282" s="530"/>
      <c r="M282" s="439"/>
      <c r="N282" s="439"/>
      <c r="O282" s="439"/>
      <c r="P282" s="439"/>
      <c r="Q282" s="439"/>
      <c r="R282" s="530"/>
      <c r="S282" s="439"/>
      <c r="T282" s="439"/>
      <c r="U282" s="439"/>
    </row>
    <row r="283" ht="15.75" customHeight="1">
      <c r="A283" s="439"/>
      <c r="B283" s="439"/>
      <c r="C283" s="439"/>
      <c r="D283" s="439"/>
      <c r="E283" s="439"/>
      <c r="F283" s="530"/>
      <c r="G283" s="439"/>
      <c r="H283" s="439"/>
      <c r="I283" s="439"/>
      <c r="J283" s="439"/>
      <c r="K283" s="439"/>
      <c r="L283" s="530"/>
      <c r="M283" s="439"/>
      <c r="N283" s="439"/>
      <c r="O283" s="439"/>
      <c r="P283" s="439"/>
      <c r="Q283" s="439"/>
      <c r="R283" s="530"/>
      <c r="S283" s="439"/>
      <c r="T283" s="439"/>
      <c r="U283" s="439"/>
    </row>
    <row r="284" ht="15.75" customHeight="1">
      <c r="A284" s="439"/>
      <c r="B284" s="439"/>
      <c r="C284" s="439"/>
      <c r="D284" s="439"/>
      <c r="E284" s="439"/>
      <c r="F284" s="530"/>
      <c r="G284" s="439"/>
      <c r="H284" s="439"/>
      <c r="I284" s="439"/>
      <c r="J284" s="439"/>
      <c r="K284" s="439"/>
      <c r="L284" s="530"/>
      <c r="M284" s="439"/>
      <c r="N284" s="439"/>
      <c r="O284" s="439"/>
      <c r="P284" s="439"/>
      <c r="Q284" s="439"/>
      <c r="R284" s="530"/>
      <c r="S284" s="439"/>
      <c r="T284" s="439"/>
      <c r="U284" s="439"/>
    </row>
    <row r="285" ht="15.75" customHeight="1">
      <c r="A285" s="439"/>
      <c r="B285" s="439"/>
      <c r="C285" s="439"/>
      <c r="D285" s="439"/>
      <c r="E285" s="439"/>
      <c r="F285" s="530"/>
      <c r="G285" s="439"/>
      <c r="H285" s="439"/>
      <c r="I285" s="439"/>
      <c r="J285" s="439"/>
      <c r="K285" s="439"/>
      <c r="L285" s="530"/>
      <c r="M285" s="439"/>
      <c r="N285" s="439"/>
      <c r="O285" s="439"/>
      <c r="P285" s="439"/>
      <c r="Q285" s="439"/>
      <c r="R285" s="530"/>
      <c r="S285" s="439"/>
      <c r="T285" s="439"/>
      <c r="U285" s="439"/>
    </row>
    <row r="286" ht="15.75" customHeight="1">
      <c r="A286" s="439"/>
      <c r="B286" s="439"/>
      <c r="C286" s="439"/>
      <c r="D286" s="439"/>
      <c r="E286" s="439"/>
      <c r="F286" s="530"/>
      <c r="G286" s="439"/>
      <c r="H286" s="439"/>
      <c r="I286" s="439"/>
      <c r="J286" s="439"/>
      <c r="K286" s="439"/>
      <c r="L286" s="530"/>
      <c r="M286" s="439"/>
      <c r="N286" s="439"/>
      <c r="O286" s="439"/>
      <c r="P286" s="439"/>
      <c r="Q286" s="439"/>
      <c r="R286" s="530"/>
      <c r="S286" s="439"/>
      <c r="T286" s="439"/>
      <c r="U286" s="439"/>
    </row>
    <row r="287" ht="15.75" customHeight="1">
      <c r="A287" s="439"/>
      <c r="B287" s="439"/>
      <c r="C287" s="439"/>
      <c r="D287" s="439"/>
      <c r="E287" s="439"/>
      <c r="F287" s="530"/>
      <c r="G287" s="439"/>
      <c r="H287" s="439"/>
      <c r="I287" s="439"/>
      <c r="J287" s="439"/>
      <c r="K287" s="439"/>
      <c r="L287" s="530"/>
      <c r="M287" s="439"/>
      <c r="N287" s="439"/>
      <c r="O287" s="439"/>
      <c r="P287" s="439"/>
      <c r="Q287" s="439"/>
      <c r="R287" s="530"/>
      <c r="S287" s="439"/>
      <c r="T287" s="439"/>
      <c r="U287" s="439"/>
    </row>
    <row r="288" ht="15.75" customHeight="1">
      <c r="A288" s="439"/>
      <c r="B288" s="439"/>
      <c r="C288" s="439"/>
      <c r="D288" s="439"/>
      <c r="E288" s="439"/>
      <c r="F288" s="530"/>
      <c r="G288" s="439"/>
      <c r="H288" s="439"/>
      <c r="I288" s="439"/>
      <c r="J288" s="439"/>
      <c r="K288" s="439"/>
      <c r="L288" s="530"/>
      <c r="M288" s="439"/>
      <c r="N288" s="439"/>
      <c r="O288" s="439"/>
      <c r="P288" s="439"/>
      <c r="Q288" s="439"/>
      <c r="R288" s="530"/>
      <c r="S288" s="439"/>
      <c r="T288" s="439"/>
      <c r="U288" s="439"/>
    </row>
    <row r="289" ht="15.75" customHeight="1">
      <c r="A289" s="439"/>
      <c r="B289" s="439"/>
      <c r="C289" s="439"/>
      <c r="D289" s="439"/>
      <c r="E289" s="439"/>
      <c r="F289" s="530"/>
      <c r="G289" s="439"/>
      <c r="H289" s="439"/>
      <c r="I289" s="439"/>
      <c r="J289" s="439"/>
      <c r="K289" s="439"/>
      <c r="L289" s="530"/>
      <c r="M289" s="439"/>
      <c r="N289" s="439"/>
      <c r="O289" s="439"/>
      <c r="P289" s="439"/>
      <c r="Q289" s="439"/>
      <c r="R289" s="530"/>
      <c r="S289" s="439"/>
      <c r="T289" s="439"/>
      <c r="U289" s="439"/>
    </row>
    <row r="290" ht="15.75" customHeight="1">
      <c r="A290" s="439"/>
      <c r="B290" s="439"/>
      <c r="C290" s="439"/>
      <c r="D290" s="439"/>
      <c r="E290" s="439"/>
      <c r="F290" s="530"/>
      <c r="G290" s="439"/>
      <c r="H290" s="439"/>
      <c r="I290" s="439"/>
      <c r="J290" s="439"/>
      <c r="K290" s="439"/>
      <c r="L290" s="530"/>
      <c r="M290" s="439"/>
      <c r="N290" s="439"/>
      <c r="O290" s="439"/>
      <c r="P290" s="439"/>
      <c r="Q290" s="439"/>
      <c r="R290" s="530"/>
      <c r="S290" s="439"/>
      <c r="T290" s="439"/>
      <c r="U290" s="439"/>
    </row>
    <row r="291" ht="15.75" customHeight="1">
      <c r="A291" s="439"/>
      <c r="B291" s="439"/>
      <c r="C291" s="439"/>
      <c r="D291" s="439"/>
      <c r="E291" s="439"/>
      <c r="F291" s="530"/>
      <c r="G291" s="439"/>
      <c r="H291" s="439"/>
      <c r="I291" s="439"/>
      <c r="J291" s="439"/>
      <c r="K291" s="439"/>
      <c r="L291" s="530"/>
      <c r="M291" s="439"/>
      <c r="N291" s="439"/>
      <c r="O291" s="439"/>
      <c r="P291" s="439"/>
      <c r="Q291" s="439"/>
      <c r="R291" s="530"/>
      <c r="S291" s="439"/>
      <c r="T291" s="439"/>
      <c r="U291" s="439"/>
    </row>
    <row r="292" ht="15.75" customHeight="1">
      <c r="A292" s="439"/>
      <c r="B292" s="439"/>
      <c r="C292" s="439"/>
      <c r="D292" s="439"/>
      <c r="E292" s="439"/>
      <c r="F292" s="530"/>
      <c r="G292" s="439"/>
      <c r="H292" s="439"/>
      <c r="I292" s="439"/>
      <c r="J292" s="439"/>
      <c r="K292" s="439"/>
      <c r="L292" s="530"/>
      <c r="M292" s="439"/>
      <c r="N292" s="439"/>
      <c r="O292" s="439"/>
      <c r="P292" s="439"/>
      <c r="Q292" s="439"/>
      <c r="R292" s="530"/>
      <c r="S292" s="439"/>
      <c r="T292" s="439"/>
      <c r="U292" s="439"/>
    </row>
    <row r="293" ht="15.75" customHeight="1">
      <c r="A293" s="439"/>
      <c r="B293" s="439"/>
      <c r="C293" s="439"/>
      <c r="D293" s="439"/>
      <c r="E293" s="439"/>
      <c r="F293" s="530"/>
      <c r="G293" s="439"/>
      <c r="H293" s="439"/>
      <c r="I293" s="439"/>
      <c r="J293" s="439"/>
      <c r="K293" s="439"/>
      <c r="L293" s="530"/>
      <c r="M293" s="439"/>
      <c r="N293" s="439"/>
      <c r="O293" s="439"/>
      <c r="P293" s="439"/>
      <c r="Q293" s="439"/>
      <c r="R293" s="530"/>
      <c r="S293" s="439"/>
      <c r="T293" s="439"/>
      <c r="U293" s="439"/>
    </row>
    <row r="294" ht="15.75" customHeight="1">
      <c r="A294" s="439"/>
      <c r="B294" s="439"/>
      <c r="C294" s="439"/>
      <c r="D294" s="439"/>
      <c r="E294" s="439"/>
      <c r="F294" s="530"/>
      <c r="G294" s="439"/>
      <c r="H294" s="439"/>
      <c r="I294" s="439"/>
      <c r="J294" s="439"/>
      <c r="K294" s="439"/>
      <c r="L294" s="530"/>
      <c r="M294" s="439"/>
      <c r="N294" s="439"/>
      <c r="O294" s="439"/>
      <c r="P294" s="439"/>
      <c r="Q294" s="439"/>
      <c r="R294" s="530"/>
      <c r="S294" s="439"/>
      <c r="T294" s="439"/>
      <c r="U294" s="439"/>
    </row>
    <row r="295" ht="15.75" customHeight="1">
      <c r="A295" s="439"/>
      <c r="B295" s="439"/>
      <c r="C295" s="439"/>
      <c r="D295" s="439"/>
      <c r="E295" s="439"/>
      <c r="F295" s="530"/>
      <c r="G295" s="439"/>
      <c r="H295" s="439"/>
      <c r="I295" s="439"/>
      <c r="J295" s="439"/>
      <c r="K295" s="439"/>
      <c r="L295" s="530"/>
      <c r="M295" s="439"/>
      <c r="N295" s="439"/>
      <c r="O295" s="439"/>
      <c r="P295" s="439"/>
      <c r="Q295" s="439"/>
      <c r="R295" s="530"/>
      <c r="S295" s="439"/>
      <c r="T295" s="439"/>
      <c r="U295" s="439"/>
    </row>
    <row r="296" ht="15.75" customHeight="1">
      <c r="A296" s="439"/>
      <c r="B296" s="439"/>
      <c r="C296" s="439"/>
      <c r="D296" s="439"/>
      <c r="E296" s="439"/>
      <c r="F296" s="530"/>
      <c r="G296" s="439"/>
      <c r="H296" s="439"/>
      <c r="I296" s="439"/>
      <c r="J296" s="439"/>
      <c r="K296" s="439"/>
      <c r="L296" s="530"/>
      <c r="M296" s="439"/>
      <c r="N296" s="439"/>
      <c r="O296" s="439"/>
      <c r="P296" s="439"/>
      <c r="Q296" s="439"/>
      <c r="R296" s="530"/>
      <c r="S296" s="439"/>
      <c r="T296" s="439"/>
      <c r="U296" s="439"/>
    </row>
    <row r="297" ht="15.75" customHeight="1">
      <c r="A297" s="439"/>
      <c r="B297" s="439"/>
      <c r="C297" s="439"/>
      <c r="D297" s="439"/>
      <c r="E297" s="439"/>
      <c r="F297" s="530"/>
      <c r="G297" s="439"/>
      <c r="H297" s="439"/>
      <c r="I297" s="439"/>
      <c r="J297" s="439"/>
      <c r="K297" s="439"/>
      <c r="L297" s="530"/>
      <c r="M297" s="439"/>
      <c r="N297" s="439"/>
      <c r="O297" s="439"/>
      <c r="P297" s="439"/>
      <c r="Q297" s="439"/>
      <c r="R297" s="530"/>
      <c r="S297" s="439"/>
      <c r="T297" s="439"/>
      <c r="U297" s="439"/>
    </row>
    <row r="298" ht="15.75" customHeight="1">
      <c r="A298" s="439"/>
      <c r="B298" s="439"/>
      <c r="C298" s="439"/>
      <c r="D298" s="439"/>
      <c r="E298" s="439"/>
      <c r="F298" s="530"/>
      <c r="G298" s="439"/>
      <c r="H298" s="439"/>
      <c r="I298" s="439"/>
      <c r="J298" s="439"/>
      <c r="K298" s="439"/>
      <c r="L298" s="530"/>
      <c r="M298" s="439"/>
      <c r="N298" s="439"/>
      <c r="O298" s="439"/>
      <c r="P298" s="439"/>
      <c r="Q298" s="439"/>
      <c r="R298" s="530"/>
      <c r="S298" s="439"/>
      <c r="T298" s="439"/>
      <c r="U298" s="439"/>
    </row>
    <row r="299" ht="15.75" customHeight="1">
      <c r="A299" s="439"/>
      <c r="B299" s="439"/>
      <c r="C299" s="439"/>
      <c r="D299" s="439"/>
      <c r="E299" s="439"/>
      <c r="F299" s="530"/>
      <c r="G299" s="439"/>
      <c r="H299" s="439"/>
      <c r="I299" s="439"/>
      <c r="J299" s="439"/>
      <c r="K299" s="439"/>
      <c r="L299" s="530"/>
      <c r="M299" s="439"/>
      <c r="N299" s="439"/>
      <c r="O299" s="439"/>
      <c r="P299" s="439"/>
      <c r="Q299" s="439"/>
      <c r="R299" s="530"/>
      <c r="S299" s="439"/>
      <c r="T299" s="439"/>
      <c r="U299" s="439"/>
    </row>
    <row r="300" ht="15.75" customHeight="1">
      <c r="A300" s="439"/>
      <c r="B300" s="439"/>
      <c r="C300" s="439"/>
      <c r="D300" s="439"/>
      <c r="E300" s="439"/>
      <c r="F300" s="530"/>
      <c r="G300" s="439"/>
      <c r="H300" s="439"/>
      <c r="I300" s="439"/>
      <c r="J300" s="439"/>
      <c r="K300" s="439"/>
      <c r="L300" s="530"/>
      <c r="M300" s="439"/>
      <c r="N300" s="439"/>
      <c r="O300" s="439"/>
      <c r="P300" s="439"/>
      <c r="Q300" s="439"/>
      <c r="R300" s="530"/>
      <c r="S300" s="439"/>
      <c r="T300" s="439"/>
      <c r="U300" s="439"/>
    </row>
    <row r="301" ht="15.75" customHeight="1">
      <c r="A301" s="439"/>
      <c r="B301" s="439"/>
      <c r="C301" s="439"/>
      <c r="D301" s="439"/>
      <c r="E301" s="439"/>
      <c r="F301" s="530"/>
      <c r="G301" s="439"/>
      <c r="H301" s="439"/>
      <c r="I301" s="439"/>
      <c r="J301" s="439"/>
      <c r="K301" s="439"/>
      <c r="L301" s="530"/>
      <c r="M301" s="439"/>
      <c r="N301" s="439"/>
      <c r="O301" s="439"/>
      <c r="P301" s="439"/>
      <c r="Q301" s="439"/>
      <c r="R301" s="530"/>
      <c r="S301" s="439"/>
      <c r="T301" s="439"/>
      <c r="U301" s="439"/>
    </row>
    <row r="302" ht="15.75" customHeight="1">
      <c r="A302" s="439"/>
      <c r="B302" s="439"/>
      <c r="C302" s="439"/>
      <c r="D302" s="439"/>
      <c r="E302" s="439"/>
      <c r="F302" s="530"/>
      <c r="G302" s="439"/>
      <c r="H302" s="439"/>
      <c r="I302" s="439"/>
      <c r="J302" s="439"/>
      <c r="K302" s="439"/>
      <c r="L302" s="530"/>
      <c r="M302" s="439"/>
      <c r="N302" s="439"/>
      <c r="O302" s="439"/>
      <c r="P302" s="439"/>
      <c r="Q302" s="439"/>
      <c r="R302" s="530"/>
      <c r="S302" s="439"/>
      <c r="T302" s="439"/>
      <c r="U302" s="439"/>
    </row>
    <row r="303" ht="15.75" customHeight="1">
      <c r="A303" s="439"/>
      <c r="B303" s="439"/>
      <c r="C303" s="439"/>
      <c r="D303" s="439"/>
      <c r="E303" s="439"/>
      <c r="F303" s="530"/>
      <c r="G303" s="439"/>
      <c r="H303" s="439"/>
      <c r="I303" s="439"/>
      <c r="J303" s="439"/>
      <c r="K303" s="439"/>
      <c r="L303" s="530"/>
      <c r="M303" s="439"/>
      <c r="N303" s="439"/>
      <c r="O303" s="439"/>
      <c r="P303" s="439"/>
      <c r="Q303" s="439"/>
      <c r="R303" s="530"/>
      <c r="S303" s="439"/>
      <c r="T303" s="439"/>
      <c r="U303" s="439"/>
    </row>
    <row r="304" ht="15.75" customHeight="1">
      <c r="A304" s="439"/>
      <c r="B304" s="439"/>
      <c r="C304" s="439"/>
      <c r="D304" s="439"/>
      <c r="E304" s="439"/>
      <c r="F304" s="530"/>
      <c r="G304" s="439"/>
      <c r="H304" s="439"/>
      <c r="I304" s="439"/>
      <c r="J304" s="439"/>
      <c r="K304" s="439"/>
      <c r="L304" s="530"/>
      <c r="M304" s="439"/>
      <c r="N304" s="439"/>
      <c r="O304" s="439"/>
      <c r="P304" s="439"/>
      <c r="Q304" s="439"/>
      <c r="R304" s="530"/>
      <c r="S304" s="439"/>
      <c r="T304" s="439"/>
      <c r="U304" s="439"/>
    </row>
    <row r="305" ht="15.75" customHeight="1">
      <c r="A305" s="439"/>
      <c r="B305" s="439"/>
      <c r="C305" s="439"/>
      <c r="D305" s="439"/>
      <c r="E305" s="439"/>
      <c r="F305" s="530"/>
      <c r="G305" s="439"/>
      <c r="H305" s="439"/>
      <c r="I305" s="439"/>
      <c r="J305" s="439"/>
      <c r="K305" s="439"/>
      <c r="L305" s="530"/>
      <c r="M305" s="439"/>
      <c r="N305" s="439"/>
      <c r="O305" s="439"/>
      <c r="P305" s="439"/>
      <c r="Q305" s="439"/>
      <c r="R305" s="530"/>
      <c r="S305" s="439"/>
      <c r="T305" s="439"/>
      <c r="U305" s="439"/>
    </row>
    <row r="306" ht="15.75" customHeight="1">
      <c r="A306" s="439"/>
      <c r="B306" s="439"/>
      <c r="C306" s="439"/>
      <c r="D306" s="439"/>
      <c r="E306" s="439"/>
      <c r="F306" s="530"/>
      <c r="G306" s="439"/>
      <c r="H306" s="439"/>
      <c r="I306" s="439"/>
      <c r="J306" s="439"/>
      <c r="K306" s="439"/>
      <c r="L306" s="530"/>
      <c r="M306" s="439"/>
      <c r="N306" s="439"/>
      <c r="O306" s="439"/>
      <c r="P306" s="439"/>
      <c r="Q306" s="439"/>
      <c r="R306" s="530"/>
      <c r="S306" s="439"/>
      <c r="T306" s="439"/>
      <c r="U306" s="439"/>
    </row>
    <row r="307" ht="15.75" customHeight="1">
      <c r="A307" s="439"/>
      <c r="B307" s="439"/>
      <c r="C307" s="439"/>
      <c r="D307" s="439"/>
      <c r="E307" s="439"/>
      <c r="F307" s="530"/>
      <c r="G307" s="439"/>
      <c r="H307" s="439"/>
      <c r="I307" s="439"/>
      <c r="J307" s="439"/>
      <c r="K307" s="439"/>
      <c r="L307" s="530"/>
      <c r="M307" s="439"/>
      <c r="N307" s="439"/>
      <c r="O307" s="439"/>
      <c r="P307" s="439"/>
      <c r="Q307" s="439"/>
      <c r="R307" s="530"/>
      <c r="S307" s="439"/>
      <c r="T307" s="439"/>
      <c r="U307" s="439"/>
    </row>
    <row r="308" ht="15.75" customHeight="1">
      <c r="A308" s="439"/>
      <c r="B308" s="439"/>
      <c r="C308" s="439"/>
      <c r="D308" s="439"/>
      <c r="E308" s="439"/>
      <c r="F308" s="530"/>
      <c r="G308" s="439"/>
      <c r="H308" s="439"/>
      <c r="I308" s="439"/>
      <c r="J308" s="439"/>
      <c r="K308" s="439"/>
      <c r="L308" s="530"/>
      <c r="M308" s="439"/>
      <c r="N308" s="439"/>
      <c r="O308" s="439"/>
      <c r="P308" s="439"/>
      <c r="Q308" s="439"/>
      <c r="R308" s="530"/>
      <c r="S308" s="439"/>
      <c r="T308" s="439"/>
      <c r="U308" s="439"/>
    </row>
    <row r="309" ht="15.75" customHeight="1">
      <c r="A309" s="439"/>
      <c r="B309" s="439"/>
      <c r="C309" s="439"/>
      <c r="D309" s="439"/>
      <c r="E309" s="439"/>
      <c r="F309" s="530"/>
      <c r="G309" s="439"/>
      <c r="H309" s="439"/>
      <c r="I309" s="439"/>
      <c r="J309" s="439"/>
      <c r="K309" s="439"/>
      <c r="L309" s="530"/>
      <c r="M309" s="439"/>
      <c r="N309" s="439"/>
      <c r="O309" s="439"/>
      <c r="P309" s="439"/>
      <c r="Q309" s="439"/>
      <c r="R309" s="530"/>
      <c r="S309" s="439"/>
      <c r="T309" s="439"/>
      <c r="U309" s="439"/>
    </row>
    <row r="310" ht="15.75" customHeight="1">
      <c r="A310" s="439"/>
      <c r="B310" s="439"/>
      <c r="C310" s="439"/>
      <c r="D310" s="439"/>
      <c r="E310" s="439"/>
      <c r="F310" s="530"/>
      <c r="G310" s="439"/>
      <c r="H310" s="439"/>
      <c r="I310" s="439"/>
      <c r="J310" s="439"/>
      <c r="K310" s="439"/>
      <c r="L310" s="530"/>
      <c r="M310" s="439"/>
      <c r="N310" s="439"/>
      <c r="O310" s="439"/>
      <c r="P310" s="439"/>
      <c r="Q310" s="439"/>
      <c r="R310" s="530"/>
      <c r="S310" s="439"/>
      <c r="T310" s="439"/>
      <c r="U310" s="439"/>
    </row>
    <row r="311" ht="15.75" customHeight="1">
      <c r="A311" s="439"/>
      <c r="B311" s="439"/>
      <c r="C311" s="439"/>
      <c r="D311" s="439"/>
      <c r="E311" s="439"/>
      <c r="F311" s="530"/>
      <c r="G311" s="439"/>
      <c r="H311" s="439"/>
      <c r="I311" s="439"/>
      <c r="J311" s="439"/>
      <c r="K311" s="439"/>
      <c r="L311" s="530"/>
      <c r="M311" s="439"/>
      <c r="N311" s="439"/>
      <c r="O311" s="439"/>
      <c r="P311" s="439"/>
      <c r="Q311" s="439"/>
      <c r="R311" s="530"/>
      <c r="S311" s="439"/>
      <c r="T311" s="439"/>
      <c r="U311" s="439"/>
    </row>
    <row r="312" ht="15.75" customHeight="1">
      <c r="A312" s="439"/>
      <c r="B312" s="439"/>
      <c r="C312" s="439"/>
      <c r="D312" s="439"/>
      <c r="E312" s="439"/>
      <c r="F312" s="530"/>
      <c r="G312" s="439"/>
      <c r="H312" s="439"/>
      <c r="I312" s="439"/>
      <c r="J312" s="439"/>
      <c r="K312" s="439"/>
      <c r="L312" s="530"/>
      <c r="M312" s="439"/>
      <c r="N312" s="439"/>
      <c r="O312" s="439"/>
      <c r="P312" s="439"/>
      <c r="Q312" s="439"/>
      <c r="R312" s="530"/>
      <c r="S312" s="439"/>
      <c r="T312" s="439"/>
      <c r="U312" s="439"/>
    </row>
    <row r="313" ht="15.75" customHeight="1">
      <c r="A313" s="439"/>
      <c r="B313" s="439"/>
      <c r="C313" s="439"/>
      <c r="D313" s="439"/>
      <c r="E313" s="439"/>
      <c r="F313" s="530"/>
      <c r="G313" s="439"/>
      <c r="H313" s="439"/>
      <c r="I313" s="439"/>
      <c r="J313" s="439"/>
      <c r="K313" s="439"/>
      <c r="L313" s="530"/>
      <c r="M313" s="439"/>
      <c r="N313" s="439"/>
      <c r="O313" s="439"/>
      <c r="P313" s="439"/>
      <c r="Q313" s="439"/>
      <c r="R313" s="530"/>
      <c r="S313" s="439"/>
      <c r="T313" s="439"/>
      <c r="U313" s="439"/>
    </row>
    <row r="314" ht="15.75" customHeight="1">
      <c r="A314" s="439"/>
      <c r="B314" s="439"/>
      <c r="C314" s="439"/>
      <c r="D314" s="439"/>
      <c r="E314" s="439"/>
      <c r="F314" s="530"/>
      <c r="G314" s="439"/>
      <c r="H314" s="439"/>
      <c r="I314" s="439"/>
      <c r="J314" s="439"/>
      <c r="K314" s="439"/>
      <c r="L314" s="530"/>
      <c r="M314" s="439"/>
      <c r="N314" s="439"/>
      <c r="O314" s="439"/>
      <c r="P314" s="439"/>
      <c r="Q314" s="439"/>
      <c r="R314" s="530"/>
      <c r="S314" s="439"/>
      <c r="T314" s="439"/>
      <c r="U314" s="439"/>
    </row>
    <row r="315" ht="15.75" customHeight="1">
      <c r="A315" s="439"/>
      <c r="B315" s="439"/>
      <c r="C315" s="439"/>
      <c r="D315" s="439"/>
      <c r="E315" s="439"/>
      <c r="F315" s="530"/>
      <c r="G315" s="439"/>
      <c r="H315" s="439"/>
      <c r="I315" s="439"/>
      <c r="J315" s="439"/>
      <c r="K315" s="439"/>
      <c r="L315" s="530"/>
      <c r="M315" s="439"/>
      <c r="N315" s="439"/>
      <c r="O315" s="439"/>
      <c r="P315" s="439"/>
      <c r="Q315" s="439"/>
      <c r="R315" s="530"/>
      <c r="S315" s="439"/>
      <c r="T315" s="439"/>
      <c r="U315" s="439"/>
    </row>
    <row r="316" ht="15.75" customHeight="1">
      <c r="A316" s="439"/>
      <c r="B316" s="439"/>
      <c r="C316" s="439"/>
      <c r="D316" s="439"/>
      <c r="E316" s="439"/>
      <c r="F316" s="530"/>
      <c r="G316" s="439"/>
      <c r="H316" s="439"/>
      <c r="I316" s="439"/>
      <c r="J316" s="439"/>
      <c r="K316" s="439"/>
      <c r="L316" s="530"/>
      <c r="M316" s="439"/>
      <c r="N316" s="439"/>
      <c r="O316" s="439"/>
      <c r="P316" s="439"/>
      <c r="Q316" s="439"/>
      <c r="R316" s="530"/>
      <c r="S316" s="439"/>
      <c r="T316" s="439"/>
      <c r="U316" s="439"/>
    </row>
    <row r="317" ht="15.75" customHeight="1">
      <c r="A317" s="439"/>
      <c r="B317" s="439"/>
      <c r="C317" s="439"/>
      <c r="D317" s="439"/>
      <c r="E317" s="439"/>
      <c r="F317" s="530"/>
      <c r="G317" s="439"/>
      <c r="H317" s="439"/>
      <c r="I317" s="439"/>
      <c r="J317" s="439"/>
      <c r="K317" s="439"/>
      <c r="L317" s="530"/>
      <c r="M317" s="439"/>
      <c r="N317" s="439"/>
      <c r="O317" s="439"/>
      <c r="P317" s="439"/>
      <c r="Q317" s="439"/>
      <c r="R317" s="530"/>
      <c r="S317" s="439"/>
      <c r="T317" s="439"/>
      <c r="U317" s="439"/>
    </row>
    <row r="318" ht="15.75" customHeight="1">
      <c r="A318" s="439"/>
      <c r="B318" s="439"/>
      <c r="C318" s="439"/>
      <c r="D318" s="439"/>
      <c r="E318" s="439"/>
      <c r="F318" s="530"/>
      <c r="G318" s="439"/>
      <c r="H318" s="439"/>
      <c r="I318" s="439"/>
      <c r="J318" s="439"/>
      <c r="K318" s="439"/>
      <c r="L318" s="530"/>
      <c r="M318" s="439"/>
      <c r="N318" s="439"/>
      <c r="O318" s="439"/>
      <c r="P318" s="439"/>
      <c r="Q318" s="439"/>
      <c r="R318" s="530"/>
      <c r="S318" s="439"/>
      <c r="T318" s="439"/>
      <c r="U318" s="439"/>
    </row>
    <row r="319" ht="15.75" customHeight="1">
      <c r="A319" s="439"/>
      <c r="B319" s="439"/>
      <c r="C319" s="439"/>
      <c r="D319" s="439"/>
      <c r="E319" s="439"/>
      <c r="F319" s="530"/>
      <c r="G319" s="439"/>
      <c r="H319" s="439"/>
      <c r="I319" s="439"/>
      <c r="J319" s="439"/>
      <c r="K319" s="439"/>
      <c r="L319" s="530"/>
      <c r="M319" s="439"/>
      <c r="N319" s="439"/>
      <c r="O319" s="439"/>
      <c r="P319" s="439"/>
      <c r="Q319" s="439"/>
      <c r="R319" s="530"/>
      <c r="S319" s="439"/>
      <c r="T319" s="439"/>
      <c r="U319" s="439"/>
    </row>
    <row r="320" ht="15.75" customHeight="1">
      <c r="A320" s="439"/>
      <c r="B320" s="439"/>
      <c r="C320" s="439"/>
      <c r="D320" s="439"/>
      <c r="E320" s="439"/>
      <c r="F320" s="530"/>
      <c r="G320" s="439"/>
      <c r="H320" s="439"/>
      <c r="I320" s="439"/>
      <c r="J320" s="439"/>
      <c r="K320" s="439"/>
      <c r="L320" s="530"/>
      <c r="M320" s="439"/>
      <c r="N320" s="439"/>
      <c r="O320" s="439"/>
      <c r="P320" s="439"/>
      <c r="Q320" s="439"/>
      <c r="R320" s="530"/>
      <c r="S320" s="439"/>
      <c r="T320" s="439"/>
      <c r="U320" s="439"/>
    </row>
    <row r="321" ht="15.75" customHeight="1">
      <c r="A321" s="439"/>
      <c r="B321" s="439"/>
      <c r="C321" s="439"/>
      <c r="D321" s="439"/>
      <c r="E321" s="439"/>
      <c r="F321" s="530"/>
      <c r="G321" s="439"/>
      <c r="H321" s="439"/>
      <c r="I321" s="439"/>
      <c r="J321" s="439"/>
      <c r="K321" s="439"/>
      <c r="L321" s="530"/>
      <c r="M321" s="439"/>
      <c r="N321" s="439"/>
      <c r="O321" s="439"/>
      <c r="P321" s="439"/>
      <c r="Q321" s="439"/>
      <c r="R321" s="530"/>
      <c r="S321" s="439"/>
      <c r="T321" s="439"/>
      <c r="U321" s="439"/>
    </row>
    <row r="322" ht="15.75" customHeight="1">
      <c r="A322" s="439"/>
      <c r="B322" s="439"/>
      <c r="C322" s="439"/>
      <c r="D322" s="439"/>
      <c r="E322" s="439"/>
      <c r="F322" s="530"/>
      <c r="G322" s="439"/>
      <c r="H322" s="439"/>
      <c r="I322" s="439"/>
      <c r="J322" s="439"/>
      <c r="K322" s="439"/>
      <c r="L322" s="530"/>
      <c r="M322" s="439"/>
      <c r="N322" s="439"/>
      <c r="O322" s="439"/>
      <c r="P322" s="439"/>
      <c r="Q322" s="439"/>
      <c r="R322" s="530"/>
      <c r="S322" s="439"/>
      <c r="T322" s="439"/>
      <c r="U322" s="439"/>
    </row>
    <row r="323" ht="15.75" customHeight="1">
      <c r="A323" s="439"/>
      <c r="B323" s="439"/>
      <c r="C323" s="439"/>
      <c r="D323" s="439"/>
      <c r="E323" s="439"/>
      <c r="F323" s="530"/>
      <c r="G323" s="439"/>
      <c r="H323" s="439"/>
      <c r="I323" s="439"/>
      <c r="J323" s="439"/>
      <c r="K323" s="439"/>
      <c r="L323" s="530"/>
      <c r="M323" s="439"/>
      <c r="N323" s="439"/>
      <c r="O323" s="439"/>
      <c r="P323" s="439"/>
      <c r="Q323" s="439"/>
      <c r="R323" s="530"/>
      <c r="S323" s="439"/>
      <c r="T323" s="439"/>
      <c r="U323" s="439"/>
    </row>
    <row r="324" ht="15.75" customHeight="1">
      <c r="A324" s="439"/>
      <c r="B324" s="439"/>
      <c r="C324" s="439"/>
      <c r="D324" s="439"/>
      <c r="E324" s="439"/>
      <c r="F324" s="530"/>
      <c r="G324" s="439"/>
      <c r="H324" s="439"/>
      <c r="I324" s="439"/>
      <c r="J324" s="439"/>
      <c r="K324" s="439"/>
      <c r="L324" s="530"/>
      <c r="M324" s="439"/>
      <c r="N324" s="439"/>
      <c r="O324" s="439"/>
      <c r="P324" s="439"/>
      <c r="Q324" s="439"/>
      <c r="R324" s="530"/>
      <c r="S324" s="439"/>
      <c r="T324" s="439"/>
      <c r="U324" s="439"/>
    </row>
    <row r="325" ht="15.75" customHeight="1">
      <c r="A325" s="439"/>
      <c r="B325" s="439"/>
      <c r="C325" s="439"/>
      <c r="D325" s="439"/>
      <c r="E325" s="439"/>
      <c r="F325" s="530"/>
      <c r="G325" s="439"/>
      <c r="H325" s="439"/>
      <c r="I325" s="439"/>
      <c r="J325" s="439"/>
      <c r="K325" s="439"/>
      <c r="L325" s="530"/>
      <c r="M325" s="439"/>
      <c r="N325" s="439"/>
      <c r="O325" s="439"/>
      <c r="P325" s="439"/>
      <c r="Q325" s="439"/>
      <c r="R325" s="530"/>
      <c r="S325" s="439"/>
      <c r="T325" s="439"/>
      <c r="U325" s="439"/>
    </row>
    <row r="326" ht="15.75" customHeight="1">
      <c r="A326" s="439"/>
      <c r="B326" s="439"/>
      <c r="C326" s="439"/>
      <c r="D326" s="439"/>
      <c r="E326" s="439"/>
      <c r="F326" s="530"/>
      <c r="G326" s="439"/>
      <c r="H326" s="439"/>
      <c r="I326" s="439"/>
      <c r="J326" s="439"/>
      <c r="K326" s="439"/>
      <c r="L326" s="530"/>
      <c r="M326" s="439"/>
      <c r="N326" s="439"/>
      <c r="O326" s="439"/>
      <c r="P326" s="439"/>
      <c r="Q326" s="439"/>
      <c r="R326" s="530"/>
      <c r="S326" s="439"/>
      <c r="T326" s="439"/>
      <c r="U326" s="439"/>
    </row>
    <row r="327" ht="15.75" customHeight="1">
      <c r="A327" s="439"/>
      <c r="B327" s="439"/>
      <c r="C327" s="439"/>
      <c r="D327" s="439"/>
      <c r="E327" s="439"/>
      <c r="F327" s="530"/>
      <c r="G327" s="439"/>
      <c r="H327" s="439"/>
      <c r="I327" s="439"/>
      <c r="J327" s="439"/>
      <c r="K327" s="439"/>
      <c r="L327" s="530"/>
      <c r="M327" s="439"/>
      <c r="N327" s="439"/>
      <c r="O327" s="439"/>
      <c r="P327" s="439"/>
      <c r="Q327" s="439"/>
      <c r="R327" s="530"/>
      <c r="S327" s="439"/>
      <c r="T327" s="439"/>
      <c r="U327" s="439"/>
    </row>
    <row r="328" ht="15.75" customHeight="1">
      <c r="A328" s="439"/>
      <c r="B328" s="439"/>
      <c r="C328" s="439"/>
      <c r="D328" s="439"/>
      <c r="E328" s="439"/>
      <c r="F328" s="530"/>
      <c r="G328" s="439"/>
      <c r="H328" s="439"/>
      <c r="I328" s="439"/>
      <c r="J328" s="439"/>
      <c r="K328" s="439"/>
      <c r="L328" s="530"/>
      <c r="M328" s="439"/>
      <c r="N328" s="439"/>
      <c r="O328" s="439"/>
      <c r="P328" s="439"/>
      <c r="Q328" s="439"/>
      <c r="R328" s="530"/>
      <c r="S328" s="439"/>
      <c r="T328" s="439"/>
      <c r="U328" s="439"/>
    </row>
    <row r="329" ht="15.75" customHeight="1">
      <c r="A329" s="439"/>
      <c r="B329" s="439"/>
      <c r="C329" s="439"/>
      <c r="D329" s="439"/>
      <c r="E329" s="439"/>
      <c r="F329" s="530"/>
      <c r="G329" s="439"/>
      <c r="H329" s="439"/>
      <c r="I329" s="439"/>
      <c r="J329" s="439"/>
      <c r="K329" s="439"/>
      <c r="L329" s="530"/>
      <c r="M329" s="439"/>
      <c r="N329" s="439"/>
      <c r="O329" s="439"/>
      <c r="P329" s="439"/>
      <c r="Q329" s="439"/>
      <c r="R329" s="530"/>
      <c r="S329" s="439"/>
      <c r="T329" s="439"/>
      <c r="U329" s="439"/>
    </row>
    <row r="330" ht="15.75" customHeight="1">
      <c r="A330" s="439"/>
      <c r="B330" s="439"/>
      <c r="C330" s="439"/>
      <c r="D330" s="439"/>
      <c r="E330" s="439"/>
      <c r="F330" s="530"/>
      <c r="G330" s="439"/>
      <c r="H330" s="439"/>
      <c r="I330" s="439"/>
      <c r="J330" s="439"/>
      <c r="K330" s="439"/>
      <c r="L330" s="530"/>
      <c r="M330" s="439"/>
      <c r="N330" s="439"/>
      <c r="O330" s="439"/>
      <c r="P330" s="439"/>
      <c r="Q330" s="439"/>
      <c r="R330" s="530"/>
      <c r="S330" s="439"/>
      <c r="T330" s="439"/>
      <c r="U330" s="439"/>
    </row>
    <row r="331" ht="15.75" customHeight="1">
      <c r="A331" s="439"/>
      <c r="B331" s="439"/>
      <c r="C331" s="439"/>
      <c r="D331" s="439"/>
      <c r="E331" s="439"/>
      <c r="F331" s="530"/>
      <c r="G331" s="439"/>
      <c r="H331" s="439"/>
      <c r="I331" s="439"/>
      <c r="J331" s="439"/>
      <c r="K331" s="439"/>
      <c r="L331" s="530"/>
      <c r="M331" s="439"/>
      <c r="N331" s="439"/>
      <c r="O331" s="439"/>
      <c r="P331" s="439"/>
      <c r="Q331" s="439"/>
      <c r="R331" s="530"/>
      <c r="S331" s="439"/>
      <c r="T331" s="439"/>
      <c r="U331" s="439"/>
    </row>
    <row r="332" ht="15.75" customHeight="1">
      <c r="A332" s="439"/>
      <c r="B332" s="439"/>
      <c r="C332" s="439"/>
      <c r="D332" s="439"/>
      <c r="E332" s="439"/>
      <c r="F332" s="530"/>
      <c r="G332" s="439"/>
      <c r="H332" s="439"/>
      <c r="I332" s="439"/>
      <c r="J332" s="439"/>
      <c r="K332" s="439"/>
      <c r="L332" s="530"/>
      <c r="M332" s="439"/>
      <c r="N332" s="439"/>
      <c r="O332" s="439"/>
      <c r="P332" s="439"/>
      <c r="Q332" s="439"/>
      <c r="R332" s="530"/>
      <c r="S332" s="439"/>
      <c r="T332" s="439"/>
      <c r="U332" s="439"/>
    </row>
    <row r="333" ht="15.75" customHeight="1">
      <c r="A333" s="439"/>
      <c r="B333" s="439"/>
      <c r="C333" s="439"/>
      <c r="D333" s="439"/>
      <c r="E333" s="439"/>
      <c r="F333" s="530"/>
      <c r="G333" s="439"/>
      <c r="H333" s="439"/>
      <c r="I333" s="439"/>
      <c r="J333" s="439"/>
      <c r="K333" s="439"/>
      <c r="L333" s="530"/>
      <c r="M333" s="439"/>
      <c r="N333" s="439"/>
      <c r="O333" s="439"/>
      <c r="P333" s="439"/>
      <c r="Q333" s="439"/>
      <c r="R333" s="530"/>
      <c r="S333" s="439"/>
      <c r="T333" s="439"/>
      <c r="U333" s="439"/>
    </row>
    <row r="334" ht="15.75" customHeight="1">
      <c r="A334" s="439"/>
      <c r="B334" s="439"/>
      <c r="C334" s="439"/>
      <c r="D334" s="439"/>
      <c r="E334" s="439"/>
      <c r="F334" s="530"/>
      <c r="G334" s="439"/>
      <c r="H334" s="439"/>
      <c r="I334" s="439"/>
      <c r="J334" s="439"/>
      <c r="K334" s="439"/>
      <c r="L334" s="530"/>
      <c r="M334" s="439"/>
      <c r="N334" s="439"/>
      <c r="O334" s="439"/>
      <c r="P334" s="439"/>
      <c r="Q334" s="439"/>
      <c r="R334" s="530"/>
      <c r="S334" s="439"/>
      <c r="T334" s="439"/>
      <c r="U334" s="439"/>
    </row>
    <row r="335" ht="15.75" customHeight="1">
      <c r="A335" s="439"/>
      <c r="B335" s="439"/>
      <c r="C335" s="439"/>
      <c r="D335" s="439"/>
      <c r="E335" s="439"/>
      <c r="F335" s="530"/>
      <c r="G335" s="439"/>
      <c r="H335" s="439"/>
      <c r="I335" s="439"/>
      <c r="J335" s="439"/>
      <c r="K335" s="439"/>
      <c r="L335" s="530"/>
      <c r="M335" s="439"/>
      <c r="N335" s="439"/>
      <c r="O335" s="439"/>
      <c r="P335" s="439"/>
      <c r="Q335" s="439"/>
      <c r="R335" s="530"/>
      <c r="S335" s="439"/>
      <c r="T335" s="439"/>
      <c r="U335" s="439"/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5">
    <mergeCell ref="B4:B5"/>
    <mergeCell ref="C4:C5"/>
    <mergeCell ref="D4:I4"/>
    <mergeCell ref="J4:O4"/>
    <mergeCell ref="P4:U4"/>
  </mergeCell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13"/>
    <col customWidth="1" min="2" max="2" width="9.75"/>
    <col customWidth="1" min="3" max="3" width="41.38"/>
    <col customWidth="1" min="4" max="4" width="13.13"/>
    <col customWidth="1" hidden="1" min="5" max="5" width="8.25"/>
    <col customWidth="1" hidden="1" min="6" max="6" width="16.0"/>
    <col customWidth="1" hidden="1" min="7" max="7" width="8.25"/>
    <col customWidth="1" hidden="1" min="8" max="8" width="11.63"/>
    <col customWidth="1" hidden="1" min="9" max="9" width="14.13"/>
    <col customWidth="1" min="10" max="10" width="12.25"/>
    <col customWidth="1" hidden="1" min="11" max="11" width="8.25"/>
    <col customWidth="1" hidden="1" min="12" max="12" width="16.0"/>
    <col customWidth="1" hidden="1" min="13" max="13" width="8.25"/>
    <col customWidth="1" hidden="1" min="14" max="14" width="13.13"/>
    <col customWidth="1" hidden="1" min="15" max="15" width="9.63"/>
    <col customWidth="1" min="16" max="16" width="12.38"/>
    <col customWidth="1" hidden="1" min="17" max="17" width="8.25"/>
    <col customWidth="1" hidden="1" min="18" max="18" width="16.0"/>
    <col customWidth="1" hidden="1" min="19" max="19" width="8.25"/>
    <col customWidth="1" hidden="1" min="20" max="20" width="13.13"/>
    <col customWidth="1" hidden="1" min="21" max="21" width="9.63"/>
    <col customWidth="1" min="22" max="29" width="12.63"/>
  </cols>
  <sheetData>
    <row r="1" ht="15.75" customHeight="1">
      <c r="A1" s="440"/>
      <c r="B1" s="440" t="s">
        <v>0</v>
      </c>
      <c r="C1" s="439"/>
      <c r="D1" s="439"/>
      <c r="E1" s="789"/>
      <c r="F1" s="530"/>
      <c r="G1" s="439"/>
      <c r="H1" s="530"/>
      <c r="I1" s="439"/>
      <c r="J1" s="439"/>
      <c r="K1" s="789"/>
      <c r="L1" s="530"/>
      <c r="M1" s="439"/>
      <c r="N1" s="530"/>
      <c r="O1" s="439"/>
      <c r="P1" s="439"/>
      <c r="Q1" s="789"/>
      <c r="R1" s="530"/>
      <c r="S1" s="439"/>
      <c r="T1" s="530"/>
      <c r="U1" s="439"/>
      <c r="V1" s="439"/>
      <c r="W1" s="439"/>
      <c r="X1" s="439"/>
      <c r="Y1" s="439"/>
      <c r="Z1" s="439"/>
      <c r="AA1" s="439"/>
      <c r="AB1" s="439"/>
      <c r="AC1" s="439"/>
    </row>
    <row r="2" ht="15.75" customHeight="1">
      <c r="A2" s="439"/>
      <c r="B2" s="692" t="s">
        <v>316</v>
      </c>
      <c r="C2" s="439"/>
      <c r="D2" s="439"/>
      <c r="E2" s="439"/>
      <c r="F2" s="530"/>
      <c r="G2" s="439"/>
      <c r="H2" s="530"/>
      <c r="I2" s="439"/>
      <c r="J2" s="439"/>
      <c r="K2" s="439"/>
      <c r="L2" s="530"/>
      <c r="M2" s="439"/>
      <c r="N2" s="530"/>
      <c r="O2" s="439"/>
      <c r="P2" s="439"/>
      <c r="Q2" s="439"/>
      <c r="R2" s="530"/>
      <c r="S2" s="439"/>
      <c r="T2" s="530"/>
      <c r="U2" s="439"/>
      <c r="V2" s="439"/>
      <c r="W2" s="439"/>
      <c r="X2" s="439"/>
      <c r="Y2" s="439"/>
      <c r="Z2" s="439"/>
      <c r="AA2" s="439"/>
      <c r="AB2" s="439"/>
      <c r="AC2" s="439"/>
    </row>
    <row r="3" ht="15.75" customHeight="1">
      <c r="A3" s="439"/>
      <c r="B3" s="439"/>
      <c r="C3" s="439"/>
      <c r="D3" s="439"/>
      <c r="E3" s="439"/>
      <c r="F3" s="530"/>
      <c r="G3" s="439"/>
      <c r="H3" s="530"/>
      <c r="I3" s="439"/>
      <c r="J3" s="439"/>
      <c r="K3" s="439"/>
      <c r="L3" s="530"/>
      <c r="M3" s="439"/>
      <c r="N3" s="530"/>
      <c r="O3" s="439"/>
      <c r="P3" s="439"/>
      <c r="Q3" s="439"/>
      <c r="R3" s="530"/>
      <c r="S3" s="439"/>
      <c r="T3" s="530"/>
      <c r="U3" s="439"/>
      <c r="V3" s="439"/>
      <c r="W3" s="439"/>
      <c r="X3" s="439"/>
      <c r="Y3" s="439"/>
      <c r="Z3" s="439"/>
      <c r="AA3" s="439"/>
      <c r="AB3" s="439"/>
      <c r="AC3" s="439"/>
    </row>
    <row r="4" ht="15.75" customHeight="1">
      <c r="A4" s="439"/>
      <c r="B4" s="443" t="s">
        <v>162</v>
      </c>
      <c r="C4" s="443" t="s">
        <v>163</v>
      </c>
      <c r="D4" s="694" t="s">
        <v>164</v>
      </c>
      <c r="E4" s="10"/>
      <c r="F4" s="10"/>
      <c r="G4" s="10"/>
      <c r="H4" s="10"/>
      <c r="I4" s="13"/>
      <c r="J4" s="694" t="s">
        <v>165</v>
      </c>
      <c r="K4" s="10"/>
      <c r="L4" s="10"/>
      <c r="M4" s="10"/>
      <c r="N4" s="10"/>
      <c r="O4" s="13"/>
      <c r="P4" s="695" t="s">
        <v>166</v>
      </c>
      <c r="Q4" s="10"/>
      <c r="R4" s="10"/>
      <c r="S4" s="10"/>
      <c r="T4" s="10"/>
      <c r="U4" s="13"/>
      <c r="V4" s="696"/>
      <c r="W4" s="696"/>
      <c r="X4" s="696"/>
      <c r="Y4" s="696"/>
      <c r="Z4" s="696"/>
      <c r="AA4" s="696"/>
      <c r="AB4" s="696"/>
      <c r="AC4" s="696"/>
    </row>
    <row r="5" ht="15.75" customHeight="1">
      <c r="A5" s="532"/>
      <c r="B5" s="448"/>
      <c r="C5" s="448"/>
      <c r="D5" s="799" t="s">
        <v>167</v>
      </c>
      <c r="E5" s="800" t="s">
        <v>18</v>
      </c>
      <c r="F5" s="801" t="s">
        <v>168</v>
      </c>
      <c r="G5" s="800" t="s">
        <v>18</v>
      </c>
      <c r="H5" s="801" t="s">
        <v>169</v>
      </c>
      <c r="I5" s="802" t="s">
        <v>260</v>
      </c>
      <c r="J5" s="799" t="s">
        <v>167</v>
      </c>
      <c r="K5" s="800" t="s">
        <v>18</v>
      </c>
      <c r="L5" s="801" t="s">
        <v>168</v>
      </c>
      <c r="M5" s="800" t="s">
        <v>18</v>
      </c>
      <c r="N5" s="801" t="s">
        <v>169</v>
      </c>
      <c r="O5" s="802" t="s">
        <v>260</v>
      </c>
      <c r="P5" s="803" t="s">
        <v>167</v>
      </c>
      <c r="Q5" s="803" t="s">
        <v>18</v>
      </c>
      <c r="R5" s="804" t="s">
        <v>168</v>
      </c>
      <c r="S5" s="803" t="s">
        <v>18</v>
      </c>
      <c r="T5" s="804" t="s">
        <v>169</v>
      </c>
      <c r="U5" s="803" t="s">
        <v>260</v>
      </c>
      <c r="V5" s="805"/>
      <c r="W5" s="805"/>
      <c r="X5" s="805"/>
      <c r="Y5" s="805"/>
      <c r="Z5" s="805"/>
      <c r="AA5" s="805"/>
      <c r="AB5" s="805"/>
      <c r="AC5" s="805"/>
    </row>
    <row r="6" ht="15.75" hidden="1" customHeight="1">
      <c r="A6" s="439"/>
      <c r="B6" s="461"/>
      <c r="C6" s="497" t="s">
        <v>73</v>
      </c>
      <c r="D6" s="703">
        <v>7363.0</v>
      </c>
      <c r="E6" s="540"/>
      <c r="F6" s="541"/>
      <c r="G6" s="540"/>
      <c r="H6" s="541"/>
      <c r="I6" s="542"/>
      <c r="J6" s="703">
        <v>7363.0</v>
      </c>
      <c r="K6" s="540"/>
      <c r="L6" s="541"/>
      <c r="M6" s="540"/>
      <c r="N6" s="541"/>
      <c r="O6" s="542"/>
      <c r="P6" s="703">
        <v>7363.0</v>
      </c>
      <c r="Q6" s="540"/>
      <c r="R6" s="541"/>
      <c r="S6" s="540"/>
      <c r="T6" s="541"/>
      <c r="U6" s="542"/>
      <c r="V6" s="439"/>
      <c r="W6" s="439"/>
      <c r="X6" s="439"/>
      <c r="Y6" s="439"/>
      <c r="Z6" s="439"/>
      <c r="AA6" s="439"/>
      <c r="AB6" s="439"/>
      <c r="AC6" s="439"/>
    </row>
    <row r="7" ht="15.75" hidden="1" customHeight="1">
      <c r="A7" s="439"/>
      <c r="B7" s="469"/>
      <c r="C7" s="465" t="s">
        <v>80</v>
      </c>
      <c r="D7" s="704">
        <v>2241.0</v>
      </c>
      <c r="E7" s="539"/>
      <c r="F7" s="521"/>
      <c r="G7" s="539"/>
      <c r="H7" s="521"/>
      <c r="I7" s="479"/>
      <c r="J7" s="704">
        <v>2241.0</v>
      </c>
      <c r="K7" s="539"/>
      <c r="L7" s="521"/>
      <c r="M7" s="539"/>
      <c r="N7" s="521"/>
      <c r="O7" s="479"/>
      <c r="P7" s="704">
        <v>2241.0</v>
      </c>
      <c r="Q7" s="539"/>
      <c r="R7" s="521"/>
      <c r="S7" s="539"/>
      <c r="T7" s="521"/>
      <c r="U7" s="479"/>
      <c r="V7" s="439"/>
      <c r="W7" s="439"/>
      <c r="X7" s="439"/>
      <c r="Y7" s="439"/>
      <c r="Z7" s="439"/>
      <c r="AA7" s="439"/>
      <c r="AB7" s="439"/>
      <c r="AC7" s="439"/>
    </row>
    <row r="8" ht="15.75" hidden="1" customHeight="1">
      <c r="A8" s="439"/>
      <c r="B8" s="469"/>
      <c r="C8" s="465" t="s">
        <v>87</v>
      </c>
      <c r="D8" s="704">
        <f>D16+D24+D25+D28</f>
        <v>12441648</v>
      </c>
      <c r="E8" s="539"/>
      <c r="F8" s="521"/>
      <c r="G8" s="539"/>
      <c r="H8" s="521"/>
      <c r="I8" s="479"/>
      <c r="J8" s="704">
        <f>J16+J24+J25+J28</f>
        <v>13346668</v>
      </c>
      <c r="K8" s="539"/>
      <c r="L8" s="521"/>
      <c r="M8" s="539"/>
      <c r="N8" s="521"/>
      <c r="O8" s="479"/>
      <c r="P8" s="704">
        <f>P16+P24+P25+P28</f>
        <v>12036079</v>
      </c>
      <c r="Q8" s="539"/>
      <c r="R8" s="521"/>
      <c r="S8" s="539"/>
      <c r="T8" s="521"/>
      <c r="U8" s="479"/>
      <c r="V8" s="439"/>
      <c r="W8" s="439"/>
      <c r="X8" s="439"/>
      <c r="Y8" s="439"/>
      <c r="Z8" s="439"/>
      <c r="AA8" s="439"/>
      <c r="AB8" s="439"/>
      <c r="AC8" s="439"/>
    </row>
    <row r="9" ht="15.75" hidden="1" customHeight="1">
      <c r="A9" s="439"/>
      <c r="B9" s="469"/>
      <c r="C9" s="465" t="s">
        <v>94</v>
      </c>
      <c r="D9" s="704">
        <f>D17+D19+D20+D21</f>
        <v>4904513.25</v>
      </c>
      <c r="E9" s="539"/>
      <c r="F9" s="521"/>
      <c r="G9" s="539"/>
      <c r="H9" s="521"/>
      <c r="I9" s="479"/>
      <c r="J9" s="704">
        <f>J17+J19+J20+J21</f>
        <v>4906249</v>
      </c>
      <c r="K9" s="539"/>
      <c r="L9" s="521"/>
      <c r="M9" s="539"/>
      <c r="N9" s="521"/>
      <c r="O9" s="479"/>
      <c r="P9" s="704">
        <f>P17+P19+P20+P21</f>
        <v>4719429</v>
      </c>
      <c r="Q9" s="539"/>
      <c r="R9" s="521"/>
      <c r="S9" s="539"/>
      <c r="T9" s="521"/>
      <c r="U9" s="479"/>
      <c r="V9" s="439"/>
      <c r="W9" s="439"/>
      <c r="X9" s="439"/>
      <c r="Y9" s="439"/>
      <c r="Z9" s="439"/>
      <c r="AA9" s="439"/>
      <c r="AB9" s="439"/>
      <c r="AC9" s="439"/>
    </row>
    <row r="10" ht="15.75" hidden="1" customHeight="1">
      <c r="A10" s="439"/>
      <c r="B10" s="469"/>
      <c r="C10" s="465" t="s">
        <v>101</v>
      </c>
      <c r="D10" s="704">
        <f>SUM(D8:D9)-D29</f>
        <v>0</v>
      </c>
      <c r="E10" s="539"/>
      <c r="F10" s="521"/>
      <c r="G10" s="539"/>
      <c r="H10" s="521"/>
      <c r="I10" s="479"/>
      <c r="J10" s="704">
        <f>SUM(J8:J9)-J29</f>
        <v>-27462</v>
      </c>
      <c r="K10" s="539"/>
      <c r="L10" s="521"/>
      <c r="M10" s="539"/>
      <c r="N10" s="521"/>
      <c r="O10" s="479"/>
      <c r="P10" s="704">
        <f>SUM(P8:P9)-P29</f>
        <v>-33600</v>
      </c>
      <c r="Q10" s="539"/>
      <c r="R10" s="521"/>
      <c r="S10" s="539"/>
      <c r="T10" s="521"/>
      <c r="U10" s="479"/>
      <c r="V10" s="439"/>
      <c r="W10" s="439"/>
      <c r="X10" s="439"/>
      <c r="Y10" s="439"/>
      <c r="Z10" s="439"/>
      <c r="AA10" s="439"/>
      <c r="AB10" s="439"/>
      <c r="AC10" s="439"/>
    </row>
    <row r="11" ht="15.75" hidden="1" customHeight="1">
      <c r="A11" s="439"/>
      <c r="B11" s="469"/>
      <c r="C11" s="465" t="s">
        <v>108</v>
      </c>
      <c r="D11" s="704">
        <f t="shared" ref="D11:D12" si="1">D8/D6</f>
        <v>1689.752547</v>
      </c>
      <c r="E11" s="539"/>
      <c r="F11" s="521"/>
      <c r="G11" s="539"/>
      <c r="H11" s="521"/>
      <c r="I11" s="479"/>
      <c r="J11" s="704">
        <f t="shared" ref="J11:J12" si="2">J8/J6</f>
        <v>1812.667119</v>
      </c>
      <c r="K11" s="539"/>
      <c r="L11" s="521"/>
      <c r="M11" s="539"/>
      <c r="N11" s="521"/>
      <c r="O11" s="479"/>
      <c r="P11" s="704">
        <f t="shared" ref="P11:P12" si="3">P8/P6</f>
        <v>1634.670515</v>
      </c>
      <c r="Q11" s="539"/>
      <c r="R11" s="521"/>
      <c r="S11" s="539"/>
      <c r="T11" s="521"/>
      <c r="U11" s="479"/>
      <c r="V11" s="439"/>
      <c r="W11" s="439"/>
      <c r="X11" s="439"/>
      <c r="Y11" s="439"/>
      <c r="Z11" s="439"/>
      <c r="AA11" s="439"/>
      <c r="AB11" s="439"/>
      <c r="AC11" s="439"/>
    </row>
    <row r="12" ht="15.75" hidden="1" customHeight="1">
      <c r="A12" s="439"/>
      <c r="B12" s="469"/>
      <c r="C12" s="465" t="s">
        <v>115</v>
      </c>
      <c r="D12" s="704">
        <f t="shared" si="1"/>
        <v>2188.537818</v>
      </c>
      <c r="E12" s="539"/>
      <c r="F12" s="521"/>
      <c r="G12" s="539"/>
      <c r="H12" s="521"/>
      <c r="I12" s="479"/>
      <c r="J12" s="704">
        <f t="shared" si="2"/>
        <v>2189.312361</v>
      </c>
      <c r="K12" s="539"/>
      <c r="L12" s="521"/>
      <c r="M12" s="539"/>
      <c r="N12" s="521"/>
      <c r="O12" s="479"/>
      <c r="P12" s="704">
        <f t="shared" si="3"/>
        <v>2105.947791</v>
      </c>
      <c r="Q12" s="539"/>
      <c r="R12" s="521"/>
      <c r="S12" s="539"/>
      <c r="T12" s="521"/>
      <c r="U12" s="479"/>
      <c r="V12" s="439"/>
      <c r="W12" s="439"/>
      <c r="X12" s="439"/>
      <c r="Y12" s="439"/>
      <c r="Z12" s="439"/>
      <c r="AA12" s="439"/>
      <c r="AB12" s="439"/>
      <c r="AC12" s="439"/>
    </row>
    <row r="13" ht="15.75" hidden="1" customHeight="1">
      <c r="A13" s="439"/>
      <c r="B13" s="469"/>
      <c r="C13" s="465"/>
      <c r="D13" s="704"/>
      <c r="E13" s="256"/>
      <c r="F13" s="521"/>
      <c r="G13" s="557"/>
      <c r="H13" s="521"/>
      <c r="I13" s="674"/>
      <c r="J13" s="704"/>
      <c r="K13" s="256"/>
      <c r="L13" s="521"/>
      <c r="M13" s="557"/>
      <c r="N13" s="521"/>
      <c r="O13" s="674"/>
      <c r="P13" s="704"/>
      <c r="Q13" s="256"/>
      <c r="R13" s="521"/>
      <c r="S13" s="557"/>
      <c r="T13" s="521"/>
      <c r="U13" s="674"/>
      <c r="V13" s="439"/>
      <c r="W13" s="439"/>
      <c r="X13" s="439"/>
      <c r="Y13" s="439"/>
      <c r="Z13" s="439"/>
      <c r="AA13" s="439"/>
      <c r="AB13" s="439"/>
      <c r="AC13" s="439"/>
    </row>
    <row r="14" ht="15.75" hidden="1" customHeight="1">
      <c r="A14" s="439"/>
      <c r="B14" s="543"/>
      <c r="C14" s="483"/>
      <c r="D14" s="705"/>
      <c r="E14" s="677"/>
      <c r="F14" s="545"/>
      <c r="G14" s="564"/>
      <c r="H14" s="545"/>
      <c r="I14" s="679"/>
      <c r="J14" s="705"/>
      <c r="K14" s="677"/>
      <c r="L14" s="545"/>
      <c r="M14" s="564"/>
      <c r="N14" s="545"/>
      <c r="O14" s="679"/>
      <c r="P14" s="705"/>
      <c r="Q14" s="677"/>
      <c r="R14" s="545"/>
      <c r="S14" s="564"/>
      <c r="T14" s="545"/>
      <c r="U14" s="679"/>
      <c r="V14" s="439"/>
      <c r="W14" s="439"/>
      <c r="X14" s="439"/>
      <c r="Y14" s="439"/>
      <c r="Z14" s="439"/>
      <c r="AA14" s="439"/>
      <c r="AB14" s="439"/>
      <c r="AC14" s="439"/>
    </row>
    <row r="15" ht="15.75" customHeight="1">
      <c r="A15" s="439"/>
      <c r="B15" s="457" t="s">
        <v>170</v>
      </c>
      <c r="C15" s="664" t="s">
        <v>296</v>
      </c>
      <c r="D15" s="713">
        <f>SUM(D16:D21)</f>
        <v>12642063.25</v>
      </c>
      <c r="E15" s="667"/>
      <c r="F15" s="665">
        <f>SUM(F16:F21)</f>
        <v>0</v>
      </c>
      <c r="G15" s="667"/>
      <c r="H15" s="806"/>
      <c r="I15" s="780"/>
      <c r="J15" s="713">
        <f>SUM(J16:J22)</f>
        <v>13408656</v>
      </c>
      <c r="K15" s="667"/>
      <c r="L15" s="665">
        <f>SUM(L16:L21)</f>
        <v>0</v>
      </c>
      <c r="M15" s="667"/>
      <c r="N15" s="512"/>
      <c r="O15" s="670"/>
      <c r="P15" s="713">
        <f>SUM(P16:P21)</f>
        <v>12338966</v>
      </c>
      <c r="Q15" s="667"/>
      <c r="R15" s="665">
        <f>SUM(R16:R21)</f>
        <v>0</v>
      </c>
      <c r="S15" s="667"/>
      <c r="T15" s="512"/>
      <c r="U15" s="670"/>
      <c r="V15" s="439"/>
      <c r="W15" s="439"/>
      <c r="X15" s="439"/>
      <c r="Y15" s="439"/>
      <c r="Z15" s="439"/>
      <c r="AA15" s="439"/>
      <c r="AB15" s="439"/>
      <c r="AC15" s="439"/>
    </row>
    <row r="16" ht="15.75" customHeight="1">
      <c r="A16" s="439"/>
      <c r="B16" s="461"/>
      <c r="C16" s="497" t="s">
        <v>172</v>
      </c>
      <c r="D16" s="703">
        <v>7737550.0</v>
      </c>
      <c r="E16" s="552" t="str">
        <f t="shared" ref="E16:E18" si="4">D16/#REF!</f>
        <v>#REF!</v>
      </c>
      <c r="F16" s="541"/>
      <c r="G16" s="552" t="str">
        <f t="shared" ref="G16:G21" si="5">F16/#REF!</f>
        <v>#REF!</v>
      </c>
      <c r="H16" s="541">
        <f>D16-F16</f>
        <v>7737550</v>
      </c>
      <c r="I16" s="571" t="str">
        <f t="shared" ref="I16:I22" si="6">IFERROR(H16/F16,"")</f>
        <v/>
      </c>
      <c r="J16" s="703">
        <v>8488676.0</v>
      </c>
      <c r="K16" s="552" t="str">
        <f t="shared" ref="K16:K21" si="7">J16/#REF!</f>
        <v>#REF!</v>
      </c>
      <c r="L16" s="541"/>
      <c r="M16" s="552" t="str">
        <f t="shared" ref="M16:M21" si="8">L16/#REF!</f>
        <v>#REF!</v>
      </c>
      <c r="N16" s="541">
        <f>J16-L16</f>
        <v>8488676</v>
      </c>
      <c r="O16" s="571" t="str">
        <f t="shared" ref="O16:O22" si="9">IFERROR(N16/L16,"")</f>
        <v/>
      </c>
      <c r="P16" s="741">
        <v>7619537.0</v>
      </c>
      <c r="Q16" s="554" t="str">
        <f t="shared" ref="Q16:Q21" si="10">P16/#REF!</f>
        <v>#REF!</v>
      </c>
      <c r="R16" s="541"/>
      <c r="S16" s="552" t="str">
        <f t="shared" ref="S16:S21" si="11">R16/#REF!</f>
        <v>#REF!</v>
      </c>
      <c r="T16" s="541">
        <f>P16-R16</f>
        <v>7619537</v>
      </c>
      <c r="U16" s="571" t="str">
        <f t="shared" ref="U16:U22" si="12">IFERROR(T16/R16,"")</f>
        <v/>
      </c>
      <c r="V16" s="439"/>
      <c r="W16" s="439"/>
      <c r="X16" s="439"/>
      <c r="Y16" s="439"/>
      <c r="Z16" s="439"/>
      <c r="AA16" s="439"/>
      <c r="AB16" s="439"/>
      <c r="AC16" s="439"/>
    </row>
    <row r="17" ht="15.75" customHeight="1">
      <c r="A17" s="439"/>
      <c r="B17" s="465"/>
      <c r="C17" s="465" t="s">
        <v>173</v>
      </c>
      <c r="D17" s="704">
        <f>259488+2302715+1539499+220514+69929</f>
        <v>4392145</v>
      </c>
      <c r="E17" s="557" t="str">
        <f t="shared" si="4"/>
        <v>#REF!</v>
      </c>
      <c r="F17" s="521"/>
      <c r="G17" s="557" t="str">
        <f t="shared" si="5"/>
        <v>#REF!</v>
      </c>
      <c r="H17" s="521">
        <f>D17-SUM(F17:F18)</f>
        <v>4392145</v>
      </c>
      <c r="I17" s="573" t="str">
        <f t="shared" si="6"/>
        <v/>
      </c>
      <c r="J17" s="759">
        <v>4788080.0</v>
      </c>
      <c r="K17" s="557" t="str">
        <f t="shared" si="7"/>
        <v>#REF!</v>
      </c>
      <c r="L17" s="521"/>
      <c r="M17" s="557" t="str">
        <f t="shared" si="8"/>
        <v>#REF!</v>
      </c>
      <c r="N17" s="521">
        <f>J17-SUM(L17:L18)</f>
        <v>4788080</v>
      </c>
      <c r="O17" s="573" t="str">
        <f t="shared" si="9"/>
        <v/>
      </c>
      <c r="P17" s="741">
        <v>4061658.0</v>
      </c>
      <c r="Q17" s="560" t="str">
        <f t="shared" si="10"/>
        <v>#REF!</v>
      </c>
      <c r="R17" s="521"/>
      <c r="S17" s="557" t="str">
        <f t="shared" si="11"/>
        <v>#REF!</v>
      </c>
      <c r="T17" s="521">
        <f>P17-SUM(R17:R18)</f>
        <v>4061658</v>
      </c>
      <c r="U17" s="573" t="str">
        <f t="shared" si="12"/>
        <v/>
      </c>
      <c r="V17" s="439"/>
      <c r="W17" s="439"/>
      <c r="X17" s="439"/>
      <c r="Y17" s="439"/>
      <c r="Z17" s="439"/>
      <c r="AA17" s="439"/>
      <c r="AB17" s="439"/>
      <c r="AC17" s="439"/>
    </row>
    <row r="18" ht="15.75" customHeight="1">
      <c r="A18" s="439"/>
      <c r="B18" s="465"/>
      <c r="C18" s="465" t="s">
        <v>261</v>
      </c>
      <c r="D18" s="704"/>
      <c r="E18" s="704" t="str">
        <f t="shared" si="4"/>
        <v>#REF!</v>
      </c>
      <c r="F18" s="704"/>
      <c r="G18" s="704" t="str">
        <f t="shared" si="5"/>
        <v>#REF!</v>
      </c>
      <c r="H18" s="704"/>
      <c r="I18" s="704" t="str">
        <f t="shared" si="6"/>
        <v/>
      </c>
      <c r="J18" s="704"/>
      <c r="K18" s="557" t="str">
        <f t="shared" si="7"/>
        <v>#REF!</v>
      </c>
      <c r="L18" s="521"/>
      <c r="M18" s="557" t="str">
        <f t="shared" si="8"/>
        <v>#REF!</v>
      </c>
      <c r="N18" s="521"/>
      <c r="O18" s="573" t="str">
        <f t="shared" si="9"/>
        <v/>
      </c>
      <c r="P18" s="737"/>
      <c r="Q18" s="560" t="str">
        <f t="shared" si="10"/>
        <v>#REF!</v>
      </c>
      <c r="R18" s="521"/>
      <c r="S18" s="557" t="str">
        <f t="shared" si="11"/>
        <v>#REF!</v>
      </c>
      <c r="T18" s="521"/>
      <c r="U18" s="573" t="str">
        <f t="shared" si="12"/>
        <v/>
      </c>
      <c r="V18" s="439"/>
      <c r="W18" s="439"/>
      <c r="X18" s="439"/>
      <c r="Y18" s="439"/>
      <c r="Z18" s="439"/>
      <c r="AA18" s="439"/>
      <c r="AB18" s="439"/>
      <c r="AC18" s="439"/>
    </row>
    <row r="19" ht="15.75" customHeight="1">
      <c r="A19" s="439"/>
      <c r="B19" s="465"/>
      <c r="C19" s="465" t="s">
        <v>174</v>
      </c>
      <c r="D19" s="704">
        <f>290443.45</f>
        <v>290443.45</v>
      </c>
      <c r="E19" s="704">
        <v>118169.0</v>
      </c>
      <c r="F19" s="704"/>
      <c r="G19" s="704" t="str">
        <f t="shared" si="5"/>
        <v>#REF!</v>
      </c>
      <c r="H19" s="704">
        <f t="shared" ref="H19:H21" si="13">D19-F19</f>
        <v>290443.45</v>
      </c>
      <c r="I19" s="704" t="str">
        <f t="shared" si="6"/>
        <v/>
      </c>
      <c r="J19" s="704">
        <v>118169.0</v>
      </c>
      <c r="K19" s="557" t="str">
        <f t="shared" si="7"/>
        <v>#REF!</v>
      </c>
      <c r="L19" s="521"/>
      <c r="M19" s="557" t="str">
        <f t="shared" si="8"/>
        <v>#REF!</v>
      </c>
      <c r="N19" s="521">
        <f t="shared" ref="N19:N21" si="14">J19-L19</f>
        <v>118169</v>
      </c>
      <c r="O19" s="573" t="str">
        <f t="shared" si="9"/>
        <v/>
      </c>
      <c r="P19" s="603">
        <v>657771.0</v>
      </c>
      <c r="Q19" s="560" t="str">
        <f t="shared" si="10"/>
        <v>#REF!</v>
      </c>
      <c r="R19" s="521"/>
      <c r="S19" s="557" t="str">
        <f t="shared" si="11"/>
        <v>#REF!</v>
      </c>
      <c r="T19" s="521">
        <f t="shared" ref="T19:T21" si="15">P19-R19</f>
        <v>657771</v>
      </c>
      <c r="U19" s="573" t="str">
        <f t="shared" si="12"/>
        <v/>
      </c>
      <c r="V19" s="439"/>
      <c r="W19" s="439"/>
      <c r="X19" s="439"/>
      <c r="Y19" s="439"/>
      <c r="Z19" s="439"/>
      <c r="AA19" s="439"/>
      <c r="AB19" s="439"/>
      <c r="AC19" s="439"/>
    </row>
    <row r="20" ht="15.75" customHeight="1">
      <c r="A20" s="439"/>
      <c r="B20" s="465"/>
      <c r="C20" s="465" t="s">
        <v>175</v>
      </c>
      <c r="D20" s="704">
        <v>12919.4</v>
      </c>
      <c r="E20" s="557" t="str">
        <f t="shared" ref="E20:E21" si="16">D20/#REF!</f>
        <v>#REF!</v>
      </c>
      <c r="F20" s="521"/>
      <c r="G20" s="557" t="str">
        <f t="shared" si="5"/>
        <v>#REF!</v>
      </c>
      <c r="H20" s="521">
        <f t="shared" si="13"/>
        <v>12919.4</v>
      </c>
      <c r="I20" s="573" t="str">
        <f t="shared" si="6"/>
        <v/>
      </c>
      <c r="J20" s="807">
        <v>0.0</v>
      </c>
      <c r="K20" s="557" t="str">
        <f t="shared" si="7"/>
        <v>#REF!</v>
      </c>
      <c r="L20" s="521"/>
      <c r="M20" s="557" t="str">
        <f t="shared" si="8"/>
        <v>#REF!</v>
      </c>
      <c r="N20" s="521">
        <f t="shared" si="14"/>
        <v>0</v>
      </c>
      <c r="O20" s="573" t="str">
        <f t="shared" si="9"/>
        <v/>
      </c>
      <c r="P20" s="807">
        <v>0.0</v>
      </c>
      <c r="Q20" s="560" t="str">
        <f t="shared" si="10"/>
        <v>#REF!</v>
      </c>
      <c r="R20" s="521"/>
      <c r="S20" s="557" t="str">
        <f t="shared" si="11"/>
        <v>#REF!</v>
      </c>
      <c r="T20" s="521">
        <f t="shared" si="15"/>
        <v>0</v>
      </c>
      <c r="U20" s="573" t="str">
        <f t="shared" si="12"/>
        <v/>
      </c>
      <c r="V20" s="439"/>
      <c r="W20" s="439"/>
      <c r="X20" s="439"/>
      <c r="Y20" s="439"/>
      <c r="Z20" s="439"/>
      <c r="AA20" s="439"/>
      <c r="AB20" s="439"/>
      <c r="AC20" s="439"/>
    </row>
    <row r="21" ht="15.75" customHeight="1">
      <c r="A21" s="439"/>
      <c r="B21" s="465"/>
      <c r="C21" s="465" t="s">
        <v>176</v>
      </c>
      <c r="D21" s="704">
        <v>209005.40000000002</v>
      </c>
      <c r="E21" s="557" t="str">
        <f t="shared" si="16"/>
        <v>#REF!</v>
      </c>
      <c r="F21" s="521"/>
      <c r="G21" s="557" t="str">
        <f t="shared" si="5"/>
        <v>#REF!</v>
      </c>
      <c r="H21" s="521">
        <f t="shared" si="13"/>
        <v>209005.4</v>
      </c>
      <c r="I21" s="573" t="str">
        <f t="shared" si="6"/>
        <v/>
      </c>
      <c r="J21" s="807">
        <v>0.0</v>
      </c>
      <c r="K21" s="557" t="str">
        <f t="shared" si="7"/>
        <v>#REF!</v>
      </c>
      <c r="L21" s="521"/>
      <c r="M21" s="557" t="str">
        <f t="shared" si="8"/>
        <v>#REF!</v>
      </c>
      <c r="N21" s="521">
        <f t="shared" si="14"/>
        <v>0</v>
      </c>
      <c r="O21" s="573" t="str">
        <f t="shared" si="9"/>
        <v/>
      </c>
      <c r="P21" s="807">
        <v>0.0</v>
      </c>
      <c r="Q21" s="560" t="str">
        <f t="shared" si="10"/>
        <v>#REF!</v>
      </c>
      <c r="R21" s="521"/>
      <c r="S21" s="557" t="str">
        <f t="shared" si="11"/>
        <v>#REF!</v>
      </c>
      <c r="T21" s="521">
        <f t="shared" si="15"/>
        <v>0</v>
      </c>
      <c r="U21" s="573" t="str">
        <f t="shared" si="12"/>
        <v/>
      </c>
      <c r="V21" s="439"/>
      <c r="W21" s="439"/>
      <c r="X21" s="439"/>
      <c r="Y21" s="439"/>
      <c r="Z21" s="439"/>
      <c r="AA21" s="439"/>
      <c r="AB21" s="439"/>
      <c r="AC21" s="439"/>
    </row>
    <row r="22" ht="15.75" customHeight="1">
      <c r="A22" s="439"/>
      <c r="B22" s="465"/>
      <c r="C22" s="465" t="s">
        <v>263</v>
      </c>
      <c r="D22" s="807">
        <v>0.0</v>
      </c>
      <c r="E22" s="557"/>
      <c r="F22" s="521"/>
      <c r="G22" s="557"/>
      <c r="H22" s="521"/>
      <c r="I22" s="573" t="str">
        <f t="shared" si="6"/>
        <v/>
      </c>
      <c r="J22" s="704">
        <v>13731.0</v>
      </c>
      <c r="K22" s="557"/>
      <c r="L22" s="521"/>
      <c r="M22" s="557"/>
      <c r="N22" s="521"/>
      <c r="O22" s="573" t="str">
        <f t="shared" si="9"/>
        <v/>
      </c>
      <c r="P22" s="747">
        <v>16800.0</v>
      </c>
      <c r="Q22" s="560"/>
      <c r="R22" s="521"/>
      <c r="S22" s="557"/>
      <c r="T22" s="521"/>
      <c r="U22" s="573" t="str">
        <f t="shared" si="12"/>
        <v/>
      </c>
      <c r="V22" s="439"/>
      <c r="W22" s="439"/>
      <c r="X22" s="439"/>
      <c r="Y22" s="439"/>
      <c r="Z22" s="439"/>
      <c r="AA22" s="439"/>
      <c r="AB22" s="439"/>
      <c r="AC22" s="439"/>
    </row>
    <row r="23" ht="15.75" customHeight="1">
      <c r="A23" s="439"/>
      <c r="B23" s="469"/>
      <c r="C23" s="465"/>
      <c r="D23" s="704"/>
      <c r="E23" s="557"/>
      <c r="F23" s="521"/>
      <c r="G23" s="557"/>
      <c r="H23" s="521"/>
      <c r="I23" s="573"/>
      <c r="J23" s="704"/>
      <c r="K23" s="557"/>
      <c r="L23" s="521"/>
      <c r="M23" s="557"/>
      <c r="N23" s="521"/>
      <c r="O23" s="573"/>
      <c r="P23" s="737"/>
      <c r="Q23" s="560"/>
      <c r="R23" s="521"/>
      <c r="S23" s="557"/>
      <c r="T23" s="521"/>
      <c r="U23" s="573"/>
      <c r="V23" s="439"/>
      <c r="W23" s="439"/>
      <c r="X23" s="439"/>
      <c r="Y23" s="439"/>
      <c r="Z23" s="439"/>
      <c r="AA23" s="439"/>
      <c r="AB23" s="439"/>
      <c r="AC23" s="439"/>
    </row>
    <row r="24" ht="15.75" customHeight="1">
      <c r="A24" s="439"/>
      <c r="B24" s="469" t="s">
        <v>21</v>
      </c>
      <c r="C24" s="465" t="s">
        <v>21</v>
      </c>
      <c r="D24" s="704">
        <v>1555917.5</v>
      </c>
      <c r="E24" s="557">
        <f t="shared" ref="E24:E26" si="17">D24/D$29</f>
        <v>0.0896980881</v>
      </c>
      <c r="F24" s="521"/>
      <c r="G24" s="557" t="str">
        <f t="shared" ref="G24:G26" si="18">F24/F$29</f>
        <v>#DIV/0!</v>
      </c>
      <c r="H24" s="521">
        <f t="shared" ref="H24:H26" si="19">D24-F24</f>
        <v>1555917.5</v>
      </c>
      <c r="I24" s="573" t="str">
        <f t="shared" ref="I24:I28" si="20">IFERROR(H24/F24,"")</f>
        <v/>
      </c>
      <c r="J24" s="704">
        <v>1681871.0</v>
      </c>
      <c r="K24" s="557">
        <f t="shared" ref="K24:K25" si="21">J24/J$29</f>
        <v>0.09200416468</v>
      </c>
      <c r="L24" s="521"/>
      <c r="M24" s="557" t="str">
        <f t="shared" ref="M24:M25" si="22">L24/L$29</f>
        <v>#DIV/0!</v>
      </c>
      <c r="N24" s="521">
        <f t="shared" ref="N24:N25" si="23">J24-L24</f>
        <v>1681871</v>
      </c>
      <c r="O24" s="573" t="str">
        <f t="shared" ref="O24:O25" si="24">IFERROR(N24/L24,"")</f>
        <v/>
      </c>
      <c r="P24" s="737">
        <v>1556928.0</v>
      </c>
      <c r="Q24" s="560">
        <f t="shared" ref="Q24:Q26" si="25">P24/P$29</f>
        <v>0.09273440852</v>
      </c>
      <c r="R24" s="521"/>
      <c r="S24" s="557" t="str">
        <f t="shared" ref="S24:S26" si="26">R24/R$29</f>
        <v>#DIV/0!</v>
      </c>
      <c r="T24" s="521">
        <f t="shared" ref="T24:T26" si="27">P24-R24</f>
        <v>1556928</v>
      </c>
      <c r="U24" s="573" t="str">
        <f t="shared" ref="U24:U28" si="28">IFERROR(T24/R24,"")</f>
        <v/>
      </c>
      <c r="V24" s="439"/>
      <c r="W24" s="439"/>
      <c r="X24" s="439"/>
      <c r="Y24" s="439"/>
      <c r="Z24" s="439"/>
      <c r="AA24" s="439"/>
      <c r="AB24" s="439"/>
      <c r="AC24" s="439"/>
    </row>
    <row r="25" ht="15.75" customHeight="1">
      <c r="A25" s="439"/>
      <c r="B25" s="469" t="s">
        <v>22</v>
      </c>
      <c r="C25" s="465" t="s">
        <v>22</v>
      </c>
      <c r="D25" s="704">
        <v>2119471.5</v>
      </c>
      <c r="E25" s="557">
        <f t="shared" si="17"/>
        <v>0.1221867749</v>
      </c>
      <c r="F25" s="521"/>
      <c r="G25" s="557" t="str">
        <f t="shared" si="18"/>
        <v>#DIV/0!</v>
      </c>
      <c r="H25" s="521">
        <f t="shared" si="19"/>
        <v>2119471.5</v>
      </c>
      <c r="I25" s="573" t="str">
        <f t="shared" si="20"/>
        <v/>
      </c>
      <c r="J25" s="704">
        <v>2074971.0</v>
      </c>
      <c r="K25" s="557">
        <f t="shared" si="21"/>
        <v>0.1135080952</v>
      </c>
      <c r="L25" s="521"/>
      <c r="M25" s="557" t="str">
        <f t="shared" si="22"/>
        <v>#DIV/0!</v>
      </c>
      <c r="N25" s="521">
        <f t="shared" si="23"/>
        <v>2074971</v>
      </c>
      <c r="O25" s="573" t="str">
        <f t="shared" si="24"/>
        <v/>
      </c>
      <c r="P25" s="737">
        <v>1862183.0</v>
      </c>
      <c r="Q25" s="560">
        <f t="shared" si="25"/>
        <v>0.1109161368</v>
      </c>
      <c r="R25" s="521"/>
      <c r="S25" s="557" t="str">
        <f t="shared" si="26"/>
        <v>#DIV/0!</v>
      </c>
      <c r="T25" s="521">
        <f t="shared" si="27"/>
        <v>1862183</v>
      </c>
      <c r="U25" s="573" t="str">
        <f t="shared" si="28"/>
        <v/>
      </c>
      <c r="V25" s="439"/>
      <c r="W25" s="439"/>
      <c r="X25" s="439"/>
      <c r="Y25" s="439"/>
      <c r="Z25" s="439"/>
      <c r="AA25" s="439"/>
      <c r="AB25" s="439"/>
      <c r="AC25" s="439"/>
    </row>
    <row r="26" ht="15.75" customHeight="1">
      <c r="A26" s="439"/>
      <c r="B26" s="469" t="s">
        <v>23</v>
      </c>
      <c r="C26" s="465" t="s">
        <v>177</v>
      </c>
      <c r="D26" s="576">
        <f>SUM(D16:D22)</f>
        <v>12642063.25</v>
      </c>
      <c r="E26" s="577">
        <f t="shared" si="17"/>
        <v>0.7288104306</v>
      </c>
      <c r="F26" s="579"/>
      <c r="G26" s="577" t="str">
        <f t="shared" si="18"/>
        <v>#DIV/0!</v>
      </c>
      <c r="H26" s="578">
        <f t="shared" si="19"/>
        <v>12642063.25</v>
      </c>
      <c r="I26" s="808" t="str">
        <f t="shared" si="20"/>
        <v/>
      </c>
      <c r="J26" s="766">
        <f t="shared" ref="J26:P26" si="29">SUM(J16:J22)</f>
        <v>13408656</v>
      </c>
      <c r="K26" s="766" t="str">
        <f t="shared" si="29"/>
        <v>#REF!</v>
      </c>
      <c r="L26" s="766">
        <f t="shared" si="29"/>
        <v>0</v>
      </c>
      <c r="M26" s="766" t="str">
        <f t="shared" si="29"/>
        <v>#REF!</v>
      </c>
      <c r="N26" s="766">
        <f t="shared" si="29"/>
        <v>13394925</v>
      </c>
      <c r="O26" s="809">
        <f t="shared" si="29"/>
        <v>0</v>
      </c>
      <c r="P26" s="796">
        <f t="shared" si="29"/>
        <v>12355766</v>
      </c>
      <c r="Q26" s="560">
        <f t="shared" si="25"/>
        <v>0.7359393959</v>
      </c>
      <c r="R26" s="582"/>
      <c r="S26" s="557" t="str">
        <f t="shared" si="26"/>
        <v>#DIV/0!</v>
      </c>
      <c r="T26" s="521">
        <f t="shared" si="27"/>
        <v>12355766</v>
      </c>
      <c r="U26" s="573" t="str">
        <f t="shared" si="28"/>
        <v/>
      </c>
      <c r="V26" s="439"/>
      <c r="W26" s="439"/>
      <c r="X26" s="439"/>
      <c r="Y26" s="439"/>
      <c r="Z26" s="439"/>
      <c r="AA26" s="439"/>
      <c r="AB26" s="439"/>
      <c r="AC26" s="439"/>
    </row>
    <row r="27" ht="15.75" customHeight="1">
      <c r="A27" s="439"/>
      <c r="B27" s="465"/>
      <c r="C27" s="465"/>
      <c r="D27" s="704"/>
      <c r="E27" s="557"/>
      <c r="F27" s="521"/>
      <c r="G27" s="557"/>
      <c r="H27" s="675"/>
      <c r="I27" s="573" t="str">
        <f t="shared" si="20"/>
        <v/>
      </c>
      <c r="J27" s="704"/>
      <c r="K27" s="557"/>
      <c r="L27" s="521"/>
      <c r="M27" s="557"/>
      <c r="N27" s="675"/>
      <c r="O27" s="573" t="str">
        <f t="shared" ref="O27:O28" si="30">IFERROR(N27/L27,"")</f>
        <v/>
      </c>
      <c r="P27" s="737"/>
      <c r="Q27" s="560"/>
      <c r="R27" s="521"/>
      <c r="S27" s="557"/>
      <c r="T27" s="675"/>
      <c r="U27" s="573" t="str">
        <f t="shared" si="28"/>
        <v/>
      </c>
      <c r="V27" s="439"/>
      <c r="W27" s="439"/>
      <c r="X27" s="439"/>
      <c r="Y27" s="439"/>
      <c r="Z27" s="439"/>
      <c r="AA27" s="439"/>
      <c r="AB27" s="439"/>
      <c r="AC27" s="439"/>
    </row>
    <row r="28" ht="15.75" customHeight="1">
      <c r="A28" s="439"/>
      <c r="B28" s="483"/>
      <c r="C28" s="483" t="s">
        <v>178</v>
      </c>
      <c r="D28" s="705">
        <v>1028709.0</v>
      </c>
      <c r="E28" s="564"/>
      <c r="F28" s="545">
        <f>G28*SUM(F24:F26)</f>
        <v>0</v>
      </c>
      <c r="G28" s="564"/>
      <c r="H28" s="545">
        <f t="shared" ref="H28:H29" si="31">D28-F28</f>
        <v>1028709</v>
      </c>
      <c r="I28" s="810" t="str">
        <f t="shared" si="20"/>
        <v/>
      </c>
      <c r="J28" s="811">
        <v>1101150.0</v>
      </c>
      <c r="K28" s="564"/>
      <c r="L28" s="545">
        <f>M28*SUM(L24:L26)</f>
        <v>0</v>
      </c>
      <c r="M28" s="564"/>
      <c r="N28" s="545">
        <f t="shared" ref="N28:N29" si="32">J28-L28</f>
        <v>1101150</v>
      </c>
      <c r="O28" s="810" t="str">
        <f t="shared" si="30"/>
        <v/>
      </c>
      <c r="P28" s="739">
        <v>997431.0</v>
      </c>
      <c r="Q28" s="583"/>
      <c r="R28" s="545">
        <f>S28*SUM(R24:R26)</f>
        <v>0</v>
      </c>
      <c r="S28" s="564"/>
      <c r="T28" s="545">
        <f t="shared" ref="T28:T29" si="33">P28-R28</f>
        <v>997431</v>
      </c>
      <c r="U28" s="810" t="str">
        <f t="shared" si="28"/>
        <v/>
      </c>
      <c r="V28" s="439"/>
      <c r="W28" s="439"/>
      <c r="X28" s="439"/>
      <c r="Y28" s="439"/>
      <c r="Z28" s="439"/>
      <c r="AA28" s="439"/>
      <c r="AB28" s="439"/>
      <c r="AC28" s="439"/>
    </row>
    <row r="29" ht="15.75" customHeight="1">
      <c r="A29" s="439"/>
      <c r="B29" s="686"/>
      <c r="C29" s="686" t="s">
        <v>179</v>
      </c>
      <c r="D29" s="459">
        <f>D24+D25+D26+D28+D22</f>
        <v>17346161.25</v>
      </c>
      <c r="E29" s="812"/>
      <c r="F29" s="548">
        <f>F24+F25+F26+F28</f>
        <v>0</v>
      </c>
      <c r="G29" s="548"/>
      <c r="H29" s="548">
        <f t="shared" si="31"/>
        <v>17346161.25</v>
      </c>
      <c r="I29" s="813"/>
      <c r="J29" s="459">
        <f>J24+J25+J26+J28+J22</f>
        <v>18280379</v>
      </c>
      <c r="K29" s="812"/>
      <c r="L29" s="548">
        <f>L24+L25+L26+L28</f>
        <v>0</v>
      </c>
      <c r="M29" s="548"/>
      <c r="N29" s="548">
        <f t="shared" si="32"/>
        <v>18280379</v>
      </c>
      <c r="O29" s="813"/>
      <c r="P29" s="491">
        <f>P24+P25+P26+P28+P22</f>
        <v>16789108</v>
      </c>
      <c r="Q29" s="814"/>
      <c r="R29" s="548">
        <f>R24+R25+R26+R28</f>
        <v>0</v>
      </c>
      <c r="S29" s="548"/>
      <c r="T29" s="548">
        <f t="shared" si="33"/>
        <v>16789108</v>
      </c>
      <c r="U29" s="813"/>
      <c r="V29" s="692"/>
      <c r="W29" s="692"/>
      <c r="X29" s="692"/>
      <c r="Y29" s="692"/>
      <c r="Z29" s="692"/>
      <c r="AA29" s="692"/>
      <c r="AB29" s="692"/>
      <c r="AC29" s="692"/>
    </row>
    <row r="30" ht="15.75" hidden="1" customHeight="1">
      <c r="A30" s="439"/>
      <c r="B30" s="461"/>
      <c r="C30" s="497"/>
      <c r="D30" s="703"/>
      <c r="E30" s="540"/>
      <c r="F30" s="541"/>
      <c r="G30" s="540"/>
      <c r="H30" s="541"/>
      <c r="I30" s="542"/>
      <c r="J30" s="703"/>
      <c r="K30" s="540"/>
      <c r="L30" s="541"/>
      <c r="M30" s="540"/>
      <c r="N30" s="541"/>
      <c r="O30" s="542"/>
      <c r="P30" s="741"/>
      <c r="Q30" s="606"/>
      <c r="R30" s="541"/>
      <c r="S30" s="540"/>
      <c r="T30" s="541"/>
      <c r="U30" s="542"/>
      <c r="V30" s="439"/>
      <c r="W30" s="439"/>
      <c r="X30" s="439"/>
      <c r="Y30" s="439"/>
      <c r="Z30" s="439"/>
      <c r="AA30" s="439"/>
      <c r="AB30" s="439"/>
      <c r="AC30" s="439"/>
    </row>
    <row r="31" ht="15.75" hidden="1" customHeight="1">
      <c r="A31" s="439"/>
      <c r="B31" s="465"/>
      <c r="C31" s="465"/>
      <c r="D31" s="704"/>
      <c r="E31" s="557"/>
      <c r="F31" s="521"/>
      <c r="G31" s="649"/>
      <c r="H31" s="521"/>
      <c r="I31" s="742"/>
      <c r="J31" s="704"/>
      <c r="K31" s="557"/>
      <c r="L31" s="521"/>
      <c r="M31" s="649"/>
      <c r="N31" s="521"/>
      <c r="O31" s="742"/>
      <c r="P31" s="737"/>
      <c r="Q31" s="560"/>
      <c r="R31" s="521"/>
      <c r="S31" s="649"/>
      <c r="T31" s="521"/>
      <c r="U31" s="742"/>
      <c r="V31" s="439"/>
      <c r="W31" s="439"/>
      <c r="X31" s="439"/>
      <c r="Y31" s="439"/>
      <c r="Z31" s="439"/>
      <c r="AA31" s="439"/>
      <c r="AB31" s="439"/>
      <c r="AC31" s="439"/>
    </row>
    <row r="32" ht="15.75" hidden="1" customHeight="1">
      <c r="A32" s="439"/>
      <c r="B32" s="465"/>
      <c r="C32" s="465"/>
      <c r="D32" s="704"/>
      <c r="E32" s="557"/>
      <c r="F32" s="521"/>
      <c r="G32" s="649"/>
      <c r="H32" s="521"/>
      <c r="I32" s="742"/>
      <c r="J32" s="704"/>
      <c r="K32" s="557"/>
      <c r="L32" s="521"/>
      <c r="M32" s="649"/>
      <c r="N32" s="521"/>
      <c r="O32" s="742"/>
      <c r="P32" s="737"/>
      <c r="Q32" s="560"/>
      <c r="R32" s="521"/>
      <c r="S32" s="649"/>
      <c r="T32" s="521"/>
      <c r="U32" s="742"/>
      <c r="V32" s="439"/>
      <c r="W32" s="439"/>
      <c r="X32" s="439"/>
      <c r="Y32" s="439"/>
      <c r="Z32" s="439"/>
      <c r="AA32" s="439"/>
      <c r="AB32" s="439"/>
      <c r="AC32" s="439"/>
    </row>
    <row r="33" ht="15.75" hidden="1" customHeight="1">
      <c r="A33" s="439"/>
      <c r="B33" s="465"/>
      <c r="C33" s="465"/>
      <c r="D33" s="704"/>
      <c r="E33" s="557"/>
      <c r="F33" s="521"/>
      <c r="G33" s="649"/>
      <c r="H33" s="521"/>
      <c r="I33" s="742"/>
      <c r="J33" s="704"/>
      <c r="K33" s="557"/>
      <c r="L33" s="521"/>
      <c r="M33" s="649"/>
      <c r="N33" s="521"/>
      <c r="O33" s="742"/>
      <c r="P33" s="737"/>
      <c r="Q33" s="560"/>
      <c r="R33" s="521"/>
      <c r="S33" s="649"/>
      <c r="T33" s="521"/>
      <c r="U33" s="742"/>
      <c r="V33" s="439"/>
      <c r="W33" s="439"/>
      <c r="X33" s="439"/>
      <c r="Y33" s="439"/>
      <c r="Z33" s="439"/>
      <c r="AA33" s="439"/>
      <c r="AB33" s="439"/>
      <c r="AC33" s="439"/>
    </row>
    <row r="34" ht="15.75" hidden="1" customHeight="1">
      <c r="A34" s="439"/>
      <c r="B34" s="465"/>
      <c r="C34" s="465"/>
      <c r="D34" s="704"/>
      <c r="E34" s="557"/>
      <c r="F34" s="521"/>
      <c r="G34" s="649"/>
      <c r="H34" s="521"/>
      <c r="I34" s="742"/>
      <c r="J34" s="704"/>
      <c r="K34" s="557"/>
      <c r="L34" s="521"/>
      <c r="M34" s="649"/>
      <c r="N34" s="521"/>
      <c r="O34" s="742"/>
      <c r="P34" s="737"/>
      <c r="Q34" s="560"/>
      <c r="R34" s="521"/>
      <c r="S34" s="649"/>
      <c r="T34" s="521"/>
      <c r="U34" s="742"/>
      <c r="V34" s="439"/>
      <c r="W34" s="439"/>
      <c r="X34" s="439"/>
      <c r="Y34" s="439"/>
      <c r="Z34" s="439"/>
      <c r="AA34" s="439"/>
      <c r="AB34" s="439"/>
      <c r="AC34" s="439"/>
    </row>
    <row r="35" ht="15.75" hidden="1" customHeight="1">
      <c r="A35" s="439"/>
      <c r="B35" s="465"/>
      <c r="C35" s="465"/>
      <c r="D35" s="704"/>
      <c r="E35" s="557"/>
      <c r="F35" s="521"/>
      <c r="G35" s="649"/>
      <c r="H35" s="521"/>
      <c r="I35" s="742"/>
      <c r="J35" s="704"/>
      <c r="K35" s="557"/>
      <c r="L35" s="521"/>
      <c r="M35" s="649"/>
      <c r="N35" s="521"/>
      <c r="O35" s="742"/>
      <c r="P35" s="737"/>
      <c r="Q35" s="560"/>
      <c r="R35" s="521"/>
      <c r="S35" s="649"/>
      <c r="T35" s="521"/>
      <c r="U35" s="742"/>
      <c r="V35" s="439"/>
      <c r="W35" s="439"/>
      <c r="X35" s="439"/>
      <c r="Y35" s="439"/>
      <c r="Z35" s="439"/>
      <c r="AA35" s="439"/>
      <c r="AB35" s="439"/>
      <c r="AC35" s="439"/>
    </row>
    <row r="36" ht="15.75" hidden="1" customHeight="1">
      <c r="A36" s="439"/>
      <c r="B36" s="465"/>
      <c r="C36" s="465"/>
      <c r="D36" s="704"/>
      <c r="E36" s="557"/>
      <c r="F36" s="521"/>
      <c r="G36" s="649"/>
      <c r="H36" s="521"/>
      <c r="I36" s="742"/>
      <c r="J36" s="704"/>
      <c r="K36" s="557"/>
      <c r="L36" s="521"/>
      <c r="M36" s="649"/>
      <c r="N36" s="521"/>
      <c r="O36" s="742"/>
      <c r="P36" s="737"/>
      <c r="Q36" s="560"/>
      <c r="R36" s="521"/>
      <c r="S36" s="649"/>
      <c r="T36" s="521"/>
      <c r="U36" s="742"/>
      <c r="V36" s="439"/>
      <c r="W36" s="439"/>
      <c r="X36" s="439"/>
      <c r="Y36" s="439"/>
      <c r="Z36" s="439"/>
      <c r="AA36" s="439"/>
      <c r="AB36" s="439"/>
      <c r="AC36" s="439"/>
    </row>
    <row r="37" ht="15.75" hidden="1" customHeight="1">
      <c r="A37" s="439"/>
      <c r="B37" s="465"/>
      <c r="C37" s="465" t="s">
        <v>182</v>
      </c>
      <c r="D37" s="704">
        <f>SUM(D31:D36)</f>
        <v>0</v>
      </c>
      <c r="E37" s="557">
        <f>D37/D29</f>
        <v>0</v>
      </c>
      <c r="F37" s="521">
        <f>SUM(F30:F31)</f>
        <v>0</v>
      </c>
      <c r="G37" s="649"/>
      <c r="H37" s="521">
        <f>SUM(H30:H31)</f>
        <v>0</v>
      </c>
      <c r="I37" s="742"/>
      <c r="J37" s="704">
        <f>SUM(J31:J36)</f>
        <v>0</v>
      </c>
      <c r="K37" s="557">
        <f>J37/J29</f>
        <v>0</v>
      </c>
      <c r="L37" s="521">
        <f>SUM(L30:L31)</f>
        <v>0</v>
      </c>
      <c r="M37" s="649"/>
      <c r="N37" s="521">
        <f>SUM(N30:N31)</f>
        <v>0</v>
      </c>
      <c r="O37" s="742"/>
      <c r="P37" s="737">
        <f>SUM(P31:P36)</f>
        <v>0</v>
      </c>
      <c r="Q37" s="560">
        <f>P37/P29</f>
        <v>0</v>
      </c>
      <c r="R37" s="521">
        <f>SUM(R30:R31)</f>
        <v>0</v>
      </c>
      <c r="S37" s="649"/>
      <c r="T37" s="521">
        <f>SUM(T30:T31)</f>
        <v>0</v>
      </c>
      <c r="U37" s="742"/>
      <c r="V37" s="692"/>
      <c r="W37" s="692"/>
      <c r="X37" s="692"/>
      <c r="Y37" s="692"/>
      <c r="Z37" s="692"/>
      <c r="AA37" s="692"/>
      <c r="AB37" s="692"/>
      <c r="AC37" s="692"/>
    </row>
    <row r="38" ht="15.75" hidden="1" customHeight="1">
      <c r="A38" s="439"/>
      <c r="B38" s="469"/>
      <c r="C38" s="469"/>
      <c r="D38" s="704"/>
      <c r="E38" s="256"/>
      <c r="F38" s="675"/>
      <c r="G38" s="557"/>
      <c r="H38" s="675"/>
      <c r="I38" s="674"/>
      <c r="J38" s="704"/>
      <c r="K38" s="256"/>
      <c r="L38" s="675"/>
      <c r="M38" s="557"/>
      <c r="N38" s="675"/>
      <c r="O38" s="674"/>
      <c r="P38" s="737"/>
      <c r="Q38" s="676"/>
      <c r="R38" s="675"/>
      <c r="S38" s="557"/>
      <c r="T38" s="675"/>
      <c r="U38" s="674"/>
      <c r="V38" s="439"/>
      <c r="W38" s="439"/>
      <c r="X38" s="439"/>
      <c r="Y38" s="439"/>
      <c r="Z38" s="439"/>
      <c r="AA38" s="439"/>
      <c r="AB38" s="439"/>
      <c r="AC38" s="439"/>
    </row>
    <row r="39" ht="15.75" customHeight="1">
      <c r="A39" s="439"/>
      <c r="B39" s="481" t="s">
        <v>317</v>
      </c>
      <c r="C39" s="465"/>
      <c r="D39" s="704"/>
      <c r="E39" s="256"/>
      <c r="F39" s="675"/>
      <c r="G39" s="557"/>
      <c r="H39" s="675"/>
      <c r="I39" s="674"/>
      <c r="J39" s="704"/>
      <c r="K39" s="256"/>
      <c r="L39" s="675"/>
      <c r="M39" s="557"/>
      <c r="N39" s="675"/>
      <c r="O39" s="674"/>
      <c r="P39" s="737"/>
      <c r="Q39" s="676"/>
      <c r="R39" s="675"/>
      <c r="S39" s="557"/>
      <c r="T39" s="675"/>
      <c r="U39" s="674"/>
      <c r="V39" s="439"/>
      <c r="W39" s="439"/>
      <c r="X39" s="439"/>
      <c r="Y39" s="439"/>
      <c r="Z39" s="439"/>
      <c r="AA39" s="439"/>
      <c r="AB39" s="439"/>
      <c r="AC39" s="439"/>
    </row>
    <row r="40" ht="15.75" customHeight="1">
      <c r="A40" s="439"/>
      <c r="B40" s="469" t="s">
        <v>28</v>
      </c>
      <c r="C40" s="465"/>
      <c r="D40" s="704"/>
      <c r="E40" s="256"/>
      <c r="F40" s="675"/>
      <c r="G40" s="557"/>
      <c r="H40" s="675"/>
      <c r="I40" s="674"/>
      <c r="J40" s="704"/>
      <c r="K40" s="256"/>
      <c r="L40" s="675"/>
      <c r="M40" s="557"/>
      <c r="N40" s="675"/>
      <c r="O40" s="674"/>
      <c r="P40" s="737"/>
      <c r="Q40" s="676"/>
      <c r="R40" s="675"/>
      <c r="S40" s="557"/>
      <c r="T40" s="675"/>
      <c r="U40" s="674"/>
      <c r="V40" s="439"/>
      <c r="W40" s="439"/>
      <c r="X40" s="439"/>
      <c r="Y40" s="439"/>
      <c r="Z40" s="439"/>
      <c r="AA40" s="439"/>
      <c r="AB40" s="439"/>
      <c r="AC40" s="439"/>
    </row>
    <row r="41" ht="15.75" customHeight="1">
      <c r="A41" s="439"/>
      <c r="B41" s="465"/>
      <c r="C41" s="587" t="s">
        <v>184</v>
      </c>
      <c r="D41" s="704"/>
      <c r="E41" s="256"/>
      <c r="F41" s="675"/>
      <c r="G41" s="557"/>
      <c r="H41" s="675"/>
      <c r="I41" s="674"/>
      <c r="J41" s="704"/>
      <c r="K41" s="256"/>
      <c r="L41" s="675"/>
      <c r="M41" s="557"/>
      <c r="N41" s="675"/>
      <c r="O41" s="674"/>
      <c r="P41" s="737"/>
      <c r="Q41" s="676"/>
      <c r="R41" s="675"/>
      <c r="S41" s="557"/>
      <c r="T41" s="675"/>
      <c r="U41" s="674"/>
      <c r="V41" s="439"/>
      <c r="W41" s="439"/>
      <c r="X41" s="439"/>
      <c r="Y41" s="439"/>
      <c r="Z41" s="439"/>
      <c r="AA41" s="439"/>
      <c r="AB41" s="439"/>
      <c r="AC41" s="439"/>
    </row>
    <row r="42" ht="15.75" customHeight="1">
      <c r="A42" s="439"/>
      <c r="B42" s="465"/>
      <c r="C42" s="465" t="s">
        <v>185</v>
      </c>
      <c r="D42" s="467">
        <f>'MSBC CK Allocation'!B34</f>
        <v>724254.1526</v>
      </c>
      <c r="E42" s="557">
        <f>D42/D26</f>
        <v>0.05728923659</v>
      </c>
      <c r="F42" s="521"/>
      <c r="G42" s="557">
        <v>0.02</v>
      </c>
      <c r="H42" s="521">
        <f t="shared" ref="H42:H46" si="34">D42-F42</f>
        <v>724254.1526</v>
      </c>
      <c r="I42" s="573" t="str">
        <f t="shared" ref="I42:I46" si="35">IFERROR(H42/F42,"")</f>
        <v/>
      </c>
      <c r="J42" s="724">
        <f>'MSBC CK Allocation'!C34</f>
        <v>798579.2947</v>
      </c>
      <c r="K42" s="557">
        <f>J42/J26</f>
        <v>0.05955699771</v>
      </c>
      <c r="L42" s="521"/>
      <c r="M42" s="557">
        <v>0.02</v>
      </c>
      <c r="N42" s="521">
        <f t="shared" ref="N42:N45" si="36">J42-L42</f>
        <v>798579.2947</v>
      </c>
      <c r="O42" s="573" t="str">
        <f t="shared" ref="O42:O45" si="37">IFERROR(N42/L42,"")</f>
        <v/>
      </c>
      <c r="P42" s="728">
        <f>'MSBC CK Allocation'!D34</f>
        <v>778851.2349</v>
      </c>
      <c r="Q42" s="560">
        <f>P42/P26</f>
        <v>0.06303544717</v>
      </c>
      <c r="R42" s="521"/>
      <c r="S42" s="557">
        <v>0.02</v>
      </c>
      <c r="T42" s="521">
        <f t="shared" ref="T42:T46" si="38">P42-R42</f>
        <v>778851.2349</v>
      </c>
      <c r="U42" s="573" t="str">
        <f t="shared" ref="U42:U46" si="39">IFERROR(T42/R42,"")</f>
        <v/>
      </c>
      <c r="V42" s="439"/>
      <c r="W42" s="439"/>
      <c r="X42" s="439"/>
      <c r="Y42" s="439"/>
      <c r="Z42" s="439"/>
      <c r="AA42" s="439"/>
      <c r="AB42" s="439"/>
      <c r="AC42" s="439"/>
    </row>
    <row r="43" ht="15.75" customHeight="1">
      <c r="A43" s="439"/>
      <c r="B43" s="465"/>
      <c r="C43" s="465" t="s">
        <v>186</v>
      </c>
      <c r="D43" s="467">
        <v>3619317.342061004</v>
      </c>
      <c r="E43" s="557">
        <v>0.2649</v>
      </c>
      <c r="F43" s="521"/>
      <c r="G43" s="557">
        <v>0.2928</v>
      </c>
      <c r="H43" s="521">
        <f t="shared" si="34"/>
        <v>3619317.342</v>
      </c>
      <c r="I43" s="573" t="str">
        <f t="shared" si="35"/>
        <v/>
      </c>
      <c r="J43" s="726">
        <v>3919174.0</v>
      </c>
      <c r="K43" s="557">
        <v>0.2649</v>
      </c>
      <c r="L43" s="521"/>
      <c r="M43" s="557">
        <v>0.2928</v>
      </c>
      <c r="N43" s="521">
        <f t="shared" si="36"/>
        <v>3919174</v>
      </c>
      <c r="O43" s="573" t="str">
        <f t="shared" si="37"/>
        <v/>
      </c>
      <c r="P43" s="729">
        <v>3762025.0</v>
      </c>
      <c r="Q43" s="560">
        <v>0.2649</v>
      </c>
      <c r="R43" s="521"/>
      <c r="S43" s="557">
        <v>0.2928</v>
      </c>
      <c r="T43" s="521">
        <f t="shared" si="38"/>
        <v>3762025</v>
      </c>
      <c r="U43" s="573" t="str">
        <f t="shared" si="39"/>
        <v/>
      </c>
      <c r="V43" s="439"/>
      <c r="W43" s="439"/>
      <c r="X43" s="439"/>
      <c r="Y43" s="439"/>
      <c r="Z43" s="439"/>
      <c r="AA43" s="439"/>
      <c r="AB43" s="439"/>
      <c r="AC43" s="439"/>
    </row>
    <row r="44" ht="15.75" customHeight="1">
      <c r="A44" s="439"/>
      <c r="B44" s="465"/>
      <c r="C44" s="465" t="s">
        <v>21</v>
      </c>
      <c r="D44" s="467">
        <v>292646.73356728576</v>
      </c>
      <c r="E44" s="557">
        <v>0.2147</v>
      </c>
      <c r="F44" s="521"/>
      <c r="G44" s="557">
        <v>0.1947</v>
      </c>
      <c r="H44" s="521">
        <f t="shared" si="34"/>
        <v>292646.7336</v>
      </c>
      <c r="I44" s="573" t="str">
        <f t="shared" si="35"/>
        <v/>
      </c>
      <c r="J44" s="726">
        <v>335329.0</v>
      </c>
      <c r="K44" s="557">
        <v>0.2147</v>
      </c>
      <c r="L44" s="521"/>
      <c r="M44" s="557">
        <v>0.1947</v>
      </c>
      <c r="N44" s="521">
        <f t="shared" si="36"/>
        <v>335329</v>
      </c>
      <c r="O44" s="573" t="str">
        <f t="shared" si="37"/>
        <v/>
      </c>
      <c r="P44" s="729">
        <v>288700.0</v>
      </c>
      <c r="Q44" s="560">
        <v>0.2147</v>
      </c>
      <c r="R44" s="521"/>
      <c r="S44" s="557">
        <v>0.1947</v>
      </c>
      <c r="T44" s="521">
        <f t="shared" si="38"/>
        <v>288700</v>
      </c>
      <c r="U44" s="573" t="str">
        <f t="shared" si="39"/>
        <v/>
      </c>
      <c r="V44" s="439"/>
      <c r="W44" s="439"/>
      <c r="X44" s="439"/>
      <c r="Y44" s="439"/>
      <c r="Z44" s="439"/>
      <c r="AA44" s="439"/>
      <c r="AB44" s="439"/>
      <c r="AC44" s="439"/>
    </row>
    <row r="45" ht="15.75" customHeight="1">
      <c r="A45" s="439"/>
      <c r="B45" s="465"/>
      <c r="C45" s="465" t="s">
        <v>22</v>
      </c>
      <c r="D45" s="467">
        <v>741378.1000000001</v>
      </c>
      <c r="E45" s="557">
        <v>0.2142</v>
      </c>
      <c r="F45" s="521"/>
      <c r="G45" s="557">
        <v>0.2492</v>
      </c>
      <c r="H45" s="521">
        <f t="shared" si="34"/>
        <v>741378.1</v>
      </c>
      <c r="I45" s="573" t="str">
        <f t="shared" si="35"/>
        <v/>
      </c>
      <c r="J45" s="726">
        <v>561119.0</v>
      </c>
      <c r="K45" s="557">
        <v>0.2142</v>
      </c>
      <c r="L45" s="521"/>
      <c r="M45" s="557">
        <v>0.2492</v>
      </c>
      <c r="N45" s="521">
        <f t="shared" si="36"/>
        <v>561119</v>
      </c>
      <c r="O45" s="573" t="str">
        <f t="shared" si="37"/>
        <v/>
      </c>
      <c r="P45" s="729">
        <v>580404.0</v>
      </c>
      <c r="Q45" s="560">
        <v>0.2142</v>
      </c>
      <c r="R45" s="521"/>
      <c r="S45" s="557">
        <v>0.2492</v>
      </c>
      <c r="T45" s="521">
        <f t="shared" si="38"/>
        <v>580404</v>
      </c>
      <c r="U45" s="573" t="str">
        <f t="shared" si="39"/>
        <v/>
      </c>
      <c r="V45" s="439"/>
      <c r="W45" s="439"/>
      <c r="X45" s="439"/>
      <c r="Y45" s="439"/>
      <c r="Z45" s="439"/>
      <c r="AA45" s="439"/>
      <c r="AB45" s="439"/>
      <c r="AC45" s="439"/>
    </row>
    <row r="46" ht="15.75" customHeight="1">
      <c r="A46" s="789"/>
      <c r="B46" s="483"/>
      <c r="C46" s="483" t="s">
        <v>187</v>
      </c>
      <c r="D46" s="485">
        <f>'Calculation Sheet for GST on Pu'!C25</f>
        <v>195471.4809</v>
      </c>
      <c r="E46" s="564">
        <f t="shared" ref="E46:E50" si="40">D46/D$29</f>
        <v>0.01126886105</v>
      </c>
      <c r="F46" s="545"/>
      <c r="G46" s="564">
        <v>0.0925</v>
      </c>
      <c r="H46" s="545">
        <f t="shared" si="34"/>
        <v>195471.4809</v>
      </c>
      <c r="I46" s="810" t="str">
        <f t="shared" si="35"/>
        <v/>
      </c>
      <c r="J46" s="815">
        <f>'Calculation Sheet for GST on Pu'!D25</f>
        <v>198439.0305</v>
      </c>
      <c r="K46" s="815">
        <f>'Calculation Sheet for GST on Pu'!E25</f>
        <v>233994.6698</v>
      </c>
      <c r="L46" s="815" t="str">
        <f>'Calculation Sheet for GST on Pu'!F25</f>
        <v>#DIV/0!</v>
      </c>
      <c r="M46" s="815" t="str">
        <f>'Calculation Sheet for GST on Pu'!G25</f>
        <v>#DIV/0!</v>
      </c>
      <c r="N46" s="815" t="str">
        <f>'Calculation Sheet for GST on Pu'!H25</f>
        <v>#DIV/0!</v>
      </c>
      <c r="O46" s="815" t="str">
        <f>'Calculation Sheet for GST on Pu'!I25</f>
        <v>#DIV/0!</v>
      </c>
      <c r="P46" s="807">
        <f>'Calculation Sheet for GST on Pu'!E25</f>
        <v>233994.6698</v>
      </c>
      <c r="Q46" s="583">
        <f t="shared" ref="Q46:Q50" si="41">P46/P$29</f>
        <v>0.01393729017</v>
      </c>
      <c r="R46" s="545"/>
      <c r="S46" s="564">
        <v>0.0925</v>
      </c>
      <c r="T46" s="545">
        <f t="shared" si="38"/>
        <v>233994.6698</v>
      </c>
      <c r="U46" s="810" t="str">
        <f t="shared" si="39"/>
        <v/>
      </c>
      <c r="V46" s="439"/>
      <c r="W46" s="439"/>
      <c r="X46" s="439"/>
      <c r="Y46" s="439"/>
      <c r="Z46" s="439"/>
      <c r="AA46" s="439"/>
      <c r="AB46" s="439"/>
      <c r="AC46" s="439"/>
    </row>
    <row r="47" ht="15.75" customHeight="1">
      <c r="A47" s="439"/>
      <c r="B47" s="493"/>
      <c r="C47" s="490" t="s">
        <v>188</v>
      </c>
      <c r="D47" s="491">
        <f>SUM(D42:D46)</f>
        <v>5573067.809</v>
      </c>
      <c r="E47" s="613">
        <f t="shared" si="40"/>
        <v>0.3212853685</v>
      </c>
      <c r="F47" s="491">
        <f>SUM(F42:F46)</f>
        <v>0</v>
      </c>
      <c r="G47" s="613" t="str">
        <f>F47/F$29</f>
        <v>#DIV/0!</v>
      </c>
      <c r="H47" s="686">
        <f>SUM(H42:H46)</f>
        <v>5573067.809</v>
      </c>
      <c r="I47" s="490"/>
      <c r="J47" s="491">
        <f>SUM(J42:J46)</f>
        <v>5812640.325</v>
      </c>
      <c r="K47" s="613">
        <f t="shared" ref="K47:K50" si="42">J47/J$29</f>
        <v>0.3179715434</v>
      </c>
      <c r="L47" s="491" t="str">
        <f>SUM(L42:L46)</f>
        <v>#DIV/0!</v>
      </c>
      <c r="M47" s="613" t="str">
        <f>L47/L$29</f>
        <v>#DIV/0!</v>
      </c>
      <c r="N47" s="686" t="str">
        <f>SUM(N42:N46)</f>
        <v>#DIV/0!</v>
      </c>
      <c r="O47" s="490"/>
      <c r="P47" s="491">
        <f>SUM(P42:P46)</f>
        <v>5643974.905</v>
      </c>
      <c r="Q47" s="613">
        <f t="shared" si="41"/>
        <v>0.3361688367</v>
      </c>
      <c r="R47" s="491">
        <f>SUM(R42:R46)</f>
        <v>0</v>
      </c>
      <c r="S47" s="613" t="str">
        <f>R47/R$29</f>
        <v>#DIV/0!</v>
      </c>
      <c r="T47" s="686">
        <f>SUM(T42:T46)</f>
        <v>5643974.905</v>
      </c>
      <c r="U47" s="490"/>
      <c r="V47" s="692"/>
      <c r="W47" s="692"/>
      <c r="X47" s="692"/>
      <c r="Y47" s="692"/>
      <c r="Z47" s="692"/>
      <c r="AA47" s="692"/>
      <c r="AB47" s="692"/>
      <c r="AC47" s="692"/>
    </row>
    <row r="48" ht="15.75" customHeight="1">
      <c r="A48" s="439"/>
      <c r="B48" s="526"/>
      <c r="C48" s="526" t="s">
        <v>189</v>
      </c>
      <c r="D48" s="516">
        <v>203136.0</v>
      </c>
      <c r="E48" s="593">
        <f t="shared" si="40"/>
        <v>0.01171071784</v>
      </c>
      <c r="F48" s="590"/>
      <c r="G48" s="589">
        <v>0.0055</v>
      </c>
      <c r="H48" s="590">
        <f>D48-F48</f>
        <v>203136</v>
      </c>
      <c r="I48" s="816" t="str">
        <f>IFERROR(H48/F48,"")</f>
        <v/>
      </c>
      <c r="J48" s="817">
        <v>296470.0</v>
      </c>
      <c r="K48" s="593">
        <f t="shared" si="42"/>
        <v>0.01621793509</v>
      </c>
      <c r="L48" s="590"/>
      <c r="M48" s="589">
        <v>0.0055</v>
      </c>
      <c r="N48" s="590">
        <f>J48-L48</f>
        <v>296470</v>
      </c>
      <c r="O48" s="818" t="str">
        <f>IFERROR(N48/L48,"")</f>
        <v/>
      </c>
      <c r="P48" s="594">
        <v>178583.0</v>
      </c>
      <c r="Q48" s="593">
        <f t="shared" si="41"/>
        <v>0.01063683669</v>
      </c>
      <c r="R48" s="590"/>
      <c r="S48" s="589">
        <v>0.0055</v>
      </c>
      <c r="T48" s="590">
        <f>P48-R48</f>
        <v>178583</v>
      </c>
      <c r="U48" s="818" t="str">
        <f>IFERROR(T48/R48,"")</f>
        <v/>
      </c>
      <c r="V48" s="439"/>
      <c r="W48" s="439"/>
      <c r="X48" s="439"/>
      <c r="Y48" s="439"/>
      <c r="Z48" s="439"/>
      <c r="AA48" s="439"/>
      <c r="AB48" s="439"/>
      <c r="AC48" s="439"/>
    </row>
    <row r="49" ht="15.75" customHeight="1">
      <c r="A49" s="439"/>
      <c r="B49" s="490"/>
      <c r="C49" s="490" t="s">
        <v>190</v>
      </c>
      <c r="D49" s="459">
        <f>D47+D48</f>
        <v>5776203.809</v>
      </c>
      <c r="E49" s="547">
        <f t="shared" si="40"/>
        <v>0.3329960863</v>
      </c>
      <c r="F49" s="548">
        <f>F47+F48</f>
        <v>0</v>
      </c>
      <c r="G49" s="547" t="str">
        <f t="shared" ref="G49:G50" si="43">F49/F$29</f>
        <v>#DIV/0!</v>
      </c>
      <c r="H49" s="812">
        <f>H47+H48</f>
        <v>5776203.809</v>
      </c>
      <c r="I49" s="691"/>
      <c r="J49" s="491">
        <f>J47+J48</f>
        <v>6109110.325</v>
      </c>
      <c r="K49" s="551">
        <f t="shared" si="42"/>
        <v>0.3341894785</v>
      </c>
      <c r="L49" s="548" t="str">
        <f>L47+L48</f>
        <v>#DIV/0!</v>
      </c>
      <c r="M49" s="547" t="str">
        <f t="shared" ref="M49:M50" si="44">L49/L$29</f>
        <v>#DIV/0!</v>
      </c>
      <c r="N49" s="812" t="str">
        <f>N47+N48</f>
        <v>#DIV/0!</v>
      </c>
      <c r="O49" s="691"/>
      <c r="P49" s="491">
        <f>P47+P48</f>
        <v>5822557.905</v>
      </c>
      <c r="Q49" s="551">
        <f t="shared" si="41"/>
        <v>0.3468056733</v>
      </c>
      <c r="R49" s="548">
        <f>R47+R48</f>
        <v>0</v>
      </c>
      <c r="S49" s="547" t="str">
        <f t="shared" ref="S49:S50" si="45">R49/R$29</f>
        <v>#DIV/0!</v>
      </c>
      <c r="T49" s="812">
        <f>T47+T48</f>
        <v>5822557.905</v>
      </c>
      <c r="U49" s="691"/>
      <c r="V49" s="692"/>
      <c r="W49" s="692"/>
      <c r="X49" s="692"/>
      <c r="Y49" s="692"/>
      <c r="Z49" s="692"/>
      <c r="AA49" s="692"/>
      <c r="AB49" s="692"/>
      <c r="AC49" s="692"/>
    </row>
    <row r="50" ht="15.75" customHeight="1">
      <c r="A50" s="439"/>
      <c r="B50" s="791" t="s">
        <v>32</v>
      </c>
      <c r="C50" s="490" t="s">
        <v>32</v>
      </c>
      <c r="D50" s="459">
        <f>D29-D49</f>
        <v>11569957.44</v>
      </c>
      <c r="E50" s="547">
        <f t="shared" si="40"/>
        <v>0.6670039137</v>
      </c>
      <c r="F50" s="548" t="str">
        <f>F29-F49-#REF!</f>
        <v>#REF!</v>
      </c>
      <c r="G50" s="547" t="str">
        <f t="shared" si="43"/>
        <v>#REF!</v>
      </c>
      <c r="H50" s="548" t="str">
        <f>H29-H49-#REF!</f>
        <v>#REF!</v>
      </c>
      <c r="I50" s="549" t="str">
        <f>H50/H$29</f>
        <v>#REF!</v>
      </c>
      <c r="J50" s="459">
        <f>J29-J49</f>
        <v>12171268.67</v>
      </c>
      <c r="K50" s="547">
        <f t="shared" si="42"/>
        <v>0.6658105215</v>
      </c>
      <c r="L50" s="548" t="str">
        <f>L29-L49-#REF!</f>
        <v>#DIV/0!</v>
      </c>
      <c r="M50" s="547" t="str">
        <f t="shared" si="44"/>
        <v>#DIV/0!</v>
      </c>
      <c r="N50" s="548" t="str">
        <f>N29-N49-#REF!</f>
        <v>#DIV/0!</v>
      </c>
      <c r="O50" s="549" t="str">
        <f>N50/N$29</f>
        <v>#DIV/0!</v>
      </c>
      <c r="P50" s="491">
        <f>P29-P49</f>
        <v>10966550.1</v>
      </c>
      <c r="Q50" s="551">
        <f t="shared" si="41"/>
        <v>0.6531943267</v>
      </c>
      <c r="R50" s="548" t="str">
        <f>R29-R49-#REF!</f>
        <v>#REF!</v>
      </c>
      <c r="S50" s="547" t="str">
        <f t="shared" si="45"/>
        <v>#REF!</v>
      </c>
      <c r="T50" s="548" t="str">
        <f>T29-T49-#REF!</f>
        <v>#REF!</v>
      </c>
      <c r="U50" s="549" t="str">
        <f>T50/T$29</f>
        <v>#REF!</v>
      </c>
      <c r="V50" s="439"/>
      <c r="W50" s="439"/>
      <c r="X50" s="439"/>
      <c r="Y50" s="439"/>
      <c r="Z50" s="439"/>
      <c r="AA50" s="439"/>
      <c r="AB50" s="439"/>
      <c r="AC50" s="439"/>
    </row>
    <row r="51" ht="15.75" customHeight="1">
      <c r="A51" s="439"/>
      <c r="B51" s="526"/>
      <c r="C51" s="526"/>
      <c r="D51" s="515"/>
      <c r="E51" s="687"/>
      <c r="F51" s="819"/>
      <c r="G51" s="589"/>
      <c r="H51" s="819"/>
      <c r="I51" s="688"/>
      <c r="J51" s="515"/>
      <c r="K51" s="687"/>
      <c r="L51" s="819"/>
      <c r="M51" s="589"/>
      <c r="N51" s="819"/>
      <c r="O51" s="688"/>
      <c r="P51" s="522"/>
      <c r="Q51" s="689"/>
      <c r="R51" s="819"/>
      <c r="S51" s="589"/>
      <c r="T51" s="819"/>
      <c r="U51" s="688"/>
      <c r="V51" s="439"/>
      <c r="W51" s="439"/>
      <c r="X51" s="439"/>
      <c r="Y51" s="439"/>
      <c r="Z51" s="439"/>
      <c r="AA51" s="439"/>
      <c r="AB51" s="439"/>
      <c r="AC51" s="439"/>
    </row>
    <row r="52" ht="15.75" customHeight="1">
      <c r="A52" s="439"/>
      <c r="B52" s="493"/>
      <c r="C52" s="795" t="s">
        <v>191</v>
      </c>
      <c r="D52" s="512"/>
      <c r="E52" s="493"/>
      <c r="F52" s="683"/>
      <c r="G52" s="669"/>
      <c r="H52" s="683"/>
      <c r="I52" s="493"/>
      <c r="J52" s="512"/>
      <c r="K52" s="493"/>
      <c r="L52" s="683"/>
      <c r="M52" s="669"/>
      <c r="N52" s="683"/>
      <c r="O52" s="493"/>
      <c r="P52" s="512"/>
      <c r="Q52" s="493"/>
      <c r="R52" s="683"/>
      <c r="S52" s="669"/>
      <c r="T52" s="683"/>
      <c r="U52" s="493"/>
      <c r="V52" s="439"/>
      <c r="W52" s="439"/>
      <c r="X52" s="439"/>
      <c r="Y52" s="439"/>
      <c r="Z52" s="439"/>
      <c r="AA52" s="439"/>
      <c r="AB52" s="439"/>
      <c r="AC52" s="439"/>
    </row>
    <row r="53" ht="15.75" customHeight="1">
      <c r="A53" s="439"/>
      <c r="B53" s="497"/>
      <c r="C53" s="497" t="s">
        <v>192</v>
      </c>
      <c r="D53" s="463">
        <v>76321.0</v>
      </c>
      <c r="E53" s="552">
        <f t="shared" ref="E53:E58" si="46">D53/D$29</f>
        <v>0.004399878388</v>
      </c>
      <c r="F53" s="541"/>
      <c r="G53" s="552">
        <v>0.0042</v>
      </c>
      <c r="H53" s="541">
        <f t="shared" ref="H53:H57" si="47">D53-F53</f>
        <v>76321</v>
      </c>
      <c r="I53" s="571" t="str">
        <f t="shared" ref="I53:I57" si="48">IFERROR(H53/F53,"")</f>
        <v/>
      </c>
      <c r="J53" s="463">
        <v>74161.0</v>
      </c>
      <c r="K53" s="552">
        <f t="shared" ref="K53:K58" si="49">J53/J$29</f>
        <v>0.004056863372</v>
      </c>
      <c r="L53" s="541"/>
      <c r="M53" s="552">
        <v>0.0042</v>
      </c>
      <c r="N53" s="541">
        <f t="shared" ref="N53:N57" si="50">J53-L53</f>
        <v>74161</v>
      </c>
      <c r="O53" s="571" t="str">
        <f t="shared" ref="O53:O57" si="51">IFERROR(N53/L53,"")</f>
        <v/>
      </c>
      <c r="P53" s="505">
        <v>64988.0</v>
      </c>
      <c r="Q53" s="554">
        <f t="shared" ref="Q53:Q58" si="52">P53/P$29</f>
        <v>0.00387084293</v>
      </c>
      <c r="R53" s="541"/>
      <c r="S53" s="552">
        <v>0.0042</v>
      </c>
      <c r="T53" s="541">
        <f t="shared" ref="T53:T57" si="53">P53-R53</f>
        <v>64988</v>
      </c>
      <c r="U53" s="571" t="str">
        <f t="shared" ref="U53:U57" si="54">IFERROR(T53/R53,"")</f>
        <v/>
      </c>
      <c r="V53" s="439"/>
      <c r="W53" s="439"/>
      <c r="X53" s="439"/>
      <c r="Y53" s="439"/>
      <c r="Z53" s="439"/>
      <c r="AA53" s="439"/>
      <c r="AB53" s="439"/>
      <c r="AC53" s="439"/>
    </row>
    <row r="54" ht="15.75" customHeight="1">
      <c r="A54" s="439"/>
      <c r="B54" s="465"/>
      <c r="C54" s="465" t="s">
        <v>193</v>
      </c>
      <c r="D54" s="467">
        <v>109361.52</v>
      </c>
      <c r="E54" s="557">
        <f t="shared" si="46"/>
        <v>0.006304652564</v>
      </c>
      <c r="F54" s="521"/>
      <c r="G54" s="557">
        <v>0.0107</v>
      </c>
      <c r="H54" s="521">
        <f t="shared" si="47"/>
        <v>109361.52</v>
      </c>
      <c r="I54" s="573" t="str">
        <f t="shared" si="48"/>
        <v/>
      </c>
      <c r="J54" s="467">
        <v>353482.0</v>
      </c>
      <c r="K54" s="557">
        <f t="shared" si="49"/>
        <v>0.01933668881</v>
      </c>
      <c r="L54" s="521"/>
      <c r="M54" s="557">
        <v>0.0107</v>
      </c>
      <c r="N54" s="521">
        <f t="shared" si="50"/>
        <v>353482</v>
      </c>
      <c r="O54" s="573" t="str">
        <f t="shared" si="51"/>
        <v/>
      </c>
      <c r="P54" s="506">
        <v>175951.0</v>
      </c>
      <c r="Q54" s="560">
        <f t="shared" si="52"/>
        <v>0.01048006839</v>
      </c>
      <c r="R54" s="521"/>
      <c r="S54" s="557">
        <v>0.0107</v>
      </c>
      <c r="T54" s="521">
        <f t="shared" si="53"/>
        <v>175951</v>
      </c>
      <c r="U54" s="573" t="str">
        <f t="shared" si="54"/>
        <v/>
      </c>
      <c r="V54" s="439"/>
      <c r="W54" s="439"/>
      <c r="X54" s="439"/>
      <c r="Y54" s="439"/>
      <c r="Z54" s="439"/>
      <c r="AA54" s="439"/>
      <c r="AB54" s="439"/>
      <c r="AC54" s="439"/>
    </row>
    <row r="55" ht="15.75" customHeight="1">
      <c r="A55" s="439"/>
      <c r="B55" s="465"/>
      <c r="C55" s="465" t="s">
        <v>195</v>
      </c>
      <c r="D55" s="467">
        <v>219816.0</v>
      </c>
      <c r="E55" s="557">
        <f t="shared" si="46"/>
        <v>0.01267231388</v>
      </c>
      <c r="F55" s="521"/>
      <c r="G55" s="557">
        <v>0.0033</v>
      </c>
      <c r="H55" s="521">
        <f t="shared" si="47"/>
        <v>219816</v>
      </c>
      <c r="I55" s="573" t="str">
        <f t="shared" si="48"/>
        <v/>
      </c>
      <c r="J55" s="514">
        <v>70895.0</v>
      </c>
      <c r="K55" s="557">
        <f t="shared" si="49"/>
        <v>0.003878201869</v>
      </c>
      <c r="L55" s="521"/>
      <c r="M55" s="557">
        <v>0.0033</v>
      </c>
      <c r="N55" s="521">
        <f t="shared" si="50"/>
        <v>70895</v>
      </c>
      <c r="O55" s="573" t="str">
        <f t="shared" si="51"/>
        <v/>
      </c>
      <c r="P55" s="506">
        <v>74578.0</v>
      </c>
      <c r="Q55" s="560">
        <f t="shared" si="52"/>
        <v>0.004442046594</v>
      </c>
      <c r="R55" s="521"/>
      <c r="S55" s="557">
        <v>0.0033</v>
      </c>
      <c r="T55" s="521">
        <f t="shared" si="53"/>
        <v>74578</v>
      </c>
      <c r="U55" s="573" t="str">
        <f t="shared" si="54"/>
        <v/>
      </c>
      <c r="V55" s="439"/>
      <c r="W55" s="439"/>
      <c r="X55" s="439"/>
      <c r="Y55" s="439"/>
      <c r="Z55" s="439"/>
      <c r="AA55" s="439"/>
      <c r="AB55" s="439"/>
      <c r="AC55" s="439"/>
    </row>
    <row r="56" ht="15.75" customHeight="1">
      <c r="A56" s="439"/>
      <c r="B56" s="465"/>
      <c r="C56" s="465" t="s">
        <v>194</v>
      </c>
      <c r="D56" s="467">
        <v>32475.6</v>
      </c>
      <c r="E56" s="557">
        <f t="shared" si="46"/>
        <v>0.00187220674</v>
      </c>
      <c r="F56" s="521"/>
      <c r="G56" s="557">
        <v>0.0026</v>
      </c>
      <c r="H56" s="521">
        <f t="shared" si="47"/>
        <v>32475.6</v>
      </c>
      <c r="I56" s="573" t="str">
        <f t="shared" si="48"/>
        <v/>
      </c>
      <c r="J56" s="514">
        <v>43304.0</v>
      </c>
      <c r="K56" s="557">
        <f t="shared" si="49"/>
        <v>0.002368878676</v>
      </c>
      <c r="L56" s="521"/>
      <c r="M56" s="557">
        <v>0.0026</v>
      </c>
      <c r="N56" s="521">
        <f t="shared" si="50"/>
        <v>43304</v>
      </c>
      <c r="O56" s="573" t="str">
        <f t="shared" si="51"/>
        <v/>
      </c>
      <c r="P56" s="506">
        <v>24582.0</v>
      </c>
      <c r="Q56" s="560">
        <f t="shared" si="52"/>
        <v>0.001464163552</v>
      </c>
      <c r="R56" s="521"/>
      <c r="S56" s="557">
        <v>0.0026</v>
      </c>
      <c r="T56" s="521">
        <f t="shared" si="53"/>
        <v>24582</v>
      </c>
      <c r="U56" s="573" t="str">
        <f t="shared" si="54"/>
        <v/>
      </c>
      <c r="V56" s="439"/>
      <c r="W56" s="439"/>
      <c r="X56" s="439"/>
      <c r="Y56" s="439"/>
      <c r="Z56" s="439"/>
      <c r="AA56" s="439"/>
      <c r="AB56" s="439"/>
      <c r="AC56" s="439"/>
    </row>
    <row r="57" ht="15.75" customHeight="1">
      <c r="A57" s="439"/>
      <c r="B57" s="483"/>
      <c r="C57" s="483" t="s">
        <v>196</v>
      </c>
      <c r="D57" s="485">
        <v>1225.3333333333333</v>
      </c>
      <c r="E57" s="564">
        <f t="shared" si="46"/>
        <v>0.00007064002898</v>
      </c>
      <c r="F57" s="545"/>
      <c r="G57" s="564">
        <v>3.0E-4</v>
      </c>
      <c r="H57" s="545">
        <f t="shared" si="47"/>
        <v>1225.333333</v>
      </c>
      <c r="I57" s="810" t="str">
        <f t="shared" si="48"/>
        <v/>
      </c>
      <c r="J57" s="485">
        <v>3247.0</v>
      </c>
      <c r="K57" s="564">
        <f t="shared" si="49"/>
        <v>0.0001776221379</v>
      </c>
      <c r="L57" s="545"/>
      <c r="M57" s="564">
        <v>3.0E-4</v>
      </c>
      <c r="N57" s="545">
        <f t="shared" si="50"/>
        <v>3247</v>
      </c>
      <c r="O57" s="810" t="str">
        <f t="shared" si="51"/>
        <v/>
      </c>
      <c r="P57" s="488">
        <v>4671.0</v>
      </c>
      <c r="Q57" s="583">
        <f t="shared" si="52"/>
        <v>0.0002782160911</v>
      </c>
      <c r="R57" s="545"/>
      <c r="S57" s="564">
        <v>3.0E-4</v>
      </c>
      <c r="T57" s="545">
        <f t="shared" si="53"/>
        <v>4671</v>
      </c>
      <c r="U57" s="810" t="str">
        <f t="shared" si="54"/>
        <v/>
      </c>
      <c r="V57" s="439"/>
      <c r="W57" s="439"/>
      <c r="X57" s="439"/>
      <c r="Y57" s="439"/>
      <c r="Z57" s="439"/>
      <c r="AA57" s="439"/>
      <c r="AB57" s="439"/>
      <c r="AC57" s="439"/>
    </row>
    <row r="58" ht="15.75" customHeight="1">
      <c r="A58" s="439"/>
      <c r="B58" s="493"/>
      <c r="C58" s="490" t="s">
        <v>197</v>
      </c>
      <c r="D58" s="459">
        <f>SUM(D53:D57)</f>
        <v>439199.4533</v>
      </c>
      <c r="E58" s="547">
        <f t="shared" si="46"/>
        <v>0.0253196916</v>
      </c>
      <c r="F58" s="548">
        <f>SUM(F53:F57)</f>
        <v>0</v>
      </c>
      <c r="G58" s="547" t="str">
        <f>F58/F$29</f>
        <v>#DIV/0!</v>
      </c>
      <c r="H58" s="548">
        <f>SUM(H53:H57)</f>
        <v>439199.4533</v>
      </c>
      <c r="I58" s="549"/>
      <c r="J58" s="459">
        <f>SUM(J53:J57)</f>
        <v>545089</v>
      </c>
      <c r="K58" s="547">
        <f t="shared" si="49"/>
        <v>0.02981825486</v>
      </c>
      <c r="L58" s="548">
        <f>SUM(L53:L57)</f>
        <v>0</v>
      </c>
      <c r="M58" s="547" t="str">
        <f>L58/L$29</f>
        <v>#DIV/0!</v>
      </c>
      <c r="N58" s="548">
        <f>SUM(N53:N57)</f>
        <v>545089</v>
      </c>
      <c r="O58" s="549"/>
      <c r="P58" s="491">
        <f>SUM(P53:P57)</f>
        <v>344770</v>
      </c>
      <c r="Q58" s="551">
        <f t="shared" si="52"/>
        <v>0.02053533755</v>
      </c>
      <c r="R58" s="548">
        <f>SUM(R53:R57)</f>
        <v>0</v>
      </c>
      <c r="S58" s="547" t="str">
        <f>R58/R$29</f>
        <v>#DIV/0!</v>
      </c>
      <c r="T58" s="548">
        <f>SUM(T53:T57)</f>
        <v>344770</v>
      </c>
      <c r="U58" s="549"/>
      <c r="V58" s="692"/>
      <c r="W58" s="692"/>
      <c r="X58" s="692"/>
      <c r="Y58" s="692"/>
      <c r="Z58" s="692"/>
      <c r="AA58" s="692"/>
      <c r="AB58" s="692"/>
      <c r="AC58" s="692"/>
    </row>
    <row r="59" ht="15.75" hidden="1" customHeight="1">
      <c r="A59" s="439"/>
      <c r="B59" s="497"/>
      <c r="C59" s="497"/>
      <c r="D59" s="463"/>
      <c r="E59" s="671"/>
      <c r="F59" s="684"/>
      <c r="G59" s="552"/>
      <c r="H59" s="684"/>
      <c r="I59" s="672"/>
      <c r="J59" s="463"/>
      <c r="K59" s="671"/>
      <c r="L59" s="684"/>
      <c r="M59" s="552"/>
      <c r="N59" s="684"/>
      <c r="O59" s="672"/>
      <c r="P59" s="498"/>
      <c r="Q59" s="685"/>
      <c r="R59" s="684"/>
      <c r="S59" s="552"/>
      <c r="T59" s="684"/>
      <c r="U59" s="672"/>
      <c r="V59" s="439"/>
      <c r="W59" s="439"/>
      <c r="X59" s="439"/>
      <c r="Y59" s="439"/>
      <c r="Z59" s="439"/>
      <c r="AA59" s="439"/>
      <c r="AB59" s="439"/>
      <c r="AC59" s="439"/>
    </row>
    <row r="60" ht="15.75" hidden="1" customHeight="1">
      <c r="A60" s="439"/>
      <c r="B60" s="465"/>
      <c r="C60" s="465"/>
      <c r="D60" s="467"/>
      <c r="E60" s="557"/>
      <c r="F60" s="521"/>
      <c r="G60" s="539"/>
      <c r="H60" s="521"/>
      <c r="I60" s="479"/>
      <c r="J60" s="467"/>
      <c r="K60" s="557"/>
      <c r="L60" s="521"/>
      <c r="M60" s="539"/>
      <c r="N60" s="521"/>
      <c r="O60" s="479"/>
      <c r="P60" s="474"/>
      <c r="Q60" s="560"/>
      <c r="R60" s="521"/>
      <c r="S60" s="539"/>
      <c r="T60" s="521"/>
      <c r="U60" s="479"/>
      <c r="V60" s="439"/>
      <c r="W60" s="439"/>
      <c r="X60" s="439"/>
      <c r="Y60" s="439"/>
      <c r="Z60" s="439"/>
      <c r="AA60" s="439"/>
      <c r="AB60" s="439"/>
      <c r="AC60" s="439"/>
    </row>
    <row r="61" ht="15.75" hidden="1" customHeight="1">
      <c r="A61" s="439"/>
      <c r="B61" s="465"/>
      <c r="C61" s="465"/>
      <c r="D61" s="467"/>
      <c r="E61" s="557"/>
      <c r="F61" s="521"/>
      <c r="G61" s="539"/>
      <c r="H61" s="521"/>
      <c r="I61" s="479"/>
      <c r="J61" s="467"/>
      <c r="K61" s="557"/>
      <c r="L61" s="521"/>
      <c r="M61" s="539"/>
      <c r="N61" s="521"/>
      <c r="O61" s="479"/>
      <c r="P61" s="474"/>
      <c r="Q61" s="560"/>
      <c r="R61" s="521"/>
      <c r="S61" s="539"/>
      <c r="T61" s="521"/>
      <c r="U61" s="479"/>
      <c r="V61" s="439"/>
      <c r="W61" s="439"/>
      <c r="X61" s="439"/>
      <c r="Y61" s="439"/>
      <c r="Z61" s="439"/>
      <c r="AA61" s="439"/>
      <c r="AB61" s="439"/>
      <c r="AC61" s="439"/>
    </row>
    <row r="62" ht="15.75" hidden="1" customHeight="1">
      <c r="A62" s="439"/>
      <c r="B62" s="465"/>
      <c r="C62" s="465"/>
      <c r="D62" s="467"/>
      <c r="E62" s="557"/>
      <c r="F62" s="521"/>
      <c r="G62" s="539"/>
      <c r="H62" s="521"/>
      <c r="I62" s="479"/>
      <c r="J62" s="467"/>
      <c r="K62" s="557"/>
      <c r="L62" s="521"/>
      <c r="M62" s="539"/>
      <c r="N62" s="521"/>
      <c r="O62" s="479"/>
      <c r="P62" s="474"/>
      <c r="Q62" s="560"/>
      <c r="R62" s="521"/>
      <c r="S62" s="539"/>
      <c r="T62" s="521"/>
      <c r="U62" s="479"/>
      <c r="V62" s="439"/>
      <c r="W62" s="439"/>
      <c r="X62" s="439"/>
      <c r="Y62" s="439"/>
      <c r="Z62" s="439"/>
      <c r="AA62" s="439"/>
      <c r="AB62" s="439"/>
      <c r="AC62" s="439"/>
    </row>
    <row r="63" ht="15.75" hidden="1" customHeight="1">
      <c r="A63" s="439"/>
      <c r="B63" s="465"/>
      <c r="C63" s="465"/>
      <c r="D63" s="467"/>
      <c r="E63" s="557"/>
      <c r="F63" s="521"/>
      <c r="G63" s="539"/>
      <c r="H63" s="521"/>
      <c r="I63" s="479"/>
      <c r="J63" s="467"/>
      <c r="K63" s="557"/>
      <c r="L63" s="521"/>
      <c r="M63" s="539"/>
      <c r="N63" s="521"/>
      <c r="O63" s="479"/>
      <c r="P63" s="474"/>
      <c r="Q63" s="560"/>
      <c r="R63" s="521"/>
      <c r="S63" s="539"/>
      <c r="T63" s="521"/>
      <c r="U63" s="479"/>
      <c r="V63" s="439"/>
      <c r="W63" s="439"/>
      <c r="X63" s="439"/>
      <c r="Y63" s="439"/>
      <c r="Z63" s="439"/>
      <c r="AA63" s="439"/>
      <c r="AB63" s="439"/>
      <c r="AC63" s="439"/>
    </row>
    <row r="64" ht="15.75" hidden="1" customHeight="1">
      <c r="A64" s="439"/>
      <c r="B64" s="465"/>
      <c r="C64" s="465"/>
      <c r="D64" s="467"/>
      <c r="E64" s="557"/>
      <c r="F64" s="521"/>
      <c r="G64" s="539"/>
      <c r="H64" s="521"/>
      <c r="I64" s="479"/>
      <c r="J64" s="467"/>
      <c r="K64" s="557"/>
      <c r="L64" s="521"/>
      <c r="M64" s="539"/>
      <c r="N64" s="521"/>
      <c r="O64" s="479"/>
      <c r="P64" s="474"/>
      <c r="Q64" s="560"/>
      <c r="R64" s="521"/>
      <c r="S64" s="539"/>
      <c r="T64" s="521"/>
      <c r="U64" s="479"/>
      <c r="V64" s="439"/>
      <c r="W64" s="439"/>
      <c r="X64" s="439"/>
      <c r="Y64" s="439"/>
      <c r="Z64" s="439"/>
      <c r="AA64" s="439"/>
      <c r="AB64" s="439"/>
      <c r="AC64" s="439"/>
    </row>
    <row r="65" ht="15.75" hidden="1" customHeight="1">
      <c r="A65" s="439"/>
      <c r="B65" s="465"/>
      <c r="C65" s="465"/>
      <c r="D65" s="467"/>
      <c r="E65" s="557"/>
      <c r="F65" s="521"/>
      <c r="G65" s="539"/>
      <c r="H65" s="521"/>
      <c r="I65" s="479"/>
      <c r="J65" s="467"/>
      <c r="K65" s="557"/>
      <c r="L65" s="521"/>
      <c r="M65" s="539"/>
      <c r="N65" s="521"/>
      <c r="O65" s="479"/>
      <c r="P65" s="474"/>
      <c r="Q65" s="560"/>
      <c r="R65" s="521"/>
      <c r="S65" s="539"/>
      <c r="T65" s="521"/>
      <c r="U65" s="479"/>
      <c r="V65" s="439"/>
      <c r="W65" s="439"/>
      <c r="X65" s="439"/>
      <c r="Y65" s="439"/>
      <c r="Z65" s="439"/>
      <c r="AA65" s="439"/>
      <c r="AB65" s="439"/>
      <c r="AC65" s="439"/>
    </row>
    <row r="66" ht="15.75" customHeight="1">
      <c r="A66" s="439"/>
      <c r="B66" s="465"/>
      <c r="C66" s="465"/>
      <c r="D66" s="467"/>
      <c r="E66" s="539"/>
      <c r="F66" s="521"/>
      <c r="G66" s="539"/>
      <c r="H66" s="521"/>
      <c r="I66" s="479"/>
      <c r="J66" s="467"/>
      <c r="K66" s="539"/>
      <c r="L66" s="521"/>
      <c r="M66" s="539"/>
      <c r="N66" s="521"/>
      <c r="O66" s="479"/>
      <c r="P66" s="474"/>
      <c r="Q66" s="575"/>
      <c r="R66" s="521"/>
      <c r="S66" s="539"/>
      <c r="T66" s="521"/>
      <c r="U66" s="479"/>
      <c r="V66" s="439"/>
      <c r="W66" s="439"/>
      <c r="X66" s="439"/>
      <c r="Y66" s="439"/>
      <c r="Z66" s="439"/>
      <c r="AA66" s="439"/>
      <c r="AB66" s="439"/>
      <c r="AC66" s="439"/>
    </row>
    <row r="67" ht="15.75" customHeight="1">
      <c r="A67" s="439"/>
      <c r="B67" s="465"/>
      <c r="C67" s="465"/>
      <c r="D67" s="467"/>
      <c r="E67" s="557"/>
      <c r="F67" s="521"/>
      <c r="G67" s="557"/>
      <c r="H67" s="521"/>
      <c r="I67" s="562"/>
      <c r="J67" s="467"/>
      <c r="K67" s="557"/>
      <c r="L67" s="521"/>
      <c r="M67" s="557"/>
      <c r="N67" s="521"/>
      <c r="O67" s="562"/>
      <c r="P67" s="474"/>
      <c r="Q67" s="560"/>
      <c r="R67" s="521"/>
      <c r="S67" s="557"/>
      <c r="T67" s="521"/>
      <c r="U67" s="562"/>
      <c r="V67" s="439"/>
      <c r="W67" s="439"/>
      <c r="X67" s="439"/>
      <c r="Y67" s="439"/>
      <c r="Z67" s="439"/>
      <c r="AA67" s="439"/>
      <c r="AB67" s="439"/>
      <c r="AC67" s="439"/>
    </row>
    <row r="68" ht="15.75" customHeight="1">
      <c r="A68" s="439"/>
      <c r="B68" s="465"/>
      <c r="C68" s="465"/>
      <c r="D68" s="467"/>
      <c r="E68" s="256"/>
      <c r="F68" s="675"/>
      <c r="G68" s="557"/>
      <c r="H68" s="675"/>
      <c r="I68" s="674"/>
      <c r="J68" s="467"/>
      <c r="K68" s="256"/>
      <c r="L68" s="675"/>
      <c r="M68" s="557"/>
      <c r="N68" s="675"/>
      <c r="O68" s="674"/>
      <c r="P68" s="474"/>
      <c r="Q68" s="676"/>
      <c r="R68" s="675"/>
      <c r="S68" s="557"/>
      <c r="T68" s="675"/>
      <c r="U68" s="674"/>
      <c r="V68" s="439"/>
      <c r="W68" s="439"/>
      <c r="X68" s="439"/>
      <c r="Y68" s="439"/>
      <c r="Z68" s="439"/>
      <c r="AA68" s="439"/>
      <c r="AB68" s="439"/>
      <c r="AC68" s="439"/>
    </row>
    <row r="69" ht="15.75" customHeight="1">
      <c r="A69" s="439"/>
      <c r="B69" s="820" t="s">
        <v>201</v>
      </c>
      <c r="C69" s="821"/>
      <c r="D69" s="485"/>
      <c r="E69" s="677"/>
      <c r="F69" s="678"/>
      <c r="G69" s="564"/>
      <c r="H69" s="678"/>
      <c r="I69" s="679"/>
      <c r="J69" s="485"/>
      <c r="K69" s="677"/>
      <c r="L69" s="678"/>
      <c r="M69" s="564"/>
      <c r="N69" s="678"/>
      <c r="O69" s="679"/>
      <c r="P69" s="501"/>
      <c r="Q69" s="680"/>
      <c r="R69" s="678"/>
      <c r="S69" s="564"/>
      <c r="T69" s="678"/>
      <c r="U69" s="679"/>
      <c r="V69" s="439"/>
      <c r="W69" s="439"/>
      <c r="X69" s="439"/>
      <c r="Y69" s="439"/>
      <c r="Z69" s="439"/>
      <c r="AA69" s="439"/>
      <c r="AB69" s="439"/>
      <c r="AC69" s="439"/>
    </row>
    <row r="70" ht="15.75" customHeight="1">
      <c r="A70" s="439"/>
      <c r="B70" s="490"/>
      <c r="C70" s="511" t="s">
        <v>202</v>
      </c>
      <c r="D70" s="459">
        <f>SUM(D71:D79)</f>
        <v>86882</v>
      </c>
      <c r="E70" s="547">
        <f t="shared" ref="E70:E79" si="55">D70/D$29</f>
        <v>0.005008716266</v>
      </c>
      <c r="F70" s="548">
        <f>SUM(F71:F79)</f>
        <v>0</v>
      </c>
      <c r="G70" s="547" t="str">
        <f t="shared" ref="G70:G77" si="56">F70/F$29</f>
        <v>#DIV/0!</v>
      </c>
      <c r="H70" s="548">
        <f>SUM(H71:H79)</f>
        <v>86882</v>
      </c>
      <c r="I70" s="549">
        <f>H70/H$29</f>
        <v>0.005008716266</v>
      </c>
      <c r="J70" s="459">
        <f>SUM(J71:J79)</f>
        <v>100602</v>
      </c>
      <c r="K70" s="547">
        <f t="shared" ref="K70:K79" si="57">J70/J$29</f>
        <v>0.005503277585</v>
      </c>
      <c r="L70" s="548">
        <f>SUM(L71:L79)</f>
        <v>0</v>
      </c>
      <c r="M70" s="547" t="str">
        <f t="shared" ref="M70:M77" si="58">L70/L$29</f>
        <v>#DIV/0!</v>
      </c>
      <c r="N70" s="548">
        <f>SUM(N71:N79)</f>
        <v>100602</v>
      </c>
      <c r="O70" s="549">
        <f>N70/N$29</f>
        <v>0.005503277585</v>
      </c>
      <c r="P70" s="491">
        <f>SUM(P71:P79)</f>
        <v>103111</v>
      </c>
      <c r="Q70" s="551">
        <f t="shared" ref="Q70:Q79" si="59">P70/P$29</f>
        <v>0.00614154129</v>
      </c>
      <c r="R70" s="548">
        <f>SUM(R71:R79)</f>
        <v>0</v>
      </c>
      <c r="S70" s="547" t="str">
        <f t="shared" ref="S70:S77" si="60">R70/R$29</f>
        <v>#DIV/0!</v>
      </c>
      <c r="T70" s="548">
        <f>SUM(T71:T79)</f>
        <v>103111</v>
      </c>
      <c r="U70" s="549">
        <f>T70/T$29</f>
        <v>0.00614154129</v>
      </c>
      <c r="V70" s="692"/>
      <c r="W70" s="692"/>
      <c r="X70" s="692"/>
      <c r="Y70" s="692"/>
      <c r="Z70" s="692"/>
      <c r="AA70" s="692"/>
      <c r="AB70" s="692"/>
      <c r="AC70" s="692"/>
    </row>
    <row r="71" ht="15.75" customHeight="1">
      <c r="A71" s="439"/>
      <c r="B71" s="497"/>
      <c r="C71" s="497" t="s">
        <v>268</v>
      </c>
      <c r="D71" s="463">
        <v>0.0</v>
      </c>
      <c r="E71" s="552">
        <f t="shared" si="55"/>
        <v>0</v>
      </c>
      <c r="F71" s="541"/>
      <c r="G71" s="552" t="str">
        <f t="shared" si="56"/>
        <v>#DIV/0!</v>
      </c>
      <c r="H71" s="541">
        <f t="shared" ref="H71:H77" si="61">D71-F71</f>
        <v>0</v>
      </c>
      <c r="I71" s="571" t="str">
        <f t="shared" ref="I71:I77" si="62">IFERROR(H71/F71,"")</f>
        <v/>
      </c>
      <c r="J71" s="463">
        <v>0.0</v>
      </c>
      <c r="K71" s="552">
        <f t="shared" si="57"/>
        <v>0</v>
      </c>
      <c r="L71" s="541"/>
      <c r="M71" s="552" t="str">
        <f t="shared" si="58"/>
        <v>#DIV/0!</v>
      </c>
      <c r="N71" s="541">
        <f t="shared" ref="N71:N77" si="63">J71-L71</f>
        <v>0</v>
      </c>
      <c r="O71" s="571" t="str">
        <f t="shared" ref="O71:O77" si="64">IFERROR(N71/L71,"")</f>
        <v/>
      </c>
      <c r="P71" s="498">
        <v>0.0</v>
      </c>
      <c r="Q71" s="554">
        <f t="shared" si="59"/>
        <v>0</v>
      </c>
      <c r="R71" s="541"/>
      <c r="S71" s="552" t="str">
        <f t="shared" si="60"/>
        <v>#DIV/0!</v>
      </c>
      <c r="T71" s="541">
        <f t="shared" ref="T71:T77" si="65">P71-R71</f>
        <v>0</v>
      </c>
      <c r="U71" s="571" t="str">
        <f t="shared" ref="U71:U77" si="66">IFERROR(T71/R71,"")</f>
        <v/>
      </c>
      <c r="V71" s="439"/>
      <c r="W71" s="439"/>
      <c r="X71" s="439"/>
      <c r="Y71" s="439"/>
      <c r="Z71" s="439"/>
      <c r="AA71" s="439"/>
      <c r="AB71" s="439"/>
      <c r="AC71" s="439"/>
    </row>
    <row r="72" ht="15.75" customHeight="1">
      <c r="A72" s="439"/>
      <c r="B72" s="465"/>
      <c r="C72" s="465" t="s">
        <v>209</v>
      </c>
      <c r="D72" s="467">
        <v>0.0</v>
      </c>
      <c r="E72" s="557">
        <f t="shared" si="55"/>
        <v>0</v>
      </c>
      <c r="F72" s="521"/>
      <c r="G72" s="557" t="str">
        <f t="shared" si="56"/>
        <v>#DIV/0!</v>
      </c>
      <c r="H72" s="521">
        <f t="shared" si="61"/>
        <v>0</v>
      </c>
      <c r="I72" s="573" t="str">
        <f t="shared" si="62"/>
        <v/>
      </c>
      <c r="J72" s="467">
        <v>0.0</v>
      </c>
      <c r="K72" s="557">
        <f t="shared" si="57"/>
        <v>0</v>
      </c>
      <c r="L72" s="521"/>
      <c r="M72" s="557" t="str">
        <f t="shared" si="58"/>
        <v>#DIV/0!</v>
      </c>
      <c r="N72" s="521">
        <f t="shared" si="63"/>
        <v>0</v>
      </c>
      <c r="O72" s="573" t="str">
        <f t="shared" si="64"/>
        <v/>
      </c>
      <c r="P72" s="474">
        <v>0.0</v>
      </c>
      <c r="Q72" s="560">
        <f t="shared" si="59"/>
        <v>0</v>
      </c>
      <c r="R72" s="521"/>
      <c r="S72" s="557" t="str">
        <f t="shared" si="60"/>
        <v>#DIV/0!</v>
      </c>
      <c r="T72" s="521">
        <f t="shared" si="65"/>
        <v>0</v>
      </c>
      <c r="U72" s="573" t="str">
        <f t="shared" si="66"/>
        <v/>
      </c>
      <c r="V72" s="439"/>
      <c r="W72" s="439"/>
      <c r="X72" s="439"/>
      <c r="Y72" s="439"/>
      <c r="Z72" s="439"/>
      <c r="AA72" s="439"/>
      <c r="AB72" s="439"/>
      <c r="AC72" s="439"/>
    </row>
    <row r="73" ht="15.75" customHeight="1">
      <c r="A73" s="439"/>
      <c r="B73" s="465"/>
      <c r="C73" s="465" t="s">
        <v>210</v>
      </c>
      <c r="D73" s="467">
        <v>0.0</v>
      </c>
      <c r="E73" s="557">
        <f t="shared" si="55"/>
        <v>0</v>
      </c>
      <c r="F73" s="521"/>
      <c r="G73" s="557" t="str">
        <f t="shared" si="56"/>
        <v>#DIV/0!</v>
      </c>
      <c r="H73" s="521">
        <f t="shared" si="61"/>
        <v>0</v>
      </c>
      <c r="I73" s="573" t="str">
        <f t="shared" si="62"/>
        <v/>
      </c>
      <c r="J73" s="467">
        <v>0.0</v>
      </c>
      <c r="K73" s="557">
        <f t="shared" si="57"/>
        <v>0</v>
      </c>
      <c r="L73" s="521"/>
      <c r="M73" s="557" t="str">
        <f t="shared" si="58"/>
        <v>#DIV/0!</v>
      </c>
      <c r="N73" s="521">
        <f t="shared" si="63"/>
        <v>0</v>
      </c>
      <c r="O73" s="573" t="str">
        <f t="shared" si="64"/>
        <v/>
      </c>
      <c r="P73" s="474">
        <v>0.0</v>
      </c>
      <c r="Q73" s="560">
        <f t="shared" si="59"/>
        <v>0</v>
      </c>
      <c r="R73" s="521"/>
      <c r="S73" s="557" t="str">
        <f t="shared" si="60"/>
        <v>#DIV/0!</v>
      </c>
      <c r="T73" s="521">
        <f t="shared" si="65"/>
        <v>0</v>
      </c>
      <c r="U73" s="573" t="str">
        <f t="shared" si="66"/>
        <v/>
      </c>
      <c r="V73" s="439"/>
      <c r="W73" s="439"/>
      <c r="X73" s="439"/>
      <c r="Y73" s="439"/>
      <c r="Z73" s="439"/>
      <c r="AA73" s="439"/>
      <c r="AB73" s="439"/>
      <c r="AC73" s="439"/>
    </row>
    <row r="74" ht="15.75" customHeight="1">
      <c r="A74" s="439"/>
      <c r="B74" s="465"/>
      <c r="C74" s="465" t="s">
        <v>318</v>
      </c>
      <c r="D74" s="467">
        <v>0.0</v>
      </c>
      <c r="E74" s="557">
        <f t="shared" si="55"/>
        <v>0</v>
      </c>
      <c r="F74" s="521"/>
      <c r="G74" s="557" t="str">
        <f t="shared" si="56"/>
        <v>#DIV/0!</v>
      </c>
      <c r="H74" s="521">
        <f t="shared" si="61"/>
        <v>0</v>
      </c>
      <c r="I74" s="573" t="str">
        <f t="shared" si="62"/>
        <v/>
      </c>
      <c r="J74" s="467">
        <v>0.0</v>
      </c>
      <c r="K74" s="557">
        <f t="shared" si="57"/>
        <v>0</v>
      </c>
      <c r="L74" s="521"/>
      <c r="M74" s="557" t="str">
        <f t="shared" si="58"/>
        <v>#DIV/0!</v>
      </c>
      <c r="N74" s="521">
        <f t="shared" si="63"/>
        <v>0</v>
      </c>
      <c r="O74" s="573" t="str">
        <f t="shared" si="64"/>
        <v/>
      </c>
      <c r="P74" s="474">
        <v>0.0</v>
      </c>
      <c r="Q74" s="560">
        <f t="shared" si="59"/>
        <v>0</v>
      </c>
      <c r="R74" s="521"/>
      <c r="S74" s="557" t="str">
        <f t="shared" si="60"/>
        <v>#DIV/0!</v>
      </c>
      <c r="T74" s="521">
        <f t="shared" si="65"/>
        <v>0</v>
      </c>
      <c r="U74" s="573" t="str">
        <f t="shared" si="66"/>
        <v/>
      </c>
      <c r="V74" s="439"/>
      <c r="W74" s="439"/>
      <c r="X74" s="439"/>
      <c r="Y74" s="439"/>
      <c r="Z74" s="439"/>
      <c r="AA74" s="439"/>
      <c r="AB74" s="439"/>
      <c r="AC74" s="439"/>
    </row>
    <row r="75" ht="15.75" customHeight="1">
      <c r="A75" s="439"/>
      <c r="B75" s="465"/>
      <c r="C75" s="465" t="s">
        <v>299</v>
      </c>
      <c r="D75" s="467">
        <v>0.0</v>
      </c>
      <c r="E75" s="557">
        <f t="shared" si="55"/>
        <v>0</v>
      </c>
      <c r="F75" s="521"/>
      <c r="G75" s="557" t="str">
        <f t="shared" si="56"/>
        <v>#DIV/0!</v>
      </c>
      <c r="H75" s="521">
        <f t="shared" si="61"/>
        <v>0</v>
      </c>
      <c r="I75" s="573" t="str">
        <f t="shared" si="62"/>
        <v/>
      </c>
      <c r="J75" s="467">
        <v>0.0</v>
      </c>
      <c r="K75" s="557">
        <f t="shared" si="57"/>
        <v>0</v>
      </c>
      <c r="L75" s="521"/>
      <c r="M75" s="557" t="str">
        <f t="shared" si="58"/>
        <v>#DIV/0!</v>
      </c>
      <c r="N75" s="521">
        <f t="shared" si="63"/>
        <v>0</v>
      </c>
      <c r="O75" s="573" t="str">
        <f t="shared" si="64"/>
        <v/>
      </c>
      <c r="P75" s="474">
        <v>0.0</v>
      </c>
      <c r="Q75" s="560">
        <f t="shared" si="59"/>
        <v>0</v>
      </c>
      <c r="R75" s="521"/>
      <c r="S75" s="557" t="str">
        <f t="shared" si="60"/>
        <v>#DIV/0!</v>
      </c>
      <c r="T75" s="521">
        <f t="shared" si="65"/>
        <v>0</v>
      </c>
      <c r="U75" s="573" t="str">
        <f t="shared" si="66"/>
        <v/>
      </c>
      <c r="V75" s="439"/>
      <c r="W75" s="439"/>
      <c r="X75" s="439"/>
      <c r="Y75" s="439"/>
      <c r="Z75" s="439"/>
      <c r="AA75" s="439"/>
      <c r="AB75" s="439"/>
      <c r="AC75" s="439"/>
    </row>
    <row r="76" ht="15.75" customHeight="1">
      <c r="A76" s="439"/>
      <c r="B76" s="465"/>
      <c r="C76" s="465" t="s">
        <v>310</v>
      </c>
      <c r="D76" s="467">
        <v>0.0</v>
      </c>
      <c r="E76" s="557">
        <f t="shared" si="55"/>
        <v>0</v>
      </c>
      <c r="F76" s="521"/>
      <c r="G76" s="557" t="str">
        <f t="shared" si="56"/>
        <v>#DIV/0!</v>
      </c>
      <c r="H76" s="521">
        <f t="shared" si="61"/>
        <v>0</v>
      </c>
      <c r="I76" s="573" t="str">
        <f t="shared" si="62"/>
        <v/>
      </c>
      <c r="J76" s="467">
        <v>0.0</v>
      </c>
      <c r="K76" s="557">
        <f t="shared" si="57"/>
        <v>0</v>
      </c>
      <c r="L76" s="521"/>
      <c r="M76" s="557" t="str">
        <f t="shared" si="58"/>
        <v>#DIV/0!</v>
      </c>
      <c r="N76" s="521">
        <f t="shared" si="63"/>
        <v>0</v>
      </c>
      <c r="O76" s="573" t="str">
        <f t="shared" si="64"/>
        <v/>
      </c>
      <c r="P76" s="474">
        <v>0.0</v>
      </c>
      <c r="Q76" s="560">
        <f t="shared" si="59"/>
        <v>0</v>
      </c>
      <c r="R76" s="521"/>
      <c r="S76" s="557" t="str">
        <f t="shared" si="60"/>
        <v>#DIV/0!</v>
      </c>
      <c r="T76" s="521">
        <f t="shared" si="65"/>
        <v>0</v>
      </c>
      <c r="U76" s="573" t="str">
        <f t="shared" si="66"/>
        <v/>
      </c>
      <c r="V76" s="439"/>
      <c r="W76" s="439"/>
      <c r="X76" s="439"/>
      <c r="Y76" s="439"/>
      <c r="Z76" s="439"/>
      <c r="AA76" s="439"/>
      <c r="AB76" s="439"/>
      <c r="AC76" s="439"/>
    </row>
    <row r="77" ht="15.75" customHeight="1">
      <c r="A77" s="439"/>
      <c r="B77" s="465"/>
      <c r="C77" s="465" t="s">
        <v>301</v>
      </c>
      <c r="D77" s="467">
        <v>0.0</v>
      </c>
      <c r="E77" s="557">
        <f t="shared" si="55"/>
        <v>0</v>
      </c>
      <c r="F77" s="521"/>
      <c r="G77" s="557" t="str">
        <f t="shared" si="56"/>
        <v>#DIV/0!</v>
      </c>
      <c r="H77" s="521">
        <f t="shared" si="61"/>
        <v>0</v>
      </c>
      <c r="I77" s="573" t="str">
        <f t="shared" si="62"/>
        <v/>
      </c>
      <c r="J77" s="467">
        <v>0.0</v>
      </c>
      <c r="K77" s="557">
        <f t="shared" si="57"/>
        <v>0</v>
      </c>
      <c r="L77" s="521"/>
      <c r="M77" s="557" t="str">
        <f t="shared" si="58"/>
        <v>#DIV/0!</v>
      </c>
      <c r="N77" s="521">
        <f t="shared" si="63"/>
        <v>0</v>
      </c>
      <c r="O77" s="573" t="str">
        <f t="shared" si="64"/>
        <v/>
      </c>
      <c r="P77" s="474">
        <v>0.0</v>
      </c>
      <c r="Q77" s="560">
        <f t="shared" si="59"/>
        <v>0</v>
      </c>
      <c r="R77" s="521"/>
      <c r="S77" s="557" t="str">
        <f t="shared" si="60"/>
        <v>#DIV/0!</v>
      </c>
      <c r="T77" s="521">
        <f t="shared" si="65"/>
        <v>0</v>
      </c>
      <c r="U77" s="573" t="str">
        <f t="shared" si="66"/>
        <v/>
      </c>
      <c r="V77" s="439"/>
      <c r="W77" s="439"/>
      <c r="X77" s="439"/>
      <c r="Y77" s="439"/>
      <c r="Z77" s="439"/>
      <c r="AA77" s="439"/>
      <c r="AB77" s="439"/>
      <c r="AC77" s="439"/>
    </row>
    <row r="78" ht="15.75" customHeight="1">
      <c r="A78" s="439"/>
      <c r="B78" s="465"/>
      <c r="C78" s="465" t="s">
        <v>270</v>
      </c>
      <c r="D78" s="467">
        <v>0.0</v>
      </c>
      <c r="E78" s="557">
        <f t="shared" si="55"/>
        <v>0</v>
      </c>
      <c r="F78" s="521"/>
      <c r="G78" s="557"/>
      <c r="H78" s="521"/>
      <c r="I78" s="573"/>
      <c r="J78" s="467">
        <v>0.0</v>
      </c>
      <c r="K78" s="557">
        <f t="shared" si="57"/>
        <v>0</v>
      </c>
      <c r="L78" s="521"/>
      <c r="M78" s="557"/>
      <c r="N78" s="521"/>
      <c r="O78" s="573"/>
      <c r="P78" s="474">
        <v>0.0</v>
      </c>
      <c r="Q78" s="560">
        <f t="shared" si="59"/>
        <v>0</v>
      </c>
      <c r="R78" s="521"/>
      <c r="S78" s="557"/>
      <c r="T78" s="521"/>
      <c r="U78" s="573"/>
      <c r="V78" s="439"/>
      <c r="W78" s="439"/>
      <c r="X78" s="439"/>
      <c r="Y78" s="439"/>
      <c r="Z78" s="439"/>
      <c r="AA78" s="439"/>
      <c r="AB78" s="439"/>
      <c r="AC78" s="439"/>
    </row>
    <row r="79" ht="15.75" customHeight="1">
      <c r="A79" s="439"/>
      <c r="B79" s="465"/>
      <c r="C79" s="465" t="s">
        <v>271</v>
      </c>
      <c r="D79" s="467">
        <v>86882.0</v>
      </c>
      <c r="E79" s="557">
        <f t="shared" si="55"/>
        <v>0.005008716266</v>
      </c>
      <c r="F79" s="521"/>
      <c r="G79" s="557" t="str">
        <f>F79/F$29</f>
        <v>#DIV/0!</v>
      </c>
      <c r="H79" s="521">
        <f>D79-F79</f>
        <v>86882</v>
      </c>
      <c r="I79" s="573" t="str">
        <f>IFERROR(H79/F79,"")</f>
        <v/>
      </c>
      <c r="J79" s="467">
        <v>100602.0</v>
      </c>
      <c r="K79" s="557">
        <f t="shared" si="57"/>
        <v>0.005503277585</v>
      </c>
      <c r="L79" s="521"/>
      <c r="M79" s="557" t="str">
        <f>L79/L$29</f>
        <v>#DIV/0!</v>
      </c>
      <c r="N79" s="521">
        <f>J79-L79</f>
        <v>100602</v>
      </c>
      <c r="O79" s="573" t="str">
        <f>IFERROR(N79/L79,"")</f>
        <v/>
      </c>
      <c r="P79" s="506">
        <v>103111.0</v>
      </c>
      <c r="Q79" s="560">
        <f t="shared" si="59"/>
        <v>0.00614154129</v>
      </c>
      <c r="R79" s="521"/>
      <c r="S79" s="557" t="str">
        <f>R79/R$29</f>
        <v>#DIV/0!</v>
      </c>
      <c r="T79" s="521">
        <f>P79-R79</f>
        <v>103111</v>
      </c>
      <c r="U79" s="573" t="str">
        <f>IFERROR(T79/R79,"")</f>
        <v/>
      </c>
      <c r="V79" s="439"/>
      <c r="W79" s="439"/>
      <c r="X79" s="439"/>
      <c r="Y79" s="439"/>
      <c r="Z79" s="439"/>
      <c r="AA79" s="439"/>
      <c r="AB79" s="439"/>
      <c r="AC79" s="439"/>
    </row>
    <row r="80" ht="15.75" customHeight="1">
      <c r="A80" s="439"/>
      <c r="B80" s="483"/>
      <c r="C80" s="610"/>
      <c r="D80" s="485"/>
      <c r="E80" s="677"/>
      <c r="F80" s="678"/>
      <c r="G80" s="564"/>
      <c r="H80" s="678"/>
      <c r="I80" s="679"/>
      <c r="J80" s="485"/>
      <c r="K80" s="677"/>
      <c r="L80" s="678"/>
      <c r="M80" s="564"/>
      <c r="N80" s="678"/>
      <c r="O80" s="679"/>
      <c r="P80" s="501"/>
      <c r="Q80" s="680"/>
      <c r="R80" s="678"/>
      <c r="S80" s="564"/>
      <c r="T80" s="678"/>
      <c r="U80" s="679"/>
      <c r="V80" s="439"/>
      <c r="W80" s="439"/>
      <c r="X80" s="439"/>
      <c r="Y80" s="439"/>
      <c r="Z80" s="439"/>
      <c r="AA80" s="439"/>
      <c r="AB80" s="439"/>
      <c r="AC80" s="439"/>
    </row>
    <row r="81" ht="15.75" customHeight="1">
      <c r="A81" s="439"/>
      <c r="B81" s="490"/>
      <c r="C81" s="511" t="s">
        <v>35</v>
      </c>
      <c r="D81" s="459">
        <f>SUM(D82:D85)</f>
        <v>628442</v>
      </c>
      <c r="E81" s="547">
        <f t="shared" ref="E81:E85" si="67">D81/D$29</f>
        <v>0.03622945682</v>
      </c>
      <c r="F81" s="548">
        <f>SUM(F82:F85)</f>
        <v>0</v>
      </c>
      <c r="G81" s="547" t="str">
        <f t="shared" ref="G81:G85" si="68">F81/F$29</f>
        <v>#DIV/0!</v>
      </c>
      <c r="H81" s="548">
        <f>SUM(H82:H85)</f>
        <v>628442</v>
      </c>
      <c r="I81" s="549">
        <f>H81/H$29</f>
        <v>0.03622945682</v>
      </c>
      <c r="J81" s="459">
        <f>SUM(J82:J85)</f>
        <v>679501</v>
      </c>
      <c r="K81" s="547">
        <f t="shared" ref="K81:K85" si="69">J81/J$29</f>
        <v>0.03717105646</v>
      </c>
      <c r="L81" s="548">
        <f>SUM(L82:L85)</f>
        <v>0</v>
      </c>
      <c r="M81" s="547" t="str">
        <f t="shared" ref="M81:M85" si="70">L81/L$29</f>
        <v>#DIV/0!</v>
      </c>
      <c r="N81" s="548">
        <f>SUM(N82:N85)</f>
        <v>679501</v>
      </c>
      <c r="O81" s="549">
        <f>N81/N$29</f>
        <v>0.03717105646</v>
      </c>
      <c r="P81" s="491">
        <f>SUM(P82:P85)</f>
        <v>573147</v>
      </c>
      <c r="Q81" s="551">
        <f t="shared" ref="Q81:Q85" si="71">P81/P$29</f>
        <v>0.03413802568</v>
      </c>
      <c r="R81" s="548">
        <f>SUM(R82:R85)</f>
        <v>0</v>
      </c>
      <c r="S81" s="547" t="str">
        <f t="shared" ref="S81:S85" si="72">R81/R$29</f>
        <v>#DIV/0!</v>
      </c>
      <c r="T81" s="548">
        <f>SUM(T82:T85)</f>
        <v>573147</v>
      </c>
      <c r="U81" s="549">
        <f>T81/T$29</f>
        <v>0.03413802568</v>
      </c>
      <c r="V81" s="692"/>
      <c r="W81" s="692"/>
      <c r="X81" s="692"/>
      <c r="Y81" s="692"/>
      <c r="Z81" s="692"/>
      <c r="AA81" s="692"/>
      <c r="AB81" s="692"/>
      <c r="AC81" s="692"/>
    </row>
    <row r="82" ht="15.75" customHeight="1">
      <c r="A82" s="439"/>
      <c r="B82" s="497"/>
      <c r="C82" s="497" t="s">
        <v>212</v>
      </c>
      <c r="D82" s="463">
        <v>11175.0</v>
      </c>
      <c r="E82" s="552">
        <f t="shared" si="67"/>
        <v>0.0006442347583</v>
      </c>
      <c r="F82" s="541"/>
      <c r="G82" s="552" t="str">
        <f t="shared" si="68"/>
        <v>#DIV/0!</v>
      </c>
      <c r="H82" s="541">
        <f t="shared" ref="H82:H85" si="73">D82-F82</f>
        <v>11175</v>
      </c>
      <c r="I82" s="571" t="str">
        <f t="shared" ref="I82:I85" si="74">IFERROR(H82/F82,"")</f>
        <v/>
      </c>
      <c r="J82" s="498">
        <v>12833.0</v>
      </c>
      <c r="K82" s="554">
        <f t="shared" si="69"/>
        <v>0.0007020095152</v>
      </c>
      <c r="L82" s="541"/>
      <c r="M82" s="552" t="str">
        <f t="shared" si="70"/>
        <v>#DIV/0!</v>
      </c>
      <c r="N82" s="541">
        <f t="shared" ref="N82:N85" si="75">J82-L82</f>
        <v>12833</v>
      </c>
      <c r="O82" s="571" t="str">
        <f t="shared" ref="O82:O85" si="76">IFERROR(N82/L82,"")</f>
        <v/>
      </c>
      <c r="P82" s="505">
        <v>8354.0</v>
      </c>
      <c r="Q82" s="554">
        <f t="shared" si="71"/>
        <v>0.0004975845054</v>
      </c>
      <c r="R82" s="541"/>
      <c r="S82" s="552" t="str">
        <f t="shared" si="72"/>
        <v>#DIV/0!</v>
      </c>
      <c r="T82" s="541">
        <f t="shared" ref="T82:T85" si="77">P82-R82</f>
        <v>8354</v>
      </c>
      <c r="U82" s="571" t="str">
        <f t="shared" ref="U82:U85" si="78">IFERROR(T82/R82,"")</f>
        <v/>
      </c>
      <c r="V82" s="439"/>
      <c r="W82" s="439"/>
      <c r="X82" s="439"/>
      <c r="Y82" s="439"/>
      <c r="Z82" s="439"/>
      <c r="AA82" s="439"/>
      <c r="AB82" s="439"/>
      <c r="AC82" s="439"/>
    </row>
    <row r="83" ht="15.75" customHeight="1">
      <c r="A83" s="439"/>
      <c r="B83" s="465"/>
      <c r="C83" s="465" t="s">
        <v>213</v>
      </c>
      <c r="D83" s="467">
        <v>0.0</v>
      </c>
      <c r="E83" s="557">
        <f t="shared" si="67"/>
        <v>0</v>
      </c>
      <c r="F83" s="521"/>
      <c r="G83" s="557" t="str">
        <f t="shared" si="68"/>
        <v>#DIV/0!</v>
      </c>
      <c r="H83" s="521">
        <f t="shared" si="73"/>
        <v>0</v>
      </c>
      <c r="I83" s="573" t="str">
        <f t="shared" si="74"/>
        <v/>
      </c>
      <c r="J83" s="501">
        <v>0.0</v>
      </c>
      <c r="K83" s="560">
        <f t="shared" si="69"/>
        <v>0</v>
      </c>
      <c r="L83" s="521"/>
      <c r="M83" s="557" t="str">
        <f t="shared" si="70"/>
        <v>#DIV/0!</v>
      </c>
      <c r="N83" s="521">
        <f t="shared" si="75"/>
        <v>0</v>
      </c>
      <c r="O83" s="573" t="str">
        <f t="shared" si="76"/>
        <v/>
      </c>
      <c r="P83" s="822">
        <v>0.0</v>
      </c>
      <c r="Q83" s="560">
        <f t="shared" si="71"/>
        <v>0</v>
      </c>
      <c r="R83" s="521"/>
      <c r="S83" s="557" t="str">
        <f t="shared" si="72"/>
        <v>#DIV/0!</v>
      </c>
      <c r="T83" s="521">
        <f t="shared" si="77"/>
        <v>0</v>
      </c>
      <c r="U83" s="573" t="str">
        <f t="shared" si="78"/>
        <v/>
      </c>
      <c r="V83" s="439"/>
      <c r="W83" s="439"/>
      <c r="X83" s="439"/>
      <c r="Y83" s="439"/>
      <c r="Z83" s="439"/>
      <c r="AA83" s="439"/>
      <c r="AB83" s="439"/>
      <c r="AC83" s="439"/>
    </row>
    <row r="84" ht="15.75" customHeight="1">
      <c r="A84" s="439"/>
      <c r="B84" s="465"/>
      <c r="C84" s="465" t="s">
        <v>319</v>
      </c>
      <c r="D84" s="467">
        <v>379080.0</v>
      </c>
      <c r="E84" s="557">
        <f t="shared" si="67"/>
        <v>0.02185382659</v>
      </c>
      <c r="F84" s="521"/>
      <c r="G84" s="557" t="str">
        <f t="shared" si="68"/>
        <v>#DIV/0!</v>
      </c>
      <c r="H84" s="521">
        <f t="shared" si="73"/>
        <v>379080</v>
      </c>
      <c r="I84" s="823" t="str">
        <f t="shared" si="74"/>
        <v/>
      </c>
      <c r="J84" s="822">
        <v>407089.0</v>
      </c>
      <c r="K84" s="560">
        <f t="shared" si="69"/>
        <v>0.02226917724</v>
      </c>
      <c r="L84" s="521"/>
      <c r="M84" s="557" t="str">
        <f t="shared" si="70"/>
        <v>#DIV/0!</v>
      </c>
      <c r="N84" s="521">
        <f t="shared" si="75"/>
        <v>407089</v>
      </c>
      <c r="O84" s="573" t="str">
        <f t="shared" si="76"/>
        <v/>
      </c>
      <c r="P84" s="822">
        <v>348406.0</v>
      </c>
      <c r="Q84" s="560">
        <f t="shared" si="71"/>
        <v>0.02075190653</v>
      </c>
      <c r="R84" s="521"/>
      <c r="S84" s="557" t="str">
        <f t="shared" si="72"/>
        <v>#DIV/0!</v>
      </c>
      <c r="T84" s="521">
        <f t="shared" si="77"/>
        <v>348406</v>
      </c>
      <c r="U84" s="573" t="str">
        <f t="shared" si="78"/>
        <v/>
      </c>
      <c r="V84" s="439"/>
      <c r="W84" s="439"/>
      <c r="X84" s="439"/>
      <c r="Y84" s="439"/>
      <c r="Z84" s="439"/>
      <c r="AA84" s="439"/>
      <c r="AB84" s="439"/>
      <c r="AC84" s="439"/>
    </row>
    <row r="85" ht="15.75" customHeight="1">
      <c r="A85" s="439"/>
      <c r="B85" s="465"/>
      <c r="C85" s="465" t="s">
        <v>311</v>
      </c>
      <c r="D85" s="467">
        <v>238187.0</v>
      </c>
      <c r="E85" s="557">
        <f t="shared" si="67"/>
        <v>0.01373139547</v>
      </c>
      <c r="F85" s="521"/>
      <c r="G85" s="557" t="str">
        <f t="shared" si="68"/>
        <v>#DIV/0!</v>
      </c>
      <c r="H85" s="521">
        <f t="shared" si="73"/>
        <v>238187</v>
      </c>
      <c r="I85" s="823" t="str">
        <f t="shared" si="74"/>
        <v/>
      </c>
      <c r="J85" s="822">
        <f>9852+249727</f>
        <v>259579</v>
      </c>
      <c r="K85" s="560">
        <f t="shared" si="69"/>
        <v>0.01419986971</v>
      </c>
      <c r="L85" s="521"/>
      <c r="M85" s="557" t="str">
        <f t="shared" si="70"/>
        <v>#DIV/0!</v>
      </c>
      <c r="N85" s="521">
        <f t="shared" si="75"/>
        <v>259579</v>
      </c>
      <c r="O85" s="573" t="str">
        <f t="shared" si="76"/>
        <v/>
      </c>
      <c r="P85" s="822">
        <v>216387.0</v>
      </c>
      <c r="Q85" s="560">
        <f t="shared" si="71"/>
        <v>0.01288853464</v>
      </c>
      <c r="R85" s="521"/>
      <c r="S85" s="557" t="str">
        <f t="shared" si="72"/>
        <v>#DIV/0!</v>
      </c>
      <c r="T85" s="521">
        <f t="shared" si="77"/>
        <v>216387</v>
      </c>
      <c r="U85" s="573" t="str">
        <f t="shared" si="78"/>
        <v/>
      </c>
      <c r="V85" s="439"/>
      <c r="W85" s="439"/>
      <c r="X85" s="439"/>
      <c r="Y85" s="439"/>
      <c r="Z85" s="439"/>
      <c r="AA85" s="439"/>
      <c r="AB85" s="439"/>
      <c r="AC85" s="439"/>
    </row>
    <row r="86" ht="15.75" customHeight="1">
      <c r="A86" s="439"/>
      <c r="B86" s="465"/>
      <c r="C86" s="465"/>
      <c r="D86" s="467"/>
      <c r="E86" s="256"/>
      <c r="F86" s="675"/>
      <c r="G86" s="557"/>
      <c r="H86" s="675"/>
      <c r="I86" s="674"/>
      <c r="J86" s="498"/>
      <c r="K86" s="676"/>
      <c r="L86" s="675"/>
      <c r="M86" s="557"/>
      <c r="N86" s="675"/>
      <c r="O86" s="674"/>
      <c r="P86" s="822"/>
      <c r="Q86" s="676"/>
      <c r="R86" s="675"/>
      <c r="S86" s="557"/>
      <c r="T86" s="675"/>
      <c r="U86" s="674"/>
      <c r="V86" s="439"/>
      <c r="W86" s="439"/>
      <c r="X86" s="439"/>
      <c r="Y86" s="439"/>
      <c r="Z86" s="439"/>
      <c r="AA86" s="439"/>
      <c r="AB86" s="439"/>
      <c r="AC86" s="439"/>
    </row>
    <row r="87" ht="15.75" customHeight="1">
      <c r="A87" s="439"/>
      <c r="B87" s="483"/>
      <c r="C87" s="483"/>
      <c r="D87" s="485"/>
      <c r="E87" s="677"/>
      <c r="F87" s="678"/>
      <c r="G87" s="564"/>
      <c r="H87" s="678"/>
      <c r="I87" s="679"/>
      <c r="J87" s="501"/>
      <c r="K87" s="680"/>
      <c r="L87" s="678"/>
      <c r="M87" s="564"/>
      <c r="N87" s="678"/>
      <c r="O87" s="679"/>
      <c r="P87" s="501"/>
      <c r="Q87" s="680"/>
      <c r="R87" s="678"/>
      <c r="S87" s="564"/>
      <c r="T87" s="678"/>
      <c r="U87" s="679"/>
      <c r="V87" s="439"/>
      <c r="W87" s="439"/>
      <c r="X87" s="439"/>
      <c r="Y87" s="439"/>
      <c r="Z87" s="439"/>
      <c r="AA87" s="439"/>
      <c r="AB87" s="439"/>
      <c r="AC87" s="439"/>
    </row>
    <row r="88" ht="15.75" customHeight="1">
      <c r="A88" s="439"/>
      <c r="B88" s="490"/>
      <c r="C88" s="511" t="s">
        <v>36</v>
      </c>
      <c r="D88" s="459">
        <f>SUM(D89:D94)</f>
        <v>1542823</v>
      </c>
      <c r="E88" s="547">
        <f t="shared" ref="E88:E94" si="79">D88/D$29</f>
        <v>0.08894319485</v>
      </c>
      <c r="F88" s="548">
        <f>SUM(F89:F94)</f>
        <v>0</v>
      </c>
      <c r="G88" s="547" t="str">
        <f t="shared" ref="G88:G89" si="80">F88/F$29</f>
        <v>#DIV/0!</v>
      </c>
      <c r="H88" s="548">
        <f>SUM(H89:H94)</f>
        <v>1415826</v>
      </c>
      <c r="I88" s="549">
        <f t="shared" ref="I88:I92" si="81">H88/H$29</f>
        <v>0.08162186317</v>
      </c>
      <c r="J88" s="491">
        <f>SUM(J89:J94)</f>
        <v>1181980</v>
      </c>
      <c r="K88" s="551">
        <f t="shared" ref="K88:K91" si="82">J88/J$29</f>
        <v>0.06465839685</v>
      </c>
      <c r="L88" s="548">
        <f>SUM(L89:L94)</f>
        <v>0</v>
      </c>
      <c r="M88" s="547" t="str">
        <f t="shared" ref="M88:M89" si="83">L88/L$29</f>
        <v>#DIV/0!</v>
      </c>
      <c r="N88" s="548">
        <f>SUM(N89:N94)</f>
        <v>1051884</v>
      </c>
      <c r="O88" s="549">
        <f t="shared" ref="O88:O92" si="84">N88/N$29</f>
        <v>0.05754169539</v>
      </c>
      <c r="P88" s="491">
        <f>SUM(P89:P94)</f>
        <v>1737153</v>
      </c>
      <c r="Q88" s="551">
        <f t="shared" ref="Q88:Q94" si="85">P88/P$29</f>
        <v>0.1034690467</v>
      </c>
      <c r="R88" s="548">
        <f>SUM(R89:R94)</f>
        <v>0</v>
      </c>
      <c r="S88" s="547" t="str">
        <f t="shared" ref="S88:S89" si="86">R88/R$29</f>
        <v>#DIV/0!</v>
      </c>
      <c r="T88" s="548">
        <f>SUM(T89:T94)</f>
        <v>1607057</v>
      </c>
      <c r="U88" s="549">
        <f t="shared" ref="U88:U92" si="87">T88/T$29</f>
        <v>0.09572021337</v>
      </c>
      <c r="V88" s="692"/>
      <c r="W88" s="692"/>
      <c r="X88" s="692"/>
      <c r="Y88" s="692"/>
      <c r="Z88" s="692"/>
      <c r="AA88" s="692"/>
      <c r="AB88" s="692"/>
      <c r="AC88" s="692"/>
    </row>
    <row r="89" ht="15.75" customHeight="1">
      <c r="A89" s="439"/>
      <c r="B89" s="497"/>
      <c r="C89" s="497" t="s">
        <v>217</v>
      </c>
      <c r="D89" s="463">
        <v>991200.0</v>
      </c>
      <c r="E89" s="552">
        <f t="shared" si="79"/>
        <v>0.05714232594</v>
      </c>
      <c r="F89" s="541"/>
      <c r="G89" s="552" t="str">
        <f t="shared" si="80"/>
        <v>#DIV/0!</v>
      </c>
      <c r="H89" s="541">
        <f>D89-F89</f>
        <v>991200</v>
      </c>
      <c r="I89" s="556">
        <f t="shared" si="81"/>
        <v>0.05714232594</v>
      </c>
      <c r="J89" s="463">
        <v>588328.0</v>
      </c>
      <c r="K89" s="552">
        <f t="shared" si="82"/>
        <v>0.03218357781</v>
      </c>
      <c r="L89" s="541"/>
      <c r="M89" s="552" t="str">
        <f t="shared" si="83"/>
        <v>#DIV/0!</v>
      </c>
      <c r="N89" s="541">
        <f>J89-L89</f>
        <v>588328</v>
      </c>
      <c r="O89" s="556">
        <f t="shared" si="84"/>
        <v>0.03218357781</v>
      </c>
      <c r="P89" s="498">
        <v>1139881.0</v>
      </c>
      <c r="Q89" s="554">
        <f t="shared" si="85"/>
        <v>0.06789407752</v>
      </c>
      <c r="R89" s="541"/>
      <c r="S89" s="552" t="str">
        <f t="shared" si="86"/>
        <v>#DIV/0!</v>
      </c>
      <c r="T89" s="541">
        <f>P89-R89</f>
        <v>1139881</v>
      </c>
      <c r="U89" s="556">
        <f t="shared" si="87"/>
        <v>0.06789407752</v>
      </c>
      <c r="V89" s="439"/>
      <c r="W89" s="439"/>
      <c r="X89" s="439"/>
      <c r="Y89" s="439"/>
      <c r="Z89" s="439"/>
      <c r="AA89" s="439"/>
      <c r="AB89" s="439"/>
      <c r="AC89" s="439"/>
    </row>
    <row r="90" ht="15.75" customHeight="1">
      <c r="A90" s="439"/>
      <c r="B90" s="465"/>
      <c r="C90" s="465" t="s">
        <v>320</v>
      </c>
      <c r="D90" s="467">
        <v>126997.0</v>
      </c>
      <c r="E90" s="557">
        <f t="shared" si="79"/>
        <v>0.007321331687</v>
      </c>
      <c r="F90" s="521"/>
      <c r="G90" s="557"/>
      <c r="H90" s="521"/>
      <c r="I90" s="562">
        <f t="shared" si="81"/>
        <v>0</v>
      </c>
      <c r="J90" s="467">
        <v>130096.0</v>
      </c>
      <c r="K90" s="557">
        <f t="shared" si="82"/>
        <v>0.007116701464</v>
      </c>
      <c r="L90" s="521"/>
      <c r="M90" s="557"/>
      <c r="N90" s="521"/>
      <c r="O90" s="562">
        <f t="shared" si="84"/>
        <v>0</v>
      </c>
      <c r="P90" s="498">
        <v>130096.0</v>
      </c>
      <c r="Q90" s="560">
        <f t="shared" si="85"/>
        <v>0.007748833351</v>
      </c>
      <c r="R90" s="521"/>
      <c r="S90" s="557"/>
      <c r="T90" s="521"/>
      <c r="U90" s="562">
        <f t="shared" si="87"/>
        <v>0</v>
      </c>
      <c r="V90" s="439"/>
      <c r="W90" s="439"/>
      <c r="X90" s="439"/>
      <c r="Y90" s="439"/>
      <c r="Z90" s="439"/>
      <c r="AA90" s="439"/>
      <c r="AB90" s="439"/>
      <c r="AC90" s="439"/>
    </row>
    <row r="91" ht="15.75" customHeight="1">
      <c r="A91" s="439"/>
      <c r="B91" s="465"/>
      <c r="C91" s="465" t="s">
        <v>321</v>
      </c>
      <c r="D91" s="467">
        <v>0.0</v>
      </c>
      <c r="E91" s="557">
        <f t="shared" si="79"/>
        <v>0</v>
      </c>
      <c r="F91" s="521"/>
      <c r="G91" s="557"/>
      <c r="H91" s="521"/>
      <c r="I91" s="562">
        <f t="shared" si="81"/>
        <v>0</v>
      </c>
      <c r="J91" s="463">
        <v>0.0</v>
      </c>
      <c r="K91" s="557">
        <f t="shared" si="82"/>
        <v>0</v>
      </c>
      <c r="L91" s="521"/>
      <c r="M91" s="557"/>
      <c r="N91" s="521"/>
      <c r="O91" s="562">
        <f t="shared" si="84"/>
        <v>0</v>
      </c>
      <c r="P91" s="498">
        <v>0.0</v>
      </c>
      <c r="Q91" s="560">
        <f t="shared" si="85"/>
        <v>0</v>
      </c>
      <c r="R91" s="521"/>
      <c r="S91" s="557"/>
      <c r="T91" s="521"/>
      <c r="U91" s="562">
        <f t="shared" si="87"/>
        <v>0</v>
      </c>
      <c r="V91" s="439"/>
      <c r="W91" s="439"/>
      <c r="X91" s="439"/>
      <c r="Y91" s="439"/>
      <c r="Z91" s="439"/>
      <c r="AA91" s="439"/>
      <c r="AB91" s="439"/>
      <c r="AC91" s="439"/>
    </row>
    <row r="92" ht="15.75" customHeight="1">
      <c r="A92" s="692"/>
      <c r="B92" s="465"/>
      <c r="C92" s="465" t="s">
        <v>218</v>
      </c>
      <c r="D92" s="467">
        <v>335100.0</v>
      </c>
      <c r="E92" s="557">
        <f t="shared" si="79"/>
        <v>0.0193183953</v>
      </c>
      <c r="F92" s="521"/>
      <c r="G92" s="557" t="str">
        <f t="shared" ref="G92:G94" si="88">F92/F$29</f>
        <v>#DIV/0!</v>
      </c>
      <c r="H92" s="521">
        <f t="shared" ref="H92:H94" si="89">D92-F92</f>
        <v>335100</v>
      </c>
      <c r="I92" s="562">
        <f t="shared" si="81"/>
        <v>0.0193183953</v>
      </c>
      <c r="J92" s="513">
        <v>393030.0</v>
      </c>
      <c r="K92" s="824">
        <v>397850.0</v>
      </c>
      <c r="L92" s="521"/>
      <c r="M92" s="557" t="str">
        <f t="shared" ref="M92:M94" si="90">L92/L$29</f>
        <v>#DIV/0!</v>
      </c>
      <c r="N92" s="521">
        <f t="shared" ref="N92:N94" si="91">J92-L92</f>
        <v>393030</v>
      </c>
      <c r="O92" s="562">
        <f t="shared" si="84"/>
        <v>0.02150010128</v>
      </c>
      <c r="P92" s="505">
        <v>397850.0</v>
      </c>
      <c r="Q92" s="560">
        <f t="shared" si="85"/>
        <v>0.02369691112</v>
      </c>
      <c r="R92" s="521"/>
      <c r="S92" s="557" t="str">
        <f t="shared" ref="S92:S94" si="92">R92/R$29</f>
        <v>#DIV/0!</v>
      </c>
      <c r="T92" s="521">
        <f t="shared" ref="T92:T94" si="93">P92-R92</f>
        <v>397850</v>
      </c>
      <c r="U92" s="562">
        <f t="shared" si="87"/>
        <v>0.02369691112</v>
      </c>
      <c r="V92" s="439"/>
      <c r="W92" s="439"/>
      <c r="X92" s="439"/>
      <c r="Y92" s="439"/>
      <c r="Z92" s="439"/>
      <c r="AA92" s="439"/>
      <c r="AB92" s="439"/>
      <c r="AC92" s="439"/>
    </row>
    <row r="93" ht="15.75" customHeight="1">
      <c r="A93" s="439"/>
      <c r="B93" s="465"/>
      <c r="C93" s="465" t="s">
        <v>219</v>
      </c>
      <c r="D93" s="467">
        <v>87400.0</v>
      </c>
      <c r="E93" s="557">
        <f t="shared" si="79"/>
        <v>0.005038578781</v>
      </c>
      <c r="F93" s="521"/>
      <c r="G93" s="557" t="str">
        <f t="shared" si="88"/>
        <v>#DIV/0!</v>
      </c>
      <c r="H93" s="521">
        <f t="shared" si="89"/>
        <v>87400</v>
      </c>
      <c r="I93" s="562" t="str">
        <f t="shared" ref="I93:I94" si="94">IFERROR(H93/F93,"")</f>
        <v/>
      </c>
      <c r="J93" s="463">
        <v>68400.0</v>
      </c>
      <c r="K93" s="557">
        <f t="shared" ref="K93:K94" si="95">J93/J$29</f>
        <v>0.003741716734</v>
      </c>
      <c r="L93" s="521"/>
      <c r="M93" s="557" t="str">
        <f t="shared" si="90"/>
        <v>#DIV/0!</v>
      </c>
      <c r="N93" s="521">
        <f t="shared" si="91"/>
        <v>68400</v>
      </c>
      <c r="O93" s="562" t="str">
        <f t="shared" ref="O93:O94" si="96">IFERROR(N93/L93,"")</f>
        <v/>
      </c>
      <c r="P93" s="505">
        <v>67200.0</v>
      </c>
      <c r="Q93" s="560">
        <f t="shared" si="85"/>
        <v>0.004002595016</v>
      </c>
      <c r="R93" s="521"/>
      <c r="S93" s="557" t="str">
        <f t="shared" si="92"/>
        <v>#DIV/0!</v>
      </c>
      <c r="T93" s="521">
        <f t="shared" si="93"/>
        <v>67200</v>
      </c>
      <c r="U93" s="562" t="str">
        <f t="shared" ref="U93:U94" si="97">IFERROR(T93/R93,"")</f>
        <v/>
      </c>
      <c r="V93" s="439"/>
      <c r="W93" s="439"/>
      <c r="X93" s="439"/>
      <c r="Y93" s="439"/>
      <c r="Z93" s="439"/>
      <c r="AA93" s="439"/>
      <c r="AB93" s="439"/>
      <c r="AC93" s="439"/>
    </row>
    <row r="94" ht="15.75" customHeight="1">
      <c r="A94" s="439"/>
      <c r="B94" s="465"/>
      <c r="C94" s="465" t="s">
        <v>220</v>
      </c>
      <c r="D94" s="467">
        <v>2126.0</v>
      </c>
      <c r="E94" s="557">
        <f t="shared" si="79"/>
        <v>0.0001225631406</v>
      </c>
      <c r="F94" s="521"/>
      <c r="G94" s="557" t="str">
        <f t="shared" si="88"/>
        <v>#DIV/0!</v>
      </c>
      <c r="H94" s="521">
        <f t="shared" si="89"/>
        <v>2126</v>
      </c>
      <c r="I94" s="562" t="str">
        <f t="shared" si="94"/>
        <v/>
      </c>
      <c r="J94" s="463">
        <v>2126.0</v>
      </c>
      <c r="K94" s="557">
        <f t="shared" si="95"/>
        <v>0.0001162995581</v>
      </c>
      <c r="L94" s="521"/>
      <c r="M94" s="557" t="str">
        <f t="shared" si="90"/>
        <v>#DIV/0!</v>
      </c>
      <c r="N94" s="521">
        <f t="shared" si="91"/>
        <v>2126</v>
      </c>
      <c r="O94" s="562" t="str">
        <f t="shared" si="96"/>
        <v/>
      </c>
      <c r="P94" s="505">
        <v>2126.0</v>
      </c>
      <c r="Q94" s="560">
        <f t="shared" si="85"/>
        <v>0.0001266297173</v>
      </c>
      <c r="R94" s="521"/>
      <c r="S94" s="557" t="str">
        <f t="shared" si="92"/>
        <v>#DIV/0!</v>
      </c>
      <c r="T94" s="521">
        <f t="shared" si="93"/>
        <v>2126</v>
      </c>
      <c r="U94" s="562" t="str">
        <f t="shared" si="97"/>
        <v/>
      </c>
      <c r="V94" s="439"/>
      <c r="W94" s="439"/>
      <c r="X94" s="439"/>
      <c r="Y94" s="439"/>
      <c r="Z94" s="439"/>
      <c r="AA94" s="439"/>
      <c r="AB94" s="439"/>
      <c r="AC94" s="439"/>
    </row>
    <row r="95" ht="15.75" customHeight="1">
      <c r="A95" s="439"/>
      <c r="B95" s="483"/>
      <c r="C95" s="610"/>
      <c r="D95" s="485"/>
      <c r="E95" s="564"/>
      <c r="F95" s="545"/>
      <c r="G95" s="564"/>
      <c r="H95" s="678"/>
      <c r="I95" s="679"/>
      <c r="J95" s="463"/>
      <c r="K95" s="564"/>
      <c r="L95" s="545"/>
      <c r="M95" s="564"/>
      <c r="N95" s="678"/>
      <c r="O95" s="679"/>
      <c r="P95" s="498"/>
      <c r="Q95" s="583"/>
      <c r="R95" s="545"/>
      <c r="S95" s="564"/>
      <c r="T95" s="678"/>
      <c r="U95" s="679"/>
      <c r="V95" s="439"/>
      <c r="W95" s="439"/>
      <c r="X95" s="439"/>
      <c r="Y95" s="439"/>
      <c r="Z95" s="439"/>
      <c r="AA95" s="439"/>
      <c r="AB95" s="439"/>
      <c r="AC95" s="439"/>
    </row>
    <row r="96" ht="15.75" customHeight="1">
      <c r="A96" s="439"/>
      <c r="B96" s="490"/>
      <c r="C96" s="511" t="s">
        <v>37</v>
      </c>
      <c r="D96" s="459">
        <f>SUM(D97:D107)</f>
        <v>3711761.087</v>
      </c>
      <c r="E96" s="547">
        <f t="shared" ref="E96:E99" si="98">D96/D$29</f>
        <v>0.2139817008</v>
      </c>
      <c r="F96" s="548">
        <f>SUM(F97:F107)</f>
        <v>0</v>
      </c>
      <c r="G96" s="547" t="str">
        <f>F96/F$29</f>
        <v>#DIV/0!</v>
      </c>
      <c r="H96" s="812">
        <f>SUM(H97:H106)</f>
        <v>3686745.087</v>
      </c>
      <c r="I96" s="691"/>
      <c r="J96" s="459">
        <f>SUM(J97:J107)</f>
        <v>3798707.917</v>
      </c>
      <c r="K96" s="547">
        <f t="shared" ref="K96:K99" si="99">J96/J$29</f>
        <v>0.2078024704</v>
      </c>
      <c r="L96" s="548">
        <f>SUM(L97:L107)</f>
        <v>0</v>
      </c>
      <c r="M96" s="547" t="str">
        <f>L96/L$29</f>
        <v>#DIV/0!</v>
      </c>
      <c r="N96" s="812">
        <f>SUM(N97:N106)</f>
        <v>3798214.917</v>
      </c>
      <c r="O96" s="691"/>
      <c r="P96" s="491">
        <f>SUM(P97:P107)</f>
        <v>3735702</v>
      </c>
      <c r="Q96" s="551">
        <f t="shared" ref="Q96:Q99" si="100">P96/P$29</f>
        <v>0.2225074733</v>
      </c>
      <c r="R96" s="548">
        <f>SUM(R97:R107)</f>
        <v>0</v>
      </c>
      <c r="S96" s="547" t="str">
        <f>R96/R$29</f>
        <v>#DIV/0!</v>
      </c>
      <c r="T96" s="812">
        <f>SUM(T97:T106)</f>
        <v>3730702</v>
      </c>
      <c r="U96" s="691"/>
      <c r="V96" s="692"/>
      <c r="W96" s="692"/>
      <c r="X96" s="692"/>
      <c r="Y96" s="692"/>
      <c r="Z96" s="692"/>
      <c r="AA96" s="692"/>
      <c r="AB96" s="692"/>
      <c r="AC96" s="692"/>
    </row>
    <row r="97" ht="15.75" customHeight="1">
      <c r="A97" s="439"/>
      <c r="B97" s="497"/>
      <c r="C97" s="497" t="s">
        <v>221</v>
      </c>
      <c r="D97" s="463">
        <v>0.0</v>
      </c>
      <c r="E97" s="552">
        <f t="shared" si="98"/>
        <v>0</v>
      </c>
      <c r="F97" s="541"/>
      <c r="G97" s="552"/>
      <c r="H97" s="541">
        <f t="shared" ref="H97:H99" si="101">D97-F97</f>
        <v>0</v>
      </c>
      <c r="I97" s="571" t="str">
        <f t="shared" ref="I97:I99" si="102">IFERROR(H97/F97,"")</f>
        <v/>
      </c>
      <c r="J97" s="463">
        <v>0.0</v>
      </c>
      <c r="K97" s="552">
        <f t="shared" si="99"/>
        <v>0</v>
      </c>
      <c r="L97" s="541"/>
      <c r="M97" s="552"/>
      <c r="N97" s="541">
        <f t="shared" ref="N97:N99" si="103">J97-L97</f>
        <v>0</v>
      </c>
      <c r="O97" s="571" t="str">
        <f t="shared" ref="O97:O99" si="104">IFERROR(N97/L97,"")</f>
        <v/>
      </c>
      <c r="P97" s="505">
        <v>0.0</v>
      </c>
      <c r="Q97" s="554">
        <f t="shared" si="100"/>
        <v>0</v>
      </c>
      <c r="R97" s="541"/>
      <c r="S97" s="552"/>
      <c r="T97" s="541">
        <f t="shared" ref="T97:T99" si="105">P97-R97</f>
        <v>0</v>
      </c>
      <c r="U97" s="571" t="str">
        <f t="shared" ref="U97:U99" si="106">IFERROR(T97/R97,"")</f>
        <v/>
      </c>
      <c r="V97" s="439"/>
      <c r="W97" s="439"/>
      <c r="X97" s="439"/>
      <c r="Y97" s="439"/>
      <c r="Z97" s="439"/>
      <c r="AA97" s="439"/>
      <c r="AB97" s="439"/>
      <c r="AC97" s="439"/>
    </row>
    <row r="98" ht="15.75" customHeight="1">
      <c r="A98" s="439"/>
      <c r="B98" s="465"/>
      <c r="C98" s="465" t="s">
        <v>222</v>
      </c>
      <c r="D98" s="467">
        <v>3556953.1666666665</v>
      </c>
      <c r="E98" s="557">
        <f t="shared" si="98"/>
        <v>0.2050570795</v>
      </c>
      <c r="F98" s="521"/>
      <c r="G98" s="557" t="str">
        <f>F98/F$29</f>
        <v>#DIV/0!</v>
      </c>
      <c r="H98" s="521">
        <f t="shared" si="101"/>
        <v>3556953.167</v>
      </c>
      <c r="I98" s="573" t="str">
        <f t="shared" si="102"/>
        <v/>
      </c>
      <c r="J98" s="467">
        <v>3669904.4166666665</v>
      </c>
      <c r="K98" s="557">
        <f t="shared" si="99"/>
        <v>0.2007564732</v>
      </c>
      <c r="L98" s="521"/>
      <c r="M98" s="557" t="str">
        <f>L98/L$29</f>
        <v>#DIV/0!</v>
      </c>
      <c r="N98" s="521">
        <f t="shared" si="103"/>
        <v>3669904.417</v>
      </c>
      <c r="O98" s="573" t="str">
        <f t="shared" si="104"/>
        <v/>
      </c>
      <c r="P98" s="602">
        <v>3599965.0</v>
      </c>
      <c r="Q98" s="560">
        <f t="shared" si="100"/>
        <v>0.2144226483</v>
      </c>
      <c r="R98" s="521"/>
      <c r="S98" s="557" t="str">
        <f>R98/R$29</f>
        <v>#DIV/0!</v>
      </c>
      <c r="T98" s="521">
        <f t="shared" si="105"/>
        <v>3599965</v>
      </c>
      <c r="U98" s="573" t="str">
        <f t="shared" si="106"/>
        <v/>
      </c>
      <c r="V98" s="439"/>
      <c r="W98" s="439"/>
      <c r="X98" s="439"/>
      <c r="Y98" s="439"/>
      <c r="Z98" s="439"/>
      <c r="AA98" s="439"/>
      <c r="AB98" s="439"/>
      <c r="AC98" s="439"/>
    </row>
    <row r="99" ht="15.75" customHeight="1">
      <c r="A99" s="439"/>
      <c r="B99" s="465"/>
      <c r="C99" s="465" t="s">
        <v>223</v>
      </c>
      <c r="D99" s="467">
        <v>2417.0</v>
      </c>
      <c r="E99" s="557">
        <f t="shared" si="98"/>
        <v>0.0001393391866</v>
      </c>
      <c r="F99" s="521"/>
      <c r="G99" s="557"/>
      <c r="H99" s="521">
        <f t="shared" si="101"/>
        <v>2417</v>
      </c>
      <c r="I99" s="573" t="str">
        <f t="shared" si="102"/>
        <v/>
      </c>
      <c r="J99" s="467">
        <v>2097.0</v>
      </c>
      <c r="K99" s="557">
        <f t="shared" si="99"/>
        <v>0.0001147131578</v>
      </c>
      <c r="L99" s="521"/>
      <c r="M99" s="557"/>
      <c r="N99" s="521">
        <f t="shared" si="103"/>
        <v>2097</v>
      </c>
      <c r="O99" s="573" t="str">
        <f t="shared" si="104"/>
        <v/>
      </c>
      <c r="P99" s="506">
        <v>2025.0</v>
      </c>
      <c r="Q99" s="560">
        <f t="shared" si="100"/>
        <v>0.0001206139123</v>
      </c>
      <c r="R99" s="521"/>
      <c r="S99" s="557"/>
      <c r="T99" s="521">
        <f t="shared" si="105"/>
        <v>2025</v>
      </c>
      <c r="U99" s="573" t="str">
        <f t="shared" si="106"/>
        <v/>
      </c>
      <c r="V99" s="439"/>
      <c r="W99" s="439"/>
      <c r="X99" s="439"/>
      <c r="Y99" s="439"/>
      <c r="Z99" s="439"/>
      <c r="AA99" s="439"/>
      <c r="AB99" s="439"/>
      <c r="AC99" s="439"/>
    </row>
    <row r="100" ht="15.75" customHeight="1">
      <c r="A100" s="439"/>
      <c r="B100" s="465"/>
      <c r="C100" s="762" t="s">
        <v>322</v>
      </c>
      <c r="D100" s="514">
        <v>0.0</v>
      </c>
      <c r="E100" s="557"/>
      <c r="F100" s="521"/>
      <c r="G100" s="557"/>
      <c r="H100" s="521"/>
      <c r="I100" s="573"/>
      <c r="J100" s="514">
        <v>0.0</v>
      </c>
      <c r="K100" s="557"/>
      <c r="L100" s="521"/>
      <c r="M100" s="557"/>
      <c r="N100" s="521"/>
      <c r="O100" s="573"/>
      <c r="P100" s="506">
        <v>5000.0</v>
      </c>
      <c r="Q100" s="560"/>
      <c r="R100" s="521"/>
      <c r="S100" s="557"/>
      <c r="T100" s="521"/>
      <c r="U100" s="573"/>
      <c r="V100" s="439"/>
      <c r="W100" s="439"/>
      <c r="X100" s="439"/>
      <c r="Y100" s="439"/>
      <c r="Z100" s="439"/>
      <c r="AA100" s="439"/>
      <c r="AB100" s="439"/>
      <c r="AC100" s="439"/>
    </row>
    <row r="101" ht="15.75" customHeight="1">
      <c r="A101" s="439"/>
      <c r="B101" s="465"/>
      <c r="C101" s="465" t="s">
        <v>225</v>
      </c>
      <c r="D101" s="467">
        <v>115122.91999999998</v>
      </c>
      <c r="E101" s="557">
        <f t="shared" ref="E101:E102" si="107">D101/D$29</f>
        <v>0.006636795216</v>
      </c>
      <c r="F101" s="521"/>
      <c r="G101" s="557"/>
      <c r="H101" s="521">
        <f t="shared" ref="H101:H102" si="108">D101-F101</f>
        <v>115122.92</v>
      </c>
      <c r="I101" s="573" t="str">
        <f t="shared" ref="I101:I102" si="109">IFERROR(H101/F101,"")</f>
        <v/>
      </c>
      <c r="J101" s="467">
        <v>116845.5</v>
      </c>
      <c r="K101" s="557">
        <f t="shared" ref="K101:K102" si="110">J101/J$29</f>
        <v>0.006391853254</v>
      </c>
      <c r="L101" s="521"/>
      <c r="M101" s="557"/>
      <c r="N101" s="521">
        <f t="shared" ref="N101:N102" si="111">J101-L101</f>
        <v>116845.5</v>
      </c>
      <c r="O101" s="573" t="str">
        <f t="shared" ref="O101:O102" si="112">IFERROR(N101/L101,"")</f>
        <v/>
      </c>
      <c r="P101" s="506">
        <v>121591.0</v>
      </c>
      <c r="Q101" s="560">
        <f t="shared" ref="Q101:Q102" si="113">P101/P$29</f>
        <v>0.007242254919</v>
      </c>
      <c r="R101" s="521"/>
      <c r="S101" s="557"/>
      <c r="T101" s="521">
        <f t="shared" ref="T101:T102" si="114">P101-R101</f>
        <v>121591</v>
      </c>
      <c r="U101" s="573" t="str">
        <f t="shared" ref="U101:U102" si="115">IFERROR(T101/R101,"")</f>
        <v/>
      </c>
      <c r="V101" s="439"/>
      <c r="W101" s="439"/>
      <c r="X101" s="439"/>
      <c r="Y101" s="439"/>
      <c r="Z101" s="439"/>
      <c r="AA101" s="439"/>
      <c r="AB101" s="439"/>
      <c r="AC101" s="439"/>
    </row>
    <row r="102" ht="15.75" customHeight="1">
      <c r="A102" s="439"/>
      <c r="B102" s="465"/>
      <c r="C102" s="465" t="s">
        <v>226</v>
      </c>
      <c r="D102" s="467">
        <v>0.0</v>
      </c>
      <c r="E102" s="557">
        <f t="shared" si="107"/>
        <v>0</v>
      </c>
      <c r="F102" s="521"/>
      <c r="G102" s="557"/>
      <c r="H102" s="521">
        <f t="shared" si="108"/>
        <v>0</v>
      </c>
      <c r="I102" s="573" t="str">
        <f t="shared" si="109"/>
        <v/>
      </c>
      <c r="J102" s="514">
        <v>0.0</v>
      </c>
      <c r="K102" s="557">
        <f t="shared" si="110"/>
        <v>0</v>
      </c>
      <c r="L102" s="521"/>
      <c r="M102" s="557"/>
      <c r="N102" s="521">
        <f t="shared" si="111"/>
        <v>0</v>
      </c>
      <c r="O102" s="573" t="str">
        <f t="shared" si="112"/>
        <v/>
      </c>
      <c r="P102" s="506">
        <v>0.0</v>
      </c>
      <c r="Q102" s="560">
        <f t="shared" si="113"/>
        <v>0</v>
      </c>
      <c r="R102" s="521"/>
      <c r="S102" s="557"/>
      <c r="T102" s="521">
        <f t="shared" si="114"/>
        <v>0</v>
      </c>
      <c r="U102" s="573" t="str">
        <f t="shared" si="115"/>
        <v/>
      </c>
      <c r="V102" s="439"/>
      <c r="W102" s="439"/>
      <c r="X102" s="439"/>
      <c r="Y102" s="439"/>
      <c r="Z102" s="439"/>
      <c r="AA102" s="439"/>
      <c r="AB102" s="439"/>
      <c r="AC102" s="439"/>
    </row>
    <row r="103" ht="15.75" customHeight="1">
      <c r="A103" s="439"/>
      <c r="B103" s="465"/>
      <c r="C103" s="762" t="s">
        <v>323</v>
      </c>
      <c r="D103" s="514">
        <v>0.0</v>
      </c>
      <c r="E103" s="557"/>
      <c r="F103" s="521"/>
      <c r="G103" s="557"/>
      <c r="H103" s="521"/>
      <c r="I103" s="573"/>
      <c r="J103" s="514">
        <v>493.0</v>
      </c>
      <c r="K103" s="557"/>
      <c r="L103" s="521"/>
      <c r="M103" s="557"/>
      <c r="N103" s="521"/>
      <c r="O103" s="573"/>
      <c r="P103" s="506">
        <v>0.0</v>
      </c>
      <c r="Q103" s="560"/>
      <c r="R103" s="521"/>
      <c r="S103" s="557"/>
      <c r="T103" s="521"/>
      <c r="U103" s="573"/>
      <c r="V103" s="439"/>
      <c r="W103" s="439"/>
      <c r="X103" s="439"/>
      <c r="Y103" s="439"/>
      <c r="Z103" s="439"/>
      <c r="AA103" s="439"/>
      <c r="AB103" s="439"/>
      <c r="AC103" s="439"/>
    </row>
    <row r="104" ht="15.75" customHeight="1">
      <c r="A104" s="439"/>
      <c r="B104" s="465"/>
      <c r="C104" s="465" t="s">
        <v>227</v>
      </c>
      <c r="D104" s="467">
        <v>12252.0</v>
      </c>
      <c r="E104" s="557">
        <f>D104/D$29</f>
        <v>0.0007063234236</v>
      </c>
      <c r="F104" s="521"/>
      <c r="G104" s="557" t="str">
        <f>F104/F$29</f>
        <v>#DIV/0!</v>
      </c>
      <c r="H104" s="521">
        <f>D104-F104</f>
        <v>12252</v>
      </c>
      <c r="I104" s="573" t="str">
        <f>IFERROR(H104/F104,"")</f>
        <v/>
      </c>
      <c r="J104" s="514">
        <v>9368.0</v>
      </c>
      <c r="K104" s="557">
        <f>J104/J$29</f>
        <v>0.0005124620228</v>
      </c>
      <c r="L104" s="521"/>
      <c r="M104" s="557" t="str">
        <f>L104/L$29</f>
        <v>#DIV/0!</v>
      </c>
      <c r="N104" s="521">
        <f>J104-L104</f>
        <v>9368</v>
      </c>
      <c r="O104" s="573" t="str">
        <f>IFERROR(N104/L104,"")</f>
        <v/>
      </c>
      <c r="P104" s="506">
        <v>7121.0</v>
      </c>
      <c r="Q104" s="560">
        <f>P104/P$29</f>
        <v>0.0004241440343</v>
      </c>
      <c r="R104" s="521"/>
      <c r="S104" s="557" t="str">
        <f>R104/R$29</f>
        <v>#DIV/0!</v>
      </c>
      <c r="T104" s="521">
        <f>P104-R104</f>
        <v>7121</v>
      </c>
      <c r="U104" s="573" t="str">
        <f>IFERROR(T104/R104,"")</f>
        <v/>
      </c>
      <c r="V104" s="439"/>
      <c r="W104" s="439"/>
      <c r="X104" s="439"/>
      <c r="Y104" s="439"/>
      <c r="Z104" s="439"/>
      <c r="AA104" s="439"/>
      <c r="AB104" s="439"/>
      <c r="AC104" s="439"/>
    </row>
    <row r="105" ht="15.75" customHeight="1">
      <c r="A105" s="439"/>
      <c r="B105" s="465"/>
      <c r="C105" s="762" t="s">
        <v>324</v>
      </c>
      <c r="D105" s="467">
        <v>25016.0</v>
      </c>
      <c r="E105" s="557"/>
      <c r="F105" s="521"/>
      <c r="G105" s="557"/>
      <c r="H105" s="521"/>
      <c r="I105" s="573"/>
      <c r="J105" s="514">
        <v>0.0</v>
      </c>
      <c r="K105" s="557"/>
      <c r="L105" s="521"/>
      <c r="M105" s="557"/>
      <c r="N105" s="521"/>
      <c r="O105" s="573"/>
      <c r="P105" s="506">
        <v>0.0</v>
      </c>
      <c r="Q105" s="560"/>
      <c r="R105" s="521"/>
      <c r="S105" s="557"/>
      <c r="T105" s="521"/>
      <c r="U105" s="573"/>
      <c r="V105" s="439"/>
      <c r="W105" s="439"/>
      <c r="X105" s="439"/>
      <c r="Y105" s="439"/>
      <c r="Z105" s="439"/>
      <c r="AA105" s="439"/>
      <c r="AB105" s="439"/>
      <c r="AC105" s="439"/>
    </row>
    <row r="106" ht="15.75" customHeight="1">
      <c r="A106" s="439"/>
      <c r="B106" s="465"/>
      <c r="C106" s="465" t="s">
        <v>228</v>
      </c>
      <c r="D106" s="467">
        <v>0.0</v>
      </c>
      <c r="E106" s="557">
        <f t="shared" ref="E106:E107" si="116">D106/D$29</f>
        <v>0</v>
      </c>
      <c r="F106" s="521"/>
      <c r="G106" s="557"/>
      <c r="H106" s="675">
        <f t="shared" ref="H106:H107" si="117">D106-F106</f>
        <v>0</v>
      </c>
      <c r="I106" s="674" t="str">
        <f t="shared" ref="I106:I107" si="118">IFERROR(H106/F106,"")</f>
        <v/>
      </c>
      <c r="J106" s="467">
        <v>0.0</v>
      </c>
      <c r="K106" s="557">
        <f t="shared" ref="K106:K107" si="119">J106/J$29</f>
        <v>0</v>
      </c>
      <c r="L106" s="521"/>
      <c r="M106" s="557"/>
      <c r="N106" s="675">
        <f t="shared" ref="N106:N107" si="120">J106-L106</f>
        <v>0</v>
      </c>
      <c r="O106" s="674" t="str">
        <f t="shared" ref="O106:O107" si="121">IFERROR(N106/L106,"")</f>
        <v/>
      </c>
      <c r="P106" s="506">
        <v>0.0</v>
      </c>
      <c r="Q106" s="560">
        <f t="shared" ref="Q106:Q107" si="122">P106/P$29</f>
        <v>0</v>
      </c>
      <c r="R106" s="521"/>
      <c r="S106" s="557"/>
      <c r="T106" s="675">
        <f t="shared" ref="T106:T107" si="123">P106-R106</f>
        <v>0</v>
      </c>
      <c r="U106" s="674" t="str">
        <f t="shared" ref="U106:U107" si="124">IFERROR(T106/R106,"")</f>
        <v/>
      </c>
      <c r="V106" s="439"/>
      <c r="W106" s="439"/>
      <c r="X106" s="439"/>
      <c r="Y106" s="439"/>
      <c r="Z106" s="439"/>
      <c r="AA106" s="439"/>
      <c r="AB106" s="439"/>
      <c r="AC106" s="439"/>
    </row>
    <row r="107" ht="15.75" customHeight="1">
      <c r="A107" s="439"/>
      <c r="B107" s="465"/>
      <c r="C107" s="616" t="s">
        <v>276</v>
      </c>
      <c r="D107" s="467">
        <v>0.0</v>
      </c>
      <c r="E107" s="557">
        <f t="shared" si="116"/>
        <v>0</v>
      </c>
      <c r="F107" s="521"/>
      <c r="G107" s="557" t="str">
        <f>F107/F$29</f>
        <v>#DIV/0!</v>
      </c>
      <c r="H107" s="675">
        <f t="shared" si="117"/>
        <v>0</v>
      </c>
      <c r="I107" s="674" t="str">
        <f t="shared" si="118"/>
        <v/>
      </c>
      <c r="J107" s="467">
        <v>0.0</v>
      </c>
      <c r="K107" s="557">
        <f t="shared" si="119"/>
        <v>0</v>
      </c>
      <c r="L107" s="521"/>
      <c r="M107" s="557" t="str">
        <f>L107/L$29</f>
        <v>#DIV/0!</v>
      </c>
      <c r="N107" s="675">
        <f t="shared" si="120"/>
        <v>0</v>
      </c>
      <c r="O107" s="674" t="str">
        <f t="shared" si="121"/>
        <v/>
      </c>
      <c r="P107" s="506">
        <v>0.0</v>
      </c>
      <c r="Q107" s="560">
        <f t="shared" si="122"/>
        <v>0</v>
      </c>
      <c r="R107" s="521"/>
      <c r="S107" s="557" t="str">
        <f>R107/R$29</f>
        <v>#DIV/0!</v>
      </c>
      <c r="T107" s="675">
        <f t="shared" si="123"/>
        <v>0</v>
      </c>
      <c r="U107" s="674" t="str">
        <f t="shared" si="124"/>
        <v/>
      </c>
      <c r="V107" s="439"/>
      <c r="W107" s="439"/>
      <c r="X107" s="439"/>
      <c r="Y107" s="439"/>
      <c r="Z107" s="439"/>
      <c r="AA107" s="439"/>
      <c r="AB107" s="439"/>
      <c r="AC107" s="439"/>
    </row>
    <row r="108" ht="15.75" customHeight="1">
      <c r="A108" s="439"/>
      <c r="B108" s="483"/>
      <c r="C108" s="610"/>
      <c r="D108" s="485"/>
      <c r="E108" s="677"/>
      <c r="F108" s="678"/>
      <c r="G108" s="564"/>
      <c r="H108" s="678"/>
      <c r="I108" s="679"/>
      <c r="J108" s="485"/>
      <c r="K108" s="677"/>
      <c r="L108" s="678"/>
      <c r="M108" s="564"/>
      <c r="N108" s="678"/>
      <c r="O108" s="679"/>
      <c r="P108" s="501"/>
      <c r="Q108" s="680"/>
      <c r="R108" s="678"/>
      <c r="S108" s="564"/>
      <c r="T108" s="678"/>
      <c r="U108" s="679"/>
      <c r="V108" s="439"/>
      <c r="W108" s="439"/>
      <c r="X108" s="439"/>
      <c r="Y108" s="439"/>
      <c r="Z108" s="439"/>
      <c r="AA108" s="439"/>
      <c r="AB108" s="439"/>
      <c r="AC108" s="439"/>
    </row>
    <row r="109" ht="15.75" customHeight="1">
      <c r="A109" s="439"/>
      <c r="B109" s="490"/>
      <c r="C109" s="511" t="s">
        <v>38</v>
      </c>
      <c r="D109" s="459">
        <f>SUM(D110)</f>
        <v>24094</v>
      </c>
      <c r="E109" s="547">
        <f t="shared" ref="E109:E110" si="125">D109/D$29</f>
        <v>0.001389010494</v>
      </c>
      <c r="F109" s="548">
        <f>SUM(F110)</f>
        <v>0</v>
      </c>
      <c r="G109" s="547" t="str">
        <f>F109/F$29</f>
        <v>#DIV/0!</v>
      </c>
      <c r="H109" s="812">
        <f>SUM(H110)</f>
        <v>24094</v>
      </c>
      <c r="I109" s="691"/>
      <c r="J109" s="459">
        <f>SUM(J110)</f>
        <v>19862</v>
      </c>
      <c r="K109" s="547">
        <f t="shared" ref="K109:K110" si="126">J109/J$29</f>
        <v>0.001086520143</v>
      </c>
      <c r="L109" s="548">
        <f>SUM(L110)</f>
        <v>0</v>
      </c>
      <c r="M109" s="547" t="str">
        <f>L109/L$29</f>
        <v>#DIV/0!</v>
      </c>
      <c r="N109" s="812">
        <f>SUM(N110)</f>
        <v>19862</v>
      </c>
      <c r="O109" s="691"/>
      <c r="P109" s="491">
        <f>SUM(P110)</f>
        <v>20647</v>
      </c>
      <c r="Q109" s="551">
        <f t="shared" ref="Q109:Q110" si="127">P109/P$29</f>
        <v>0.001229785406</v>
      </c>
      <c r="R109" s="548">
        <f>SUM(R110)</f>
        <v>0</v>
      </c>
      <c r="S109" s="547" t="str">
        <f>R109/R$29</f>
        <v>#DIV/0!</v>
      </c>
      <c r="T109" s="812">
        <f>SUM(T110)</f>
        <v>20647</v>
      </c>
      <c r="U109" s="691"/>
      <c r="V109" s="692"/>
      <c r="W109" s="692"/>
      <c r="X109" s="692"/>
      <c r="Y109" s="692"/>
      <c r="Z109" s="692"/>
      <c r="AA109" s="692"/>
      <c r="AB109" s="692"/>
      <c r="AC109" s="692"/>
    </row>
    <row r="110" ht="15.75" customHeight="1">
      <c r="A110" s="439"/>
      <c r="B110" s="497"/>
      <c r="C110" s="497" t="s">
        <v>277</v>
      </c>
      <c r="D110" s="513">
        <v>24094.0</v>
      </c>
      <c r="E110" s="552">
        <f t="shared" si="125"/>
        <v>0.001389010494</v>
      </c>
      <c r="F110" s="541"/>
      <c r="G110" s="552">
        <v>0.015</v>
      </c>
      <c r="H110" s="541">
        <f>D110-F110</f>
        <v>24094</v>
      </c>
      <c r="I110" s="571" t="str">
        <f>IFERROR(H110/F110,"")</f>
        <v/>
      </c>
      <c r="J110" s="513">
        <v>19862.0</v>
      </c>
      <c r="K110" s="552">
        <f t="shared" si="126"/>
        <v>0.001086520143</v>
      </c>
      <c r="L110" s="541"/>
      <c r="M110" s="552">
        <v>0.015</v>
      </c>
      <c r="N110" s="541">
        <f>J110-L110</f>
        <v>19862</v>
      </c>
      <c r="O110" s="571" t="str">
        <f>IFERROR(N110/L110,"")</f>
        <v/>
      </c>
      <c r="P110" s="505">
        <v>20647.0</v>
      </c>
      <c r="Q110" s="554">
        <f t="shared" si="127"/>
        <v>0.001229785406</v>
      </c>
      <c r="R110" s="541"/>
      <c r="S110" s="552">
        <v>0.015</v>
      </c>
      <c r="T110" s="541">
        <f>P110-R110</f>
        <v>20647</v>
      </c>
      <c r="U110" s="571" t="str">
        <f>IFERROR(T110/R110,"")</f>
        <v/>
      </c>
      <c r="V110" s="439"/>
      <c r="W110" s="439"/>
      <c r="X110" s="439"/>
      <c r="Y110" s="439"/>
      <c r="Z110" s="439"/>
      <c r="AA110" s="439"/>
      <c r="AB110" s="439"/>
      <c r="AC110" s="439"/>
    </row>
    <row r="111" ht="15.75" customHeight="1">
      <c r="A111" s="439"/>
      <c r="B111" s="483"/>
      <c r="C111" s="483"/>
      <c r="D111" s="485"/>
      <c r="E111" s="677"/>
      <c r="F111" s="678"/>
      <c r="G111" s="564"/>
      <c r="H111" s="678"/>
      <c r="I111" s="679"/>
      <c r="J111" s="485"/>
      <c r="K111" s="677"/>
      <c r="L111" s="678"/>
      <c r="M111" s="564"/>
      <c r="N111" s="678"/>
      <c r="O111" s="679"/>
      <c r="P111" s="501"/>
      <c r="Q111" s="680"/>
      <c r="R111" s="678"/>
      <c r="S111" s="564"/>
      <c r="T111" s="678"/>
      <c r="U111" s="679"/>
      <c r="V111" s="439"/>
      <c r="W111" s="439"/>
      <c r="X111" s="439"/>
      <c r="Y111" s="439"/>
      <c r="Z111" s="439"/>
      <c r="AA111" s="439"/>
      <c r="AB111" s="439"/>
      <c r="AC111" s="439"/>
    </row>
    <row r="112" ht="15.75" customHeight="1">
      <c r="A112" s="439"/>
      <c r="B112" s="493"/>
      <c r="C112" s="511" t="s">
        <v>235</v>
      </c>
      <c r="D112" s="459">
        <f>SUM(D113:D114)</f>
        <v>77845.33333</v>
      </c>
      <c r="E112" s="547">
        <f t="shared" ref="E112:E113" si="128">D112/D$29</f>
        <v>0.00448775566</v>
      </c>
      <c r="F112" s="548">
        <f>SUM(F113:F114)</f>
        <v>77845.33333</v>
      </c>
      <c r="G112" s="547" t="str">
        <f t="shared" ref="G112:G113" si="129">F112/F$29</f>
        <v>#DIV/0!</v>
      </c>
      <c r="H112" s="812">
        <f>SUM(H113:H114)</f>
        <v>77845.33333</v>
      </c>
      <c r="I112" s="691"/>
      <c r="J112" s="459">
        <f>SUM(J113:J114)</f>
        <v>77845.33333</v>
      </c>
      <c r="K112" s="547">
        <f t="shared" ref="K112:K114" si="130">J112/J$29</f>
        <v>0.004258409157</v>
      </c>
      <c r="L112" s="548">
        <f>SUM(L113:L114)</f>
        <v>0</v>
      </c>
      <c r="M112" s="547" t="str">
        <f t="shared" ref="M112:M114" si="131">L112/L$29</f>
        <v>#DIV/0!</v>
      </c>
      <c r="N112" s="812">
        <f>SUM(N113:N114)</f>
        <v>77845.33333</v>
      </c>
      <c r="O112" s="691"/>
      <c r="P112" s="491">
        <f>SUM(P113:P114)</f>
        <v>66430</v>
      </c>
      <c r="Q112" s="551">
        <f t="shared" ref="Q112:Q114" si="132">P112/P$29</f>
        <v>0.003956731948</v>
      </c>
      <c r="R112" s="548">
        <f>SUM(R113:R114)</f>
        <v>0</v>
      </c>
      <c r="S112" s="547" t="str">
        <f t="shared" ref="S112:S114" si="133">R112/R$29</f>
        <v>#DIV/0!</v>
      </c>
      <c r="T112" s="812">
        <f>SUM(T113:T114)</f>
        <v>66430</v>
      </c>
      <c r="U112" s="691"/>
      <c r="V112" s="692"/>
      <c r="W112" s="692"/>
      <c r="X112" s="692"/>
      <c r="Y112" s="692"/>
      <c r="Z112" s="692"/>
      <c r="AA112" s="692"/>
      <c r="AB112" s="692"/>
      <c r="AC112" s="692"/>
    </row>
    <row r="113" ht="15.75" customHeight="1">
      <c r="A113" s="439"/>
      <c r="B113" s="497"/>
      <c r="C113" s="825" t="s">
        <v>325</v>
      </c>
      <c r="D113" s="463">
        <v>0.0</v>
      </c>
      <c r="E113" s="552">
        <f t="shared" si="128"/>
        <v>0</v>
      </c>
      <c r="F113" s="541"/>
      <c r="G113" s="552" t="str">
        <f t="shared" si="129"/>
        <v>#DIV/0!</v>
      </c>
      <c r="H113" s="541">
        <f>D113-F113</f>
        <v>0</v>
      </c>
      <c r="I113" s="571" t="str">
        <f>IFERROR(H113/F113,"")</f>
        <v/>
      </c>
      <c r="J113" s="463">
        <v>0.0</v>
      </c>
      <c r="K113" s="552">
        <f t="shared" si="130"/>
        <v>0</v>
      </c>
      <c r="L113" s="541"/>
      <c r="M113" s="552" t="str">
        <f t="shared" si="131"/>
        <v>#DIV/0!</v>
      </c>
      <c r="N113" s="541">
        <f t="shared" ref="N113:N114" si="134">J113-L113</f>
        <v>0</v>
      </c>
      <c r="O113" s="571" t="str">
        <f t="shared" ref="O113:O114" si="135">IFERROR(N113/L113,"")</f>
        <v/>
      </c>
      <c r="P113" s="505">
        <v>1167.0</v>
      </c>
      <c r="Q113" s="554">
        <f t="shared" si="132"/>
        <v>0.00006950935094</v>
      </c>
      <c r="R113" s="541"/>
      <c r="S113" s="552" t="str">
        <f t="shared" si="133"/>
        <v>#DIV/0!</v>
      </c>
      <c r="T113" s="541">
        <f t="shared" ref="T113:T114" si="136">P113-R113</f>
        <v>1167</v>
      </c>
      <c r="U113" s="571" t="str">
        <f t="shared" ref="U113:U114" si="137">IFERROR(T113/R113,"")</f>
        <v/>
      </c>
      <c r="V113" s="439"/>
      <c r="W113" s="439"/>
      <c r="X113" s="439"/>
      <c r="Y113" s="439"/>
      <c r="Z113" s="439"/>
      <c r="AA113" s="439"/>
      <c r="AB113" s="439"/>
      <c r="AC113" s="439"/>
    </row>
    <row r="114" ht="15.75" customHeight="1">
      <c r="A114" s="439"/>
      <c r="B114" s="465"/>
      <c r="C114" s="465" t="s">
        <v>304</v>
      </c>
      <c r="D114" s="467">
        <v>77845.33333333334</v>
      </c>
      <c r="E114" s="467">
        <v>77845.33333333334</v>
      </c>
      <c r="F114" s="467">
        <v>77845.33333333334</v>
      </c>
      <c r="G114" s="467">
        <v>77845.33333333334</v>
      </c>
      <c r="H114" s="467">
        <v>77845.33333333334</v>
      </c>
      <c r="I114" s="467">
        <v>77845.33333333334</v>
      </c>
      <c r="J114" s="467">
        <v>77845.33333333334</v>
      </c>
      <c r="K114" s="557">
        <f t="shared" si="130"/>
        <v>0.004258409157</v>
      </c>
      <c r="L114" s="521"/>
      <c r="M114" s="557" t="str">
        <f t="shared" si="131"/>
        <v>#DIV/0!</v>
      </c>
      <c r="N114" s="521">
        <f t="shared" si="134"/>
        <v>77845.33333</v>
      </c>
      <c r="O114" s="573" t="str">
        <f t="shared" si="135"/>
        <v/>
      </c>
      <c r="P114" s="506">
        <v>65263.0</v>
      </c>
      <c r="Q114" s="560">
        <f t="shared" si="132"/>
        <v>0.003887222597</v>
      </c>
      <c r="R114" s="521"/>
      <c r="S114" s="557" t="str">
        <f t="shared" si="133"/>
        <v>#DIV/0!</v>
      </c>
      <c r="T114" s="521">
        <f t="shared" si="136"/>
        <v>65263</v>
      </c>
      <c r="U114" s="573" t="str">
        <f t="shared" si="137"/>
        <v/>
      </c>
      <c r="V114" s="439"/>
      <c r="W114" s="439"/>
      <c r="X114" s="439"/>
      <c r="Y114" s="439"/>
      <c r="Z114" s="439"/>
      <c r="AA114" s="439"/>
      <c r="AB114" s="439"/>
      <c r="AC114" s="439"/>
    </row>
    <row r="115" ht="15.75" customHeight="1">
      <c r="A115" s="439"/>
      <c r="B115" s="483"/>
      <c r="C115" s="483"/>
      <c r="D115" s="485"/>
      <c r="E115" s="677"/>
      <c r="F115" s="678"/>
      <c r="G115" s="564"/>
      <c r="H115" s="678"/>
      <c r="I115" s="679"/>
      <c r="J115" s="485"/>
      <c r="K115" s="677"/>
      <c r="L115" s="678"/>
      <c r="M115" s="564"/>
      <c r="N115" s="678"/>
      <c r="O115" s="679"/>
      <c r="P115" s="501"/>
      <c r="Q115" s="680"/>
      <c r="R115" s="678"/>
      <c r="S115" s="564"/>
      <c r="T115" s="678"/>
      <c r="U115" s="679"/>
      <c r="V115" s="439"/>
      <c r="W115" s="439"/>
      <c r="X115" s="439"/>
      <c r="Y115" s="439"/>
      <c r="Z115" s="439"/>
      <c r="AA115" s="439"/>
      <c r="AB115" s="439"/>
      <c r="AC115" s="439"/>
    </row>
    <row r="116" ht="15.75" customHeight="1">
      <c r="A116" s="439"/>
      <c r="B116" s="490"/>
      <c r="C116" s="511" t="s">
        <v>40</v>
      </c>
      <c r="D116" s="459">
        <f>SUM(D117:D130)</f>
        <v>697156.76</v>
      </c>
      <c r="E116" s="547">
        <f t="shared" ref="E116:E118" si="138">D116/D$29</f>
        <v>0.04019083819</v>
      </c>
      <c r="F116" s="459">
        <f>SUM(F117:F130)</f>
        <v>133043</v>
      </c>
      <c r="G116" s="547" t="str">
        <f>F116/F$29</f>
        <v>#DIV/0!</v>
      </c>
      <c r="H116" s="812">
        <f>SUM(H117:H128)</f>
        <v>428957.76</v>
      </c>
      <c r="I116" s="691"/>
      <c r="J116" s="459">
        <f>SUM(J117:J130)</f>
        <v>373758</v>
      </c>
      <c r="K116" s="547">
        <f t="shared" ref="K116:K130" si="139">J116/J$29</f>
        <v>0.02044585618</v>
      </c>
      <c r="L116" s="459">
        <f>SUM(L117:L130)</f>
        <v>0</v>
      </c>
      <c r="M116" s="547" t="str">
        <f>L116/L$29</f>
        <v>#DIV/0!</v>
      </c>
      <c r="N116" s="812">
        <f>SUM(N117:N128)</f>
        <v>338358</v>
      </c>
      <c r="O116" s="691"/>
      <c r="P116" s="491">
        <f>SUM(P117:P130)</f>
        <v>446195</v>
      </c>
      <c r="Q116" s="551">
        <f t="shared" ref="Q116:Q130" si="140">P116/P$29</f>
        <v>0.02657645659</v>
      </c>
      <c r="R116" s="459">
        <f>SUM(R117:R130)</f>
        <v>0</v>
      </c>
      <c r="S116" s="547" t="str">
        <f>R116/R$29</f>
        <v>#DIV/0!</v>
      </c>
      <c r="T116" s="812">
        <f>SUM(T117:T128)</f>
        <v>399945</v>
      </c>
      <c r="U116" s="691"/>
      <c r="V116" s="692"/>
      <c r="W116" s="692"/>
      <c r="X116" s="692"/>
      <c r="Y116" s="692"/>
      <c r="Z116" s="692"/>
      <c r="AA116" s="692"/>
      <c r="AB116" s="692"/>
      <c r="AC116" s="692"/>
    </row>
    <row r="117" ht="15.75" customHeight="1">
      <c r="A117" s="439"/>
      <c r="B117" s="497"/>
      <c r="C117" s="497" t="s">
        <v>238</v>
      </c>
      <c r="D117" s="463">
        <v>0.0</v>
      </c>
      <c r="E117" s="552">
        <f t="shared" si="138"/>
        <v>0</v>
      </c>
      <c r="F117" s="541"/>
      <c r="G117" s="552"/>
      <c r="H117" s="684"/>
      <c r="I117" s="672"/>
      <c r="J117" s="463">
        <v>0.0</v>
      </c>
      <c r="K117" s="552">
        <f t="shared" si="139"/>
        <v>0</v>
      </c>
      <c r="L117" s="541"/>
      <c r="M117" s="552"/>
      <c r="N117" s="684"/>
      <c r="O117" s="672"/>
      <c r="P117" s="505">
        <v>0.0</v>
      </c>
      <c r="Q117" s="554">
        <f t="shared" si="140"/>
        <v>0</v>
      </c>
      <c r="R117" s="541"/>
      <c r="S117" s="552"/>
      <c r="T117" s="684"/>
      <c r="U117" s="672"/>
      <c r="V117" s="439"/>
      <c r="W117" s="439"/>
      <c r="X117" s="439"/>
      <c r="Y117" s="439"/>
      <c r="Z117" s="439"/>
      <c r="AA117" s="439"/>
      <c r="AB117" s="439"/>
      <c r="AC117" s="439"/>
    </row>
    <row r="118" ht="15.75" customHeight="1">
      <c r="A118" s="439"/>
      <c r="B118" s="465"/>
      <c r="C118" s="465" t="s">
        <v>239</v>
      </c>
      <c r="D118" s="467">
        <v>0.0</v>
      </c>
      <c r="E118" s="557">
        <f t="shared" si="138"/>
        <v>0</v>
      </c>
      <c r="F118" s="521"/>
      <c r="G118" s="557" t="str">
        <f>F118/F$29</f>
        <v>#DIV/0!</v>
      </c>
      <c r="H118" s="521">
        <f>D118-F118</f>
        <v>0</v>
      </c>
      <c r="I118" s="573" t="str">
        <f>IFERROR(H118/F118,"")</f>
        <v/>
      </c>
      <c r="J118" s="467">
        <v>0.0</v>
      </c>
      <c r="K118" s="557">
        <f t="shared" si="139"/>
        <v>0</v>
      </c>
      <c r="L118" s="521"/>
      <c r="M118" s="557" t="str">
        <f t="shared" ref="M118:M122" si="141">L118/L$29</f>
        <v>#DIV/0!</v>
      </c>
      <c r="N118" s="521">
        <f t="shared" ref="N118:N130" si="142">J118-L118</f>
        <v>0</v>
      </c>
      <c r="O118" s="573" t="str">
        <f t="shared" ref="O118:O130" si="143">IFERROR(N118/L118,"")</f>
        <v/>
      </c>
      <c r="P118" s="506">
        <v>1966.0</v>
      </c>
      <c r="Q118" s="560">
        <f t="shared" si="140"/>
        <v>0.0001170997292</v>
      </c>
      <c r="R118" s="521"/>
      <c r="S118" s="557" t="str">
        <f t="shared" ref="S118:S122" si="144">R118/R$29</f>
        <v>#DIV/0!</v>
      </c>
      <c r="T118" s="521">
        <f t="shared" ref="T118:T130" si="145">P118-R118</f>
        <v>1966</v>
      </c>
      <c r="U118" s="573" t="str">
        <f t="shared" ref="U118:U130" si="146">IFERROR(T118/R118,"")</f>
        <v/>
      </c>
      <c r="V118" s="439"/>
      <c r="W118" s="439"/>
      <c r="X118" s="439"/>
      <c r="Y118" s="439"/>
      <c r="Z118" s="439"/>
      <c r="AA118" s="439"/>
      <c r="AB118" s="439"/>
      <c r="AC118" s="439"/>
    </row>
    <row r="119" ht="15.75" customHeight="1">
      <c r="A119" s="439"/>
      <c r="B119" s="465"/>
      <c r="C119" s="465" t="s">
        <v>240</v>
      </c>
      <c r="D119" s="467">
        <v>95043.0</v>
      </c>
      <c r="E119" s="467">
        <v>95043.0</v>
      </c>
      <c r="F119" s="467">
        <v>95043.0</v>
      </c>
      <c r="G119" s="467">
        <v>95043.0</v>
      </c>
      <c r="H119" s="467">
        <v>95043.0</v>
      </c>
      <c r="I119" s="467">
        <v>95043.0</v>
      </c>
      <c r="J119" s="467">
        <v>95043.0</v>
      </c>
      <c r="K119" s="557">
        <f t="shared" si="139"/>
        <v>0.005199181045</v>
      </c>
      <c r="L119" s="521"/>
      <c r="M119" s="557" t="str">
        <f t="shared" si="141"/>
        <v>#DIV/0!</v>
      </c>
      <c r="N119" s="521">
        <f t="shared" si="142"/>
        <v>95043</v>
      </c>
      <c r="O119" s="573" t="str">
        <f t="shared" si="143"/>
        <v/>
      </c>
      <c r="P119" s="474">
        <v>95043.0</v>
      </c>
      <c r="Q119" s="560">
        <f t="shared" si="140"/>
        <v>0.005660991638</v>
      </c>
      <c r="R119" s="521"/>
      <c r="S119" s="557" t="str">
        <f t="shared" si="144"/>
        <v>#DIV/0!</v>
      </c>
      <c r="T119" s="521">
        <f t="shared" si="145"/>
        <v>95043</v>
      </c>
      <c r="U119" s="573" t="str">
        <f t="shared" si="146"/>
        <v/>
      </c>
      <c r="V119" s="439"/>
      <c r="W119" s="439"/>
      <c r="X119" s="439"/>
      <c r="Y119" s="439"/>
      <c r="Z119" s="439"/>
      <c r="AA119" s="439"/>
      <c r="AB119" s="439"/>
      <c r="AC119" s="439"/>
    </row>
    <row r="120" ht="15.75" customHeight="1">
      <c r="A120" s="439"/>
      <c r="B120" s="465"/>
      <c r="C120" s="465" t="s">
        <v>326</v>
      </c>
      <c r="D120" s="467">
        <v>30000.0</v>
      </c>
      <c r="E120" s="467">
        <v>30000.0</v>
      </c>
      <c r="F120" s="467">
        <v>30000.0</v>
      </c>
      <c r="G120" s="467">
        <v>30000.0</v>
      </c>
      <c r="H120" s="467">
        <v>30000.0</v>
      </c>
      <c r="I120" s="467">
        <v>30000.0</v>
      </c>
      <c r="J120" s="467">
        <v>30000.0</v>
      </c>
      <c r="K120" s="557">
        <f t="shared" si="139"/>
        <v>0.001641103831</v>
      </c>
      <c r="L120" s="521"/>
      <c r="M120" s="557" t="str">
        <f t="shared" si="141"/>
        <v>#DIV/0!</v>
      </c>
      <c r="N120" s="521">
        <f t="shared" si="142"/>
        <v>30000</v>
      </c>
      <c r="O120" s="573" t="str">
        <f t="shared" si="143"/>
        <v/>
      </c>
      <c r="P120" s="474">
        <v>30000.0</v>
      </c>
      <c r="Q120" s="560">
        <f t="shared" si="140"/>
        <v>0.001786872775</v>
      </c>
      <c r="R120" s="521"/>
      <c r="S120" s="557" t="str">
        <f t="shared" si="144"/>
        <v>#DIV/0!</v>
      </c>
      <c r="T120" s="521">
        <f t="shared" si="145"/>
        <v>30000</v>
      </c>
      <c r="U120" s="573" t="str">
        <f t="shared" si="146"/>
        <v/>
      </c>
      <c r="V120" s="439"/>
      <c r="W120" s="439"/>
      <c r="X120" s="439"/>
      <c r="Y120" s="439"/>
      <c r="Z120" s="439"/>
      <c r="AA120" s="439"/>
      <c r="AB120" s="439"/>
      <c r="AC120" s="439"/>
    </row>
    <row r="121" ht="15.75" customHeight="1">
      <c r="A121" s="439"/>
      <c r="B121" s="465"/>
      <c r="C121" s="465" t="s">
        <v>292</v>
      </c>
      <c r="D121" s="467">
        <v>0.0</v>
      </c>
      <c r="E121" s="557">
        <f t="shared" ref="E121:E126" si="147">D121/D$29</f>
        <v>0</v>
      </c>
      <c r="F121" s="521"/>
      <c r="G121" s="557" t="str">
        <f t="shared" ref="G121:G122" si="148">F121/F$29</f>
        <v>#DIV/0!</v>
      </c>
      <c r="H121" s="521">
        <f t="shared" ref="H121:H122" si="149">D121-F121</f>
        <v>0</v>
      </c>
      <c r="I121" s="573" t="str">
        <f t="shared" ref="I121:I122" si="150">IFERROR(H121/F121,"")</f>
        <v/>
      </c>
      <c r="J121" s="467">
        <v>0.0</v>
      </c>
      <c r="K121" s="557">
        <f t="shared" si="139"/>
        <v>0</v>
      </c>
      <c r="L121" s="521"/>
      <c r="M121" s="557" t="str">
        <f t="shared" si="141"/>
        <v>#DIV/0!</v>
      </c>
      <c r="N121" s="521">
        <f t="shared" si="142"/>
        <v>0</v>
      </c>
      <c r="O121" s="573" t="str">
        <f t="shared" si="143"/>
        <v/>
      </c>
      <c r="P121" s="506">
        <v>0.0</v>
      </c>
      <c r="Q121" s="560">
        <f t="shared" si="140"/>
        <v>0</v>
      </c>
      <c r="R121" s="521"/>
      <c r="S121" s="557" t="str">
        <f t="shared" si="144"/>
        <v>#DIV/0!</v>
      </c>
      <c r="T121" s="521">
        <f t="shared" si="145"/>
        <v>0</v>
      </c>
      <c r="U121" s="573" t="str">
        <f t="shared" si="146"/>
        <v/>
      </c>
      <c r="V121" s="439"/>
      <c r="W121" s="439"/>
      <c r="X121" s="439"/>
      <c r="Y121" s="439"/>
      <c r="Z121" s="439"/>
      <c r="AA121" s="439"/>
      <c r="AB121" s="439"/>
      <c r="AC121" s="439"/>
    </row>
    <row r="122" ht="15.75" customHeight="1">
      <c r="A122" s="439"/>
      <c r="B122" s="465"/>
      <c r="C122" s="465" t="s">
        <v>244</v>
      </c>
      <c r="D122" s="467">
        <v>66195.0</v>
      </c>
      <c r="E122" s="557">
        <f t="shared" si="147"/>
        <v>0.003816118105</v>
      </c>
      <c r="F122" s="521"/>
      <c r="G122" s="557" t="str">
        <f t="shared" si="148"/>
        <v>#DIV/0!</v>
      </c>
      <c r="H122" s="521">
        <f t="shared" si="149"/>
        <v>66195</v>
      </c>
      <c r="I122" s="573" t="str">
        <f t="shared" si="150"/>
        <v/>
      </c>
      <c r="J122" s="514">
        <v>50483.0</v>
      </c>
      <c r="K122" s="557">
        <f t="shared" si="139"/>
        <v>0.002761594823</v>
      </c>
      <c r="L122" s="521"/>
      <c r="M122" s="557" t="str">
        <f t="shared" si="141"/>
        <v>#DIV/0!</v>
      </c>
      <c r="N122" s="521">
        <f t="shared" si="142"/>
        <v>50483</v>
      </c>
      <c r="O122" s="573" t="str">
        <f t="shared" si="143"/>
        <v/>
      </c>
      <c r="P122" s="506">
        <v>90316.0</v>
      </c>
      <c r="Q122" s="560">
        <f t="shared" si="140"/>
        <v>0.005379440051</v>
      </c>
      <c r="R122" s="521"/>
      <c r="S122" s="557" t="str">
        <f t="shared" si="144"/>
        <v>#DIV/0!</v>
      </c>
      <c r="T122" s="521">
        <f t="shared" si="145"/>
        <v>90316</v>
      </c>
      <c r="U122" s="573" t="str">
        <f t="shared" si="146"/>
        <v/>
      </c>
      <c r="V122" s="439"/>
      <c r="W122" s="439"/>
      <c r="X122" s="439"/>
      <c r="Y122" s="439"/>
      <c r="Z122" s="439"/>
      <c r="AA122" s="439"/>
      <c r="AB122" s="439"/>
      <c r="AC122" s="439"/>
    </row>
    <row r="123" ht="15.75" customHeight="1">
      <c r="A123" s="439"/>
      <c r="B123" s="465"/>
      <c r="C123" s="465" t="s">
        <v>243</v>
      </c>
      <c r="D123" s="514">
        <v>91251.0</v>
      </c>
      <c r="E123" s="557">
        <f t="shared" si="147"/>
        <v>0.005260587555</v>
      </c>
      <c r="F123" s="521"/>
      <c r="G123" s="557"/>
      <c r="H123" s="521"/>
      <c r="I123" s="573"/>
      <c r="J123" s="514">
        <v>93739.0</v>
      </c>
      <c r="K123" s="557">
        <f t="shared" si="139"/>
        <v>0.005127847732</v>
      </c>
      <c r="L123" s="521"/>
      <c r="M123" s="557"/>
      <c r="N123" s="521">
        <f t="shared" si="142"/>
        <v>93739</v>
      </c>
      <c r="O123" s="573" t="str">
        <f t="shared" si="143"/>
        <v/>
      </c>
      <c r="P123" s="506">
        <v>93739.0</v>
      </c>
      <c r="Q123" s="560">
        <f t="shared" si="140"/>
        <v>0.005583322235</v>
      </c>
      <c r="R123" s="521"/>
      <c r="S123" s="557"/>
      <c r="T123" s="521">
        <f t="shared" si="145"/>
        <v>93739</v>
      </c>
      <c r="U123" s="573" t="str">
        <f t="shared" si="146"/>
        <v/>
      </c>
      <c r="V123" s="439"/>
      <c r="W123" s="439"/>
      <c r="X123" s="439"/>
      <c r="Y123" s="439"/>
      <c r="Z123" s="439"/>
      <c r="AA123" s="439"/>
      <c r="AB123" s="439"/>
      <c r="AC123" s="439"/>
    </row>
    <row r="124" ht="15.75" customHeight="1">
      <c r="A124" s="439"/>
      <c r="B124" s="465"/>
      <c r="C124" s="465" t="s">
        <v>246</v>
      </c>
      <c r="D124" s="467">
        <v>0.0</v>
      </c>
      <c r="E124" s="557">
        <f t="shared" si="147"/>
        <v>0</v>
      </c>
      <c r="F124" s="521"/>
      <c r="G124" s="557" t="str">
        <f t="shared" ref="G124:G126" si="151">F124/F$29</f>
        <v>#DIV/0!</v>
      </c>
      <c r="H124" s="521">
        <f t="shared" ref="H124:H126" si="152">D124-F124</f>
        <v>0</v>
      </c>
      <c r="I124" s="573" t="str">
        <f t="shared" ref="I124:I126" si="153">IFERROR(H124/F124,"")</f>
        <v/>
      </c>
      <c r="J124" s="467">
        <v>3507.0</v>
      </c>
      <c r="K124" s="557">
        <f t="shared" si="139"/>
        <v>0.0001918450378</v>
      </c>
      <c r="L124" s="521"/>
      <c r="M124" s="557" t="str">
        <f t="shared" ref="M124:M129" si="154">L124/L$29</f>
        <v>#DIV/0!</v>
      </c>
      <c r="N124" s="521">
        <f t="shared" si="142"/>
        <v>3507</v>
      </c>
      <c r="O124" s="573" t="str">
        <f t="shared" si="143"/>
        <v/>
      </c>
      <c r="P124" s="506">
        <v>40677.0</v>
      </c>
      <c r="Q124" s="560">
        <f t="shared" si="140"/>
        <v>0.002422820795</v>
      </c>
      <c r="R124" s="521"/>
      <c r="S124" s="557" t="str">
        <f t="shared" ref="S124:S129" si="155">R124/R$29</f>
        <v>#DIV/0!</v>
      </c>
      <c r="T124" s="521">
        <f t="shared" si="145"/>
        <v>40677</v>
      </c>
      <c r="U124" s="573" t="str">
        <f t="shared" si="146"/>
        <v/>
      </c>
      <c r="V124" s="439"/>
      <c r="W124" s="439"/>
      <c r="X124" s="439"/>
      <c r="Y124" s="439"/>
      <c r="Z124" s="439"/>
      <c r="AA124" s="439"/>
      <c r="AB124" s="439"/>
      <c r="AC124" s="439"/>
    </row>
    <row r="125" ht="15.75" customHeight="1">
      <c r="A125" s="439"/>
      <c r="B125" s="465"/>
      <c r="C125" s="465" t="s">
        <v>247</v>
      </c>
      <c r="D125" s="467">
        <v>25061.0</v>
      </c>
      <c r="E125" s="557">
        <f t="shared" si="147"/>
        <v>0.001444757698</v>
      </c>
      <c r="F125" s="521"/>
      <c r="G125" s="557" t="str">
        <f t="shared" si="151"/>
        <v>#DIV/0!</v>
      </c>
      <c r="H125" s="521">
        <f t="shared" si="152"/>
        <v>25061</v>
      </c>
      <c r="I125" s="573" t="str">
        <f t="shared" si="153"/>
        <v/>
      </c>
      <c r="J125" s="467">
        <v>24063.0</v>
      </c>
      <c r="K125" s="557">
        <f t="shared" si="139"/>
        <v>0.001316329382</v>
      </c>
      <c r="L125" s="521"/>
      <c r="M125" s="557" t="str">
        <f t="shared" si="154"/>
        <v>#DIV/0!</v>
      </c>
      <c r="N125" s="521">
        <f t="shared" si="142"/>
        <v>24063</v>
      </c>
      <c r="O125" s="573" t="str">
        <f t="shared" si="143"/>
        <v/>
      </c>
      <c r="P125" s="506">
        <v>29187.0</v>
      </c>
      <c r="Q125" s="560">
        <f t="shared" si="140"/>
        <v>0.001738448523</v>
      </c>
      <c r="R125" s="521"/>
      <c r="S125" s="557" t="str">
        <f t="shared" si="155"/>
        <v>#DIV/0!</v>
      </c>
      <c r="T125" s="521">
        <f t="shared" si="145"/>
        <v>29187</v>
      </c>
      <c r="U125" s="573" t="str">
        <f t="shared" si="146"/>
        <v/>
      </c>
      <c r="V125" s="439"/>
      <c r="W125" s="439"/>
      <c r="X125" s="439"/>
      <c r="Y125" s="439"/>
      <c r="Z125" s="439"/>
      <c r="AA125" s="439"/>
      <c r="AB125" s="439"/>
      <c r="AC125" s="439"/>
    </row>
    <row r="126" ht="15.75" customHeight="1">
      <c r="A126" s="439"/>
      <c r="B126" s="465"/>
      <c r="C126" s="465" t="s">
        <v>248</v>
      </c>
      <c r="D126" s="467">
        <v>204658.76</v>
      </c>
      <c r="E126" s="557">
        <f t="shared" si="147"/>
        <v>0.01179850441</v>
      </c>
      <c r="F126" s="521"/>
      <c r="G126" s="557" t="str">
        <f t="shared" si="151"/>
        <v>#DIV/0!</v>
      </c>
      <c r="H126" s="521">
        <f t="shared" si="152"/>
        <v>204658.76</v>
      </c>
      <c r="I126" s="573" t="str">
        <f t="shared" si="153"/>
        <v/>
      </c>
      <c r="J126" s="467">
        <v>33523.0</v>
      </c>
      <c r="K126" s="557">
        <f t="shared" si="139"/>
        <v>0.001833824124</v>
      </c>
      <c r="L126" s="521"/>
      <c r="M126" s="557" t="str">
        <f t="shared" si="154"/>
        <v>#DIV/0!</v>
      </c>
      <c r="N126" s="521">
        <f t="shared" si="142"/>
        <v>33523</v>
      </c>
      <c r="O126" s="573" t="str">
        <f t="shared" si="143"/>
        <v/>
      </c>
      <c r="P126" s="506">
        <v>11017.0</v>
      </c>
      <c r="Q126" s="560">
        <f t="shared" si="140"/>
        <v>0.0006561992454</v>
      </c>
      <c r="R126" s="521"/>
      <c r="S126" s="557" t="str">
        <f t="shared" si="155"/>
        <v>#DIV/0!</v>
      </c>
      <c r="T126" s="521">
        <f t="shared" si="145"/>
        <v>11017</v>
      </c>
      <c r="U126" s="573" t="str">
        <f t="shared" si="146"/>
        <v/>
      </c>
      <c r="V126" s="439"/>
      <c r="W126" s="439"/>
      <c r="X126" s="439"/>
      <c r="Y126" s="439"/>
      <c r="Z126" s="439"/>
      <c r="AA126" s="439"/>
      <c r="AB126" s="439"/>
      <c r="AC126" s="439"/>
    </row>
    <row r="127" ht="15.75" customHeight="1">
      <c r="A127" s="439"/>
      <c r="B127" s="465"/>
      <c r="C127" s="465" t="s">
        <v>249</v>
      </c>
      <c r="D127" s="467">
        <v>8000.0</v>
      </c>
      <c r="E127" s="467">
        <v>8000.0</v>
      </c>
      <c r="F127" s="467">
        <v>8000.0</v>
      </c>
      <c r="G127" s="467">
        <v>8000.0</v>
      </c>
      <c r="H127" s="467">
        <v>8000.0</v>
      </c>
      <c r="I127" s="467">
        <v>8000.0</v>
      </c>
      <c r="J127" s="467">
        <v>8000.0</v>
      </c>
      <c r="K127" s="557">
        <f t="shared" si="139"/>
        <v>0.0004376276881</v>
      </c>
      <c r="L127" s="521"/>
      <c r="M127" s="557" t="str">
        <f t="shared" si="154"/>
        <v>#DIV/0!</v>
      </c>
      <c r="N127" s="521">
        <f t="shared" si="142"/>
        <v>8000</v>
      </c>
      <c r="O127" s="573" t="str">
        <f t="shared" si="143"/>
        <v/>
      </c>
      <c r="P127" s="506">
        <v>8000.0</v>
      </c>
      <c r="Q127" s="560">
        <f t="shared" si="140"/>
        <v>0.0004764994066</v>
      </c>
      <c r="R127" s="521"/>
      <c r="S127" s="557" t="str">
        <f t="shared" si="155"/>
        <v>#DIV/0!</v>
      </c>
      <c r="T127" s="521">
        <f t="shared" si="145"/>
        <v>8000</v>
      </c>
      <c r="U127" s="573" t="str">
        <f t="shared" si="146"/>
        <v/>
      </c>
      <c r="V127" s="439"/>
      <c r="W127" s="439"/>
      <c r="X127" s="439"/>
      <c r="Y127" s="439"/>
      <c r="Z127" s="439"/>
      <c r="AA127" s="439"/>
      <c r="AB127" s="439"/>
      <c r="AC127" s="439"/>
    </row>
    <row r="128" ht="15.75" customHeight="1">
      <c r="A128" s="439"/>
      <c r="B128" s="465"/>
      <c r="C128" s="465" t="s">
        <v>306</v>
      </c>
      <c r="D128" s="467">
        <v>0.0</v>
      </c>
      <c r="E128" s="557">
        <f t="shared" ref="E128:E129" si="156">D128/D$29</f>
        <v>0</v>
      </c>
      <c r="F128" s="521"/>
      <c r="G128" s="557" t="str">
        <f t="shared" ref="G128:G129" si="157">F128/F$29</f>
        <v>#DIV/0!</v>
      </c>
      <c r="H128" s="521">
        <f t="shared" ref="H128:H129" si="158">D128-F128</f>
        <v>0</v>
      </c>
      <c r="I128" s="573" t="str">
        <f t="shared" ref="I128:I129" si="159">IFERROR(H128/F128,"")</f>
        <v/>
      </c>
      <c r="J128" s="467">
        <v>0.0</v>
      </c>
      <c r="K128" s="557">
        <f t="shared" si="139"/>
        <v>0</v>
      </c>
      <c r="L128" s="521"/>
      <c r="M128" s="557" t="str">
        <f t="shared" si="154"/>
        <v>#DIV/0!</v>
      </c>
      <c r="N128" s="521">
        <f t="shared" si="142"/>
        <v>0</v>
      </c>
      <c r="O128" s="573" t="str">
        <f t="shared" si="143"/>
        <v/>
      </c>
      <c r="P128" s="506">
        <v>0.0</v>
      </c>
      <c r="Q128" s="560">
        <f t="shared" si="140"/>
        <v>0</v>
      </c>
      <c r="R128" s="521"/>
      <c r="S128" s="557" t="str">
        <f t="shared" si="155"/>
        <v>#DIV/0!</v>
      </c>
      <c r="T128" s="521">
        <f t="shared" si="145"/>
        <v>0</v>
      </c>
      <c r="U128" s="573" t="str">
        <f t="shared" si="146"/>
        <v/>
      </c>
      <c r="V128" s="439"/>
      <c r="W128" s="439"/>
      <c r="X128" s="439"/>
      <c r="Y128" s="439"/>
      <c r="Z128" s="439"/>
      <c r="AA128" s="439"/>
      <c r="AB128" s="439"/>
      <c r="AC128" s="439"/>
    </row>
    <row r="129" ht="15.75" customHeight="1">
      <c r="A129" s="439"/>
      <c r="B129" s="465"/>
      <c r="C129" s="465" t="s">
        <v>281</v>
      </c>
      <c r="D129" s="467">
        <v>44250.0</v>
      </c>
      <c r="E129" s="557">
        <f t="shared" si="156"/>
        <v>0.002550996694</v>
      </c>
      <c r="F129" s="521"/>
      <c r="G129" s="557" t="str">
        <f t="shared" si="157"/>
        <v>#DIV/0!</v>
      </c>
      <c r="H129" s="521">
        <f t="shared" si="158"/>
        <v>44250</v>
      </c>
      <c r="I129" s="573" t="str">
        <f t="shared" si="159"/>
        <v/>
      </c>
      <c r="J129" s="467">
        <v>35400.0</v>
      </c>
      <c r="K129" s="557">
        <f t="shared" si="139"/>
        <v>0.00193650252</v>
      </c>
      <c r="L129" s="521"/>
      <c r="M129" s="557" t="str">
        <f t="shared" si="154"/>
        <v>#DIV/0!</v>
      </c>
      <c r="N129" s="521">
        <f t="shared" si="142"/>
        <v>35400</v>
      </c>
      <c r="O129" s="573" t="str">
        <f t="shared" si="143"/>
        <v/>
      </c>
      <c r="P129" s="506">
        <v>44250.0</v>
      </c>
      <c r="Q129" s="560">
        <f t="shared" si="140"/>
        <v>0.002635637343</v>
      </c>
      <c r="R129" s="521"/>
      <c r="S129" s="557" t="str">
        <f t="shared" si="155"/>
        <v>#DIV/0!</v>
      </c>
      <c r="T129" s="521">
        <f t="shared" si="145"/>
        <v>44250</v>
      </c>
      <c r="U129" s="573" t="str">
        <f t="shared" si="146"/>
        <v/>
      </c>
      <c r="V129" s="439"/>
      <c r="W129" s="439"/>
      <c r="X129" s="439"/>
      <c r="Y129" s="439"/>
      <c r="Z129" s="439"/>
      <c r="AA129" s="439"/>
      <c r="AB129" s="439"/>
      <c r="AC129" s="439"/>
    </row>
    <row r="130" ht="15.75" customHeight="1">
      <c r="A130" s="439"/>
      <c r="B130" s="465"/>
      <c r="C130" s="465" t="s">
        <v>293</v>
      </c>
      <c r="D130" s="467">
        <v>132698.0</v>
      </c>
      <c r="E130" s="557"/>
      <c r="F130" s="675"/>
      <c r="G130" s="557"/>
      <c r="H130" s="675"/>
      <c r="I130" s="674"/>
      <c r="J130" s="467">
        <v>0.0</v>
      </c>
      <c r="K130" s="557">
        <f t="shared" si="139"/>
        <v>0</v>
      </c>
      <c r="L130" s="675"/>
      <c r="M130" s="557"/>
      <c r="N130" s="675">
        <f t="shared" si="142"/>
        <v>0</v>
      </c>
      <c r="O130" s="674" t="str">
        <f t="shared" si="143"/>
        <v/>
      </c>
      <c r="P130" s="506">
        <v>2000.0</v>
      </c>
      <c r="Q130" s="560">
        <f t="shared" si="140"/>
        <v>0.0001191248517</v>
      </c>
      <c r="R130" s="675"/>
      <c r="S130" s="557"/>
      <c r="T130" s="675">
        <f t="shared" si="145"/>
        <v>2000</v>
      </c>
      <c r="U130" s="674" t="str">
        <f t="shared" si="146"/>
        <v/>
      </c>
      <c r="V130" s="439"/>
      <c r="W130" s="439"/>
      <c r="X130" s="439"/>
      <c r="Y130" s="439"/>
      <c r="Z130" s="439"/>
      <c r="AA130" s="439"/>
      <c r="AB130" s="439"/>
      <c r="AC130" s="439"/>
    </row>
    <row r="131" ht="15.75" customHeight="1">
      <c r="A131" s="439"/>
      <c r="B131" s="465"/>
      <c r="C131" s="465"/>
      <c r="D131" s="467"/>
      <c r="E131" s="557"/>
      <c r="F131" s="675"/>
      <c r="G131" s="557"/>
      <c r="H131" s="675"/>
      <c r="I131" s="674"/>
      <c r="J131" s="467"/>
      <c r="K131" s="557"/>
      <c r="L131" s="675"/>
      <c r="M131" s="557"/>
      <c r="N131" s="675"/>
      <c r="O131" s="674"/>
      <c r="P131" s="474"/>
      <c r="Q131" s="560"/>
      <c r="R131" s="675"/>
      <c r="S131" s="557"/>
      <c r="T131" s="675"/>
      <c r="U131" s="674"/>
      <c r="V131" s="439"/>
      <c r="W131" s="439"/>
      <c r="X131" s="439"/>
      <c r="Y131" s="439"/>
      <c r="Z131" s="439"/>
      <c r="AA131" s="439"/>
      <c r="AB131" s="439"/>
      <c r="AC131" s="439"/>
    </row>
    <row r="132" ht="15.75" customHeight="1">
      <c r="A132" s="439"/>
      <c r="B132" s="483"/>
      <c r="C132" s="619"/>
      <c r="D132" s="485"/>
      <c r="E132" s="564"/>
      <c r="F132" s="678"/>
      <c r="G132" s="564"/>
      <c r="H132" s="678"/>
      <c r="I132" s="679"/>
      <c r="J132" s="485"/>
      <c r="K132" s="564"/>
      <c r="L132" s="678"/>
      <c r="M132" s="564"/>
      <c r="N132" s="678"/>
      <c r="O132" s="679"/>
      <c r="P132" s="501"/>
      <c r="Q132" s="583"/>
      <c r="R132" s="678"/>
      <c r="S132" s="564"/>
      <c r="T132" s="678"/>
      <c r="U132" s="679"/>
      <c r="V132" s="439"/>
      <c r="W132" s="439"/>
      <c r="X132" s="439"/>
      <c r="Y132" s="439"/>
      <c r="Z132" s="439"/>
      <c r="AA132" s="439"/>
      <c r="AB132" s="439"/>
      <c r="AC132" s="439"/>
    </row>
    <row r="133" ht="15.75" customHeight="1">
      <c r="A133" s="439"/>
      <c r="B133" s="490"/>
      <c r="C133" s="511" t="s">
        <v>41</v>
      </c>
      <c r="D133" s="459">
        <f>SUM(D134:D135)</f>
        <v>10325</v>
      </c>
      <c r="E133" s="547">
        <f>D133/D$29</f>
        <v>0.0005952325619</v>
      </c>
      <c r="F133" s="548">
        <f>SUM(F135)</f>
        <v>10010</v>
      </c>
      <c r="G133" s="547" t="str">
        <f>F133/F$29</f>
        <v>#DIV/0!</v>
      </c>
      <c r="H133" s="812">
        <f>SUM(H134)</f>
        <v>0</v>
      </c>
      <c r="I133" s="691"/>
      <c r="J133" s="459">
        <f>SUM(J134:J135)</f>
        <v>10325</v>
      </c>
      <c r="K133" s="547">
        <f>J133/J$29</f>
        <v>0.000564813235</v>
      </c>
      <c r="L133" s="548">
        <f>SUM(L135)</f>
        <v>0</v>
      </c>
      <c r="M133" s="547" t="str">
        <f>L133/L$29</f>
        <v>#DIV/0!</v>
      </c>
      <c r="N133" s="812">
        <f>SUM(N134)</f>
        <v>0</v>
      </c>
      <c r="O133" s="691"/>
      <c r="P133" s="491">
        <f>SUM(P134:P135)</f>
        <v>10325</v>
      </c>
      <c r="Q133" s="551">
        <f>P133/P$29</f>
        <v>0.0006149820467</v>
      </c>
      <c r="R133" s="548">
        <f>SUM(R135)</f>
        <v>0</v>
      </c>
      <c r="S133" s="547" t="str">
        <f>R133/R$29</f>
        <v>#DIV/0!</v>
      </c>
      <c r="T133" s="812">
        <f>SUM(T134)</f>
        <v>0</v>
      </c>
      <c r="U133" s="691"/>
      <c r="V133" s="692"/>
      <c r="W133" s="692"/>
      <c r="X133" s="692"/>
      <c r="Y133" s="692"/>
      <c r="Z133" s="692"/>
      <c r="AA133" s="692"/>
      <c r="AB133" s="692"/>
      <c r="AC133" s="692"/>
    </row>
    <row r="134" ht="15.75" customHeight="1">
      <c r="A134" s="439"/>
      <c r="B134" s="497"/>
      <c r="C134" s="497" t="s">
        <v>250</v>
      </c>
      <c r="D134" s="463">
        <v>0.0</v>
      </c>
      <c r="E134" s="552"/>
      <c r="F134" s="541"/>
      <c r="G134" s="552"/>
      <c r="H134" s="684"/>
      <c r="I134" s="672"/>
      <c r="J134" s="463">
        <v>0.0</v>
      </c>
      <c r="K134" s="552"/>
      <c r="L134" s="541"/>
      <c r="M134" s="552"/>
      <c r="N134" s="684"/>
      <c r="O134" s="672"/>
      <c r="P134" s="498"/>
      <c r="Q134" s="554"/>
      <c r="R134" s="541"/>
      <c r="S134" s="552"/>
      <c r="T134" s="684"/>
      <c r="U134" s="672"/>
      <c r="V134" s="439"/>
      <c r="W134" s="439"/>
      <c r="X134" s="439"/>
      <c r="Y134" s="439"/>
      <c r="Z134" s="439"/>
      <c r="AA134" s="439"/>
      <c r="AB134" s="439"/>
      <c r="AC134" s="439"/>
    </row>
    <row r="135" ht="15.75" customHeight="1">
      <c r="A135" s="439"/>
      <c r="B135" s="465"/>
      <c r="C135" s="465" t="s">
        <v>327</v>
      </c>
      <c r="D135" s="514">
        <v>10325.0</v>
      </c>
      <c r="E135" s="467">
        <v>10010.0</v>
      </c>
      <c r="F135" s="467">
        <v>10010.0</v>
      </c>
      <c r="G135" s="467">
        <v>10010.0</v>
      </c>
      <c r="H135" s="467">
        <v>10010.0</v>
      </c>
      <c r="I135" s="467">
        <v>10010.0</v>
      </c>
      <c r="J135" s="514">
        <v>10325.0</v>
      </c>
      <c r="K135" s="557">
        <f>J135/J$29</f>
        <v>0.000564813235</v>
      </c>
      <c r="L135" s="521"/>
      <c r="M135" s="557" t="str">
        <f>L135/L$29</f>
        <v>#DIV/0!</v>
      </c>
      <c r="N135" s="521">
        <f>J135-L135</f>
        <v>10325</v>
      </c>
      <c r="O135" s="573" t="str">
        <f>IFERROR(N135/L135,"")</f>
        <v/>
      </c>
      <c r="P135" s="506">
        <v>10325.0</v>
      </c>
      <c r="Q135" s="560">
        <f>P135/P$29</f>
        <v>0.0006149820467</v>
      </c>
      <c r="R135" s="521"/>
      <c r="S135" s="557" t="str">
        <f>R135/R$29</f>
        <v>#DIV/0!</v>
      </c>
      <c r="T135" s="521">
        <f>P135-R135</f>
        <v>10325</v>
      </c>
      <c r="U135" s="573" t="str">
        <f>IFERROR(T135/R135,"")</f>
        <v/>
      </c>
      <c r="V135" s="439"/>
      <c r="W135" s="439"/>
      <c r="X135" s="439"/>
      <c r="Y135" s="439"/>
      <c r="Z135" s="439"/>
      <c r="AA135" s="439"/>
      <c r="AB135" s="439"/>
      <c r="AC135" s="439"/>
    </row>
    <row r="136" ht="15.75" customHeight="1">
      <c r="A136" s="439"/>
      <c r="B136" s="483"/>
      <c r="C136" s="483"/>
      <c r="D136" s="485"/>
      <c r="E136" s="564"/>
      <c r="F136" s="545"/>
      <c r="G136" s="564"/>
      <c r="H136" s="678"/>
      <c r="I136" s="679"/>
      <c r="J136" s="485"/>
      <c r="K136" s="564"/>
      <c r="L136" s="545"/>
      <c r="M136" s="564"/>
      <c r="N136" s="678"/>
      <c r="O136" s="679"/>
      <c r="P136" s="501"/>
      <c r="Q136" s="583"/>
      <c r="R136" s="545"/>
      <c r="S136" s="564"/>
      <c r="T136" s="678"/>
      <c r="U136" s="679"/>
      <c r="V136" s="439"/>
      <c r="W136" s="439"/>
      <c r="X136" s="439"/>
      <c r="Y136" s="439"/>
      <c r="Z136" s="439"/>
      <c r="AA136" s="439"/>
      <c r="AB136" s="439"/>
      <c r="AC136" s="439"/>
    </row>
    <row r="137" ht="15.75" customHeight="1">
      <c r="A137" s="439"/>
      <c r="B137" s="493"/>
      <c r="C137" s="511" t="s">
        <v>42</v>
      </c>
      <c r="D137" s="459">
        <f>SUM(D138:D139)</f>
        <v>0</v>
      </c>
      <c r="E137" s="547">
        <f>D137/D$29</f>
        <v>0</v>
      </c>
      <c r="F137" s="548">
        <f>SUM(F138:F139)</f>
        <v>0</v>
      </c>
      <c r="G137" s="547" t="str">
        <f>F137/F$29</f>
        <v>#DIV/0!</v>
      </c>
      <c r="H137" s="812">
        <f>SUM(H138:H139)</f>
        <v>0</v>
      </c>
      <c r="I137" s="691"/>
      <c r="J137" s="459">
        <f>SUM(J138:J139)</f>
        <v>0</v>
      </c>
      <c r="K137" s="547">
        <f>J137/J$29</f>
        <v>0</v>
      </c>
      <c r="L137" s="548">
        <f>SUM(L138:L139)</f>
        <v>0</v>
      </c>
      <c r="M137" s="547" t="str">
        <f>L137/L$29</f>
        <v>#DIV/0!</v>
      </c>
      <c r="N137" s="812">
        <f>SUM(N138:N139)</f>
        <v>0</v>
      </c>
      <c r="O137" s="691"/>
      <c r="P137" s="491">
        <f>SUM(P138:P139)</f>
        <v>0</v>
      </c>
      <c r="Q137" s="551">
        <f>P137/P$29</f>
        <v>0</v>
      </c>
      <c r="R137" s="548">
        <f>SUM(R138:R139)</f>
        <v>0</v>
      </c>
      <c r="S137" s="547" t="str">
        <f>R137/R$29</f>
        <v>#DIV/0!</v>
      </c>
      <c r="T137" s="812">
        <f>SUM(T138:T139)</f>
        <v>0</v>
      </c>
      <c r="U137" s="691"/>
      <c r="V137" s="692"/>
      <c r="W137" s="692"/>
      <c r="X137" s="692"/>
      <c r="Y137" s="692"/>
      <c r="Z137" s="692"/>
      <c r="AA137" s="692"/>
      <c r="AB137" s="692"/>
      <c r="AC137" s="692"/>
    </row>
    <row r="138" ht="15.75" customHeight="1">
      <c r="A138" s="439"/>
      <c r="B138" s="497"/>
      <c r="C138" s="497" t="s">
        <v>285</v>
      </c>
      <c r="D138" s="463">
        <v>0.0</v>
      </c>
      <c r="E138" s="671"/>
      <c r="F138" s="541"/>
      <c r="G138" s="552"/>
      <c r="H138" s="684"/>
      <c r="I138" s="672"/>
      <c r="J138" s="463">
        <v>0.0</v>
      </c>
      <c r="K138" s="671"/>
      <c r="L138" s="541"/>
      <c r="M138" s="552"/>
      <c r="N138" s="684"/>
      <c r="O138" s="672"/>
      <c r="P138" s="498">
        <v>0.0</v>
      </c>
      <c r="Q138" s="685"/>
      <c r="R138" s="541"/>
      <c r="S138" s="552"/>
      <c r="T138" s="684"/>
      <c r="U138" s="672"/>
      <c r="V138" s="439"/>
      <c r="W138" s="439"/>
      <c r="X138" s="439"/>
      <c r="Y138" s="439"/>
      <c r="Z138" s="439"/>
      <c r="AA138" s="439"/>
      <c r="AB138" s="439"/>
      <c r="AC138" s="439"/>
    </row>
    <row r="139" ht="15.75" customHeight="1">
      <c r="A139" s="439"/>
      <c r="B139" s="465"/>
      <c r="C139" s="465"/>
      <c r="D139" s="467"/>
      <c r="E139" s="256"/>
      <c r="F139" s="521"/>
      <c r="G139" s="557"/>
      <c r="H139" s="521"/>
      <c r="I139" s="573"/>
      <c r="J139" s="467"/>
      <c r="K139" s="256"/>
      <c r="L139" s="521"/>
      <c r="M139" s="557"/>
      <c r="N139" s="521"/>
      <c r="O139" s="573"/>
      <c r="P139" s="474"/>
      <c r="Q139" s="676"/>
      <c r="R139" s="521"/>
      <c r="S139" s="557"/>
      <c r="T139" s="521"/>
      <c r="U139" s="573"/>
      <c r="V139" s="439"/>
      <c r="W139" s="439"/>
      <c r="X139" s="439"/>
      <c r="Y139" s="439"/>
      <c r="Z139" s="439"/>
      <c r="AA139" s="439"/>
      <c r="AB139" s="439"/>
      <c r="AC139" s="439"/>
    </row>
    <row r="140" ht="15.75" customHeight="1">
      <c r="A140" s="439"/>
      <c r="B140" s="465"/>
      <c r="C140" s="465"/>
      <c r="D140" s="467"/>
      <c r="E140" s="256"/>
      <c r="F140" s="675"/>
      <c r="G140" s="557"/>
      <c r="H140" s="675"/>
      <c r="I140" s="674"/>
      <c r="J140" s="467"/>
      <c r="K140" s="256"/>
      <c r="L140" s="675"/>
      <c r="M140" s="557"/>
      <c r="N140" s="675"/>
      <c r="O140" s="674"/>
      <c r="P140" s="474"/>
      <c r="Q140" s="676"/>
      <c r="R140" s="675"/>
      <c r="S140" s="557"/>
      <c r="T140" s="675"/>
      <c r="U140" s="674"/>
      <c r="V140" s="439"/>
      <c r="W140" s="439"/>
      <c r="X140" s="439"/>
      <c r="Y140" s="439"/>
      <c r="Z140" s="439"/>
      <c r="AA140" s="439"/>
      <c r="AB140" s="439"/>
      <c r="AC140" s="439"/>
    </row>
    <row r="141" ht="15.75" customHeight="1">
      <c r="A141" s="439"/>
      <c r="B141" s="483"/>
      <c r="C141" s="483"/>
      <c r="D141" s="485"/>
      <c r="E141" s="677"/>
      <c r="F141" s="678"/>
      <c r="G141" s="564"/>
      <c r="H141" s="678"/>
      <c r="I141" s="679"/>
      <c r="J141" s="485"/>
      <c r="K141" s="677"/>
      <c r="L141" s="678"/>
      <c r="M141" s="564"/>
      <c r="N141" s="678"/>
      <c r="O141" s="679"/>
      <c r="P141" s="501"/>
      <c r="Q141" s="680"/>
      <c r="R141" s="678"/>
      <c r="S141" s="564"/>
      <c r="T141" s="678"/>
      <c r="U141" s="679"/>
      <c r="V141" s="439"/>
      <c r="W141" s="439"/>
      <c r="X141" s="439"/>
      <c r="Y141" s="439"/>
      <c r="Z141" s="439"/>
      <c r="AA141" s="439"/>
      <c r="AB141" s="439"/>
      <c r="AC141" s="439"/>
    </row>
    <row r="142" ht="15.75" customHeight="1">
      <c r="A142" s="439"/>
      <c r="B142" s="493"/>
      <c r="C142" s="490" t="s">
        <v>254</v>
      </c>
      <c r="D142" s="459">
        <f>D58+D70+D81+D88+D96+D109+D112+D116+D133+D137</f>
        <v>7218528.633</v>
      </c>
      <c r="E142" s="547">
        <f>D142/D$29</f>
        <v>0.4161455972</v>
      </c>
      <c r="F142" s="548">
        <f>F58+F70+F81+F88+F96+F109+F112+F116+F133+F137</f>
        <v>220898.3333</v>
      </c>
      <c r="G142" s="547" t="str">
        <f>F142/F$29</f>
        <v>#DIV/0!</v>
      </c>
      <c r="H142" s="548">
        <f>D142-F142</f>
        <v>6997630.3</v>
      </c>
      <c r="I142" s="826">
        <f>IFERROR(H142/F142,"")</f>
        <v>31.67805838</v>
      </c>
      <c r="J142" s="459">
        <f>J58+J70+J81+J88+J96+J109+J112+J116+J133+J137</f>
        <v>6787670.25</v>
      </c>
      <c r="K142" s="547">
        <f>J142/J$29</f>
        <v>0.3713090549</v>
      </c>
      <c r="L142" s="548">
        <f>L58+L70+L81+L88+L96+L109+L112+L116+L133+L137</f>
        <v>0</v>
      </c>
      <c r="M142" s="547" t="str">
        <f>L142/L$29</f>
        <v>#DIV/0!</v>
      </c>
      <c r="N142" s="548">
        <f>J142-L142</f>
        <v>6787670.25</v>
      </c>
      <c r="O142" s="826" t="str">
        <f>IFERROR(N142/L142,"")</f>
        <v/>
      </c>
      <c r="P142" s="491">
        <f>P58+P70+P81+P88+P96+P109+P112+P116+P133+P137</f>
        <v>7037480</v>
      </c>
      <c r="Q142" s="551">
        <f>P142/P$29</f>
        <v>0.4191693805</v>
      </c>
      <c r="R142" s="548">
        <f>R58+R70+R81+R88+R96+R109+R112+R116+R133+R137</f>
        <v>0</v>
      </c>
      <c r="S142" s="547" t="str">
        <f>R142/R$29</f>
        <v>#DIV/0!</v>
      </c>
      <c r="T142" s="548">
        <f>P142-R142</f>
        <v>7037480</v>
      </c>
      <c r="U142" s="826" t="str">
        <f>IFERROR(T142/R142,"")</f>
        <v/>
      </c>
      <c r="V142" s="439"/>
      <c r="W142" s="439"/>
      <c r="X142" s="439"/>
      <c r="Y142" s="439"/>
      <c r="Z142" s="439"/>
      <c r="AA142" s="439"/>
      <c r="AB142" s="439"/>
      <c r="AC142" s="439"/>
    </row>
    <row r="143" ht="15.75" customHeight="1">
      <c r="A143" s="439"/>
      <c r="B143" s="526"/>
      <c r="C143" s="526"/>
      <c r="D143" s="515"/>
      <c r="E143" s="687"/>
      <c r="F143" s="590"/>
      <c r="G143" s="589"/>
      <c r="H143" s="819"/>
      <c r="I143" s="688"/>
      <c r="J143" s="515"/>
      <c r="K143" s="687"/>
      <c r="L143" s="590"/>
      <c r="M143" s="589"/>
      <c r="N143" s="819"/>
      <c r="O143" s="688"/>
      <c r="P143" s="522"/>
      <c r="Q143" s="689"/>
      <c r="R143" s="590"/>
      <c r="S143" s="589"/>
      <c r="T143" s="819"/>
      <c r="U143" s="688"/>
      <c r="V143" s="439"/>
      <c r="W143" s="439"/>
      <c r="X143" s="439"/>
      <c r="Y143" s="439"/>
      <c r="Z143" s="439"/>
      <c r="AA143" s="439"/>
      <c r="AB143" s="439"/>
      <c r="AC143" s="439"/>
    </row>
    <row r="144" ht="15.75" customHeight="1">
      <c r="A144" s="439"/>
      <c r="B144" s="490"/>
      <c r="C144" s="490" t="s">
        <v>255</v>
      </c>
      <c r="D144" s="459">
        <f>D50-D142</f>
        <v>4351428.808</v>
      </c>
      <c r="E144" s="547">
        <f>D144/D$29</f>
        <v>0.2508583164</v>
      </c>
      <c r="F144" s="548" t="str">
        <f>F50-F142</f>
        <v>#REF!</v>
      </c>
      <c r="G144" s="547" t="str">
        <f>F144/F$29</f>
        <v>#REF!</v>
      </c>
      <c r="H144" s="548" t="str">
        <f>D144-F144</f>
        <v>#REF!</v>
      </c>
      <c r="I144" s="826" t="str">
        <f>IFERROR(H144/F144,"")</f>
        <v/>
      </c>
      <c r="J144" s="459">
        <f>J50-J142</f>
        <v>5383598.425</v>
      </c>
      <c r="K144" s="547">
        <f>J144/J$29</f>
        <v>0.2945014666</v>
      </c>
      <c r="L144" s="548" t="str">
        <f>L50-L142</f>
        <v>#DIV/0!</v>
      </c>
      <c r="M144" s="547" t="str">
        <f>L144/L$29</f>
        <v>#DIV/0!</v>
      </c>
      <c r="N144" s="548" t="str">
        <f>J144-L144</f>
        <v>#DIV/0!</v>
      </c>
      <c r="O144" s="826" t="str">
        <f>IFERROR(N144/L144,"")</f>
        <v/>
      </c>
      <c r="P144" s="491">
        <f>P50-P142</f>
        <v>3929070.095</v>
      </c>
      <c r="Q144" s="551">
        <f>P144/P$29</f>
        <v>0.2340249461</v>
      </c>
      <c r="R144" s="548" t="str">
        <f>R50-R142</f>
        <v>#REF!</v>
      </c>
      <c r="S144" s="547" t="str">
        <f>R144/R$29</f>
        <v>#REF!</v>
      </c>
      <c r="T144" s="548" t="str">
        <f>P144-R144</f>
        <v>#REF!</v>
      </c>
      <c r="U144" s="826" t="str">
        <f>IFERROR(T144/R144,"")</f>
        <v/>
      </c>
      <c r="V144" s="439"/>
      <c r="W144" s="439"/>
      <c r="X144" s="439"/>
      <c r="Y144" s="439"/>
      <c r="Z144" s="439"/>
      <c r="AA144" s="439"/>
      <c r="AB144" s="439"/>
      <c r="AC144" s="439"/>
    </row>
    <row r="145" ht="15.75" customHeight="1">
      <c r="A145" s="439"/>
      <c r="B145" s="439"/>
      <c r="C145" s="439"/>
      <c r="D145" s="530"/>
      <c r="E145" s="439"/>
      <c r="F145" s="530"/>
      <c r="G145" s="439"/>
      <c r="H145" s="530"/>
      <c r="I145" s="439"/>
      <c r="J145" s="530"/>
      <c r="K145" s="439"/>
      <c r="L145" s="530"/>
      <c r="M145" s="439"/>
      <c r="N145" s="530"/>
      <c r="O145" s="439"/>
      <c r="P145" s="530"/>
      <c r="Q145" s="439"/>
      <c r="R145" s="530"/>
      <c r="S145" s="439"/>
      <c r="T145" s="530"/>
      <c r="U145" s="439"/>
      <c r="V145" s="439"/>
      <c r="W145" s="439"/>
      <c r="X145" s="439"/>
      <c r="Y145" s="439"/>
      <c r="Z145" s="439"/>
      <c r="AA145" s="439"/>
      <c r="AB145" s="439"/>
      <c r="AC145" s="439"/>
    </row>
    <row r="146" ht="15.75" customHeight="1">
      <c r="A146" s="439"/>
      <c r="B146" s="439"/>
      <c r="C146" s="439"/>
      <c r="D146" s="530"/>
      <c r="E146" s="439"/>
      <c r="F146" s="530"/>
      <c r="G146" s="439"/>
      <c r="H146" s="530"/>
      <c r="I146" s="439"/>
      <c r="J146" s="530"/>
      <c r="K146" s="439"/>
      <c r="L146" s="530"/>
      <c r="M146" s="439"/>
      <c r="N146" s="530"/>
      <c r="O146" s="439"/>
      <c r="P146" s="530"/>
      <c r="Q146" s="439"/>
      <c r="R146" s="530"/>
      <c r="S146" s="439"/>
      <c r="T146" s="530"/>
      <c r="U146" s="439"/>
      <c r="V146" s="439"/>
      <c r="W146" s="439"/>
      <c r="X146" s="439"/>
      <c r="Y146" s="439"/>
      <c r="Z146" s="439"/>
      <c r="AA146" s="439"/>
      <c r="AB146" s="439"/>
      <c r="AC146" s="439"/>
    </row>
    <row r="147" ht="15.75" customHeight="1">
      <c r="A147" s="439"/>
      <c r="B147" s="439"/>
      <c r="C147" s="439"/>
      <c r="D147" s="530"/>
      <c r="E147" s="439"/>
      <c r="F147" s="530"/>
      <c r="G147" s="439"/>
      <c r="H147" s="530"/>
      <c r="I147" s="439"/>
      <c r="J147" s="530"/>
      <c r="K147" s="439"/>
      <c r="L147" s="530"/>
      <c r="M147" s="439"/>
      <c r="N147" s="530"/>
      <c r="O147" s="439"/>
      <c r="P147" s="530"/>
      <c r="Q147" s="439"/>
      <c r="R147" s="530"/>
      <c r="S147" s="439"/>
      <c r="T147" s="530"/>
      <c r="U147" s="439"/>
      <c r="V147" s="439"/>
      <c r="W147" s="439"/>
      <c r="X147" s="439"/>
      <c r="Y147" s="439"/>
      <c r="Z147" s="439"/>
      <c r="AA147" s="439"/>
      <c r="AB147" s="439"/>
      <c r="AC147" s="439"/>
    </row>
    <row r="148" ht="15.75" customHeight="1">
      <c r="A148" s="439"/>
      <c r="B148" s="439"/>
      <c r="C148" s="439"/>
      <c r="D148" s="530"/>
      <c r="E148" s="439"/>
      <c r="F148" s="530"/>
      <c r="G148" s="439"/>
      <c r="H148" s="530"/>
      <c r="I148" s="439"/>
      <c r="J148" s="530"/>
      <c r="K148" s="439"/>
      <c r="L148" s="530"/>
      <c r="M148" s="439"/>
      <c r="N148" s="530"/>
      <c r="O148" s="439"/>
      <c r="P148" s="530"/>
      <c r="Q148" s="439"/>
      <c r="R148" s="530"/>
      <c r="S148" s="439"/>
      <c r="T148" s="530"/>
      <c r="U148" s="439"/>
      <c r="V148" s="439"/>
      <c r="W148" s="439"/>
      <c r="X148" s="439"/>
      <c r="Y148" s="439"/>
      <c r="Z148" s="439"/>
      <c r="AA148" s="439"/>
      <c r="AB148" s="439"/>
      <c r="AC148" s="439"/>
    </row>
    <row r="149" ht="15.75" customHeight="1">
      <c r="A149" s="439"/>
      <c r="B149" s="439"/>
      <c r="C149" s="439"/>
      <c r="D149" s="530"/>
      <c r="E149" s="439"/>
      <c r="F149" s="530"/>
      <c r="G149" s="439"/>
      <c r="H149" s="530"/>
      <c r="I149" s="439"/>
      <c r="J149" s="530"/>
      <c r="K149" s="439"/>
      <c r="L149" s="530"/>
      <c r="M149" s="439"/>
      <c r="N149" s="530"/>
      <c r="O149" s="439"/>
      <c r="P149" s="530"/>
      <c r="Q149" s="439"/>
      <c r="R149" s="530"/>
      <c r="S149" s="439"/>
      <c r="T149" s="530"/>
      <c r="U149" s="439"/>
      <c r="V149" s="439"/>
      <c r="W149" s="439"/>
      <c r="X149" s="439"/>
      <c r="Y149" s="439"/>
      <c r="Z149" s="439"/>
      <c r="AA149" s="439"/>
      <c r="AB149" s="439"/>
      <c r="AC149" s="439"/>
    </row>
    <row r="150" ht="15.75" customHeight="1">
      <c r="A150" s="439"/>
      <c r="B150" s="439"/>
      <c r="C150" s="439"/>
      <c r="D150" s="530"/>
      <c r="E150" s="439"/>
      <c r="F150" s="530"/>
      <c r="G150" s="439"/>
      <c r="H150" s="530"/>
      <c r="I150" s="439"/>
      <c r="J150" s="530"/>
      <c r="K150" s="439"/>
      <c r="L150" s="530"/>
      <c r="M150" s="439"/>
      <c r="N150" s="530"/>
      <c r="O150" s="439"/>
      <c r="P150" s="530"/>
      <c r="Q150" s="439"/>
      <c r="R150" s="530"/>
      <c r="S150" s="439"/>
      <c r="T150" s="530"/>
      <c r="U150" s="439"/>
      <c r="V150" s="439"/>
      <c r="W150" s="439"/>
      <c r="X150" s="439"/>
      <c r="Y150" s="439"/>
      <c r="Z150" s="439"/>
      <c r="AA150" s="439"/>
      <c r="AB150" s="439"/>
      <c r="AC150" s="439"/>
    </row>
    <row r="151" ht="15.75" customHeight="1">
      <c r="A151" s="439"/>
      <c r="B151" s="439"/>
      <c r="C151" s="439"/>
      <c r="D151" s="530"/>
      <c r="E151" s="439"/>
      <c r="F151" s="530"/>
      <c r="G151" s="439"/>
      <c r="H151" s="530"/>
      <c r="I151" s="439"/>
      <c r="J151" s="530"/>
      <c r="K151" s="439"/>
      <c r="L151" s="530"/>
      <c r="M151" s="439"/>
      <c r="N151" s="530"/>
      <c r="O151" s="439"/>
      <c r="P151" s="530"/>
      <c r="Q151" s="439"/>
      <c r="R151" s="530"/>
      <c r="S151" s="439"/>
      <c r="T151" s="530"/>
      <c r="U151" s="439"/>
      <c r="V151" s="439"/>
      <c r="W151" s="439"/>
      <c r="X151" s="439"/>
      <c r="Y151" s="439"/>
      <c r="Z151" s="439"/>
      <c r="AA151" s="439"/>
      <c r="AB151" s="439"/>
      <c r="AC151" s="439"/>
    </row>
    <row r="152" ht="15.75" customHeight="1">
      <c r="A152" s="439"/>
      <c r="B152" s="439"/>
      <c r="C152" s="439"/>
      <c r="D152" s="530"/>
      <c r="E152" s="439"/>
      <c r="F152" s="530"/>
      <c r="G152" s="439"/>
      <c r="H152" s="530"/>
      <c r="I152" s="439"/>
      <c r="J152" s="530"/>
      <c r="K152" s="439"/>
      <c r="L152" s="530"/>
      <c r="M152" s="439"/>
      <c r="N152" s="530"/>
      <c r="O152" s="439"/>
      <c r="P152" s="530"/>
      <c r="Q152" s="439"/>
      <c r="R152" s="530"/>
      <c r="S152" s="439"/>
      <c r="T152" s="530"/>
      <c r="U152" s="439"/>
      <c r="V152" s="439"/>
      <c r="W152" s="439"/>
      <c r="X152" s="439"/>
      <c r="Y152" s="439"/>
      <c r="Z152" s="439"/>
      <c r="AA152" s="439"/>
      <c r="AB152" s="439"/>
      <c r="AC152" s="439"/>
    </row>
    <row r="153" ht="15.75" customHeight="1">
      <c r="A153" s="439"/>
      <c r="B153" s="439"/>
      <c r="C153" s="439"/>
      <c r="D153" s="530"/>
      <c r="E153" s="439"/>
      <c r="F153" s="530"/>
      <c r="G153" s="439"/>
      <c r="H153" s="530"/>
      <c r="I153" s="439"/>
      <c r="J153" s="530"/>
      <c r="K153" s="439"/>
      <c r="L153" s="530"/>
      <c r="M153" s="439"/>
      <c r="N153" s="530"/>
      <c r="O153" s="439"/>
      <c r="P153" s="530"/>
      <c r="Q153" s="439"/>
      <c r="R153" s="530"/>
      <c r="S153" s="439"/>
      <c r="T153" s="530"/>
      <c r="U153" s="439"/>
      <c r="V153" s="439"/>
      <c r="W153" s="439"/>
      <c r="X153" s="439"/>
      <c r="Y153" s="439"/>
      <c r="Z153" s="439"/>
      <c r="AA153" s="439"/>
      <c r="AB153" s="439"/>
      <c r="AC153" s="439"/>
    </row>
    <row r="154" ht="15.75" customHeight="1">
      <c r="A154" s="439"/>
      <c r="B154" s="439"/>
      <c r="C154" s="439"/>
      <c r="D154" s="530"/>
      <c r="E154" s="439"/>
      <c r="F154" s="530"/>
      <c r="G154" s="439"/>
      <c r="H154" s="530"/>
      <c r="I154" s="439"/>
      <c r="J154" s="530"/>
      <c r="K154" s="439"/>
      <c r="L154" s="530"/>
      <c r="M154" s="439"/>
      <c r="N154" s="530"/>
      <c r="O154" s="439"/>
      <c r="P154" s="530"/>
      <c r="Q154" s="439"/>
      <c r="R154" s="530"/>
      <c r="S154" s="439"/>
      <c r="T154" s="530"/>
      <c r="U154" s="439"/>
      <c r="V154" s="439"/>
      <c r="W154" s="439"/>
      <c r="X154" s="439"/>
      <c r="Y154" s="439"/>
      <c r="Z154" s="439"/>
      <c r="AA154" s="439"/>
      <c r="AB154" s="439"/>
      <c r="AC154" s="439"/>
    </row>
    <row r="155" ht="15.75" customHeight="1">
      <c r="A155" s="439"/>
      <c r="B155" s="439"/>
      <c r="C155" s="439"/>
      <c r="D155" s="530"/>
      <c r="E155" s="439"/>
      <c r="F155" s="530"/>
      <c r="G155" s="439"/>
      <c r="H155" s="530"/>
      <c r="I155" s="439"/>
      <c r="J155" s="530"/>
      <c r="K155" s="439"/>
      <c r="L155" s="530"/>
      <c r="M155" s="439"/>
      <c r="N155" s="530"/>
      <c r="O155" s="439"/>
      <c r="P155" s="530"/>
      <c r="Q155" s="439"/>
      <c r="R155" s="530"/>
      <c r="S155" s="439"/>
      <c r="T155" s="530"/>
      <c r="U155" s="439"/>
      <c r="V155" s="439"/>
      <c r="W155" s="439"/>
      <c r="X155" s="439"/>
      <c r="Y155" s="439"/>
      <c r="Z155" s="439"/>
      <c r="AA155" s="439"/>
      <c r="AB155" s="439"/>
      <c r="AC155" s="439"/>
    </row>
    <row r="156" ht="15.75" customHeight="1">
      <c r="A156" s="439"/>
      <c r="B156" s="439"/>
      <c r="C156" s="439"/>
      <c r="D156" s="530"/>
      <c r="E156" s="439"/>
      <c r="F156" s="530"/>
      <c r="G156" s="439"/>
      <c r="H156" s="530"/>
      <c r="I156" s="439"/>
      <c r="J156" s="530"/>
      <c r="K156" s="439"/>
      <c r="L156" s="530"/>
      <c r="M156" s="439"/>
      <c r="N156" s="530"/>
      <c r="O156" s="439"/>
      <c r="P156" s="530"/>
      <c r="Q156" s="439"/>
      <c r="R156" s="530"/>
      <c r="S156" s="439"/>
      <c r="T156" s="530"/>
      <c r="U156" s="439"/>
      <c r="V156" s="439"/>
      <c r="W156" s="439"/>
      <c r="X156" s="439"/>
      <c r="Y156" s="439"/>
      <c r="Z156" s="439"/>
      <c r="AA156" s="439"/>
      <c r="AB156" s="439"/>
      <c r="AC156" s="439"/>
    </row>
    <row r="157" ht="15.75" customHeight="1">
      <c r="A157" s="439"/>
      <c r="B157" s="439"/>
      <c r="C157" s="439"/>
      <c r="D157" s="530"/>
      <c r="E157" s="439"/>
      <c r="F157" s="530"/>
      <c r="G157" s="439"/>
      <c r="H157" s="530"/>
      <c r="I157" s="439"/>
      <c r="J157" s="530"/>
      <c r="K157" s="439"/>
      <c r="L157" s="530"/>
      <c r="M157" s="439"/>
      <c r="N157" s="530"/>
      <c r="O157" s="439"/>
      <c r="P157" s="530"/>
      <c r="Q157" s="439"/>
      <c r="R157" s="530"/>
      <c r="S157" s="439"/>
      <c r="T157" s="530"/>
      <c r="U157" s="439"/>
      <c r="V157" s="439"/>
      <c r="W157" s="439"/>
      <c r="X157" s="439"/>
      <c r="Y157" s="439"/>
      <c r="Z157" s="439"/>
      <c r="AA157" s="439"/>
      <c r="AB157" s="439"/>
      <c r="AC157" s="439"/>
    </row>
    <row r="158" ht="15.75" customHeight="1">
      <c r="A158" s="439"/>
      <c r="B158" s="439"/>
      <c r="C158" s="439"/>
      <c r="D158" s="530"/>
      <c r="E158" s="439"/>
      <c r="F158" s="530"/>
      <c r="G158" s="439"/>
      <c r="H158" s="530"/>
      <c r="I158" s="439"/>
      <c r="J158" s="530"/>
      <c r="K158" s="439"/>
      <c r="L158" s="530"/>
      <c r="M158" s="439"/>
      <c r="N158" s="530"/>
      <c r="O158" s="439"/>
      <c r="P158" s="530"/>
      <c r="Q158" s="439"/>
      <c r="R158" s="530"/>
      <c r="S158" s="439"/>
      <c r="T158" s="530"/>
      <c r="U158" s="439"/>
      <c r="V158" s="439"/>
      <c r="W158" s="439"/>
      <c r="X158" s="439"/>
      <c r="Y158" s="439"/>
      <c r="Z158" s="439"/>
      <c r="AA158" s="439"/>
      <c r="AB158" s="439"/>
      <c r="AC158" s="439"/>
    </row>
    <row r="159" ht="15.75" customHeight="1">
      <c r="A159" s="439"/>
      <c r="B159" s="439"/>
      <c r="C159" s="439"/>
      <c r="D159" s="530"/>
      <c r="E159" s="439"/>
      <c r="F159" s="530"/>
      <c r="G159" s="439"/>
      <c r="H159" s="530"/>
      <c r="I159" s="439"/>
      <c r="J159" s="530"/>
      <c r="K159" s="439"/>
      <c r="L159" s="530"/>
      <c r="M159" s="439"/>
      <c r="N159" s="530"/>
      <c r="O159" s="439"/>
      <c r="P159" s="530"/>
      <c r="Q159" s="439"/>
      <c r="R159" s="530"/>
      <c r="S159" s="439"/>
      <c r="T159" s="530"/>
      <c r="U159" s="439"/>
      <c r="V159" s="439"/>
      <c r="W159" s="439"/>
      <c r="X159" s="439"/>
      <c r="Y159" s="439"/>
      <c r="Z159" s="439"/>
      <c r="AA159" s="439"/>
      <c r="AB159" s="439"/>
      <c r="AC159" s="439"/>
    </row>
    <row r="160" ht="15.75" customHeight="1">
      <c r="A160" s="439"/>
      <c r="B160" s="439"/>
      <c r="C160" s="439"/>
      <c r="D160" s="530"/>
      <c r="E160" s="439"/>
      <c r="F160" s="530"/>
      <c r="G160" s="439"/>
      <c r="H160" s="530"/>
      <c r="I160" s="439"/>
      <c r="J160" s="530"/>
      <c r="K160" s="439"/>
      <c r="L160" s="530"/>
      <c r="M160" s="439"/>
      <c r="N160" s="530"/>
      <c r="O160" s="439"/>
      <c r="P160" s="530"/>
      <c r="Q160" s="439"/>
      <c r="R160" s="530"/>
      <c r="S160" s="439"/>
      <c r="T160" s="530"/>
      <c r="U160" s="439"/>
      <c r="V160" s="439"/>
      <c r="W160" s="439"/>
      <c r="X160" s="439"/>
      <c r="Y160" s="439"/>
      <c r="Z160" s="439"/>
      <c r="AA160" s="439"/>
      <c r="AB160" s="439"/>
      <c r="AC160" s="439"/>
    </row>
    <row r="161" ht="15.75" customHeight="1">
      <c r="A161" s="439"/>
      <c r="B161" s="439"/>
      <c r="C161" s="439"/>
      <c r="D161" s="530"/>
      <c r="E161" s="439"/>
      <c r="F161" s="530"/>
      <c r="G161" s="439"/>
      <c r="H161" s="530"/>
      <c r="I161" s="439"/>
      <c r="J161" s="530"/>
      <c r="K161" s="439"/>
      <c r="L161" s="530"/>
      <c r="M161" s="439"/>
      <c r="N161" s="530"/>
      <c r="O161" s="439"/>
      <c r="P161" s="530"/>
      <c r="Q161" s="439"/>
      <c r="R161" s="530"/>
      <c r="S161" s="439"/>
      <c r="T161" s="530"/>
      <c r="U161" s="439"/>
      <c r="V161" s="439"/>
      <c r="W161" s="439"/>
      <c r="X161" s="439"/>
      <c r="Y161" s="439"/>
      <c r="Z161" s="439"/>
      <c r="AA161" s="439"/>
      <c r="AB161" s="439"/>
      <c r="AC161" s="439"/>
    </row>
    <row r="162" ht="15.75" customHeight="1">
      <c r="A162" s="439"/>
      <c r="B162" s="439"/>
      <c r="C162" s="439"/>
      <c r="D162" s="530"/>
      <c r="E162" s="439"/>
      <c r="F162" s="530"/>
      <c r="G162" s="439"/>
      <c r="H162" s="530"/>
      <c r="I162" s="439"/>
      <c r="J162" s="530"/>
      <c r="K162" s="439"/>
      <c r="L162" s="530"/>
      <c r="M162" s="439"/>
      <c r="N162" s="530"/>
      <c r="O162" s="439"/>
      <c r="P162" s="530"/>
      <c r="Q162" s="439"/>
      <c r="R162" s="530"/>
      <c r="S162" s="439"/>
      <c r="T162" s="530"/>
      <c r="U162" s="439"/>
      <c r="V162" s="439"/>
      <c r="W162" s="439"/>
      <c r="X162" s="439"/>
      <c r="Y162" s="439"/>
      <c r="Z162" s="439"/>
      <c r="AA162" s="439"/>
      <c r="AB162" s="439"/>
      <c r="AC162" s="439"/>
    </row>
    <row r="163" ht="15.75" customHeight="1">
      <c r="A163" s="439"/>
      <c r="B163" s="439"/>
      <c r="C163" s="439"/>
      <c r="D163" s="530"/>
      <c r="E163" s="439"/>
      <c r="F163" s="530"/>
      <c r="G163" s="439"/>
      <c r="H163" s="530"/>
      <c r="I163" s="439"/>
      <c r="J163" s="530"/>
      <c r="K163" s="439"/>
      <c r="L163" s="530"/>
      <c r="M163" s="439"/>
      <c r="N163" s="530"/>
      <c r="O163" s="439"/>
      <c r="P163" s="530"/>
      <c r="Q163" s="439"/>
      <c r="R163" s="530"/>
      <c r="S163" s="439"/>
      <c r="T163" s="530"/>
      <c r="U163" s="439"/>
      <c r="V163" s="439"/>
      <c r="W163" s="439"/>
      <c r="X163" s="439"/>
      <c r="Y163" s="439"/>
      <c r="Z163" s="439"/>
      <c r="AA163" s="439"/>
      <c r="AB163" s="439"/>
      <c r="AC163" s="439"/>
    </row>
    <row r="164" ht="15.75" customHeight="1">
      <c r="A164" s="439"/>
      <c r="B164" s="439"/>
      <c r="C164" s="439"/>
      <c r="D164" s="530"/>
      <c r="E164" s="439"/>
      <c r="F164" s="530"/>
      <c r="G164" s="439"/>
      <c r="H164" s="530"/>
      <c r="I164" s="439"/>
      <c r="J164" s="530"/>
      <c r="K164" s="439"/>
      <c r="L164" s="530"/>
      <c r="M164" s="439"/>
      <c r="N164" s="530"/>
      <c r="O164" s="439"/>
      <c r="P164" s="530"/>
      <c r="Q164" s="439"/>
      <c r="R164" s="530"/>
      <c r="S164" s="439"/>
      <c r="T164" s="530"/>
      <c r="U164" s="439"/>
      <c r="V164" s="439"/>
      <c r="W164" s="439"/>
      <c r="X164" s="439"/>
      <c r="Y164" s="439"/>
      <c r="Z164" s="439"/>
      <c r="AA164" s="439"/>
      <c r="AB164" s="439"/>
      <c r="AC164" s="439"/>
    </row>
    <row r="165" ht="15.75" customHeight="1">
      <c r="A165" s="439"/>
      <c r="B165" s="439"/>
      <c r="C165" s="439"/>
      <c r="D165" s="530"/>
      <c r="E165" s="439"/>
      <c r="F165" s="530"/>
      <c r="G165" s="439"/>
      <c r="H165" s="530"/>
      <c r="I165" s="439"/>
      <c r="J165" s="530"/>
      <c r="K165" s="439"/>
      <c r="L165" s="530"/>
      <c r="M165" s="439"/>
      <c r="N165" s="530"/>
      <c r="O165" s="439"/>
      <c r="P165" s="530"/>
      <c r="Q165" s="439"/>
      <c r="R165" s="530"/>
      <c r="S165" s="439"/>
      <c r="T165" s="530"/>
      <c r="U165" s="439"/>
      <c r="V165" s="439"/>
      <c r="W165" s="439"/>
      <c r="X165" s="439"/>
      <c r="Y165" s="439"/>
      <c r="Z165" s="439"/>
      <c r="AA165" s="439"/>
      <c r="AB165" s="439"/>
      <c r="AC165" s="439"/>
    </row>
    <row r="166" ht="15.75" customHeight="1">
      <c r="A166" s="439"/>
      <c r="B166" s="439"/>
      <c r="C166" s="439"/>
      <c r="D166" s="530"/>
      <c r="E166" s="439"/>
      <c r="F166" s="530"/>
      <c r="G166" s="439"/>
      <c r="H166" s="530"/>
      <c r="I166" s="439"/>
      <c r="J166" s="530"/>
      <c r="K166" s="439"/>
      <c r="L166" s="530"/>
      <c r="M166" s="439"/>
      <c r="N166" s="530"/>
      <c r="O166" s="439"/>
      <c r="P166" s="530"/>
      <c r="Q166" s="439"/>
      <c r="R166" s="530"/>
      <c r="S166" s="439"/>
      <c r="T166" s="530"/>
      <c r="U166" s="439"/>
      <c r="V166" s="439"/>
      <c r="W166" s="439"/>
      <c r="X166" s="439"/>
      <c r="Y166" s="439"/>
      <c r="Z166" s="439"/>
      <c r="AA166" s="439"/>
      <c r="AB166" s="439"/>
      <c r="AC166" s="439"/>
    </row>
    <row r="167" ht="15.75" customHeight="1">
      <c r="A167" s="439"/>
      <c r="B167" s="439"/>
      <c r="C167" s="439"/>
      <c r="D167" s="530"/>
      <c r="E167" s="439"/>
      <c r="F167" s="530"/>
      <c r="G167" s="439"/>
      <c r="H167" s="530"/>
      <c r="I167" s="439"/>
      <c r="J167" s="530"/>
      <c r="K167" s="439"/>
      <c r="L167" s="530"/>
      <c r="M167" s="439"/>
      <c r="N167" s="530"/>
      <c r="O167" s="439"/>
      <c r="P167" s="530"/>
      <c r="Q167" s="439"/>
      <c r="R167" s="530"/>
      <c r="S167" s="439"/>
      <c r="T167" s="530"/>
      <c r="U167" s="439"/>
      <c r="V167" s="439"/>
      <c r="W167" s="439"/>
      <c r="X167" s="439"/>
      <c r="Y167" s="439"/>
      <c r="Z167" s="439"/>
      <c r="AA167" s="439"/>
      <c r="AB167" s="439"/>
      <c r="AC167" s="439"/>
    </row>
    <row r="168" ht="15.75" customHeight="1">
      <c r="A168" s="439"/>
      <c r="B168" s="439"/>
      <c r="C168" s="439"/>
      <c r="D168" s="530"/>
      <c r="E168" s="439"/>
      <c r="F168" s="530"/>
      <c r="G168" s="439"/>
      <c r="H168" s="530"/>
      <c r="I168" s="439"/>
      <c r="J168" s="530"/>
      <c r="K168" s="439"/>
      <c r="L168" s="530"/>
      <c r="M168" s="439"/>
      <c r="N168" s="530"/>
      <c r="O168" s="439"/>
      <c r="P168" s="530"/>
      <c r="Q168" s="439"/>
      <c r="R168" s="530"/>
      <c r="S168" s="439"/>
      <c r="T168" s="530"/>
      <c r="U168" s="439"/>
      <c r="V168" s="439"/>
      <c r="W168" s="439"/>
      <c r="X168" s="439"/>
      <c r="Y168" s="439"/>
      <c r="Z168" s="439"/>
      <c r="AA168" s="439"/>
      <c r="AB168" s="439"/>
      <c r="AC168" s="439"/>
    </row>
    <row r="169" ht="15.75" customHeight="1">
      <c r="A169" s="439"/>
      <c r="B169" s="439"/>
      <c r="C169" s="439"/>
      <c r="D169" s="530"/>
      <c r="E169" s="439"/>
      <c r="F169" s="530"/>
      <c r="G169" s="439"/>
      <c r="H169" s="530"/>
      <c r="I169" s="439"/>
      <c r="J169" s="530"/>
      <c r="K169" s="439"/>
      <c r="L169" s="530"/>
      <c r="M169" s="439"/>
      <c r="N169" s="530"/>
      <c r="O169" s="439"/>
      <c r="P169" s="530"/>
      <c r="Q169" s="439"/>
      <c r="R169" s="530"/>
      <c r="S169" s="439"/>
      <c r="T169" s="530"/>
      <c r="U169" s="439"/>
      <c r="V169" s="439"/>
      <c r="W169" s="439"/>
      <c r="X169" s="439"/>
      <c r="Y169" s="439"/>
      <c r="Z169" s="439"/>
      <c r="AA169" s="439"/>
      <c r="AB169" s="439"/>
      <c r="AC169" s="439"/>
    </row>
    <row r="170" ht="15.75" customHeight="1">
      <c r="A170" s="439"/>
      <c r="B170" s="439"/>
      <c r="C170" s="439"/>
      <c r="D170" s="530"/>
      <c r="E170" s="439"/>
      <c r="F170" s="530"/>
      <c r="G170" s="439"/>
      <c r="H170" s="530"/>
      <c r="I170" s="439"/>
      <c r="J170" s="530"/>
      <c r="K170" s="439"/>
      <c r="L170" s="530"/>
      <c r="M170" s="439"/>
      <c r="N170" s="530"/>
      <c r="O170" s="439"/>
      <c r="P170" s="530"/>
      <c r="Q170" s="439"/>
      <c r="R170" s="530"/>
      <c r="S170" s="439"/>
      <c r="T170" s="530"/>
      <c r="U170" s="439"/>
      <c r="V170" s="439"/>
      <c r="W170" s="439"/>
      <c r="X170" s="439"/>
      <c r="Y170" s="439"/>
      <c r="Z170" s="439"/>
      <c r="AA170" s="439"/>
      <c r="AB170" s="439"/>
      <c r="AC170" s="439"/>
    </row>
    <row r="171" ht="15.75" customHeight="1">
      <c r="A171" s="439"/>
      <c r="B171" s="439"/>
      <c r="C171" s="439"/>
      <c r="D171" s="530"/>
      <c r="E171" s="439"/>
      <c r="F171" s="530"/>
      <c r="G171" s="439"/>
      <c r="H171" s="530"/>
      <c r="I171" s="439"/>
      <c r="J171" s="530"/>
      <c r="K171" s="439"/>
      <c r="L171" s="530"/>
      <c r="M171" s="439"/>
      <c r="N171" s="530"/>
      <c r="O171" s="439"/>
      <c r="P171" s="530"/>
      <c r="Q171" s="439"/>
      <c r="R171" s="530"/>
      <c r="S171" s="439"/>
      <c r="T171" s="530"/>
      <c r="U171" s="439"/>
      <c r="V171" s="439"/>
      <c r="W171" s="439"/>
      <c r="X171" s="439"/>
      <c r="Y171" s="439"/>
      <c r="Z171" s="439"/>
      <c r="AA171" s="439"/>
      <c r="AB171" s="439"/>
      <c r="AC171" s="439"/>
    </row>
    <row r="172" ht="15.75" customHeight="1">
      <c r="A172" s="439"/>
      <c r="B172" s="439"/>
      <c r="C172" s="439"/>
      <c r="D172" s="530"/>
      <c r="E172" s="439"/>
      <c r="F172" s="530"/>
      <c r="G172" s="439"/>
      <c r="H172" s="530"/>
      <c r="I172" s="439"/>
      <c r="J172" s="530"/>
      <c r="K172" s="439"/>
      <c r="L172" s="530"/>
      <c r="M172" s="439"/>
      <c r="N172" s="530"/>
      <c r="O172" s="439"/>
      <c r="P172" s="530"/>
      <c r="Q172" s="439"/>
      <c r="R172" s="530"/>
      <c r="S172" s="439"/>
      <c r="T172" s="530"/>
      <c r="U172" s="439"/>
      <c r="V172" s="439"/>
      <c r="W172" s="439"/>
      <c r="X172" s="439"/>
      <c r="Y172" s="439"/>
      <c r="Z172" s="439"/>
      <c r="AA172" s="439"/>
      <c r="AB172" s="439"/>
      <c r="AC172" s="439"/>
    </row>
    <row r="173" ht="15.75" customHeight="1">
      <c r="A173" s="439"/>
      <c r="B173" s="439"/>
      <c r="C173" s="439"/>
      <c r="D173" s="530"/>
      <c r="E173" s="439"/>
      <c r="F173" s="530"/>
      <c r="G173" s="439"/>
      <c r="H173" s="530"/>
      <c r="I173" s="439"/>
      <c r="J173" s="530"/>
      <c r="K173" s="439"/>
      <c r="L173" s="530"/>
      <c r="M173" s="439"/>
      <c r="N173" s="530"/>
      <c r="O173" s="439"/>
      <c r="P173" s="530"/>
      <c r="Q173" s="439"/>
      <c r="R173" s="530"/>
      <c r="S173" s="439"/>
      <c r="T173" s="530"/>
      <c r="U173" s="439"/>
      <c r="V173" s="439"/>
      <c r="W173" s="439"/>
      <c r="X173" s="439"/>
      <c r="Y173" s="439"/>
      <c r="Z173" s="439"/>
      <c r="AA173" s="439"/>
      <c r="AB173" s="439"/>
      <c r="AC173" s="439"/>
    </row>
    <row r="174" ht="15.75" customHeight="1">
      <c r="A174" s="439"/>
      <c r="B174" s="439"/>
      <c r="C174" s="439"/>
      <c r="D174" s="530"/>
      <c r="E174" s="439"/>
      <c r="F174" s="530"/>
      <c r="G174" s="439"/>
      <c r="H174" s="530"/>
      <c r="I174" s="439"/>
      <c r="J174" s="530"/>
      <c r="K174" s="439"/>
      <c r="L174" s="530"/>
      <c r="M174" s="439"/>
      <c r="N174" s="530"/>
      <c r="O174" s="439"/>
      <c r="P174" s="530"/>
      <c r="Q174" s="439"/>
      <c r="R174" s="530"/>
      <c r="S174" s="439"/>
      <c r="T174" s="530"/>
      <c r="U174" s="439"/>
      <c r="V174" s="439"/>
      <c r="W174" s="439"/>
      <c r="X174" s="439"/>
      <c r="Y174" s="439"/>
      <c r="Z174" s="439"/>
      <c r="AA174" s="439"/>
      <c r="AB174" s="439"/>
      <c r="AC174" s="439"/>
    </row>
    <row r="175" ht="15.75" customHeight="1">
      <c r="A175" s="439"/>
      <c r="B175" s="439"/>
      <c r="C175" s="439"/>
      <c r="D175" s="439"/>
      <c r="E175" s="439"/>
      <c r="F175" s="530"/>
      <c r="G175" s="439"/>
      <c r="H175" s="530"/>
      <c r="I175" s="439"/>
      <c r="J175" s="439"/>
      <c r="K175" s="439"/>
      <c r="L175" s="530"/>
      <c r="M175" s="439"/>
      <c r="N175" s="530"/>
      <c r="O175" s="439"/>
      <c r="P175" s="439"/>
      <c r="Q175" s="439"/>
      <c r="R175" s="530"/>
      <c r="S175" s="439"/>
      <c r="T175" s="530"/>
      <c r="U175" s="439"/>
      <c r="V175" s="439"/>
      <c r="W175" s="439"/>
      <c r="X175" s="439"/>
      <c r="Y175" s="439"/>
      <c r="Z175" s="439"/>
      <c r="AA175" s="439"/>
      <c r="AB175" s="439"/>
      <c r="AC175" s="439"/>
    </row>
    <row r="176" ht="15.75" customHeight="1">
      <c r="A176" s="439"/>
      <c r="B176" s="439"/>
      <c r="C176" s="439"/>
      <c r="D176" s="439"/>
      <c r="E176" s="439"/>
      <c r="F176" s="530"/>
      <c r="G176" s="439"/>
      <c r="H176" s="530"/>
      <c r="I176" s="439"/>
      <c r="J176" s="439"/>
      <c r="K176" s="439"/>
      <c r="L176" s="530"/>
      <c r="M176" s="439"/>
      <c r="N176" s="530"/>
      <c r="O176" s="439"/>
      <c r="P176" s="439"/>
      <c r="Q176" s="439"/>
      <c r="R176" s="530"/>
      <c r="S176" s="439"/>
      <c r="T176" s="530"/>
      <c r="U176" s="439"/>
      <c r="V176" s="439"/>
      <c r="W176" s="439"/>
      <c r="X176" s="439"/>
      <c r="Y176" s="439"/>
      <c r="Z176" s="439"/>
      <c r="AA176" s="439"/>
      <c r="AB176" s="439"/>
      <c r="AC176" s="439"/>
    </row>
    <row r="177" ht="15.75" customHeight="1">
      <c r="A177" s="439"/>
      <c r="B177" s="439"/>
      <c r="C177" s="439"/>
      <c r="D177" s="439"/>
      <c r="E177" s="439"/>
      <c r="F177" s="530"/>
      <c r="G177" s="439"/>
      <c r="H177" s="530"/>
      <c r="I177" s="439"/>
      <c r="J177" s="439"/>
      <c r="K177" s="439"/>
      <c r="L177" s="530"/>
      <c r="M177" s="439"/>
      <c r="N177" s="530"/>
      <c r="O177" s="439"/>
      <c r="P177" s="439"/>
      <c r="Q177" s="439"/>
      <c r="R177" s="530"/>
      <c r="S177" s="439"/>
      <c r="T177" s="530"/>
      <c r="U177" s="439"/>
      <c r="V177" s="439"/>
      <c r="W177" s="439"/>
      <c r="X177" s="439"/>
      <c r="Y177" s="439"/>
      <c r="Z177" s="439"/>
      <c r="AA177" s="439"/>
      <c r="AB177" s="439"/>
      <c r="AC177" s="439"/>
    </row>
    <row r="178" ht="15.75" customHeight="1">
      <c r="A178" s="439"/>
      <c r="B178" s="439"/>
      <c r="C178" s="439"/>
      <c r="D178" s="439"/>
      <c r="E178" s="439"/>
      <c r="F178" s="530"/>
      <c r="G178" s="439"/>
      <c r="H178" s="530"/>
      <c r="I178" s="439"/>
      <c r="J178" s="439"/>
      <c r="K178" s="439"/>
      <c r="L178" s="530"/>
      <c r="M178" s="439"/>
      <c r="N178" s="530"/>
      <c r="O178" s="439"/>
      <c r="P178" s="439"/>
      <c r="Q178" s="439"/>
      <c r="R178" s="530"/>
      <c r="S178" s="439"/>
      <c r="T178" s="530"/>
      <c r="U178" s="439"/>
      <c r="V178" s="439"/>
      <c r="W178" s="439"/>
      <c r="X178" s="439"/>
      <c r="Y178" s="439"/>
      <c r="Z178" s="439"/>
      <c r="AA178" s="439"/>
      <c r="AB178" s="439"/>
      <c r="AC178" s="439"/>
    </row>
    <row r="179" ht="15.75" customHeight="1">
      <c r="A179" s="439"/>
      <c r="B179" s="439"/>
      <c r="C179" s="439"/>
      <c r="D179" s="439"/>
      <c r="E179" s="439"/>
      <c r="F179" s="530"/>
      <c r="G179" s="439"/>
      <c r="H179" s="530"/>
      <c r="I179" s="439"/>
      <c r="J179" s="439"/>
      <c r="K179" s="439"/>
      <c r="L179" s="530"/>
      <c r="M179" s="439"/>
      <c r="N179" s="530"/>
      <c r="O179" s="439"/>
      <c r="P179" s="439"/>
      <c r="Q179" s="439"/>
      <c r="R179" s="530"/>
      <c r="S179" s="439"/>
      <c r="T179" s="530"/>
      <c r="U179" s="439"/>
      <c r="V179" s="439"/>
      <c r="W179" s="439"/>
      <c r="X179" s="439"/>
      <c r="Y179" s="439"/>
      <c r="Z179" s="439"/>
      <c r="AA179" s="439"/>
      <c r="AB179" s="439"/>
      <c r="AC179" s="439"/>
    </row>
    <row r="180" ht="15.75" customHeight="1">
      <c r="A180" s="439"/>
      <c r="B180" s="439"/>
      <c r="C180" s="439"/>
      <c r="D180" s="439"/>
      <c r="E180" s="439"/>
      <c r="F180" s="530"/>
      <c r="G180" s="439"/>
      <c r="H180" s="530"/>
      <c r="I180" s="439"/>
      <c r="J180" s="439"/>
      <c r="K180" s="439"/>
      <c r="L180" s="530"/>
      <c r="M180" s="439"/>
      <c r="N180" s="530"/>
      <c r="O180" s="439"/>
      <c r="P180" s="439"/>
      <c r="Q180" s="439"/>
      <c r="R180" s="530"/>
      <c r="S180" s="439"/>
      <c r="T180" s="530"/>
      <c r="U180" s="439"/>
      <c r="V180" s="439"/>
      <c r="W180" s="439"/>
      <c r="X180" s="439"/>
      <c r="Y180" s="439"/>
      <c r="Z180" s="439"/>
      <c r="AA180" s="439"/>
      <c r="AB180" s="439"/>
      <c r="AC180" s="439"/>
    </row>
    <row r="181" ht="15.75" customHeight="1">
      <c r="A181" s="439"/>
      <c r="B181" s="439"/>
      <c r="C181" s="439"/>
      <c r="D181" s="439"/>
      <c r="E181" s="439"/>
      <c r="F181" s="530"/>
      <c r="G181" s="439"/>
      <c r="H181" s="530"/>
      <c r="I181" s="439"/>
      <c r="J181" s="439"/>
      <c r="K181" s="439"/>
      <c r="L181" s="530"/>
      <c r="M181" s="439"/>
      <c r="N181" s="530"/>
      <c r="O181" s="439"/>
      <c r="P181" s="439"/>
      <c r="Q181" s="439"/>
      <c r="R181" s="530"/>
      <c r="S181" s="439"/>
      <c r="T181" s="530"/>
      <c r="U181" s="439"/>
      <c r="V181" s="439"/>
      <c r="W181" s="439"/>
      <c r="X181" s="439"/>
      <c r="Y181" s="439"/>
      <c r="Z181" s="439"/>
      <c r="AA181" s="439"/>
      <c r="AB181" s="439"/>
      <c r="AC181" s="439"/>
    </row>
    <row r="182" ht="15.75" customHeight="1">
      <c r="A182" s="439"/>
      <c r="B182" s="439"/>
      <c r="C182" s="439"/>
      <c r="D182" s="439"/>
      <c r="E182" s="439"/>
      <c r="F182" s="530"/>
      <c r="G182" s="439"/>
      <c r="H182" s="530"/>
      <c r="I182" s="439"/>
      <c r="J182" s="439"/>
      <c r="K182" s="439"/>
      <c r="L182" s="530"/>
      <c r="M182" s="439"/>
      <c r="N182" s="530"/>
      <c r="O182" s="439"/>
      <c r="P182" s="439"/>
      <c r="Q182" s="439"/>
      <c r="R182" s="530"/>
      <c r="S182" s="439"/>
      <c r="T182" s="530"/>
      <c r="U182" s="439"/>
      <c r="V182" s="439"/>
      <c r="W182" s="439"/>
      <c r="X182" s="439"/>
      <c r="Y182" s="439"/>
      <c r="Z182" s="439"/>
      <c r="AA182" s="439"/>
      <c r="AB182" s="439"/>
      <c r="AC182" s="439"/>
    </row>
    <row r="183" ht="15.75" customHeight="1">
      <c r="A183" s="439"/>
      <c r="B183" s="439"/>
      <c r="C183" s="439"/>
      <c r="D183" s="439"/>
      <c r="E183" s="439"/>
      <c r="F183" s="530"/>
      <c r="G183" s="439"/>
      <c r="H183" s="530"/>
      <c r="I183" s="439"/>
      <c r="J183" s="439"/>
      <c r="K183" s="439"/>
      <c r="L183" s="530"/>
      <c r="M183" s="439"/>
      <c r="N183" s="530"/>
      <c r="O183" s="439"/>
      <c r="P183" s="439"/>
      <c r="Q183" s="439"/>
      <c r="R183" s="530"/>
      <c r="S183" s="439"/>
      <c r="T183" s="530"/>
      <c r="U183" s="439"/>
      <c r="V183" s="439"/>
      <c r="W183" s="439"/>
      <c r="X183" s="439"/>
      <c r="Y183" s="439"/>
      <c r="Z183" s="439"/>
      <c r="AA183" s="439"/>
      <c r="AB183" s="439"/>
      <c r="AC183" s="439"/>
    </row>
    <row r="184" ht="15.75" customHeight="1">
      <c r="A184" s="439"/>
      <c r="B184" s="439"/>
      <c r="C184" s="439"/>
      <c r="D184" s="439"/>
      <c r="E184" s="439"/>
      <c r="F184" s="530"/>
      <c r="G184" s="439"/>
      <c r="H184" s="530"/>
      <c r="I184" s="439"/>
      <c r="J184" s="439"/>
      <c r="K184" s="439"/>
      <c r="L184" s="530"/>
      <c r="M184" s="439"/>
      <c r="N184" s="530"/>
      <c r="O184" s="439"/>
      <c r="P184" s="439"/>
      <c r="Q184" s="439"/>
      <c r="R184" s="530"/>
      <c r="S184" s="439"/>
      <c r="T184" s="530"/>
      <c r="U184" s="439"/>
      <c r="V184" s="439"/>
      <c r="W184" s="439"/>
      <c r="X184" s="439"/>
      <c r="Y184" s="439"/>
      <c r="Z184" s="439"/>
      <c r="AA184" s="439"/>
      <c r="AB184" s="439"/>
      <c r="AC184" s="439"/>
    </row>
    <row r="185" ht="15.75" customHeight="1">
      <c r="A185" s="439"/>
      <c r="B185" s="439"/>
      <c r="C185" s="439"/>
      <c r="D185" s="439"/>
      <c r="E185" s="439"/>
      <c r="F185" s="530"/>
      <c r="G185" s="439"/>
      <c r="H185" s="530"/>
      <c r="I185" s="439"/>
      <c r="J185" s="439"/>
      <c r="K185" s="439"/>
      <c r="L185" s="530"/>
      <c r="M185" s="439"/>
      <c r="N185" s="530"/>
      <c r="O185" s="439"/>
      <c r="P185" s="439"/>
      <c r="Q185" s="439"/>
      <c r="R185" s="530"/>
      <c r="S185" s="439"/>
      <c r="T185" s="530"/>
      <c r="U185" s="439"/>
      <c r="V185" s="439"/>
      <c r="W185" s="439"/>
      <c r="X185" s="439"/>
      <c r="Y185" s="439"/>
      <c r="Z185" s="439"/>
      <c r="AA185" s="439"/>
      <c r="AB185" s="439"/>
      <c r="AC185" s="439"/>
    </row>
    <row r="186" ht="15.75" customHeight="1">
      <c r="A186" s="439"/>
      <c r="B186" s="439"/>
      <c r="C186" s="439"/>
      <c r="D186" s="439"/>
      <c r="E186" s="439"/>
      <c r="F186" s="530"/>
      <c r="G186" s="439"/>
      <c r="H186" s="530"/>
      <c r="I186" s="439"/>
      <c r="J186" s="439"/>
      <c r="K186" s="439"/>
      <c r="L186" s="530"/>
      <c r="M186" s="439"/>
      <c r="N186" s="530"/>
      <c r="O186" s="439"/>
      <c r="P186" s="439"/>
      <c r="Q186" s="439"/>
      <c r="R186" s="530"/>
      <c r="S186" s="439"/>
      <c r="T186" s="530"/>
      <c r="U186" s="439"/>
      <c r="V186" s="439"/>
      <c r="W186" s="439"/>
      <c r="X186" s="439"/>
      <c r="Y186" s="439"/>
      <c r="Z186" s="439"/>
      <c r="AA186" s="439"/>
      <c r="AB186" s="439"/>
      <c r="AC186" s="439"/>
    </row>
    <row r="187" ht="15.75" customHeight="1">
      <c r="A187" s="439"/>
      <c r="B187" s="439"/>
      <c r="C187" s="439"/>
      <c r="D187" s="439"/>
      <c r="E187" s="439"/>
      <c r="F187" s="530"/>
      <c r="G187" s="439"/>
      <c r="H187" s="530"/>
      <c r="I187" s="439"/>
      <c r="J187" s="439"/>
      <c r="K187" s="439"/>
      <c r="L187" s="530"/>
      <c r="M187" s="439"/>
      <c r="N187" s="530"/>
      <c r="O187" s="439"/>
      <c r="P187" s="439"/>
      <c r="Q187" s="439"/>
      <c r="R187" s="530"/>
      <c r="S187" s="439"/>
      <c r="T187" s="530"/>
      <c r="U187" s="439"/>
      <c r="V187" s="439"/>
      <c r="W187" s="439"/>
      <c r="X187" s="439"/>
      <c r="Y187" s="439"/>
      <c r="Z187" s="439"/>
      <c r="AA187" s="439"/>
      <c r="AB187" s="439"/>
      <c r="AC187" s="439"/>
    </row>
    <row r="188" ht="15.75" customHeight="1">
      <c r="A188" s="439"/>
      <c r="B188" s="439"/>
      <c r="C188" s="439"/>
      <c r="D188" s="439"/>
      <c r="E188" s="439"/>
      <c r="F188" s="530"/>
      <c r="G188" s="439"/>
      <c r="H188" s="530"/>
      <c r="I188" s="439"/>
      <c r="J188" s="439"/>
      <c r="K188" s="439"/>
      <c r="L188" s="530"/>
      <c r="M188" s="439"/>
      <c r="N188" s="530"/>
      <c r="O188" s="439"/>
      <c r="P188" s="439"/>
      <c r="Q188" s="439"/>
      <c r="R188" s="530"/>
      <c r="S188" s="439"/>
      <c r="T188" s="530"/>
      <c r="U188" s="439"/>
      <c r="V188" s="439"/>
      <c r="W188" s="439"/>
      <c r="X188" s="439"/>
      <c r="Y188" s="439"/>
      <c r="Z188" s="439"/>
      <c r="AA188" s="439"/>
      <c r="AB188" s="439"/>
      <c r="AC188" s="439"/>
    </row>
    <row r="189" ht="15.75" customHeight="1">
      <c r="A189" s="439"/>
      <c r="B189" s="439"/>
      <c r="C189" s="439"/>
      <c r="D189" s="439"/>
      <c r="E189" s="439"/>
      <c r="F189" s="530"/>
      <c r="G189" s="439"/>
      <c r="H189" s="530"/>
      <c r="I189" s="439"/>
      <c r="J189" s="439"/>
      <c r="K189" s="439"/>
      <c r="L189" s="530"/>
      <c r="M189" s="439"/>
      <c r="N189" s="530"/>
      <c r="O189" s="439"/>
      <c r="P189" s="439"/>
      <c r="Q189" s="439"/>
      <c r="R189" s="530"/>
      <c r="S189" s="439"/>
      <c r="T189" s="530"/>
      <c r="U189" s="439"/>
      <c r="V189" s="439"/>
      <c r="W189" s="439"/>
      <c r="X189" s="439"/>
      <c r="Y189" s="439"/>
      <c r="Z189" s="439"/>
      <c r="AA189" s="439"/>
      <c r="AB189" s="439"/>
      <c r="AC189" s="439"/>
    </row>
    <row r="190" ht="15.75" customHeight="1">
      <c r="A190" s="439"/>
      <c r="B190" s="439"/>
      <c r="C190" s="439"/>
      <c r="D190" s="439"/>
      <c r="E190" s="439"/>
      <c r="F190" s="530"/>
      <c r="G190" s="439"/>
      <c r="H190" s="530"/>
      <c r="I190" s="439"/>
      <c r="J190" s="439"/>
      <c r="K190" s="439"/>
      <c r="L190" s="530"/>
      <c r="M190" s="439"/>
      <c r="N190" s="530"/>
      <c r="O190" s="439"/>
      <c r="P190" s="439"/>
      <c r="Q190" s="439"/>
      <c r="R190" s="530"/>
      <c r="S190" s="439"/>
      <c r="T190" s="530"/>
      <c r="U190" s="439"/>
      <c r="V190" s="439"/>
      <c r="W190" s="439"/>
      <c r="X190" s="439"/>
      <c r="Y190" s="439"/>
      <c r="Z190" s="439"/>
      <c r="AA190" s="439"/>
      <c r="AB190" s="439"/>
      <c r="AC190" s="439"/>
    </row>
    <row r="191" ht="15.75" customHeight="1">
      <c r="A191" s="439"/>
      <c r="B191" s="439"/>
      <c r="C191" s="439"/>
      <c r="D191" s="439"/>
      <c r="E191" s="439"/>
      <c r="F191" s="530"/>
      <c r="G191" s="439"/>
      <c r="H191" s="530"/>
      <c r="I191" s="439"/>
      <c r="J191" s="439"/>
      <c r="K191" s="439"/>
      <c r="L191" s="530"/>
      <c r="M191" s="439"/>
      <c r="N191" s="530"/>
      <c r="O191" s="439"/>
      <c r="P191" s="439"/>
      <c r="Q191" s="439"/>
      <c r="R191" s="530"/>
      <c r="S191" s="439"/>
      <c r="T191" s="530"/>
      <c r="U191" s="439"/>
      <c r="V191" s="439"/>
      <c r="W191" s="439"/>
      <c r="X191" s="439"/>
      <c r="Y191" s="439"/>
      <c r="Z191" s="439"/>
      <c r="AA191" s="439"/>
      <c r="AB191" s="439"/>
      <c r="AC191" s="439"/>
    </row>
    <row r="192" ht="15.75" customHeight="1">
      <c r="A192" s="439"/>
      <c r="B192" s="439"/>
      <c r="C192" s="439"/>
      <c r="D192" s="439"/>
      <c r="E192" s="439"/>
      <c r="F192" s="530"/>
      <c r="G192" s="439"/>
      <c r="H192" s="530"/>
      <c r="I192" s="439"/>
      <c r="J192" s="439"/>
      <c r="K192" s="439"/>
      <c r="L192" s="530"/>
      <c r="M192" s="439"/>
      <c r="N192" s="530"/>
      <c r="O192" s="439"/>
      <c r="P192" s="439"/>
      <c r="Q192" s="439"/>
      <c r="R192" s="530"/>
      <c r="S192" s="439"/>
      <c r="T192" s="530"/>
      <c r="U192" s="439"/>
      <c r="V192" s="439"/>
      <c r="W192" s="439"/>
      <c r="X192" s="439"/>
      <c r="Y192" s="439"/>
      <c r="Z192" s="439"/>
      <c r="AA192" s="439"/>
      <c r="AB192" s="439"/>
      <c r="AC192" s="439"/>
    </row>
    <row r="193" ht="15.75" customHeight="1">
      <c r="A193" s="439"/>
      <c r="B193" s="439"/>
      <c r="C193" s="439"/>
      <c r="D193" s="439"/>
      <c r="E193" s="439"/>
      <c r="F193" s="530"/>
      <c r="G193" s="439"/>
      <c r="H193" s="530"/>
      <c r="I193" s="439"/>
      <c r="J193" s="439"/>
      <c r="K193" s="439"/>
      <c r="L193" s="530"/>
      <c r="M193" s="439"/>
      <c r="N193" s="530"/>
      <c r="O193" s="439"/>
      <c r="P193" s="439"/>
      <c r="Q193" s="439"/>
      <c r="R193" s="530"/>
      <c r="S193" s="439"/>
      <c r="T193" s="530"/>
      <c r="U193" s="439"/>
      <c r="V193" s="439"/>
      <c r="W193" s="439"/>
      <c r="X193" s="439"/>
      <c r="Y193" s="439"/>
      <c r="Z193" s="439"/>
      <c r="AA193" s="439"/>
      <c r="AB193" s="439"/>
      <c r="AC193" s="439"/>
    </row>
    <row r="194" ht="15.75" customHeight="1">
      <c r="A194" s="439"/>
      <c r="B194" s="439"/>
      <c r="C194" s="439"/>
      <c r="D194" s="439"/>
      <c r="E194" s="439"/>
      <c r="F194" s="530"/>
      <c r="G194" s="439"/>
      <c r="H194" s="530"/>
      <c r="I194" s="439"/>
      <c r="J194" s="439"/>
      <c r="K194" s="439"/>
      <c r="L194" s="530"/>
      <c r="M194" s="439"/>
      <c r="N194" s="530"/>
      <c r="O194" s="439"/>
      <c r="P194" s="439"/>
      <c r="Q194" s="439"/>
      <c r="R194" s="530"/>
      <c r="S194" s="439"/>
      <c r="T194" s="530"/>
      <c r="U194" s="439"/>
      <c r="V194" s="439"/>
      <c r="W194" s="439"/>
      <c r="X194" s="439"/>
      <c r="Y194" s="439"/>
      <c r="Z194" s="439"/>
      <c r="AA194" s="439"/>
      <c r="AB194" s="439"/>
      <c r="AC194" s="439"/>
    </row>
    <row r="195" ht="15.75" customHeight="1">
      <c r="A195" s="439"/>
      <c r="B195" s="439"/>
      <c r="C195" s="439"/>
      <c r="D195" s="439"/>
      <c r="E195" s="439"/>
      <c r="F195" s="530"/>
      <c r="G195" s="439"/>
      <c r="H195" s="530"/>
      <c r="I195" s="439"/>
      <c r="J195" s="439"/>
      <c r="K195" s="439"/>
      <c r="L195" s="530"/>
      <c r="M195" s="439"/>
      <c r="N195" s="530"/>
      <c r="O195" s="439"/>
      <c r="P195" s="439"/>
      <c r="Q195" s="439"/>
      <c r="R195" s="530"/>
      <c r="S195" s="439"/>
      <c r="T195" s="530"/>
      <c r="U195" s="439"/>
      <c r="V195" s="439"/>
      <c r="W195" s="439"/>
      <c r="X195" s="439"/>
      <c r="Y195" s="439"/>
      <c r="Z195" s="439"/>
      <c r="AA195" s="439"/>
      <c r="AB195" s="439"/>
      <c r="AC195" s="439"/>
    </row>
    <row r="196" ht="15.75" customHeight="1">
      <c r="A196" s="439"/>
      <c r="B196" s="439"/>
      <c r="C196" s="439"/>
      <c r="D196" s="439"/>
      <c r="E196" s="439"/>
      <c r="F196" s="530"/>
      <c r="G196" s="439"/>
      <c r="H196" s="530"/>
      <c r="I196" s="439"/>
      <c r="J196" s="439"/>
      <c r="K196" s="439"/>
      <c r="L196" s="530"/>
      <c r="M196" s="439"/>
      <c r="N196" s="530"/>
      <c r="O196" s="439"/>
      <c r="P196" s="439"/>
      <c r="Q196" s="439"/>
      <c r="R196" s="530"/>
      <c r="S196" s="439"/>
      <c r="T196" s="530"/>
      <c r="U196" s="439"/>
      <c r="V196" s="439"/>
      <c r="W196" s="439"/>
      <c r="X196" s="439"/>
      <c r="Y196" s="439"/>
      <c r="Z196" s="439"/>
      <c r="AA196" s="439"/>
      <c r="AB196" s="439"/>
      <c r="AC196" s="439"/>
    </row>
    <row r="197" ht="15.75" customHeight="1">
      <c r="A197" s="439"/>
      <c r="B197" s="439"/>
      <c r="C197" s="439"/>
      <c r="D197" s="439"/>
      <c r="E197" s="439"/>
      <c r="F197" s="530"/>
      <c r="G197" s="439"/>
      <c r="H197" s="530"/>
      <c r="I197" s="439"/>
      <c r="J197" s="439"/>
      <c r="K197" s="439"/>
      <c r="L197" s="530"/>
      <c r="M197" s="439"/>
      <c r="N197" s="530"/>
      <c r="O197" s="439"/>
      <c r="P197" s="439"/>
      <c r="Q197" s="439"/>
      <c r="R197" s="530"/>
      <c r="S197" s="439"/>
      <c r="T197" s="530"/>
      <c r="U197" s="439"/>
      <c r="V197" s="439"/>
      <c r="W197" s="439"/>
      <c r="X197" s="439"/>
      <c r="Y197" s="439"/>
      <c r="Z197" s="439"/>
      <c r="AA197" s="439"/>
      <c r="AB197" s="439"/>
      <c r="AC197" s="439"/>
    </row>
    <row r="198" ht="15.75" customHeight="1">
      <c r="A198" s="439"/>
      <c r="B198" s="439"/>
      <c r="C198" s="439"/>
      <c r="D198" s="439"/>
      <c r="E198" s="439"/>
      <c r="F198" s="530"/>
      <c r="G198" s="439"/>
      <c r="H198" s="530"/>
      <c r="I198" s="439"/>
      <c r="J198" s="439"/>
      <c r="K198" s="439"/>
      <c r="L198" s="530"/>
      <c r="M198" s="439"/>
      <c r="N198" s="530"/>
      <c r="O198" s="439"/>
      <c r="P198" s="439"/>
      <c r="Q198" s="439"/>
      <c r="R198" s="530"/>
      <c r="S198" s="439"/>
      <c r="T198" s="530"/>
      <c r="U198" s="439"/>
      <c r="V198" s="439"/>
      <c r="W198" s="439"/>
      <c r="X198" s="439"/>
      <c r="Y198" s="439"/>
      <c r="Z198" s="439"/>
      <c r="AA198" s="439"/>
      <c r="AB198" s="439"/>
      <c r="AC198" s="439"/>
    </row>
    <row r="199" ht="15.75" customHeight="1">
      <c r="A199" s="439"/>
      <c r="B199" s="439"/>
      <c r="C199" s="439"/>
      <c r="D199" s="439"/>
      <c r="E199" s="439"/>
      <c r="F199" s="530"/>
      <c r="G199" s="439"/>
      <c r="H199" s="530"/>
      <c r="I199" s="439"/>
      <c r="J199" s="439"/>
      <c r="K199" s="439"/>
      <c r="L199" s="530"/>
      <c r="M199" s="439"/>
      <c r="N199" s="530"/>
      <c r="O199" s="439"/>
      <c r="P199" s="439"/>
      <c r="Q199" s="439"/>
      <c r="R199" s="530"/>
      <c r="S199" s="439"/>
      <c r="T199" s="530"/>
      <c r="U199" s="439"/>
      <c r="V199" s="439"/>
      <c r="W199" s="439"/>
      <c r="X199" s="439"/>
      <c r="Y199" s="439"/>
      <c r="Z199" s="439"/>
      <c r="AA199" s="439"/>
      <c r="AB199" s="439"/>
      <c r="AC199" s="439"/>
    </row>
    <row r="200" ht="15.75" customHeight="1">
      <c r="A200" s="439"/>
      <c r="B200" s="439"/>
      <c r="C200" s="439"/>
      <c r="D200" s="439"/>
      <c r="E200" s="439"/>
      <c r="F200" s="530"/>
      <c r="G200" s="439"/>
      <c r="H200" s="530"/>
      <c r="I200" s="439"/>
      <c r="J200" s="439"/>
      <c r="K200" s="439"/>
      <c r="L200" s="530"/>
      <c r="M200" s="439"/>
      <c r="N200" s="530"/>
      <c r="O200" s="439"/>
      <c r="P200" s="439"/>
      <c r="Q200" s="439"/>
      <c r="R200" s="530"/>
      <c r="S200" s="439"/>
      <c r="T200" s="530"/>
      <c r="U200" s="439"/>
      <c r="V200" s="439"/>
      <c r="W200" s="439"/>
      <c r="X200" s="439"/>
      <c r="Y200" s="439"/>
      <c r="Z200" s="439"/>
      <c r="AA200" s="439"/>
      <c r="AB200" s="439"/>
      <c r="AC200" s="439"/>
    </row>
    <row r="201" ht="15.75" customHeight="1">
      <c r="A201" s="439"/>
      <c r="B201" s="439"/>
      <c r="C201" s="439"/>
      <c r="D201" s="439"/>
      <c r="E201" s="439"/>
      <c r="F201" s="530"/>
      <c r="G201" s="439"/>
      <c r="H201" s="530"/>
      <c r="I201" s="439"/>
      <c r="J201" s="439"/>
      <c r="K201" s="439"/>
      <c r="L201" s="530"/>
      <c r="M201" s="439"/>
      <c r="N201" s="530"/>
      <c r="O201" s="439"/>
      <c r="P201" s="439"/>
      <c r="Q201" s="439"/>
      <c r="R201" s="530"/>
      <c r="S201" s="439"/>
      <c r="T201" s="530"/>
      <c r="U201" s="439"/>
      <c r="V201" s="439"/>
      <c r="W201" s="439"/>
      <c r="X201" s="439"/>
      <c r="Y201" s="439"/>
      <c r="Z201" s="439"/>
      <c r="AA201" s="439"/>
      <c r="AB201" s="439"/>
      <c r="AC201" s="439"/>
    </row>
    <row r="202" ht="15.75" customHeight="1">
      <c r="A202" s="439"/>
      <c r="B202" s="439"/>
      <c r="C202" s="439"/>
      <c r="D202" s="439"/>
      <c r="E202" s="439"/>
      <c r="F202" s="530"/>
      <c r="G202" s="439"/>
      <c r="H202" s="530"/>
      <c r="I202" s="439"/>
      <c r="J202" s="439"/>
      <c r="K202" s="439"/>
      <c r="L202" s="530"/>
      <c r="M202" s="439"/>
      <c r="N202" s="530"/>
      <c r="O202" s="439"/>
      <c r="P202" s="439"/>
      <c r="Q202" s="439"/>
      <c r="R202" s="530"/>
      <c r="S202" s="439"/>
      <c r="T202" s="530"/>
      <c r="U202" s="439"/>
      <c r="V202" s="439"/>
      <c r="W202" s="439"/>
      <c r="X202" s="439"/>
      <c r="Y202" s="439"/>
      <c r="Z202" s="439"/>
      <c r="AA202" s="439"/>
      <c r="AB202" s="439"/>
      <c r="AC202" s="439"/>
    </row>
    <row r="203" ht="15.75" customHeight="1">
      <c r="A203" s="439"/>
      <c r="B203" s="439"/>
      <c r="C203" s="439"/>
      <c r="D203" s="439"/>
      <c r="E203" s="439"/>
      <c r="F203" s="530"/>
      <c r="G203" s="439"/>
      <c r="H203" s="530"/>
      <c r="I203" s="439"/>
      <c r="J203" s="439"/>
      <c r="K203" s="439"/>
      <c r="L203" s="530"/>
      <c r="M203" s="439"/>
      <c r="N203" s="530"/>
      <c r="O203" s="439"/>
      <c r="P203" s="439"/>
      <c r="Q203" s="439"/>
      <c r="R203" s="530"/>
      <c r="S203" s="439"/>
      <c r="T203" s="530"/>
      <c r="U203" s="439"/>
      <c r="V203" s="439"/>
      <c r="W203" s="439"/>
      <c r="X203" s="439"/>
      <c r="Y203" s="439"/>
      <c r="Z203" s="439"/>
      <c r="AA203" s="439"/>
      <c r="AB203" s="439"/>
      <c r="AC203" s="439"/>
    </row>
    <row r="204" ht="15.75" customHeight="1">
      <c r="A204" s="439"/>
      <c r="B204" s="439"/>
      <c r="C204" s="439"/>
      <c r="D204" s="439"/>
      <c r="E204" s="439"/>
      <c r="F204" s="530"/>
      <c r="G204" s="439"/>
      <c r="H204" s="530"/>
      <c r="I204" s="439"/>
      <c r="J204" s="439"/>
      <c r="K204" s="439"/>
      <c r="L204" s="530"/>
      <c r="M204" s="439"/>
      <c r="N204" s="530"/>
      <c r="O204" s="439"/>
      <c r="P204" s="439"/>
      <c r="Q204" s="439"/>
      <c r="R204" s="530"/>
      <c r="S204" s="439"/>
      <c r="T204" s="530"/>
      <c r="U204" s="439"/>
      <c r="V204" s="439"/>
      <c r="W204" s="439"/>
      <c r="X204" s="439"/>
      <c r="Y204" s="439"/>
      <c r="Z204" s="439"/>
      <c r="AA204" s="439"/>
      <c r="AB204" s="439"/>
      <c r="AC204" s="439"/>
    </row>
    <row r="205" ht="15.75" customHeight="1">
      <c r="A205" s="439"/>
      <c r="B205" s="439"/>
      <c r="C205" s="439"/>
      <c r="D205" s="439"/>
      <c r="E205" s="439"/>
      <c r="F205" s="530"/>
      <c r="G205" s="439"/>
      <c r="H205" s="530"/>
      <c r="I205" s="439"/>
      <c r="J205" s="439"/>
      <c r="K205" s="439"/>
      <c r="L205" s="530"/>
      <c r="M205" s="439"/>
      <c r="N205" s="530"/>
      <c r="O205" s="439"/>
      <c r="P205" s="439"/>
      <c r="Q205" s="439"/>
      <c r="R205" s="530"/>
      <c r="S205" s="439"/>
      <c r="T205" s="530"/>
      <c r="U205" s="439"/>
      <c r="V205" s="439"/>
      <c r="W205" s="439"/>
      <c r="X205" s="439"/>
      <c r="Y205" s="439"/>
      <c r="Z205" s="439"/>
      <c r="AA205" s="439"/>
      <c r="AB205" s="439"/>
      <c r="AC205" s="439"/>
    </row>
    <row r="206" ht="15.75" customHeight="1">
      <c r="A206" s="439"/>
      <c r="B206" s="439"/>
      <c r="C206" s="439"/>
      <c r="D206" s="439"/>
      <c r="E206" s="439"/>
      <c r="F206" s="530"/>
      <c r="G206" s="439"/>
      <c r="H206" s="530"/>
      <c r="I206" s="439"/>
      <c r="J206" s="439"/>
      <c r="K206" s="439"/>
      <c r="L206" s="530"/>
      <c r="M206" s="439"/>
      <c r="N206" s="530"/>
      <c r="O206" s="439"/>
      <c r="P206" s="439"/>
      <c r="Q206" s="439"/>
      <c r="R206" s="530"/>
      <c r="S206" s="439"/>
      <c r="T206" s="530"/>
      <c r="U206" s="439"/>
      <c r="V206" s="439"/>
      <c r="W206" s="439"/>
      <c r="X206" s="439"/>
      <c r="Y206" s="439"/>
      <c r="Z206" s="439"/>
      <c r="AA206" s="439"/>
      <c r="AB206" s="439"/>
      <c r="AC206" s="439"/>
    </row>
    <row r="207" ht="15.75" customHeight="1">
      <c r="A207" s="439"/>
      <c r="B207" s="439"/>
      <c r="C207" s="439"/>
      <c r="D207" s="439"/>
      <c r="E207" s="439"/>
      <c r="F207" s="530"/>
      <c r="G207" s="439"/>
      <c r="H207" s="530"/>
      <c r="I207" s="439"/>
      <c r="J207" s="439"/>
      <c r="K207" s="439"/>
      <c r="L207" s="530"/>
      <c r="M207" s="439"/>
      <c r="N207" s="530"/>
      <c r="O207" s="439"/>
      <c r="P207" s="439"/>
      <c r="Q207" s="439"/>
      <c r="R207" s="530"/>
      <c r="S207" s="439"/>
      <c r="T207" s="530"/>
      <c r="U207" s="439"/>
      <c r="V207" s="439"/>
      <c r="W207" s="439"/>
      <c r="X207" s="439"/>
      <c r="Y207" s="439"/>
      <c r="Z207" s="439"/>
      <c r="AA207" s="439"/>
      <c r="AB207" s="439"/>
      <c r="AC207" s="439"/>
    </row>
    <row r="208" ht="15.75" customHeight="1">
      <c r="A208" s="439"/>
      <c r="B208" s="439"/>
      <c r="C208" s="439"/>
      <c r="D208" s="439"/>
      <c r="E208" s="439"/>
      <c r="F208" s="530"/>
      <c r="G208" s="439"/>
      <c r="H208" s="530"/>
      <c r="I208" s="439"/>
      <c r="J208" s="439"/>
      <c r="K208" s="439"/>
      <c r="L208" s="530"/>
      <c r="M208" s="439"/>
      <c r="N208" s="530"/>
      <c r="O208" s="439"/>
      <c r="P208" s="439"/>
      <c r="Q208" s="439"/>
      <c r="R208" s="530"/>
      <c r="S208" s="439"/>
      <c r="T208" s="530"/>
      <c r="U208" s="439"/>
      <c r="V208" s="439"/>
      <c r="W208" s="439"/>
      <c r="X208" s="439"/>
      <c r="Y208" s="439"/>
      <c r="Z208" s="439"/>
      <c r="AA208" s="439"/>
      <c r="AB208" s="439"/>
      <c r="AC208" s="439"/>
    </row>
    <row r="209" ht="15.75" customHeight="1">
      <c r="A209" s="439"/>
      <c r="B209" s="439"/>
      <c r="C209" s="439"/>
      <c r="D209" s="439"/>
      <c r="E209" s="439"/>
      <c r="F209" s="530"/>
      <c r="G209" s="439"/>
      <c r="H209" s="530"/>
      <c r="I209" s="439"/>
      <c r="J209" s="439"/>
      <c r="K209" s="439"/>
      <c r="L209" s="530"/>
      <c r="M209" s="439"/>
      <c r="N209" s="530"/>
      <c r="O209" s="439"/>
      <c r="P209" s="439"/>
      <c r="Q209" s="439"/>
      <c r="R209" s="530"/>
      <c r="S209" s="439"/>
      <c r="T209" s="530"/>
      <c r="U209" s="439"/>
      <c r="V209" s="439"/>
      <c r="W209" s="439"/>
      <c r="X209" s="439"/>
      <c r="Y209" s="439"/>
      <c r="Z209" s="439"/>
      <c r="AA209" s="439"/>
      <c r="AB209" s="439"/>
      <c r="AC209" s="439"/>
    </row>
    <row r="210" ht="15.75" customHeight="1">
      <c r="A210" s="439"/>
      <c r="B210" s="439"/>
      <c r="C210" s="439"/>
      <c r="D210" s="439"/>
      <c r="E210" s="439"/>
      <c r="F210" s="530"/>
      <c r="G210" s="439"/>
      <c r="H210" s="530"/>
      <c r="I210" s="439"/>
      <c r="J210" s="439"/>
      <c r="K210" s="439"/>
      <c r="L210" s="530"/>
      <c r="M210" s="439"/>
      <c r="N210" s="530"/>
      <c r="O210" s="439"/>
      <c r="P210" s="439"/>
      <c r="Q210" s="439"/>
      <c r="R210" s="530"/>
      <c r="S210" s="439"/>
      <c r="T210" s="530"/>
      <c r="U210" s="439"/>
      <c r="V210" s="439"/>
      <c r="W210" s="439"/>
      <c r="X210" s="439"/>
      <c r="Y210" s="439"/>
      <c r="Z210" s="439"/>
      <c r="AA210" s="439"/>
      <c r="AB210" s="439"/>
      <c r="AC210" s="439"/>
    </row>
    <row r="211" ht="15.75" customHeight="1">
      <c r="A211" s="439"/>
      <c r="B211" s="439"/>
      <c r="C211" s="439"/>
      <c r="D211" s="439"/>
      <c r="E211" s="439"/>
      <c r="F211" s="530"/>
      <c r="G211" s="439"/>
      <c r="H211" s="530"/>
      <c r="I211" s="439"/>
      <c r="J211" s="439"/>
      <c r="K211" s="439"/>
      <c r="L211" s="530"/>
      <c r="M211" s="439"/>
      <c r="N211" s="530"/>
      <c r="O211" s="439"/>
      <c r="P211" s="439"/>
      <c r="Q211" s="439"/>
      <c r="R211" s="530"/>
      <c r="S211" s="439"/>
      <c r="T211" s="530"/>
      <c r="U211" s="439"/>
      <c r="V211" s="439"/>
      <c r="W211" s="439"/>
      <c r="X211" s="439"/>
      <c r="Y211" s="439"/>
      <c r="Z211" s="439"/>
      <c r="AA211" s="439"/>
      <c r="AB211" s="439"/>
      <c r="AC211" s="439"/>
    </row>
    <row r="212" ht="15.75" customHeight="1">
      <c r="A212" s="439"/>
      <c r="B212" s="439"/>
      <c r="C212" s="439"/>
      <c r="D212" s="439"/>
      <c r="E212" s="439"/>
      <c r="F212" s="530"/>
      <c r="G212" s="439"/>
      <c r="H212" s="530"/>
      <c r="I212" s="439"/>
      <c r="J212" s="439"/>
      <c r="K212" s="439"/>
      <c r="L212" s="530"/>
      <c r="M212" s="439"/>
      <c r="N212" s="530"/>
      <c r="O212" s="439"/>
      <c r="P212" s="439"/>
      <c r="Q212" s="439"/>
      <c r="R212" s="530"/>
      <c r="S212" s="439"/>
      <c r="T212" s="530"/>
      <c r="U212" s="439"/>
      <c r="V212" s="439"/>
      <c r="W212" s="439"/>
      <c r="X212" s="439"/>
      <c r="Y212" s="439"/>
      <c r="Z212" s="439"/>
      <c r="AA212" s="439"/>
      <c r="AB212" s="439"/>
      <c r="AC212" s="439"/>
    </row>
    <row r="213" ht="15.75" customHeight="1">
      <c r="A213" s="439"/>
      <c r="B213" s="439"/>
      <c r="C213" s="439"/>
      <c r="D213" s="439"/>
      <c r="E213" s="439"/>
      <c r="F213" s="530"/>
      <c r="G213" s="439"/>
      <c r="H213" s="530"/>
      <c r="I213" s="439"/>
      <c r="J213" s="439"/>
      <c r="K213" s="439"/>
      <c r="L213" s="530"/>
      <c r="M213" s="439"/>
      <c r="N213" s="530"/>
      <c r="O213" s="439"/>
      <c r="P213" s="439"/>
      <c r="Q213" s="439"/>
      <c r="R213" s="530"/>
      <c r="S213" s="439"/>
      <c r="T213" s="530"/>
      <c r="U213" s="439"/>
      <c r="V213" s="439"/>
      <c r="W213" s="439"/>
      <c r="X213" s="439"/>
      <c r="Y213" s="439"/>
      <c r="Z213" s="439"/>
      <c r="AA213" s="439"/>
      <c r="AB213" s="439"/>
      <c r="AC213" s="439"/>
    </row>
    <row r="214" ht="15.75" customHeight="1">
      <c r="A214" s="439"/>
      <c r="B214" s="439"/>
      <c r="C214" s="439"/>
      <c r="D214" s="439"/>
      <c r="E214" s="439"/>
      <c r="F214" s="530"/>
      <c r="G214" s="439"/>
      <c r="H214" s="530"/>
      <c r="I214" s="439"/>
      <c r="J214" s="439"/>
      <c r="K214" s="439"/>
      <c r="L214" s="530"/>
      <c r="M214" s="439"/>
      <c r="N214" s="530"/>
      <c r="O214" s="439"/>
      <c r="P214" s="439"/>
      <c r="Q214" s="439"/>
      <c r="R214" s="530"/>
      <c r="S214" s="439"/>
      <c r="T214" s="530"/>
      <c r="U214" s="439"/>
      <c r="V214" s="439"/>
      <c r="W214" s="439"/>
      <c r="X214" s="439"/>
      <c r="Y214" s="439"/>
      <c r="Z214" s="439"/>
      <c r="AA214" s="439"/>
      <c r="AB214" s="439"/>
      <c r="AC214" s="439"/>
    </row>
    <row r="215" ht="15.75" customHeight="1">
      <c r="A215" s="439"/>
      <c r="B215" s="439"/>
      <c r="C215" s="439"/>
      <c r="D215" s="439"/>
      <c r="E215" s="439"/>
      <c r="F215" s="530"/>
      <c r="G215" s="439"/>
      <c r="H215" s="530"/>
      <c r="I215" s="439"/>
      <c r="J215" s="439"/>
      <c r="K215" s="439"/>
      <c r="L215" s="530"/>
      <c r="M215" s="439"/>
      <c r="N215" s="530"/>
      <c r="O215" s="439"/>
      <c r="P215" s="439"/>
      <c r="Q215" s="439"/>
      <c r="R215" s="530"/>
      <c r="S215" s="439"/>
      <c r="T215" s="530"/>
      <c r="U215" s="439"/>
      <c r="V215" s="439"/>
      <c r="W215" s="439"/>
      <c r="X215" s="439"/>
      <c r="Y215" s="439"/>
      <c r="Z215" s="439"/>
      <c r="AA215" s="439"/>
      <c r="AB215" s="439"/>
      <c r="AC215" s="439"/>
    </row>
    <row r="216" ht="15.75" customHeight="1">
      <c r="A216" s="439"/>
      <c r="B216" s="439"/>
      <c r="C216" s="439"/>
      <c r="D216" s="439"/>
      <c r="E216" s="439"/>
      <c r="F216" s="530"/>
      <c r="G216" s="439"/>
      <c r="H216" s="530"/>
      <c r="I216" s="439"/>
      <c r="J216" s="439"/>
      <c r="K216" s="439"/>
      <c r="L216" s="530"/>
      <c r="M216" s="439"/>
      <c r="N216" s="530"/>
      <c r="O216" s="439"/>
      <c r="P216" s="439"/>
      <c r="Q216" s="439"/>
      <c r="R216" s="530"/>
      <c r="S216" s="439"/>
      <c r="T216" s="530"/>
      <c r="U216" s="439"/>
      <c r="V216" s="439"/>
      <c r="W216" s="439"/>
      <c r="X216" s="439"/>
      <c r="Y216" s="439"/>
      <c r="Z216" s="439"/>
      <c r="AA216" s="439"/>
      <c r="AB216" s="439"/>
      <c r="AC216" s="439"/>
    </row>
    <row r="217" ht="15.75" customHeight="1">
      <c r="A217" s="439"/>
      <c r="B217" s="439"/>
      <c r="C217" s="439"/>
      <c r="D217" s="439"/>
      <c r="E217" s="439"/>
      <c r="F217" s="530"/>
      <c r="G217" s="439"/>
      <c r="H217" s="530"/>
      <c r="I217" s="439"/>
      <c r="J217" s="439"/>
      <c r="K217" s="439"/>
      <c r="L217" s="530"/>
      <c r="M217" s="439"/>
      <c r="N217" s="530"/>
      <c r="O217" s="439"/>
      <c r="P217" s="439"/>
      <c r="Q217" s="439"/>
      <c r="R217" s="530"/>
      <c r="S217" s="439"/>
      <c r="T217" s="530"/>
      <c r="U217" s="439"/>
      <c r="V217" s="439"/>
      <c r="W217" s="439"/>
      <c r="X217" s="439"/>
      <c r="Y217" s="439"/>
      <c r="Z217" s="439"/>
      <c r="AA217" s="439"/>
      <c r="AB217" s="439"/>
      <c r="AC217" s="439"/>
    </row>
    <row r="218" ht="15.75" customHeight="1">
      <c r="A218" s="439"/>
      <c r="B218" s="439"/>
      <c r="C218" s="439"/>
      <c r="D218" s="439"/>
      <c r="E218" s="439"/>
      <c r="F218" s="530"/>
      <c r="G218" s="439"/>
      <c r="H218" s="530"/>
      <c r="I218" s="439"/>
      <c r="J218" s="439"/>
      <c r="K218" s="439"/>
      <c r="L218" s="530"/>
      <c r="M218" s="439"/>
      <c r="N218" s="530"/>
      <c r="O218" s="439"/>
      <c r="P218" s="439"/>
      <c r="Q218" s="439"/>
      <c r="R218" s="530"/>
      <c r="S218" s="439"/>
      <c r="T218" s="530"/>
      <c r="U218" s="439"/>
      <c r="V218" s="439"/>
      <c r="W218" s="439"/>
      <c r="X218" s="439"/>
      <c r="Y218" s="439"/>
      <c r="Z218" s="439"/>
      <c r="AA218" s="439"/>
      <c r="AB218" s="439"/>
      <c r="AC218" s="439"/>
    </row>
    <row r="219" ht="15.75" customHeight="1">
      <c r="A219" s="439"/>
      <c r="B219" s="439"/>
      <c r="C219" s="439"/>
      <c r="D219" s="439"/>
      <c r="E219" s="439"/>
      <c r="F219" s="530"/>
      <c r="G219" s="439"/>
      <c r="H219" s="530"/>
      <c r="I219" s="439"/>
      <c r="J219" s="439"/>
      <c r="K219" s="439"/>
      <c r="L219" s="530"/>
      <c r="M219" s="439"/>
      <c r="N219" s="530"/>
      <c r="O219" s="439"/>
      <c r="P219" s="439"/>
      <c r="Q219" s="439"/>
      <c r="R219" s="530"/>
      <c r="S219" s="439"/>
      <c r="T219" s="530"/>
      <c r="U219" s="439"/>
      <c r="V219" s="439"/>
      <c r="W219" s="439"/>
      <c r="X219" s="439"/>
      <c r="Y219" s="439"/>
      <c r="Z219" s="439"/>
      <c r="AA219" s="439"/>
      <c r="AB219" s="439"/>
      <c r="AC219" s="439"/>
    </row>
    <row r="220" ht="15.75" customHeight="1">
      <c r="A220" s="439"/>
      <c r="B220" s="439"/>
      <c r="C220" s="439"/>
      <c r="D220" s="439"/>
      <c r="E220" s="439"/>
      <c r="F220" s="530"/>
      <c r="G220" s="439"/>
      <c r="H220" s="530"/>
      <c r="I220" s="439"/>
      <c r="J220" s="439"/>
      <c r="K220" s="439"/>
      <c r="L220" s="530"/>
      <c r="M220" s="439"/>
      <c r="N220" s="530"/>
      <c r="O220" s="439"/>
      <c r="P220" s="439"/>
      <c r="Q220" s="439"/>
      <c r="R220" s="530"/>
      <c r="S220" s="439"/>
      <c r="T220" s="530"/>
      <c r="U220" s="439"/>
      <c r="V220" s="439"/>
      <c r="W220" s="439"/>
      <c r="X220" s="439"/>
      <c r="Y220" s="439"/>
      <c r="Z220" s="439"/>
      <c r="AA220" s="439"/>
      <c r="AB220" s="439"/>
      <c r="AC220" s="439"/>
    </row>
    <row r="221" ht="15.75" customHeight="1">
      <c r="A221" s="439"/>
      <c r="B221" s="439"/>
      <c r="C221" s="439"/>
      <c r="D221" s="439"/>
      <c r="E221" s="439"/>
      <c r="F221" s="530"/>
      <c r="G221" s="439"/>
      <c r="H221" s="530"/>
      <c r="I221" s="439"/>
      <c r="J221" s="439"/>
      <c r="K221" s="439"/>
      <c r="L221" s="530"/>
      <c r="M221" s="439"/>
      <c r="N221" s="530"/>
      <c r="O221" s="439"/>
      <c r="P221" s="439"/>
      <c r="Q221" s="439"/>
      <c r="R221" s="530"/>
      <c r="S221" s="439"/>
      <c r="T221" s="530"/>
      <c r="U221" s="439"/>
      <c r="V221" s="439"/>
      <c r="W221" s="439"/>
      <c r="X221" s="439"/>
      <c r="Y221" s="439"/>
      <c r="Z221" s="439"/>
      <c r="AA221" s="439"/>
      <c r="AB221" s="439"/>
      <c r="AC221" s="439"/>
    </row>
    <row r="222" ht="15.75" customHeight="1">
      <c r="A222" s="439"/>
      <c r="B222" s="439"/>
      <c r="C222" s="439"/>
      <c r="D222" s="439"/>
      <c r="E222" s="439"/>
      <c r="F222" s="530"/>
      <c r="G222" s="439"/>
      <c r="H222" s="530"/>
      <c r="I222" s="439"/>
      <c r="J222" s="439"/>
      <c r="K222" s="439"/>
      <c r="L222" s="530"/>
      <c r="M222" s="439"/>
      <c r="N222" s="530"/>
      <c r="O222" s="439"/>
      <c r="P222" s="439"/>
      <c r="Q222" s="439"/>
      <c r="R222" s="530"/>
      <c r="S222" s="439"/>
      <c r="T222" s="530"/>
      <c r="U222" s="439"/>
      <c r="V222" s="439"/>
      <c r="W222" s="439"/>
      <c r="X222" s="439"/>
      <c r="Y222" s="439"/>
      <c r="Z222" s="439"/>
      <c r="AA222" s="439"/>
      <c r="AB222" s="439"/>
      <c r="AC222" s="439"/>
    </row>
    <row r="223" ht="15.75" customHeight="1">
      <c r="A223" s="439"/>
      <c r="B223" s="439"/>
      <c r="C223" s="439"/>
      <c r="D223" s="439"/>
      <c r="E223" s="439"/>
      <c r="F223" s="530"/>
      <c r="G223" s="439"/>
      <c r="H223" s="530"/>
      <c r="I223" s="439"/>
      <c r="J223" s="439"/>
      <c r="K223" s="439"/>
      <c r="L223" s="530"/>
      <c r="M223" s="439"/>
      <c r="N223" s="530"/>
      <c r="O223" s="439"/>
      <c r="P223" s="439"/>
      <c r="Q223" s="439"/>
      <c r="R223" s="530"/>
      <c r="S223" s="439"/>
      <c r="T223" s="530"/>
      <c r="U223" s="439"/>
      <c r="V223" s="439"/>
      <c r="W223" s="439"/>
      <c r="X223" s="439"/>
      <c r="Y223" s="439"/>
      <c r="Z223" s="439"/>
      <c r="AA223" s="439"/>
      <c r="AB223" s="439"/>
      <c r="AC223" s="439"/>
    </row>
    <row r="224" ht="15.75" customHeight="1">
      <c r="A224" s="439"/>
      <c r="B224" s="439"/>
      <c r="C224" s="439"/>
      <c r="D224" s="439"/>
      <c r="E224" s="439"/>
      <c r="F224" s="530"/>
      <c r="G224" s="439"/>
      <c r="H224" s="530"/>
      <c r="I224" s="439"/>
      <c r="J224" s="439"/>
      <c r="K224" s="439"/>
      <c r="L224" s="530"/>
      <c r="M224" s="439"/>
      <c r="N224" s="530"/>
      <c r="O224" s="439"/>
      <c r="P224" s="439"/>
      <c r="Q224" s="439"/>
      <c r="R224" s="530"/>
      <c r="S224" s="439"/>
      <c r="T224" s="530"/>
      <c r="U224" s="439"/>
      <c r="V224" s="439"/>
      <c r="W224" s="439"/>
      <c r="X224" s="439"/>
      <c r="Y224" s="439"/>
      <c r="Z224" s="439"/>
      <c r="AA224" s="439"/>
      <c r="AB224" s="439"/>
      <c r="AC224" s="439"/>
    </row>
    <row r="225" ht="15.75" customHeight="1">
      <c r="A225" s="439"/>
      <c r="B225" s="439"/>
      <c r="C225" s="439"/>
      <c r="D225" s="439"/>
      <c r="E225" s="439"/>
      <c r="F225" s="530"/>
      <c r="G225" s="439"/>
      <c r="H225" s="530"/>
      <c r="I225" s="439"/>
      <c r="J225" s="439"/>
      <c r="K225" s="439"/>
      <c r="L225" s="530"/>
      <c r="M225" s="439"/>
      <c r="N225" s="530"/>
      <c r="O225" s="439"/>
      <c r="P225" s="439"/>
      <c r="Q225" s="439"/>
      <c r="R225" s="530"/>
      <c r="S225" s="439"/>
      <c r="T225" s="530"/>
      <c r="U225" s="439"/>
      <c r="V225" s="439"/>
      <c r="W225" s="439"/>
      <c r="X225" s="439"/>
      <c r="Y225" s="439"/>
      <c r="Z225" s="439"/>
      <c r="AA225" s="439"/>
      <c r="AB225" s="439"/>
      <c r="AC225" s="439"/>
    </row>
    <row r="226" ht="15.75" customHeight="1">
      <c r="A226" s="439"/>
      <c r="B226" s="439"/>
      <c r="C226" s="439"/>
      <c r="D226" s="439"/>
      <c r="E226" s="439"/>
      <c r="F226" s="530"/>
      <c r="G226" s="439"/>
      <c r="H226" s="530"/>
      <c r="I226" s="439"/>
      <c r="J226" s="439"/>
      <c r="K226" s="439"/>
      <c r="L226" s="530"/>
      <c r="M226" s="439"/>
      <c r="N226" s="530"/>
      <c r="O226" s="439"/>
      <c r="P226" s="439"/>
      <c r="Q226" s="439"/>
      <c r="R226" s="530"/>
      <c r="S226" s="439"/>
      <c r="T226" s="530"/>
      <c r="U226" s="439"/>
      <c r="V226" s="439"/>
      <c r="W226" s="439"/>
      <c r="X226" s="439"/>
      <c r="Y226" s="439"/>
      <c r="Z226" s="439"/>
      <c r="AA226" s="439"/>
      <c r="AB226" s="439"/>
      <c r="AC226" s="439"/>
    </row>
    <row r="227" ht="15.75" customHeight="1">
      <c r="A227" s="439"/>
      <c r="B227" s="439"/>
      <c r="C227" s="439"/>
      <c r="D227" s="439"/>
      <c r="E227" s="439"/>
      <c r="F227" s="530"/>
      <c r="G227" s="439"/>
      <c r="H227" s="530"/>
      <c r="I227" s="439"/>
      <c r="J227" s="439"/>
      <c r="K227" s="439"/>
      <c r="L227" s="530"/>
      <c r="M227" s="439"/>
      <c r="N227" s="530"/>
      <c r="O227" s="439"/>
      <c r="P227" s="439"/>
      <c r="Q227" s="439"/>
      <c r="R227" s="530"/>
      <c r="S227" s="439"/>
      <c r="T227" s="530"/>
      <c r="U227" s="439"/>
      <c r="V227" s="439"/>
      <c r="W227" s="439"/>
      <c r="X227" s="439"/>
      <c r="Y227" s="439"/>
      <c r="Z227" s="439"/>
      <c r="AA227" s="439"/>
      <c r="AB227" s="439"/>
      <c r="AC227" s="439"/>
    </row>
    <row r="228" ht="15.75" customHeight="1">
      <c r="A228" s="439"/>
      <c r="B228" s="439"/>
      <c r="C228" s="439"/>
      <c r="D228" s="439"/>
      <c r="E228" s="439"/>
      <c r="F228" s="530"/>
      <c r="G228" s="439"/>
      <c r="H228" s="530"/>
      <c r="I228" s="439"/>
      <c r="J228" s="439"/>
      <c r="K228" s="439"/>
      <c r="L228" s="530"/>
      <c r="M228" s="439"/>
      <c r="N228" s="530"/>
      <c r="O228" s="439"/>
      <c r="P228" s="439"/>
      <c r="Q228" s="439"/>
      <c r="R228" s="530"/>
      <c r="S228" s="439"/>
      <c r="T228" s="530"/>
      <c r="U228" s="439"/>
      <c r="V228" s="439"/>
      <c r="W228" s="439"/>
      <c r="X228" s="439"/>
      <c r="Y228" s="439"/>
      <c r="Z228" s="439"/>
      <c r="AA228" s="439"/>
      <c r="AB228" s="439"/>
      <c r="AC228" s="439"/>
    </row>
    <row r="229" ht="15.75" customHeight="1">
      <c r="A229" s="439"/>
      <c r="B229" s="439"/>
      <c r="C229" s="439"/>
      <c r="D229" s="439"/>
      <c r="E229" s="439"/>
      <c r="F229" s="530"/>
      <c r="G229" s="439"/>
      <c r="H229" s="530"/>
      <c r="I229" s="439"/>
      <c r="J229" s="439"/>
      <c r="K229" s="439"/>
      <c r="L229" s="530"/>
      <c r="M229" s="439"/>
      <c r="N229" s="530"/>
      <c r="O229" s="439"/>
      <c r="P229" s="439"/>
      <c r="Q229" s="439"/>
      <c r="R229" s="530"/>
      <c r="S229" s="439"/>
      <c r="T229" s="530"/>
      <c r="U229" s="439"/>
      <c r="V229" s="439"/>
      <c r="W229" s="439"/>
      <c r="X229" s="439"/>
      <c r="Y229" s="439"/>
      <c r="Z229" s="439"/>
      <c r="AA229" s="439"/>
      <c r="AB229" s="439"/>
      <c r="AC229" s="439"/>
    </row>
    <row r="230" ht="15.75" customHeight="1">
      <c r="A230" s="439"/>
      <c r="B230" s="439"/>
      <c r="C230" s="439"/>
      <c r="D230" s="439"/>
      <c r="E230" s="439"/>
      <c r="F230" s="530"/>
      <c r="G230" s="439"/>
      <c r="H230" s="530"/>
      <c r="I230" s="439"/>
      <c r="J230" s="439"/>
      <c r="K230" s="439"/>
      <c r="L230" s="530"/>
      <c r="M230" s="439"/>
      <c r="N230" s="530"/>
      <c r="O230" s="439"/>
      <c r="P230" s="439"/>
      <c r="Q230" s="439"/>
      <c r="R230" s="530"/>
      <c r="S230" s="439"/>
      <c r="T230" s="530"/>
      <c r="U230" s="439"/>
      <c r="V230" s="439"/>
      <c r="W230" s="439"/>
      <c r="X230" s="439"/>
      <c r="Y230" s="439"/>
      <c r="Z230" s="439"/>
      <c r="AA230" s="439"/>
      <c r="AB230" s="439"/>
      <c r="AC230" s="439"/>
    </row>
    <row r="231" ht="15.75" customHeight="1">
      <c r="A231" s="439"/>
      <c r="B231" s="439"/>
      <c r="C231" s="439"/>
      <c r="D231" s="439"/>
      <c r="E231" s="439"/>
      <c r="F231" s="530"/>
      <c r="G231" s="439"/>
      <c r="H231" s="530"/>
      <c r="I231" s="439"/>
      <c r="J231" s="439"/>
      <c r="K231" s="439"/>
      <c r="L231" s="530"/>
      <c r="M231" s="439"/>
      <c r="N231" s="530"/>
      <c r="O231" s="439"/>
      <c r="P231" s="439"/>
      <c r="Q231" s="439"/>
      <c r="R231" s="530"/>
      <c r="S231" s="439"/>
      <c r="T231" s="530"/>
      <c r="U231" s="439"/>
      <c r="V231" s="439"/>
      <c r="W231" s="439"/>
      <c r="X231" s="439"/>
      <c r="Y231" s="439"/>
      <c r="Z231" s="439"/>
      <c r="AA231" s="439"/>
      <c r="AB231" s="439"/>
      <c r="AC231" s="439"/>
    </row>
    <row r="232" ht="15.75" customHeight="1">
      <c r="A232" s="439"/>
      <c r="B232" s="439"/>
      <c r="C232" s="439"/>
      <c r="D232" s="439"/>
      <c r="E232" s="439"/>
      <c r="F232" s="530"/>
      <c r="G232" s="439"/>
      <c r="H232" s="530"/>
      <c r="I232" s="439"/>
      <c r="J232" s="439"/>
      <c r="K232" s="439"/>
      <c r="L232" s="530"/>
      <c r="M232" s="439"/>
      <c r="N232" s="530"/>
      <c r="O232" s="439"/>
      <c r="P232" s="439"/>
      <c r="Q232" s="439"/>
      <c r="R232" s="530"/>
      <c r="S232" s="439"/>
      <c r="T232" s="530"/>
      <c r="U232" s="439"/>
      <c r="V232" s="439"/>
      <c r="W232" s="439"/>
      <c r="X232" s="439"/>
      <c r="Y232" s="439"/>
      <c r="Z232" s="439"/>
      <c r="AA232" s="439"/>
      <c r="AB232" s="439"/>
      <c r="AC232" s="439"/>
    </row>
    <row r="233" ht="15.75" customHeight="1">
      <c r="A233" s="439"/>
      <c r="B233" s="439"/>
      <c r="C233" s="439"/>
      <c r="D233" s="439"/>
      <c r="E233" s="439"/>
      <c r="F233" s="530"/>
      <c r="G233" s="439"/>
      <c r="H233" s="530"/>
      <c r="I233" s="439"/>
      <c r="J233" s="439"/>
      <c r="K233" s="439"/>
      <c r="L233" s="530"/>
      <c r="M233" s="439"/>
      <c r="N233" s="530"/>
      <c r="O233" s="439"/>
      <c r="P233" s="439"/>
      <c r="Q233" s="439"/>
      <c r="R233" s="530"/>
      <c r="S233" s="439"/>
      <c r="T233" s="530"/>
      <c r="U233" s="439"/>
      <c r="V233" s="439"/>
      <c r="W233" s="439"/>
      <c r="X233" s="439"/>
      <c r="Y233" s="439"/>
      <c r="Z233" s="439"/>
      <c r="AA233" s="439"/>
      <c r="AB233" s="439"/>
      <c r="AC233" s="439"/>
    </row>
    <row r="234" ht="15.75" customHeight="1">
      <c r="A234" s="439"/>
      <c r="B234" s="439"/>
      <c r="C234" s="439"/>
      <c r="D234" s="439"/>
      <c r="E234" s="439"/>
      <c r="F234" s="530"/>
      <c r="G234" s="439"/>
      <c r="H234" s="530"/>
      <c r="I234" s="439"/>
      <c r="J234" s="439"/>
      <c r="K234" s="439"/>
      <c r="L234" s="530"/>
      <c r="M234" s="439"/>
      <c r="N234" s="530"/>
      <c r="O234" s="439"/>
      <c r="P234" s="439"/>
      <c r="Q234" s="439"/>
      <c r="R234" s="530"/>
      <c r="S234" s="439"/>
      <c r="T234" s="530"/>
      <c r="U234" s="439"/>
      <c r="V234" s="439"/>
      <c r="W234" s="439"/>
      <c r="X234" s="439"/>
      <c r="Y234" s="439"/>
      <c r="Z234" s="439"/>
      <c r="AA234" s="439"/>
      <c r="AB234" s="439"/>
      <c r="AC234" s="439"/>
    </row>
    <row r="235" ht="15.75" customHeight="1">
      <c r="A235" s="439"/>
      <c r="B235" s="439"/>
      <c r="C235" s="439"/>
      <c r="D235" s="439"/>
      <c r="E235" s="439"/>
      <c r="F235" s="530"/>
      <c r="G235" s="439"/>
      <c r="H235" s="530"/>
      <c r="I235" s="439"/>
      <c r="J235" s="439"/>
      <c r="K235" s="439"/>
      <c r="L235" s="530"/>
      <c r="M235" s="439"/>
      <c r="N235" s="530"/>
      <c r="O235" s="439"/>
      <c r="P235" s="439"/>
      <c r="Q235" s="439"/>
      <c r="R235" s="530"/>
      <c r="S235" s="439"/>
      <c r="T235" s="530"/>
      <c r="U235" s="439"/>
      <c r="V235" s="439"/>
      <c r="W235" s="439"/>
      <c r="X235" s="439"/>
      <c r="Y235" s="439"/>
      <c r="Z235" s="439"/>
      <c r="AA235" s="439"/>
      <c r="AB235" s="439"/>
      <c r="AC235" s="439"/>
    </row>
    <row r="236" ht="15.75" customHeight="1">
      <c r="A236" s="439"/>
      <c r="B236" s="439"/>
      <c r="C236" s="439"/>
      <c r="D236" s="439"/>
      <c r="E236" s="439"/>
      <c r="F236" s="530"/>
      <c r="G236" s="439"/>
      <c r="H236" s="530"/>
      <c r="I236" s="439"/>
      <c r="J236" s="439"/>
      <c r="K236" s="439"/>
      <c r="L236" s="530"/>
      <c r="M236" s="439"/>
      <c r="N236" s="530"/>
      <c r="O236" s="439"/>
      <c r="P236" s="439"/>
      <c r="Q236" s="439"/>
      <c r="R236" s="530"/>
      <c r="S236" s="439"/>
      <c r="T236" s="530"/>
      <c r="U236" s="439"/>
      <c r="V236" s="439"/>
      <c r="W236" s="439"/>
      <c r="X236" s="439"/>
      <c r="Y236" s="439"/>
      <c r="Z236" s="439"/>
      <c r="AA236" s="439"/>
      <c r="AB236" s="439"/>
      <c r="AC236" s="439"/>
    </row>
    <row r="237" ht="15.75" customHeight="1">
      <c r="A237" s="439"/>
      <c r="B237" s="439"/>
      <c r="C237" s="439"/>
      <c r="D237" s="439"/>
      <c r="E237" s="439"/>
      <c r="F237" s="530"/>
      <c r="G237" s="439"/>
      <c r="H237" s="530"/>
      <c r="I237" s="439"/>
      <c r="J237" s="439"/>
      <c r="K237" s="439"/>
      <c r="L237" s="530"/>
      <c r="M237" s="439"/>
      <c r="N237" s="530"/>
      <c r="O237" s="439"/>
      <c r="P237" s="439"/>
      <c r="Q237" s="439"/>
      <c r="R237" s="530"/>
      <c r="S237" s="439"/>
      <c r="T237" s="530"/>
      <c r="U237" s="439"/>
      <c r="V237" s="439"/>
      <c r="W237" s="439"/>
      <c r="X237" s="439"/>
      <c r="Y237" s="439"/>
      <c r="Z237" s="439"/>
      <c r="AA237" s="439"/>
      <c r="AB237" s="439"/>
      <c r="AC237" s="439"/>
    </row>
    <row r="238" ht="15.75" customHeight="1">
      <c r="A238" s="439"/>
      <c r="B238" s="439"/>
      <c r="C238" s="439"/>
      <c r="D238" s="439"/>
      <c r="E238" s="439"/>
      <c r="F238" s="530"/>
      <c r="G238" s="439"/>
      <c r="H238" s="530"/>
      <c r="I238" s="439"/>
      <c r="J238" s="439"/>
      <c r="K238" s="439"/>
      <c r="L238" s="530"/>
      <c r="M238" s="439"/>
      <c r="N238" s="530"/>
      <c r="O238" s="439"/>
      <c r="P238" s="439"/>
      <c r="Q238" s="439"/>
      <c r="R238" s="530"/>
      <c r="S238" s="439"/>
      <c r="T238" s="530"/>
      <c r="U238" s="439"/>
      <c r="V238" s="439"/>
      <c r="W238" s="439"/>
      <c r="X238" s="439"/>
      <c r="Y238" s="439"/>
      <c r="Z238" s="439"/>
      <c r="AA238" s="439"/>
      <c r="AB238" s="439"/>
      <c r="AC238" s="439"/>
    </row>
    <row r="239" ht="15.75" customHeight="1">
      <c r="A239" s="439"/>
      <c r="B239" s="439"/>
      <c r="C239" s="439"/>
      <c r="D239" s="439"/>
      <c r="E239" s="439"/>
      <c r="F239" s="530"/>
      <c r="G239" s="439"/>
      <c r="H239" s="530"/>
      <c r="I239" s="439"/>
      <c r="J239" s="439"/>
      <c r="K239" s="439"/>
      <c r="L239" s="530"/>
      <c r="M239" s="439"/>
      <c r="N239" s="530"/>
      <c r="O239" s="439"/>
      <c r="P239" s="439"/>
      <c r="Q239" s="439"/>
      <c r="R239" s="530"/>
      <c r="S239" s="439"/>
      <c r="T239" s="530"/>
      <c r="U239" s="439"/>
      <c r="V239" s="439"/>
      <c r="W239" s="439"/>
      <c r="X239" s="439"/>
      <c r="Y239" s="439"/>
      <c r="Z239" s="439"/>
      <c r="AA239" s="439"/>
      <c r="AB239" s="439"/>
      <c r="AC239" s="439"/>
    </row>
    <row r="240" ht="15.75" customHeight="1">
      <c r="A240" s="439"/>
      <c r="B240" s="439"/>
      <c r="C240" s="439"/>
      <c r="D240" s="439"/>
      <c r="E240" s="439"/>
      <c r="F240" s="530"/>
      <c r="G240" s="439"/>
      <c r="H240" s="530"/>
      <c r="I240" s="439"/>
      <c r="J240" s="439"/>
      <c r="K240" s="439"/>
      <c r="L240" s="530"/>
      <c r="M240" s="439"/>
      <c r="N240" s="530"/>
      <c r="O240" s="439"/>
      <c r="P240" s="439"/>
      <c r="Q240" s="439"/>
      <c r="R240" s="530"/>
      <c r="S240" s="439"/>
      <c r="T240" s="530"/>
      <c r="U240" s="439"/>
      <c r="V240" s="439"/>
      <c r="W240" s="439"/>
      <c r="X240" s="439"/>
      <c r="Y240" s="439"/>
      <c r="Z240" s="439"/>
      <c r="AA240" s="439"/>
      <c r="AB240" s="439"/>
      <c r="AC240" s="439"/>
    </row>
    <row r="241" ht="15.75" customHeight="1">
      <c r="A241" s="439"/>
      <c r="B241" s="439"/>
      <c r="C241" s="439"/>
      <c r="D241" s="439"/>
      <c r="E241" s="439"/>
      <c r="F241" s="530"/>
      <c r="G241" s="439"/>
      <c r="H241" s="530"/>
      <c r="I241" s="439"/>
      <c r="J241" s="439"/>
      <c r="K241" s="439"/>
      <c r="L241" s="530"/>
      <c r="M241" s="439"/>
      <c r="N241" s="530"/>
      <c r="O241" s="439"/>
      <c r="P241" s="439"/>
      <c r="Q241" s="439"/>
      <c r="R241" s="530"/>
      <c r="S241" s="439"/>
      <c r="T241" s="530"/>
      <c r="U241" s="439"/>
      <c r="V241" s="439"/>
      <c r="W241" s="439"/>
      <c r="X241" s="439"/>
      <c r="Y241" s="439"/>
      <c r="Z241" s="439"/>
      <c r="AA241" s="439"/>
      <c r="AB241" s="439"/>
      <c r="AC241" s="439"/>
    </row>
    <row r="242" ht="15.75" customHeight="1">
      <c r="A242" s="439"/>
      <c r="B242" s="439"/>
      <c r="C242" s="439"/>
      <c r="D242" s="439"/>
      <c r="E242" s="439"/>
      <c r="F242" s="530"/>
      <c r="G242" s="439"/>
      <c r="H242" s="530"/>
      <c r="I242" s="439"/>
      <c r="J242" s="439"/>
      <c r="K242" s="439"/>
      <c r="L242" s="530"/>
      <c r="M242" s="439"/>
      <c r="N242" s="530"/>
      <c r="O242" s="439"/>
      <c r="P242" s="439"/>
      <c r="Q242" s="439"/>
      <c r="R242" s="530"/>
      <c r="S242" s="439"/>
      <c r="T242" s="530"/>
      <c r="U242" s="439"/>
      <c r="V242" s="439"/>
      <c r="W242" s="439"/>
      <c r="X242" s="439"/>
      <c r="Y242" s="439"/>
      <c r="Z242" s="439"/>
      <c r="AA242" s="439"/>
      <c r="AB242" s="439"/>
      <c r="AC242" s="439"/>
    </row>
    <row r="243" ht="15.75" customHeight="1">
      <c r="A243" s="439"/>
      <c r="B243" s="439"/>
      <c r="C243" s="439"/>
      <c r="D243" s="439"/>
      <c r="E243" s="439"/>
      <c r="F243" s="530"/>
      <c r="G243" s="439"/>
      <c r="H243" s="530"/>
      <c r="I243" s="439"/>
      <c r="J243" s="439"/>
      <c r="K243" s="439"/>
      <c r="L243" s="530"/>
      <c r="M243" s="439"/>
      <c r="N243" s="530"/>
      <c r="O243" s="439"/>
      <c r="P243" s="439"/>
      <c r="Q243" s="439"/>
      <c r="R243" s="530"/>
      <c r="S243" s="439"/>
      <c r="T243" s="530"/>
      <c r="U243" s="439"/>
      <c r="V243" s="439"/>
      <c r="W243" s="439"/>
      <c r="X243" s="439"/>
      <c r="Y243" s="439"/>
      <c r="Z243" s="439"/>
      <c r="AA243" s="439"/>
      <c r="AB243" s="439"/>
      <c r="AC243" s="439"/>
    </row>
    <row r="244" ht="15.75" customHeight="1">
      <c r="A244" s="439"/>
      <c r="B244" s="439"/>
      <c r="C244" s="439"/>
      <c r="D244" s="439"/>
      <c r="E244" s="439"/>
      <c r="F244" s="530"/>
      <c r="G244" s="439"/>
      <c r="H244" s="530"/>
      <c r="I244" s="439"/>
      <c r="J244" s="439"/>
      <c r="K244" s="439"/>
      <c r="L244" s="530"/>
      <c r="M244" s="439"/>
      <c r="N244" s="530"/>
      <c r="O244" s="439"/>
      <c r="P244" s="439"/>
      <c r="Q244" s="439"/>
      <c r="R244" s="530"/>
      <c r="S244" s="439"/>
      <c r="T244" s="530"/>
      <c r="U244" s="439"/>
      <c r="V244" s="439"/>
      <c r="W244" s="439"/>
      <c r="X244" s="439"/>
      <c r="Y244" s="439"/>
      <c r="Z244" s="439"/>
      <c r="AA244" s="439"/>
      <c r="AB244" s="439"/>
      <c r="AC244" s="439"/>
    </row>
    <row r="245" ht="15.75" customHeight="1">
      <c r="A245" s="439"/>
      <c r="B245" s="439"/>
      <c r="C245" s="439"/>
      <c r="D245" s="439"/>
      <c r="E245" s="439"/>
      <c r="F245" s="530"/>
      <c r="G245" s="439"/>
      <c r="H245" s="530"/>
      <c r="I245" s="439"/>
      <c r="J245" s="439"/>
      <c r="K245" s="439"/>
      <c r="L245" s="530"/>
      <c r="M245" s="439"/>
      <c r="N245" s="530"/>
      <c r="O245" s="439"/>
      <c r="P245" s="439"/>
      <c r="Q245" s="439"/>
      <c r="R245" s="530"/>
      <c r="S245" s="439"/>
      <c r="T245" s="530"/>
      <c r="U245" s="439"/>
      <c r="V245" s="439"/>
      <c r="W245" s="439"/>
      <c r="X245" s="439"/>
      <c r="Y245" s="439"/>
      <c r="Z245" s="439"/>
      <c r="AA245" s="439"/>
      <c r="AB245" s="439"/>
      <c r="AC245" s="439"/>
    </row>
    <row r="246" ht="15.75" customHeight="1">
      <c r="A246" s="439"/>
      <c r="B246" s="439"/>
      <c r="C246" s="439"/>
      <c r="D246" s="439"/>
      <c r="E246" s="439"/>
      <c r="F246" s="530"/>
      <c r="G246" s="439"/>
      <c r="H246" s="530"/>
      <c r="I246" s="439"/>
      <c r="J246" s="439"/>
      <c r="K246" s="439"/>
      <c r="L246" s="530"/>
      <c r="M246" s="439"/>
      <c r="N246" s="530"/>
      <c r="O246" s="439"/>
      <c r="P246" s="439"/>
      <c r="Q246" s="439"/>
      <c r="R246" s="530"/>
      <c r="S246" s="439"/>
      <c r="T246" s="530"/>
      <c r="U246" s="439"/>
      <c r="V246" s="439"/>
      <c r="W246" s="439"/>
      <c r="X246" s="439"/>
      <c r="Y246" s="439"/>
      <c r="Z246" s="439"/>
      <c r="AA246" s="439"/>
      <c r="AB246" s="439"/>
      <c r="AC246" s="439"/>
    </row>
    <row r="247" ht="15.75" customHeight="1">
      <c r="A247" s="439"/>
      <c r="B247" s="439"/>
      <c r="C247" s="439"/>
      <c r="D247" s="439"/>
      <c r="E247" s="439"/>
      <c r="F247" s="530"/>
      <c r="G247" s="439"/>
      <c r="H247" s="530"/>
      <c r="I247" s="439"/>
      <c r="J247" s="439"/>
      <c r="K247" s="439"/>
      <c r="L247" s="530"/>
      <c r="M247" s="439"/>
      <c r="N247" s="530"/>
      <c r="O247" s="439"/>
      <c r="P247" s="439"/>
      <c r="Q247" s="439"/>
      <c r="R247" s="530"/>
      <c r="S247" s="439"/>
      <c r="T247" s="530"/>
      <c r="U247" s="439"/>
      <c r="V247" s="439"/>
      <c r="W247" s="439"/>
      <c r="X247" s="439"/>
      <c r="Y247" s="439"/>
      <c r="Z247" s="439"/>
      <c r="AA247" s="439"/>
      <c r="AB247" s="439"/>
      <c r="AC247" s="439"/>
    </row>
    <row r="248" ht="15.75" customHeight="1">
      <c r="A248" s="439"/>
      <c r="B248" s="439"/>
      <c r="C248" s="439"/>
      <c r="D248" s="439"/>
      <c r="E248" s="439"/>
      <c r="F248" s="530"/>
      <c r="G248" s="439"/>
      <c r="H248" s="530"/>
      <c r="I248" s="439"/>
      <c r="J248" s="439"/>
      <c r="K248" s="439"/>
      <c r="L248" s="530"/>
      <c r="M248" s="439"/>
      <c r="N248" s="530"/>
      <c r="O248" s="439"/>
      <c r="P248" s="439"/>
      <c r="Q248" s="439"/>
      <c r="R248" s="530"/>
      <c r="S248" s="439"/>
      <c r="T248" s="530"/>
      <c r="U248" s="439"/>
      <c r="V248" s="439"/>
      <c r="W248" s="439"/>
      <c r="X248" s="439"/>
      <c r="Y248" s="439"/>
      <c r="Z248" s="439"/>
      <c r="AA248" s="439"/>
      <c r="AB248" s="439"/>
      <c r="AC248" s="439"/>
    </row>
    <row r="249" ht="15.75" customHeight="1">
      <c r="A249" s="439"/>
      <c r="B249" s="439"/>
      <c r="C249" s="439"/>
      <c r="D249" s="439"/>
      <c r="E249" s="439"/>
      <c r="F249" s="530"/>
      <c r="G249" s="439"/>
      <c r="H249" s="530"/>
      <c r="I249" s="439"/>
      <c r="J249" s="439"/>
      <c r="K249" s="439"/>
      <c r="L249" s="530"/>
      <c r="M249" s="439"/>
      <c r="N249" s="530"/>
      <c r="O249" s="439"/>
      <c r="P249" s="439"/>
      <c r="Q249" s="439"/>
      <c r="R249" s="530"/>
      <c r="S249" s="439"/>
      <c r="T249" s="530"/>
      <c r="U249" s="439"/>
      <c r="V249" s="439"/>
      <c r="W249" s="439"/>
      <c r="X249" s="439"/>
      <c r="Y249" s="439"/>
      <c r="Z249" s="439"/>
      <c r="AA249" s="439"/>
      <c r="AB249" s="439"/>
      <c r="AC249" s="439"/>
    </row>
    <row r="250" ht="15.75" customHeight="1">
      <c r="A250" s="439"/>
      <c r="B250" s="439"/>
      <c r="C250" s="439"/>
      <c r="D250" s="439"/>
      <c r="E250" s="439"/>
      <c r="F250" s="530"/>
      <c r="G250" s="439"/>
      <c r="H250" s="530"/>
      <c r="I250" s="439"/>
      <c r="J250" s="439"/>
      <c r="K250" s="439"/>
      <c r="L250" s="530"/>
      <c r="M250" s="439"/>
      <c r="N250" s="530"/>
      <c r="O250" s="439"/>
      <c r="P250" s="439"/>
      <c r="Q250" s="439"/>
      <c r="R250" s="530"/>
      <c r="S250" s="439"/>
      <c r="T250" s="530"/>
      <c r="U250" s="439"/>
      <c r="V250" s="439"/>
      <c r="W250" s="439"/>
      <c r="X250" s="439"/>
      <c r="Y250" s="439"/>
      <c r="Z250" s="439"/>
      <c r="AA250" s="439"/>
      <c r="AB250" s="439"/>
      <c r="AC250" s="439"/>
    </row>
    <row r="251" ht="15.75" customHeight="1">
      <c r="A251" s="439"/>
      <c r="B251" s="439"/>
      <c r="C251" s="439"/>
      <c r="D251" s="439"/>
      <c r="E251" s="439"/>
      <c r="F251" s="530"/>
      <c r="G251" s="439"/>
      <c r="H251" s="530"/>
      <c r="I251" s="439"/>
      <c r="J251" s="439"/>
      <c r="K251" s="439"/>
      <c r="L251" s="530"/>
      <c r="M251" s="439"/>
      <c r="N251" s="530"/>
      <c r="O251" s="439"/>
      <c r="P251" s="439"/>
      <c r="Q251" s="439"/>
      <c r="R251" s="530"/>
      <c r="S251" s="439"/>
      <c r="T251" s="530"/>
      <c r="U251" s="439"/>
      <c r="V251" s="439"/>
      <c r="W251" s="439"/>
      <c r="X251" s="439"/>
      <c r="Y251" s="439"/>
      <c r="Z251" s="439"/>
      <c r="AA251" s="439"/>
      <c r="AB251" s="439"/>
      <c r="AC251" s="439"/>
    </row>
    <row r="252" ht="15.75" customHeight="1">
      <c r="A252" s="439"/>
      <c r="B252" s="439"/>
      <c r="C252" s="439"/>
      <c r="D252" s="439"/>
      <c r="E252" s="439"/>
      <c r="F252" s="530"/>
      <c r="G252" s="439"/>
      <c r="H252" s="530"/>
      <c r="I252" s="439"/>
      <c r="J252" s="439"/>
      <c r="K252" s="439"/>
      <c r="L252" s="530"/>
      <c r="M252" s="439"/>
      <c r="N252" s="530"/>
      <c r="O252" s="439"/>
      <c r="P252" s="439"/>
      <c r="Q252" s="439"/>
      <c r="R252" s="530"/>
      <c r="S252" s="439"/>
      <c r="T252" s="530"/>
      <c r="U252" s="439"/>
      <c r="V252" s="439"/>
      <c r="W252" s="439"/>
      <c r="X252" s="439"/>
      <c r="Y252" s="439"/>
      <c r="Z252" s="439"/>
      <c r="AA252" s="439"/>
      <c r="AB252" s="439"/>
      <c r="AC252" s="439"/>
    </row>
    <row r="253" ht="15.75" customHeight="1">
      <c r="A253" s="439"/>
      <c r="B253" s="439"/>
      <c r="C253" s="439"/>
      <c r="D253" s="439"/>
      <c r="E253" s="439"/>
      <c r="F253" s="530"/>
      <c r="G253" s="439"/>
      <c r="H253" s="530"/>
      <c r="I253" s="439"/>
      <c r="J253" s="439"/>
      <c r="K253" s="439"/>
      <c r="L253" s="530"/>
      <c r="M253" s="439"/>
      <c r="N253" s="530"/>
      <c r="O253" s="439"/>
      <c r="P253" s="439"/>
      <c r="Q253" s="439"/>
      <c r="R253" s="530"/>
      <c r="S253" s="439"/>
      <c r="T253" s="530"/>
      <c r="U253" s="439"/>
      <c r="V253" s="439"/>
      <c r="W253" s="439"/>
      <c r="X253" s="439"/>
      <c r="Y253" s="439"/>
      <c r="Z253" s="439"/>
      <c r="AA253" s="439"/>
      <c r="AB253" s="439"/>
      <c r="AC253" s="439"/>
    </row>
    <row r="254" ht="15.75" customHeight="1">
      <c r="A254" s="439"/>
      <c r="B254" s="439"/>
      <c r="C254" s="439"/>
      <c r="D254" s="439"/>
      <c r="E254" s="439"/>
      <c r="F254" s="530"/>
      <c r="G254" s="439"/>
      <c r="H254" s="530"/>
      <c r="I254" s="439"/>
      <c r="J254" s="439"/>
      <c r="K254" s="439"/>
      <c r="L254" s="530"/>
      <c r="M254" s="439"/>
      <c r="N254" s="530"/>
      <c r="O254" s="439"/>
      <c r="P254" s="439"/>
      <c r="Q254" s="439"/>
      <c r="R254" s="530"/>
      <c r="S254" s="439"/>
      <c r="T254" s="530"/>
      <c r="U254" s="439"/>
      <c r="V254" s="439"/>
      <c r="W254" s="439"/>
      <c r="X254" s="439"/>
      <c r="Y254" s="439"/>
      <c r="Z254" s="439"/>
      <c r="AA254" s="439"/>
      <c r="AB254" s="439"/>
      <c r="AC254" s="439"/>
    </row>
    <row r="255" ht="15.75" customHeight="1">
      <c r="A255" s="439"/>
      <c r="B255" s="439"/>
      <c r="C255" s="439"/>
      <c r="D255" s="439"/>
      <c r="E255" s="439"/>
      <c r="F255" s="530"/>
      <c r="G255" s="439"/>
      <c r="H255" s="530"/>
      <c r="I255" s="439"/>
      <c r="J255" s="439"/>
      <c r="K255" s="439"/>
      <c r="L255" s="530"/>
      <c r="M255" s="439"/>
      <c r="N255" s="530"/>
      <c r="O255" s="439"/>
      <c r="P255" s="439"/>
      <c r="Q255" s="439"/>
      <c r="R255" s="530"/>
      <c r="S255" s="439"/>
      <c r="T255" s="530"/>
      <c r="U255" s="439"/>
      <c r="V255" s="439"/>
      <c r="W255" s="439"/>
      <c r="X255" s="439"/>
      <c r="Y255" s="439"/>
      <c r="Z255" s="439"/>
      <c r="AA255" s="439"/>
      <c r="AB255" s="439"/>
      <c r="AC255" s="439"/>
    </row>
    <row r="256" ht="15.75" customHeight="1">
      <c r="A256" s="439"/>
      <c r="B256" s="439"/>
      <c r="C256" s="439"/>
      <c r="D256" s="439"/>
      <c r="E256" s="439"/>
      <c r="F256" s="530"/>
      <c r="G256" s="439"/>
      <c r="H256" s="530"/>
      <c r="I256" s="439"/>
      <c r="J256" s="439"/>
      <c r="K256" s="439"/>
      <c r="L256" s="530"/>
      <c r="M256" s="439"/>
      <c r="N256" s="530"/>
      <c r="O256" s="439"/>
      <c r="P256" s="439"/>
      <c r="Q256" s="439"/>
      <c r="R256" s="530"/>
      <c r="S256" s="439"/>
      <c r="T256" s="530"/>
      <c r="U256" s="439"/>
      <c r="V256" s="439"/>
      <c r="W256" s="439"/>
      <c r="X256" s="439"/>
      <c r="Y256" s="439"/>
      <c r="Z256" s="439"/>
      <c r="AA256" s="439"/>
      <c r="AB256" s="439"/>
      <c r="AC256" s="439"/>
    </row>
    <row r="257" ht="15.75" customHeight="1">
      <c r="A257" s="439"/>
      <c r="B257" s="439"/>
      <c r="C257" s="439"/>
      <c r="D257" s="439"/>
      <c r="E257" s="439"/>
      <c r="F257" s="530"/>
      <c r="G257" s="439"/>
      <c r="H257" s="530"/>
      <c r="I257" s="439"/>
      <c r="J257" s="439"/>
      <c r="K257" s="439"/>
      <c r="L257" s="530"/>
      <c r="M257" s="439"/>
      <c r="N257" s="530"/>
      <c r="O257" s="439"/>
      <c r="P257" s="439"/>
      <c r="Q257" s="439"/>
      <c r="R257" s="530"/>
      <c r="S257" s="439"/>
      <c r="T257" s="530"/>
      <c r="U257" s="439"/>
      <c r="V257" s="439"/>
      <c r="W257" s="439"/>
      <c r="X257" s="439"/>
      <c r="Y257" s="439"/>
      <c r="Z257" s="439"/>
      <c r="AA257" s="439"/>
      <c r="AB257" s="439"/>
      <c r="AC257" s="439"/>
    </row>
    <row r="258" ht="15.75" customHeight="1">
      <c r="A258" s="439"/>
      <c r="B258" s="439"/>
      <c r="C258" s="439"/>
      <c r="D258" s="439"/>
      <c r="E258" s="439"/>
      <c r="F258" s="530"/>
      <c r="G258" s="439"/>
      <c r="H258" s="530"/>
      <c r="I258" s="439"/>
      <c r="J258" s="439"/>
      <c r="K258" s="439"/>
      <c r="L258" s="530"/>
      <c r="M258" s="439"/>
      <c r="N258" s="530"/>
      <c r="O258" s="439"/>
      <c r="P258" s="439"/>
      <c r="Q258" s="439"/>
      <c r="R258" s="530"/>
      <c r="S258" s="439"/>
      <c r="T258" s="530"/>
      <c r="U258" s="439"/>
      <c r="V258" s="439"/>
      <c r="W258" s="439"/>
      <c r="X258" s="439"/>
      <c r="Y258" s="439"/>
      <c r="Z258" s="439"/>
      <c r="AA258" s="439"/>
      <c r="AB258" s="439"/>
      <c r="AC258" s="439"/>
    </row>
    <row r="259" ht="15.75" customHeight="1">
      <c r="A259" s="439"/>
      <c r="B259" s="439"/>
      <c r="C259" s="439"/>
      <c r="D259" s="439"/>
      <c r="E259" s="439"/>
      <c r="F259" s="530"/>
      <c r="G259" s="439"/>
      <c r="H259" s="530"/>
      <c r="I259" s="439"/>
      <c r="J259" s="439"/>
      <c r="K259" s="439"/>
      <c r="L259" s="530"/>
      <c r="M259" s="439"/>
      <c r="N259" s="530"/>
      <c r="O259" s="439"/>
      <c r="P259" s="439"/>
      <c r="Q259" s="439"/>
      <c r="R259" s="530"/>
      <c r="S259" s="439"/>
      <c r="T259" s="530"/>
      <c r="U259" s="439"/>
      <c r="V259" s="439"/>
      <c r="W259" s="439"/>
      <c r="X259" s="439"/>
      <c r="Y259" s="439"/>
      <c r="Z259" s="439"/>
      <c r="AA259" s="439"/>
      <c r="AB259" s="439"/>
      <c r="AC259" s="439"/>
    </row>
    <row r="260" ht="15.75" customHeight="1">
      <c r="A260" s="439"/>
      <c r="B260" s="439"/>
      <c r="C260" s="439"/>
      <c r="D260" s="439"/>
      <c r="E260" s="439"/>
      <c r="F260" s="530"/>
      <c r="G260" s="439"/>
      <c r="H260" s="530"/>
      <c r="I260" s="439"/>
      <c r="J260" s="439"/>
      <c r="K260" s="439"/>
      <c r="L260" s="530"/>
      <c r="M260" s="439"/>
      <c r="N260" s="530"/>
      <c r="O260" s="439"/>
      <c r="P260" s="439"/>
      <c r="Q260" s="439"/>
      <c r="R260" s="530"/>
      <c r="S260" s="439"/>
      <c r="T260" s="530"/>
      <c r="U260" s="439"/>
      <c r="V260" s="439"/>
      <c r="W260" s="439"/>
      <c r="X260" s="439"/>
      <c r="Y260" s="439"/>
      <c r="Z260" s="439"/>
      <c r="AA260" s="439"/>
      <c r="AB260" s="439"/>
      <c r="AC260" s="439"/>
    </row>
    <row r="261" ht="15.75" customHeight="1">
      <c r="A261" s="439"/>
      <c r="B261" s="439"/>
      <c r="C261" s="439"/>
      <c r="D261" s="439"/>
      <c r="E261" s="439"/>
      <c r="F261" s="530"/>
      <c r="G261" s="439"/>
      <c r="H261" s="530"/>
      <c r="I261" s="439"/>
      <c r="J261" s="439"/>
      <c r="K261" s="439"/>
      <c r="L261" s="530"/>
      <c r="M261" s="439"/>
      <c r="N261" s="530"/>
      <c r="O261" s="439"/>
      <c r="P261" s="439"/>
      <c r="Q261" s="439"/>
      <c r="R261" s="530"/>
      <c r="S261" s="439"/>
      <c r="T261" s="530"/>
      <c r="U261" s="439"/>
      <c r="V261" s="439"/>
      <c r="W261" s="439"/>
      <c r="X261" s="439"/>
      <c r="Y261" s="439"/>
      <c r="Z261" s="439"/>
      <c r="AA261" s="439"/>
      <c r="AB261" s="439"/>
      <c r="AC261" s="439"/>
    </row>
    <row r="262" ht="15.75" customHeight="1">
      <c r="A262" s="439"/>
      <c r="B262" s="439"/>
      <c r="C262" s="439"/>
      <c r="D262" s="439"/>
      <c r="E262" s="439"/>
      <c r="F262" s="530"/>
      <c r="G262" s="439"/>
      <c r="H262" s="530"/>
      <c r="I262" s="439"/>
      <c r="J262" s="439"/>
      <c r="K262" s="439"/>
      <c r="L262" s="530"/>
      <c r="M262" s="439"/>
      <c r="N262" s="530"/>
      <c r="O262" s="439"/>
      <c r="P262" s="439"/>
      <c r="Q262" s="439"/>
      <c r="R262" s="530"/>
      <c r="S262" s="439"/>
      <c r="T262" s="530"/>
      <c r="U262" s="439"/>
      <c r="V262" s="439"/>
      <c r="W262" s="439"/>
      <c r="X262" s="439"/>
      <c r="Y262" s="439"/>
      <c r="Z262" s="439"/>
      <c r="AA262" s="439"/>
      <c r="AB262" s="439"/>
      <c r="AC262" s="439"/>
    </row>
    <row r="263" ht="15.75" customHeight="1">
      <c r="A263" s="439"/>
      <c r="B263" s="439"/>
      <c r="C263" s="439"/>
      <c r="D263" s="439"/>
      <c r="E263" s="439"/>
      <c r="F263" s="530"/>
      <c r="G263" s="439"/>
      <c r="H263" s="530"/>
      <c r="I263" s="439"/>
      <c r="J263" s="439"/>
      <c r="K263" s="439"/>
      <c r="L263" s="530"/>
      <c r="M263" s="439"/>
      <c r="N263" s="530"/>
      <c r="O263" s="439"/>
      <c r="P263" s="439"/>
      <c r="Q263" s="439"/>
      <c r="R263" s="530"/>
      <c r="S263" s="439"/>
      <c r="T263" s="530"/>
      <c r="U263" s="439"/>
      <c r="V263" s="439"/>
      <c r="W263" s="439"/>
      <c r="X263" s="439"/>
      <c r="Y263" s="439"/>
      <c r="Z263" s="439"/>
      <c r="AA263" s="439"/>
      <c r="AB263" s="439"/>
      <c r="AC263" s="439"/>
    </row>
    <row r="264" ht="15.75" customHeight="1">
      <c r="A264" s="439"/>
      <c r="B264" s="439"/>
      <c r="C264" s="439"/>
      <c r="D264" s="439"/>
      <c r="E264" s="439"/>
      <c r="F264" s="530"/>
      <c r="G264" s="439"/>
      <c r="H264" s="530"/>
      <c r="I264" s="439"/>
      <c r="J264" s="439"/>
      <c r="K264" s="439"/>
      <c r="L264" s="530"/>
      <c r="M264" s="439"/>
      <c r="N264" s="530"/>
      <c r="O264" s="439"/>
      <c r="P264" s="439"/>
      <c r="Q264" s="439"/>
      <c r="R264" s="530"/>
      <c r="S264" s="439"/>
      <c r="T264" s="530"/>
      <c r="U264" s="439"/>
      <c r="V264" s="439"/>
      <c r="W264" s="439"/>
      <c r="X264" s="439"/>
      <c r="Y264" s="439"/>
      <c r="Z264" s="439"/>
      <c r="AA264" s="439"/>
      <c r="AB264" s="439"/>
      <c r="AC264" s="439"/>
    </row>
    <row r="265" ht="15.75" customHeight="1">
      <c r="A265" s="439"/>
      <c r="B265" s="439"/>
      <c r="C265" s="439"/>
      <c r="D265" s="439"/>
      <c r="E265" s="439"/>
      <c r="F265" s="530"/>
      <c r="G265" s="439"/>
      <c r="H265" s="530"/>
      <c r="I265" s="439"/>
      <c r="J265" s="439"/>
      <c r="K265" s="439"/>
      <c r="L265" s="530"/>
      <c r="M265" s="439"/>
      <c r="N265" s="530"/>
      <c r="O265" s="439"/>
      <c r="P265" s="439"/>
      <c r="Q265" s="439"/>
      <c r="R265" s="530"/>
      <c r="S265" s="439"/>
      <c r="T265" s="530"/>
      <c r="U265" s="439"/>
      <c r="V265" s="439"/>
      <c r="W265" s="439"/>
      <c r="X265" s="439"/>
      <c r="Y265" s="439"/>
      <c r="Z265" s="439"/>
      <c r="AA265" s="439"/>
      <c r="AB265" s="439"/>
      <c r="AC265" s="439"/>
    </row>
    <row r="266" ht="15.75" customHeight="1">
      <c r="A266" s="439"/>
      <c r="B266" s="439"/>
      <c r="C266" s="439"/>
      <c r="D266" s="439"/>
      <c r="E266" s="439"/>
      <c r="F266" s="530"/>
      <c r="G266" s="439"/>
      <c r="H266" s="530"/>
      <c r="I266" s="439"/>
      <c r="J266" s="439"/>
      <c r="K266" s="439"/>
      <c r="L266" s="530"/>
      <c r="M266" s="439"/>
      <c r="N266" s="530"/>
      <c r="O266" s="439"/>
      <c r="P266" s="439"/>
      <c r="Q266" s="439"/>
      <c r="R266" s="530"/>
      <c r="S266" s="439"/>
      <c r="T266" s="530"/>
      <c r="U266" s="439"/>
      <c r="V266" s="439"/>
      <c r="W266" s="439"/>
      <c r="X266" s="439"/>
      <c r="Y266" s="439"/>
      <c r="Z266" s="439"/>
      <c r="AA266" s="439"/>
      <c r="AB266" s="439"/>
      <c r="AC266" s="439"/>
    </row>
    <row r="267" ht="15.75" customHeight="1">
      <c r="A267" s="439"/>
      <c r="B267" s="439"/>
      <c r="C267" s="439"/>
      <c r="D267" s="439"/>
      <c r="E267" s="439"/>
      <c r="F267" s="530"/>
      <c r="G267" s="439"/>
      <c r="H267" s="530"/>
      <c r="I267" s="439"/>
      <c r="J267" s="439"/>
      <c r="K267" s="439"/>
      <c r="L267" s="530"/>
      <c r="M267" s="439"/>
      <c r="N267" s="530"/>
      <c r="O267" s="439"/>
      <c r="P267" s="439"/>
      <c r="Q267" s="439"/>
      <c r="R267" s="530"/>
      <c r="S267" s="439"/>
      <c r="T267" s="530"/>
      <c r="U267" s="439"/>
      <c r="V267" s="439"/>
      <c r="W267" s="439"/>
      <c r="X267" s="439"/>
      <c r="Y267" s="439"/>
      <c r="Z267" s="439"/>
      <c r="AA267" s="439"/>
      <c r="AB267" s="439"/>
      <c r="AC267" s="439"/>
    </row>
    <row r="268" ht="15.75" customHeight="1">
      <c r="A268" s="439"/>
      <c r="B268" s="439"/>
      <c r="C268" s="439"/>
      <c r="D268" s="439"/>
      <c r="E268" s="439"/>
      <c r="F268" s="530"/>
      <c r="G268" s="439"/>
      <c r="H268" s="530"/>
      <c r="I268" s="439"/>
      <c r="J268" s="439"/>
      <c r="K268" s="439"/>
      <c r="L268" s="530"/>
      <c r="M268" s="439"/>
      <c r="N268" s="530"/>
      <c r="O268" s="439"/>
      <c r="P268" s="439"/>
      <c r="Q268" s="439"/>
      <c r="R268" s="530"/>
      <c r="S268" s="439"/>
      <c r="T268" s="530"/>
      <c r="U268" s="439"/>
      <c r="V268" s="439"/>
      <c r="W268" s="439"/>
      <c r="X268" s="439"/>
      <c r="Y268" s="439"/>
      <c r="Z268" s="439"/>
      <c r="AA268" s="439"/>
      <c r="AB268" s="439"/>
      <c r="AC268" s="439"/>
    </row>
    <row r="269" ht="15.75" customHeight="1">
      <c r="A269" s="439"/>
      <c r="B269" s="439"/>
      <c r="C269" s="439"/>
      <c r="D269" s="439"/>
      <c r="E269" s="439"/>
      <c r="F269" s="530"/>
      <c r="G269" s="439"/>
      <c r="H269" s="530"/>
      <c r="I269" s="439"/>
      <c r="J269" s="439"/>
      <c r="K269" s="439"/>
      <c r="L269" s="530"/>
      <c r="M269" s="439"/>
      <c r="N269" s="530"/>
      <c r="O269" s="439"/>
      <c r="P269" s="439"/>
      <c r="Q269" s="439"/>
      <c r="R269" s="530"/>
      <c r="S269" s="439"/>
      <c r="T269" s="530"/>
      <c r="U269" s="439"/>
      <c r="V269" s="439"/>
      <c r="W269" s="439"/>
      <c r="X269" s="439"/>
      <c r="Y269" s="439"/>
      <c r="Z269" s="439"/>
      <c r="AA269" s="439"/>
      <c r="AB269" s="439"/>
      <c r="AC269" s="439"/>
    </row>
    <row r="270" ht="15.75" customHeight="1">
      <c r="A270" s="439"/>
      <c r="B270" s="439"/>
      <c r="C270" s="439"/>
      <c r="D270" s="439"/>
      <c r="E270" s="439"/>
      <c r="F270" s="530"/>
      <c r="G270" s="439"/>
      <c r="H270" s="530"/>
      <c r="I270" s="439"/>
      <c r="J270" s="439"/>
      <c r="K270" s="439"/>
      <c r="L270" s="530"/>
      <c r="M270" s="439"/>
      <c r="N270" s="530"/>
      <c r="O270" s="439"/>
      <c r="P270" s="439"/>
      <c r="Q270" s="439"/>
      <c r="R270" s="530"/>
      <c r="S270" s="439"/>
      <c r="T270" s="530"/>
      <c r="U270" s="439"/>
      <c r="V270" s="439"/>
      <c r="W270" s="439"/>
      <c r="X270" s="439"/>
      <c r="Y270" s="439"/>
      <c r="Z270" s="439"/>
      <c r="AA270" s="439"/>
      <c r="AB270" s="439"/>
      <c r="AC270" s="439"/>
    </row>
    <row r="271" ht="15.75" customHeight="1">
      <c r="A271" s="439"/>
      <c r="B271" s="439"/>
      <c r="C271" s="439"/>
      <c r="D271" s="439"/>
      <c r="E271" s="439"/>
      <c r="F271" s="530"/>
      <c r="G271" s="439"/>
      <c r="H271" s="530"/>
      <c r="I271" s="439"/>
      <c r="J271" s="439"/>
      <c r="K271" s="439"/>
      <c r="L271" s="530"/>
      <c r="M271" s="439"/>
      <c r="N271" s="530"/>
      <c r="O271" s="439"/>
      <c r="P271" s="439"/>
      <c r="Q271" s="439"/>
      <c r="R271" s="530"/>
      <c r="S271" s="439"/>
      <c r="T271" s="530"/>
      <c r="U271" s="439"/>
      <c r="V271" s="439"/>
      <c r="W271" s="439"/>
      <c r="X271" s="439"/>
      <c r="Y271" s="439"/>
      <c r="Z271" s="439"/>
      <c r="AA271" s="439"/>
      <c r="AB271" s="439"/>
      <c r="AC271" s="439"/>
    </row>
    <row r="272" ht="15.75" customHeight="1">
      <c r="A272" s="439"/>
      <c r="B272" s="439"/>
      <c r="C272" s="439"/>
      <c r="D272" s="439"/>
      <c r="E272" s="439"/>
      <c r="F272" s="530"/>
      <c r="G272" s="439"/>
      <c r="H272" s="530"/>
      <c r="I272" s="439"/>
      <c r="J272" s="439"/>
      <c r="K272" s="439"/>
      <c r="L272" s="530"/>
      <c r="M272" s="439"/>
      <c r="N272" s="530"/>
      <c r="O272" s="439"/>
      <c r="P272" s="439"/>
      <c r="Q272" s="439"/>
      <c r="R272" s="530"/>
      <c r="S272" s="439"/>
      <c r="T272" s="530"/>
      <c r="U272" s="439"/>
      <c r="V272" s="439"/>
      <c r="W272" s="439"/>
      <c r="X272" s="439"/>
      <c r="Y272" s="439"/>
      <c r="Z272" s="439"/>
      <c r="AA272" s="439"/>
      <c r="AB272" s="439"/>
      <c r="AC272" s="439"/>
    </row>
    <row r="273" ht="15.75" customHeight="1">
      <c r="A273" s="439"/>
      <c r="B273" s="439"/>
      <c r="C273" s="439"/>
      <c r="D273" s="439"/>
      <c r="E273" s="439"/>
      <c r="F273" s="530"/>
      <c r="G273" s="439"/>
      <c r="H273" s="530"/>
      <c r="I273" s="439"/>
      <c r="J273" s="439"/>
      <c r="K273" s="439"/>
      <c r="L273" s="530"/>
      <c r="M273" s="439"/>
      <c r="N273" s="530"/>
      <c r="O273" s="439"/>
      <c r="P273" s="439"/>
      <c r="Q273" s="439"/>
      <c r="R273" s="530"/>
      <c r="S273" s="439"/>
      <c r="T273" s="530"/>
      <c r="U273" s="439"/>
      <c r="V273" s="439"/>
      <c r="W273" s="439"/>
      <c r="X273" s="439"/>
      <c r="Y273" s="439"/>
      <c r="Z273" s="439"/>
      <c r="AA273" s="439"/>
      <c r="AB273" s="439"/>
      <c r="AC273" s="439"/>
    </row>
    <row r="274" ht="15.75" customHeight="1">
      <c r="A274" s="439"/>
      <c r="B274" s="439"/>
      <c r="C274" s="439"/>
      <c r="D274" s="439"/>
      <c r="E274" s="439"/>
      <c r="F274" s="530"/>
      <c r="G274" s="439"/>
      <c r="H274" s="530"/>
      <c r="I274" s="439"/>
      <c r="J274" s="439"/>
      <c r="K274" s="439"/>
      <c r="L274" s="530"/>
      <c r="M274" s="439"/>
      <c r="N274" s="530"/>
      <c r="O274" s="439"/>
      <c r="P274" s="439"/>
      <c r="Q274" s="439"/>
      <c r="R274" s="530"/>
      <c r="S274" s="439"/>
      <c r="T274" s="530"/>
      <c r="U274" s="439"/>
      <c r="V274" s="439"/>
      <c r="W274" s="439"/>
      <c r="X274" s="439"/>
      <c r="Y274" s="439"/>
      <c r="Z274" s="439"/>
      <c r="AA274" s="439"/>
      <c r="AB274" s="439"/>
      <c r="AC274" s="439"/>
    </row>
    <row r="275" ht="15.75" customHeight="1">
      <c r="A275" s="439"/>
      <c r="B275" s="439"/>
      <c r="C275" s="439"/>
      <c r="D275" s="439"/>
      <c r="E275" s="439"/>
      <c r="F275" s="530"/>
      <c r="G275" s="439"/>
      <c r="H275" s="530"/>
      <c r="I275" s="439"/>
      <c r="J275" s="439"/>
      <c r="K275" s="439"/>
      <c r="L275" s="530"/>
      <c r="M275" s="439"/>
      <c r="N275" s="530"/>
      <c r="O275" s="439"/>
      <c r="P275" s="439"/>
      <c r="Q275" s="439"/>
      <c r="R275" s="530"/>
      <c r="S275" s="439"/>
      <c r="T275" s="530"/>
      <c r="U275" s="439"/>
      <c r="V275" s="439"/>
      <c r="W275" s="439"/>
      <c r="X275" s="439"/>
      <c r="Y275" s="439"/>
      <c r="Z275" s="439"/>
      <c r="AA275" s="439"/>
      <c r="AB275" s="439"/>
      <c r="AC275" s="439"/>
    </row>
    <row r="276" ht="15.75" customHeight="1">
      <c r="A276" s="439"/>
      <c r="B276" s="439"/>
      <c r="C276" s="439"/>
      <c r="D276" s="439"/>
      <c r="E276" s="439"/>
      <c r="F276" s="530"/>
      <c r="G276" s="439"/>
      <c r="H276" s="530"/>
      <c r="I276" s="439"/>
      <c r="J276" s="439"/>
      <c r="K276" s="439"/>
      <c r="L276" s="530"/>
      <c r="M276" s="439"/>
      <c r="N276" s="530"/>
      <c r="O276" s="439"/>
      <c r="P276" s="439"/>
      <c r="Q276" s="439"/>
      <c r="R276" s="530"/>
      <c r="S276" s="439"/>
      <c r="T276" s="530"/>
      <c r="U276" s="439"/>
      <c r="V276" s="439"/>
      <c r="W276" s="439"/>
      <c r="X276" s="439"/>
      <c r="Y276" s="439"/>
      <c r="Z276" s="439"/>
      <c r="AA276" s="439"/>
      <c r="AB276" s="439"/>
      <c r="AC276" s="439"/>
    </row>
    <row r="277" ht="15.75" customHeight="1">
      <c r="A277" s="439"/>
      <c r="B277" s="439"/>
      <c r="C277" s="439"/>
      <c r="D277" s="439"/>
      <c r="E277" s="439"/>
      <c r="F277" s="530"/>
      <c r="G277" s="439"/>
      <c r="H277" s="530"/>
      <c r="I277" s="439"/>
      <c r="J277" s="439"/>
      <c r="K277" s="439"/>
      <c r="L277" s="530"/>
      <c r="M277" s="439"/>
      <c r="N277" s="530"/>
      <c r="O277" s="439"/>
      <c r="P277" s="439"/>
      <c r="Q277" s="439"/>
      <c r="R277" s="530"/>
      <c r="S277" s="439"/>
      <c r="T277" s="530"/>
      <c r="U277" s="439"/>
      <c r="V277" s="439"/>
      <c r="W277" s="439"/>
      <c r="X277" s="439"/>
      <c r="Y277" s="439"/>
      <c r="Z277" s="439"/>
      <c r="AA277" s="439"/>
      <c r="AB277" s="439"/>
      <c r="AC277" s="439"/>
    </row>
    <row r="278" ht="15.75" customHeight="1">
      <c r="A278" s="439"/>
      <c r="B278" s="439"/>
      <c r="C278" s="439"/>
      <c r="D278" s="439"/>
      <c r="E278" s="439"/>
      <c r="F278" s="530"/>
      <c r="G278" s="439"/>
      <c r="H278" s="530"/>
      <c r="I278" s="439"/>
      <c r="J278" s="439"/>
      <c r="K278" s="439"/>
      <c r="L278" s="530"/>
      <c r="M278" s="439"/>
      <c r="N278" s="530"/>
      <c r="O278" s="439"/>
      <c r="P278" s="439"/>
      <c r="Q278" s="439"/>
      <c r="R278" s="530"/>
      <c r="S278" s="439"/>
      <c r="T278" s="530"/>
      <c r="U278" s="439"/>
      <c r="V278" s="439"/>
      <c r="W278" s="439"/>
      <c r="X278" s="439"/>
      <c r="Y278" s="439"/>
      <c r="Z278" s="439"/>
      <c r="AA278" s="439"/>
      <c r="AB278" s="439"/>
      <c r="AC278" s="439"/>
    </row>
    <row r="279" ht="15.75" customHeight="1">
      <c r="A279" s="439"/>
      <c r="B279" s="439"/>
      <c r="C279" s="439"/>
      <c r="D279" s="439"/>
      <c r="E279" s="439"/>
      <c r="F279" s="530"/>
      <c r="G279" s="439"/>
      <c r="H279" s="530"/>
      <c r="I279" s="439"/>
      <c r="J279" s="439"/>
      <c r="K279" s="439"/>
      <c r="L279" s="530"/>
      <c r="M279" s="439"/>
      <c r="N279" s="530"/>
      <c r="O279" s="439"/>
      <c r="P279" s="439"/>
      <c r="Q279" s="439"/>
      <c r="R279" s="530"/>
      <c r="S279" s="439"/>
      <c r="T279" s="530"/>
      <c r="U279" s="439"/>
      <c r="V279" s="439"/>
      <c r="W279" s="439"/>
      <c r="X279" s="439"/>
      <c r="Y279" s="439"/>
      <c r="Z279" s="439"/>
      <c r="AA279" s="439"/>
      <c r="AB279" s="439"/>
      <c r="AC279" s="439"/>
    </row>
    <row r="280" ht="15.75" customHeight="1">
      <c r="A280" s="439"/>
      <c r="B280" s="439"/>
      <c r="C280" s="439"/>
      <c r="D280" s="439"/>
      <c r="E280" s="439"/>
      <c r="F280" s="530"/>
      <c r="G280" s="439"/>
      <c r="H280" s="530"/>
      <c r="I280" s="439"/>
      <c r="J280" s="439"/>
      <c r="K280" s="439"/>
      <c r="L280" s="530"/>
      <c r="M280" s="439"/>
      <c r="N280" s="530"/>
      <c r="O280" s="439"/>
      <c r="P280" s="439"/>
      <c r="Q280" s="439"/>
      <c r="R280" s="530"/>
      <c r="S280" s="439"/>
      <c r="T280" s="530"/>
      <c r="U280" s="439"/>
      <c r="V280" s="439"/>
      <c r="W280" s="439"/>
      <c r="X280" s="439"/>
      <c r="Y280" s="439"/>
      <c r="Z280" s="439"/>
      <c r="AA280" s="439"/>
      <c r="AB280" s="439"/>
      <c r="AC280" s="439"/>
    </row>
    <row r="281" ht="15.75" customHeight="1">
      <c r="A281" s="439"/>
      <c r="B281" s="439"/>
      <c r="C281" s="439"/>
      <c r="D281" s="439"/>
      <c r="E281" s="439"/>
      <c r="F281" s="530"/>
      <c r="G281" s="439"/>
      <c r="H281" s="530"/>
      <c r="I281" s="439"/>
      <c r="J281" s="439"/>
      <c r="K281" s="439"/>
      <c r="L281" s="530"/>
      <c r="M281" s="439"/>
      <c r="N281" s="530"/>
      <c r="O281" s="439"/>
      <c r="P281" s="439"/>
      <c r="Q281" s="439"/>
      <c r="R281" s="530"/>
      <c r="S281" s="439"/>
      <c r="T281" s="530"/>
      <c r="U281" s="439"/>
      <c r="V281" s="439"/>
      <c r="W281" s="439"/>
      <c r="X281" s="439"/>
      <c r="Y281" s="439"/>
      <c r="Z281" s="439"/>
      <c r="AA281" s="439"/>
      <c r="AB281" s="439"/>
      <c r="AC281" s="439"/>
    </row>
    <row r="282" ht="15.75" customHeight="1">
      <c r="A282" s="439"/>
      <c r="B282" s="439"/>
      <c r="C282" s="439"/>
      <c r="D282" s="439"/>
      <c r="E282" s="439"/>
      <c r="F282" s="530"/>
      <c r="G282" s="439"/>
      <c r="H282" s="530"/>
      <c r="I282" s="439"/>
      <c r="J282" s="439"/>
      <c r="K282" s="439"/>
      <c r="L282" s="530"/>
      <c r="M282" s="439"/>
      <c r="N282" s="530"/>
      <c r="O282" s="439"/>
      <c r="P282" s="439"/>
      <c r="Q282" s="439"/>
      <c r="R282" s="530"/>
      <c r="S282" s="439"/>
      <c r="T282" s="530"/>
      <c r="U282" s="439"/>
      <c r="V282" s="439"/>
      <c r="W282" s="439"/>
      <c r="X282" s="439"/>
      <c r="Y282" s="439"/>
      <c r="Z282" s="439"/>
      <c r="AA282" s="439"/>
      <c r="AB282" s="439"/>
      <c r="AC282" s="439"/>
    </row>
    <row r="283" ht="15.75" customHeight="1">
      <c r="A283" s="439"/>
      <c r="B283" s="439"/>
      <c r="C283" s="439"/>
      <c r="D283" s="439"/>
      <c r="E283" s="439"/>
      <c r="F283" s="530"/>
      <c r="G283" s="439"/>
      <c r="H283" s="530"/>
      <c r="I283" s="439"/>
      <c r="J283" s="439"/>
      <c r="K283" s="439"/>
      <c r="L283" s="530"/>
      <c r="M283" s="439"/>
      <c r="N283" s="530"/>
      <c r="O283" s="439"/>
      <c r="P283" s="439"/>
      <c r="Q283" s="439"/>
      <c r="R283" s="530"/>
      <c r="S283" s="439"/>
      <c r="T283" s="530"/>
      <c r="U283" s="439"/>
      <c r="V283" s="439"/>
      <c r="W283" s="439"/>
      <c r="X283" s="439"/>
      <c r="Y283" s="439"/>
      <c r="Z283" s="439"/>
      <c r="AA283" s="439"/>
      <c r="AB283" s="439"/>
      <c r="AC283" s="439"/>
    </row>
    <row r="284" ht="15.75" customHeight="1">
      <c r="A284" s="439"/>
      <c r="B284" s="439"/>
      <c r="C284" s="439"/>
      <c r="D284" s="439"/>
      <c r="E284" s="439"/>
      <c r="F284" s="530"/>
      <c r="G284" s="439"/>
      <c r="H284" s="530"/>
      <c r="I284" s="439"/>
      <c r="J284" s="439"/>
      <c r="K284" s="439"/>
      <c r="L284" s="530"/>
      <c r="M284" s="439"/>
      <c r="N284" s="530"/>
      <c r="O284" s="439"/>
      <c r="P284" s="439"/>
      <c r="Q284" s="439"/>
      <c r="R284" s="530"/>
      <c r="S284" s="439"/>
      <c r="T284" s="530"/>
      <c r="U284" s="439"/>
      <c r="V284" s="439"/>
      <c r="W284" s="439"/>
      <c r="X284" s="439"/>
      <c r="Y284" s="439"/>
      <c r="Z284" s="439"/>
      <c r="AA284" s="439"/>
      <c r="AB284" s="439"/>
      <c r="AC284" s="439"/>
    </row>
    <row r="285" ht="15.75" customHeight="1">
      <c r="A285" s="439"/>
      <c r="B285" s="439"/>
      <c r="C285" s="439"/>
      <c r="D285" s="439"/>
      <c r="E285" s="439"/>
      <c r="F285" s="530"/>
      <c r="G285" s="439"/>
      <c r="H285" s="530"/>
      <c r="I285" s="439"/>
      <c r="J285" s="439"/>
      <c r="K285" s="439"/>
      <c r="L285" s="530"/>
      <c r="M285" s="439"/>
      <c r="N285" s="530"/>
      <c r="O285" s="439"/>
      <c r="P285" s="439"/>
      <c r="Q285" s="439"/>
      <c r="R285" s="530"/>
      <c r="S285" s="439"/>
      <c r="T285" s="530"/>
      <c r="U285" s="439"/>
      <c r="V285" s="439"/>
      <c r="W285" s="439"/>
      <c r="X285" s="439"/>
      <c r="Y285" s="439"/>
      <c r="Z285" s="439"/>
      <c r="AA285" s="439"/>
      <c r="AB285" s="439"/>
      <c r="AC285" s="439"/>
    </row>
    <row r="286" ht="15.75" customHeight="1">
      <c r="A286" s="439"/>
      <c r="B286" s="439"/>
      <c r="C286" s="439"/>
      <c r="D286" s="439"/>
      <c r="E286" s="439"/>
      <c r="F286" s="530"/>
      <c r="G286" s="439"/>
      <c r="H286" s="530"/>
      <c r="I286" s="439"/>
      <c r="J286" s="439"/>
      <c r="K286" s="439"/>
      <c r="L286" s="530"/>
      <c r="M286" s="439"/>
      <c r="N286" s="530"/>
      <c r="O286" s="439"/>
      <c r="P286" s="439"/>
      <c r="Q286" s="439"/>
      <c r="R286" s="530"/>
      <c r="S286" s="439"/>
      <c r="T286" s="530"/>
      <c r="U286" s="439"/>
      <c r="V286" s="439"/>
      <c r="W286" s="439"/>
      <c r="X286" s="439"/>
      <c r="Y286" s="439"/>
      <c r="Z286" s="439"/>
      <c r="AA286" s="439"/>
      <c r="AB286" s="439"/>
      <c r="AC286" s="439"/>
    </row>
    <row r="287" ht="15.75" customHeight="1">
      <c r="A287" s="439"/>
      <c r="B287" s="439"/>
      <c r="C287" s="439"/>
      <c r="D287" s="439"/>
      <c r="E287" s="439"/>
      <c r="F287" s="530"/>
      <c r="G287" s="439"/>
      <c r="H287" s="530"/>
      <c r="I287" s="439"/>
      <c r="J287" s="439"/>
      <c r="K287" s="439"/>
      <c r="L287" s="530"/>
      <c r="M287" s="439"/>
      <c r="N287" s="530"/>
      <c r="O287" s="439"/>
      <c r="P287" s="439"/>
      <c r="Q287" s="439"/>
      <c r="R287" s="530"/>
      <c r="S287" s="439"/>
      <c r="T287" s="530"/>
      <c r="U287" s="439"/>
      <c r="V287" s="439"/>
      <c r="W287" s="439"/>
      <c r="X287" s="439"/>
      <c r="Y287" s="439"/>
      <c r="Z287" s="439"/>
      <c r="AA287" s="439"/>
      <c r="AB287" s="439"/>
      <c r="AC287" s="439"/>
    </row>
    <row r="288" ht="15.75" customHeight="1">
      <c r="A288" s="439"/>
      <c r="B288" s="439"/>
      <c r="C288" s="439"/>
      <c r="D288" s="439"/>
      <c r="E288" s="439"/>
      <c r="F288" s="530"/>
      <c r="G288" s="439"/>
      <c r="H288" s="530"/>
      <c r="I288" s="439"/>
      <c r="J288" s="439"/>
      <c r="K288" s="439"/>
      <c r="L288" s="530"/>
      <c r="M288" s="439"/>
      <c r="N288" s="530"/>
      <c r="O288" s="439"/>
      <c r="P288" s="439"/>
      <c r="Q288" s="439"/>
      <c r="R288" s="530"/>
      <c r="S288" s="439"/>
      <c r="T288" s="530"/>
      <c r="U288" s="439"/>
      <c r="V288" s="439"/>
      <c r="W288" s="439"/>
      <c r="X288" s="439"/>
      <c r="Y288" s="439"/>
      <c r="Z288" s="439"/>
      <c r="AA288" s="439"/>
      <c r="AB288" s="439"/>
      <c r="AC288" s="439"/>
    </row>
    <row r="289" ht="15.75" customHeight="1">
      <c r="A289" s="439"/>
      <c r="B289" s="439"/>
      <c r="C289" s="439"/>
      <c r="D289" s="439"/>
      <c r="E289" s="439"/>
      <c r="F289" s="530"/>
      <c r="G289" s="439"/>
      <c r="H289" s="530"/>
      <c r="I289" s="439"/>
      <c r="J289" s="439"/>
      <c r="K289" s="439"/>
      <c r="L289" s="530"/>
      <c r="M289" s="439"/>
      <c r="N289" s="530"/>
      <c r="O289" s="439"/>
      <c r="P289" s="439"/>
      <c r="Q289" s="439"/>
      <c r="R289" s="530"/>
      <c r="S289" s="439"/>
      <c r="T289" s="530"/>
      <c r="U289" s="439"/>
      <c r="V289" s="439"/>
      <c r="W289" s="439"/>
      <c r="X289" s="439"/>
      <c r="Y289" s="439"/>
      <c r="Z289" s="439"/>
      <c r="AA289" s="439"/>
      <c r="AB289" s="439"/>
      <c r="AC289" s="439"/>
    </row>
    <row r="290" ht="15.75" customHeight="1">
      <c r="A290" s="439"/>
      <c r="B290" s="439"/>
      <c r="C290" s="439"/>
      <c r="D290" s="439"/>
      <c r="E290" s="439"/>
      <c r="F290" s="530"/>
      <c r="G290" s="439"/>
      <c r="H290" s="530"/>
      <c r="I290" s="439"/>
      <c r="J290" s="439"/>
      <c r="K290" s="439"/>
      <c r="L290" s="530"/>
      <c r="M290" s="439"/>
      <c r="N290" s="530"/>
      <c r="O290" s="439"/>
      <c r="P290" s="439"/>
      <c r="Q290" s="439"/>
      <c r="R290" s="530"/>
      <c r="S290" s="439"/>
      <c r="T290" s="530"/>
      <c r="U290" s="439"/>
      <c r="V290" s="439"/>
      <c r="W290" s="439"/>
      <c r="X290" s="439"/>
      <c r="Y290" s="439"/>
      <c r="Z290" s="439"/>
      <c r="AA290" s="439"/>
      <c r="AB290" s="439"/>
      <c r="AC290" s="439"/>
    </row>
    <row r="291" ht="15.75" customHeight="1">
      <c r="A291" s="439"/>
      <c r="B291" s="439"/>
      <c r="C291" s="439"/>
      <c r="D291" s="439"/>
      <c r="E291" s="439"/>
      <c r="F291" s="530"/>
      <c r="G291" s="439"/>
      <c r="H291" s="530"/>
      <c r="I291" s="439"/>
      <c r="J291" s="439"/>
      <c r="K291" s="439"/>
      <c r="L291" s="530"/>
      <c r="M291" s="439"/>
      <c r="N291" s="530"/>
      <c r="O291" s="439"/>
      <c r="P291" s="439"/>
      <c r="Q291" s="439"/>
      <c r="R291" s="530"/>
      <c r="S291" s="439"/>
      <c r="T291" s="530"/>
      <c r="U291" s="439"/>
      <c r="V291" s="439"/>
      <c r="W291" s="439"/>
      <c r="X291" s="439"/>
      <c r="Y291" s="439"/>
      <c r="Z291" s="439"/>
      <c r="AA291" s="439"/>
      <c r="AB291" s="439"/>
      <c r="AC291" s="439"/>
    </row>
    <row r="292" ht="15.75" customHeight="1">
      <c r="A292" s="439"/>
      <c r="B292" s="439"/>
      <c r="C292" s="439"/>
      <c r="D292" s="439"/>
      <c r="E292" s="439"/>
      <c r="F292" s="530"/>
      <c r="G292" s="439"/>
      <c r="H292" s="530"/>
      <c r="I292" s="439"/>
      <c r="J292" s="439"/>
      <c r="K292" s="439"/>
      <c r="L292" s="530"/>
      <c r="M292" s="439"/>
      <c r="N292" s="530"/>
      <c r="O292" s="439"/>
      <c r="P292" s="439"/>
      <c r="Q292" s="439"/>
      <c r="R292" s="530"/>
      <c r="S292" s="439"/>
      <c r="T292" s="530"/>
      <c r="U292" s="439"/>
      <c r="V292" s="439"/>
      <c r="W292" s="439"/>
      <c r="X292" s="439"/>
      <c r="Y292" s="439"/>
      <c r="Z292" s="439"/>
      <c r="AA292" s="439"/>
      <c r="AB292" s="439"/>
      <c r="AC292" s="439"/>
    </row>
    <row r="293" ht="15.75" customHeight="1">
      <c r="A293" s="439"/>
      <c r="B293" s="439"/>
      <c r="C293" s="439"/>
      <c r="D293" s="439"/>
      <c r="E293" s="439"/>
      <c r="F293" s="530"/>
      <c r="G293" s="439"/>
      <c r="H293" s="530"/>
      <c r="I293" s="439"/>
      <c r="J293" s="439"/>
      <c r="K293" s="439"/>
      <c r="L293" s="530"/>
      <c r="M293" s="439"/>
      <c r="N293" s="530"/>
      <c r="O293" s="439"/>
      <c r="P293" s="439"/>
      <c r="Q293" s="439"/>
      <c r="R293" s="530"/>
      <c r="S293" s="439"/>
      <c r="T293" s="530"/>
      <c r="U293" s="439"/>
      <c r="V293" s="439"/>
      <c r="W293" s="439"/>
      <c r="X293" s="439"/>
      <c r="Y293" s="439"/>
      <c r="Z293" s="439"/>
      <c r="AA293" s="439"/>
      <c r="AB293" s="439"/>
      <c r="AC293" s="439"/>
    </row>
    <row r="294" ht="15.75" customHeight="1">
      <c r="A294" s="439"/>
      <c r="B294" s="439"/>
      <c r="C294" s="439"/>
      <c r="D294" s="439"/>
      <c r="E294" s="439"/>
      <c r="F294" s="530"/>
      <c r="G294" s="439"/>
      <c r="H294" s="530"/>
      <c r="I294" s="439"/>
      <c r="J294" s="439"/>
      <c r="K294" s="439"/>
      <c r="L294" s="530"/>
      <c r="M294" s="439"/>
      <c r="N294" s="530"/>
      <c r="O294" s="439"/>
      <c r="P294" s="439"/>
      <c r="Q294" s="439"/>
      <c r="R294" s="530"/>
      <c r="S294" s="439"/>
      <c r="T294" s="530"/>
      <c r="U294" s="439"/>
      <c r="V294" s="439"/>
      <c r="W294" s="439"/>
      <c r="X294" s="439"/>
      <c r="Y294" s="439"/>
      <c r="Z294" s="439"/>
      <c r="AA294" s="439"/>
      <c r="AB294" s="439"/>
      <c r="AC294" s="439"/>
    </row>
    <row r="295" ht="15.75" customHeight="1">
      <c r="A295" s="439"/>
      <c r="B295" s="439"/>
      <c r="C295" s="439"/>
      <c r="D295" s="439"/>
      <c r="E295" s="439"/>
      <c r="F295" s="530"/>
      <c r="G295" s="439"/>
      <c r="H295" s="530"/>
      <c r="I295" s="439"/>
      <c r="J295" s="439"/>
      <c r="K295" s="439"/>
      <c r="L295" s="530"/>
      <c r="M295" s="439"/>
      <c r="N295" s="530"/>
      <c r="O295" s="439"/>
      <c r="P295" s="439"/>
      <c r="Q295" s="439"/>
      <c r="R295" s="530"/>
      <c r="S295" s="439"/>
      <c r="T295" s="530"/>
      <c r="U295" s="439"/>
      <c r="V295" s="439"/>
      <c r="W295" s="439"/>
      <c r="X295" s="439"/>
      <c r="Y295" s="439"/>
      <c r="Z295" s="439"/>
      <c r="AA295" s="439"/>
      <c r="AB295" s="439"/>
      <c r="AC295" s="439"/>
    </row>
    <row r="296" ht="15.75" customHeight="1">
      <c r="A296" s="439"/>
      <c r="B296" s="439"/>
      <c r="C296" s="439"/>
      <c r="D296" s="439"/>
      <c r="E296" s="439"/>
      <c r="F296" s="530"/>
      <c r="G296" s="439"/>
      <c r="H296" s="530"/>
      <c r="I296" s="439"/>
      <c r="J296" s="439"/>
      <c r="K296" s="439"/>
      <c r="L296" s="530"/>
      <c r="M296" s="439"/>
      <c r="N296" s="530"/>
      <c r="O296" s="439"/>
      <c r="P296" s="439"/>
      <c r="Q296" s="439"/>
      <c r="R296" s="530"/>
      <c r="S296" s="439"/>
      <c r="T296" s="530"/>
      <c r="U296" s="439"/>
      <c r="V296" s="439"/>
      <c r="W296" s="439"/>
      <c r="X296" s="439"/>
      <c r="Y296" s="439"/>
      <c r="Z296" s="439"/>
      <c r="AA296" s="439"/>
      <c r="AB296" s="439"/>
      <c r="AC296" s="439"/>
    </row>
    <row r="297" ht="15.75" customHeight="1">
      <c r="A297" s="439"/>
      <c r="B297" s="439"/>
      <c r="C297" s="439"/>
      <c r="D297" s="439"/>
      <c r="E297" s="439"/>
      <c r="F297" s="530"/>
      <c r="G297" s="439"/>
      <c r="H297" s="530"/>
      <c r="I297" s="439"/>
      <c r="J297" s="439"/>
      <c r="K297" s="439"/>
      <c r="L297" s="530"/>
      <c r="M297" s="439"/>
      <c r="N297" s="530"/>
      <c r="O297" s="439"/>
      <c r="P297" s="439"/>
      <c r="Q297" s="439"/>
      <c r="R297" s="530"/>
      <c r="S297" s="439"/>
      <c r="T297" s="530"/>
      <c r="U297" s="439"/>
      <c r="V297" s="439"/>
      <c r="W297" s="439"/>
      <c r="X297" s="439"/>
      <c r="Y297" s="439"/>
      <c r="Z297" s="439"/>
      <c r="AA297" s="439"/>
      <c r="AB297" s="439"/>
      <c r="AC297" s="439"/>
    </row>
    <row r="298" ht="15.75" customHeight="1">
      <c r="A298" s="439"/>
      <c r="B298" s="439"/>
      <c r="C298" s="439"/>
      <c r="D298" s="439"/>
      <c r="E298" s="439"/>
      <c r="F298" s="530"/>
      <c r="G298" s="439"/>
      <c r="H298" s="530"/>
      <c r="I298" s="439"/>
      <c r="J298" s="439"/>
      <c r="K298" s="439"/>
      <c r="L298" s="530"/>
      <c r="M298" s="439"/>
      <c r="N298" s="530"/>
      <c r="O298" s="439"/>
      <c r="P298" s="439"/>
      <c r="Q298" s="439"/>
      <c r="R298" s="530"/>
      <c r="S298" s="439"/>
      <c r="T298" s="530"/>
      <c r="U298" s="439"/>
      <c r="V298" s="439"/>
      <c r="W298" s="439"/>
      <c r="X298" s="439"/>
      <c r="Y298" s="439"/>
      <c r="Z298" s="439"/>
      <c r="AA298" s="439"/>
      <c r="AB298" s="439"/>
      <c r="AC298" s="439"/>
    </row>
    <row r="299" ht="15.75" customHeight="1">
      <c r="A299" s="439"/>
      <c r="B299" s="439"/>
      <c r="C299" s="439"/>
      <c r="D299" s="439"/>
      <c r="E299" s="439"/>
      <c r="F299" s="530"/>
      <c r="G299" s="439"/>
      <c r="H299" s="530"/>
      <c r="I299" s="439"/>
      <c r="J299" s="439"/>
      <c r="K299" s="439"/>
      <c r="L299" s="530"/>
      <c r="M299" s="439"/>
      <c r="N299" s="530"/>
      <c r="O299" s="439"/>
      <c r="P299" s="439"/>
      <c r="Q299" s="439"/>
      <c r="R299" s="530"/>
      <c r="S299" s="439"/>
      <c r="T299" s="530"/>
      <c r="U299" s="439"/>
      <c r="V299" s="439"/>
      <c r="W299" s="439"/>
      <c r="X299" s="439"/>
      <c r="Y299" s="439"/>
      <c r="Z299" s="439"/>
      <c r="AA299" s="439"/>
      <c r="AB299" s="439"/>
      <c r="AC299" s="439"/>
    </row>
    <row r="300" ht="15.75" customHeight="1">
      <c r="A300" s="439"/>
      <c r="B300" s="439"/>
      <c r="C300" s="439"/>
      <c r="D300" s="439"/>
      <c r="E300" s="439"/>
      <c r="F300" s="530"/>
      <c r="G300" s="439"/>
      <c r="H300" s="530"/>
      <c r="I300" s="439"/>
      <c r="J300" s="439"/>
      <c r="K300" s="439"/>
      <c r="L300" s="530"/>
      <c r="M300" s="439"/>
      <c r="N300" s="530"/>
      <c r="O300" s="439"/>
      <c r="P300" s="439"/>
      <c r="Q300" s="439"/>
      <c r="R300" s="530"/>
      <c r="S300" s="439"/>
      <c r="T300" s="530"/>
      <c r="U300" s="439"/>
      <c r="V300" s="439"/>
      <c r="W300" s="439"/>
      <c r="X300" s="439"/>
      <c r="Y300" s="439"/>
      <c r="Z300" s="439"/>
      <c r="AA300" s="439"/>
      <c r="AB300" s="439"/>
      <c r="AC300" s="439"/>
    </row>
    <row r="301" ht="15.75" customHeight="1">
      <c r="A301" s="439"/>
      <c r="B301" s="439"/>
      <c r="C301" s="439"/>
      <c r="D301" s="439"/>
      <c r="E301" s="439"/>
      <c r="F301" s="530"/>
      <c r="G301" s="439"/>
      <c r="H301" s="530"/>
      <c r="I301" s="439"/>
      <c r="J301" s="439"/>
      <c r="K301" s="439"/>
      <c r="L301" s="530"/>
      <c r="M301" s="439"/>
      <c r="N301" s="530"/>
      <c r="O301" s="439"/>
      <c r="P301" s="439"/>
      <c r="Q301" s="439"/>
      <c r="R301" s="530"/>
      <c r="S301" s="439"/>
      <c r="T301" s="530"/>
      <c r="U301" s="439"/>
      <c r="V301" s="439"/>
      <c r="W301" s="439"/>
      <c r="X301" s="439"/>
      <c r="Y301" s="439"/>
      <c r="Z301" s="439"/>
      <c r="AA301" s="439"/>
      <c r="AB301" s="439"/>
      <c r="AC301" s="439"/>
    </row>
    <row r="302" ht="15.75" customHeight="1">
      <c r="A302" s="439"/>
      <c r="B302" s="439"/>
      <c r="C302" s="439"/>
      <c r="D302" s="439"/>
      <c r="E302" s="439"/>
      <c r="F302" s="530"/>
      <c r="G302" s="439"/>
      <c r="H302" s="530"/>
      <c r="I302" s="439"/>
      <c r="J302" s="439"/>
      <c r="K302" s="439"/>
      <c r="L302" s="530"/>
      <c r="M302" s="439"/>
      <c r="N302" s="530"/>
      <c r="O302" s="439"/>
      <c r="P302" s="439"/>
      <c r="Q302" s="439"/>
      <c r="R302" s="530"/>
      <c r="S302" s="439"/>
      <c r="T302" s="530"/>
      <c r="U302" s="439"/>
      <c r="V302" s="439"/>
      <c r="W302" s="439"/>
      <c r="X302" s="439"/>
      <c r="Y302" s="439"/>
      <c r="Z302" s="439"/>
      <c r="AA302" s="439"/>
      <c r="AB302" s="439"/>
      <c r="AC302" s="439"/>
    </row>
    <row r="303" ht="15.75" customHeight="1">
      <c r="A303" s="439"/>
      <c r="B303" s="439"/>
      <c r="C303" s="439"/>
      <c r="D303" s="439"/>
      <c r="E303" s="439"/>
      <c r="F303" s="530"/>
      <c r="G303" s="439"/>
      <c r="H303" s="530"/>
      <c r="I303" s="439"/>
      <c r="J303" s="439"/>
      <c r="K303" s="439"/>
      <c r="L303" s="530"/>
      <c r="M303" s="439"/>
      <c r="N303" s="530"/>
      <c r="O303" s="439"/>
      <c r="P303" s="439"/>
      <c r="Q303" s="439"/>
      <c r="R303" s="530"/>
      <c r="S303" s="439"/>
      <c r="T303" s="530"/>
      <c r="U303" s="439"/>
      <c r="V303" s="439"/>
      <c r="W303" s="439"/>
      <c r="X303" s="439"/>
      <c r="Y303" s="439"/>
      <c r="Z303" s="439"/>
      <c r="AA303" s="439"/>
      <c r="AB303" s="439"/>
      <c r="AC303" s="439"/>
    </row>
    <row r="304" ht="15.75" customHeight="1">
      <c r="A304" s="439"/>
      <c r="B304" s="439"/>
      <c r="C304" s="439"/>
      <c r="D304" s="439"/>
      <c r="E304" s="439"/>
      <c r="F304" s="530"/>
      <c r="G304" s="439"/>
      <c r="H304" s="530"/>
      <c r="I304" s="439"/>
      <c r="J304" s="439"/>
      <c r="K304" s="439"/>
      <c r="L304" s="530"/>
      <c r="M304" s="439"/>
      <c r="N304" s="530"/>
      <c r="O304" s="439"/>
      <c r="P304" s="439"/>
      <c r="Q304" s="439"/>
      <c r="R304" s="530"/>
      <c r="S304" s="439"/>
      <c r="T304" s="530"/>
      <c r="U304" s="439"/>
      <c r="V304" s="439"/>
      <c r="W304" s="439"/>
      <c r="X304" s="439"/>
      <c r="Y304" s="439"/>
      <c r="Z304" s="439"/>
      <c r="AA304" s="439"/>
      <c r="AB304" s="439"/>
      <c r="AC304" s="439"/>
    </row>
    <row r="305" ht="15.75" customHeight="1">
      <c r="A305" s="439"/>
      <c r="B305" s="439"/>
      <c r="C305" s="439"/>
      <c r="D305" s="439"/>
      <c r="E305" s="439"/>
      <c r="F305" s="530"/>
      <c r="G305" s="439"/>
      <c r="H305" s="530"/>
      <c r="I305" s="439"/>
      <c r="J305" s="439"/>
      <c r="K305" s="439"/>
      <c r="L305" s="530"/>
      <c r="M305" s="439"/>
      <c r="N305" s="530"/>
      <c r="O305" s="439"/>
      <c r="P305" s="439"/>
      <c r="Q305" s="439"/>
      <c r="R305" s="530"/>
      <c r="S305" s="439"/>
      <c r="T305" s="530"/>
      <c r="U305" s="439"/>
      <c r="V305" s="439"/>
      <c r="W305" s="439"/>
      <c r="X305" s="439"/>
      <c r="Y305" s="439"/>
      <c r="Z305" s="439"/>
      <c r="AA305" s="439"/>
      <c r="AB305" s="439"/>
      <c r="AC305" s="439"/>
    </row>
    <row r="306" ht="15.75" customHeight="1">
      <c r="A306" s="439"/>
      <c r="B306" s="439"/>
      <c r="C306" s="439"/>
      <c r="D306" s="439"/>
      <c r="E306" s="439"/>
      <c r="F306" s="530"/>
      <c r="G306" s="439"/>
      <c r="H306" s="530"/>
      <c r="I306" s="439"/>
      <c r="J306" s="439"/>
      <c r="K306" s="439"/>
      <c r="L306" s="530"/>
      <c r="M306" s="439"/>
      <c r="N306" s="530"/>
      <c r="O306" s="439"/>
      <c r="P306" s="439"/>
      <c r="Q306" s="439"/>
      <c r="R306" s="530"/>
      <c r="S306" s="439"/>
      <c r="T306" s="530"/>
      <c r="U306" s="439"/>
      <c r="V306" s="439"/>
      <c r="W306" s="439"/>
      <c r="X306" s="439"/>
      <c r="Y306" s="439"/>
      <c r="Z306" s="439"/>
      <c r="AA306" s="439"/>
      <c r="AB306" s="439"/>
      <c r="AC306" s="439"/>
    </row>
    <row r="307" ht="15.75" customHeight="1">
      <c r="A307" s="439"/>
      <c r="B307" s="439"/>
      <c r="C307" s="439"/>
      <c r="D307" s="439"/>
      <c r="E307" s="439"/>
      <c r="F307" s="530"/>
      <c r="G307" s="439"/>
      <c r="H307" s="530"/>
      <c r="I307" s="439"/>
      <c r="J307" s="439"/>
      <c r="K307" s="439"/>
      <c r="L307" s="530"/>
      <c r="M307" s="439"/>
      <c r="N307" s="530"/>
      <c r="O307" s="439"/>
      <c r="P307" s="439"/>
      <c r="Q307" s="439"/>
      <c r="R307" s="530"/>
      <c r="S307" s="439"/>
      <c r="T307" s="530"/>
      <c r="U307" s="439"/>
      <c r="V307" s="439"/>
      <c r="W307" s="439"/>
      <c r="X307" s="439"/>
      <c r="Y307" s="439"/>
      <c r="Z307" s="439"/>
      <c r="AA307" s="439"/>
      <c r="AB307" s="439"/>
      <c r="AC307" s="439"/>
    </row>
    <row r="308" ht="15.75" customHeight="1">
      <c r="A308" s="439"/>
      <c r="B308" s="439"/>
      <c r="C308" s="439"/>
      <c r="D308" s="439"/>
      <c r="E308" s="439"/>
      <c r="F308" s="530"/>
      <c r="G308" s="439"/>
      <c r="H308" s="530"/>
      <c r="I308" s="439"/>
      <c r="J308" s="439"/>
      <c r="K308" s="439"/>
      <c r="L308" s="530"/>
      <c r="M308" s="439"/>
      <c r="N308" s="530"/>
      <c r="O308" s="439"/>
      <c r="P308" s="439"/>
      <c r="Q308" s="439"/>
      <c r="R308" s="530"/>
      <c r="S308" s="439"/>
      <c r="T308" s="530"/>
      <c r="U308" s="439"/>
      <c r="V308" s="439"/>
      <c r="W308" s="439"/>
      <c r="X308" s="439"/>
      <c r="Y308" s="439"/>
      <c r="Z308" s="439"/>
      <c r="AA308" s="439"/>
      <c r="AB308" s="439"/>
      <c r="AC308" s="439"/>
    </row>
    <row r="309" ht="15.75" customHeight="1">
      <c r="A309" s="439"/>
      <c r="B309" s="439"/>
      <c r="C309" s="439"/>
      <c r="D309" s="439"/>
      <c r="E309" s="439"/>
      <c r="F309" s="530"/>
      <c r="G309" s="439"/>
      <c r="H309" s="530"/>
      <c r="I309" s="439"/>
      <c r="J309" s="439"/>
      <c r="K309" s="439"/>
      <c r="L309" s="530"/>
      <c r="M309" s="439"/>
      <c r="N309" s="530"/>
      <c r="O309" s="439"/>
      <c r="P309" s="439"/>
      <c r="Q309" s="439"/>
      <c r="R309" s="530"/>
      <c r="S309" s="439"/>
      <c r="T309" s="530"/>
      <c r="U309" s="439"/>
      <c r="V309" s="439"/>
      <c r="W309" s="439"/>
      <c r="X309" s="439"/>
      <c r="Y309" s="439"/>
      <c r="Z309" s="439"/>
      <c r="AA309" s="439"/>
      <c r="AB309" s="439"/>
      <c r="AC309" s="439"/>
    </row>
    <row r="310" ht="15.75" customHeight="1">
      <c r="A310" s="439"/>
      <c r="B310" s="439"/>
      <c r="C310" s="439"/>
      <c r="D310" s="439"/>
      <c r="E310" s="439"/>
      <c r="F310" s="530"/>
      <c r="G310" s="439"/>
      <c r="H310" s="530"/>
      <c r="I310" s="439"/>
      <c r="J310" s="439"/>
      <c r="K310" s="439"/>
      <c r="L310" s="530"/>
      <c r="M310" s="439"/>
      <c r="N310" s="530"/>
      <c r="O310" s="439"/>
      <c r="P310" s="439"/>
      <c r="Q310" s="439"/>
      <c r="R310" s="530"/>
      <c r="S310" s="439"/>
      <c r="T310" s="530"/>
      <c r="U310" s="439"/>
      <c r="V310" s="439"/>
      <c r="W310" s="439"/>
      <c r="X310" s="439"/>
      <c r="Y310" s="439"/>
      <c r="Z310" s="439"/>
      <c r="AA310" s="439"/>
      <c r="AB310" s="439"/>
      <c r="AC310" s="439"/>
    </row>
    <row r="311" ht="15.75" customHeight="1">
      <c r="A311" s="439"/>
      <c r="B311" s="439"/>
      <c r="C311" s="439"/>
      <c r="D311" s="439"/>
      <c r="E311" s="439"/>
      <c r="F311" s="530"/>
      <c r="G311" s="439"/>
      <c r="H311" s="530"/>
      <c r="I311" s="439"/>
      <c r="J311" s="439"/>
      <c r="K311" s="439"/>
      <c r="L311" s="530"/>
      <c r="M311" s="439"/>
      <c r="N311" s="530"/>
      <c r="O311" s="439"/>
      <c r="P311" s="439"/>
      <c r="Q311" s="439"/>
      <c r="R311" s="530"/>
      <c r="S311" s="439"/>
      <c r="T311" s="530"/>
      <c r="U311" s="439"/>
      <c r="V311" s="439"/>
      <c r="W311" s="439"/>
      <c r="X311" s="439"/>
      <c r="Y311" s="439"/>
      <c r="Z311" s="439"/>
      <c r="AA311" s="439"/>
      <c r="AB311" s="439"/>
      <c r="AC311" s="439"/>
    </row>
    <row r="312" ht="15.75" customHeight="1">
      <c r="A312" s="439"/>
      <c r="B312" s="439"/>
      <c r="C312" s="439"/>
      <c r="D312" s="439"/>
      <c r="E312" s="439"/>
      <c r="F312" s="530"/>
      <c r="G312" s="439"/>
      <c r="H312" s="530"/>
      <c r="I312" s="439"/>
      <c r="J312" s="439"/>
      <c r="K312" s="439"/>
      <c r="L312" s="530"/>
      <c r="M312" s="439"/>
      <c r="N312" s="530"/>
      <c r="O312" s="439"/>
      <c r="P312" s="439"/>
      <c r="Q312" s="439"/>
      <c r="R312" s="530"/>
      <c r="S312" s="439"/>
      <c r="T312" s="530"/>
      <c r="U312" s="439"/>
      <c r="V312" s="439"/>
      <c r="W312" s="439"/>
      <c r="X312" s="439"/>
      <c r="Y312" s="439"/>
      <c r="Z312" s="439"/>
      <c r="AA312" s="439"/>
      <c r="AB312" s="439"/>
      <c r="AC312" s="439"/>
    </row>
    <row r="313" ht="15.75" customHeight="1">
      <c r="A313" s="439"/>
      <c r="B313" s="439"/>
      <c r="C313" s="439"/>
      <c r="D313" s="439"/>
      <c r="E313" s="439"/>
      <c r="F313" s="530"/>
      <c r="G313" s="439"/>
      <c r="H313" s="530"/>
      <c r="I313" s="439"/>
      <c r="J313" s="439"/>
      <c r="K313" s="439"/>
      <c r="L313" s="530"/>
      <c r="M313" s="439"/>
      <c r="N313" s="530"/>
      <c r="O313" s="439"/>
      <c r="P313" s="439"/>
      <c r="Q313" s="439"/>
      <c r="R313" s="530"/>
      <c r="S313" s="439"/>
      <c r="T313" s="530"/>
      <c r="U313" s="439"/>
      <c r="V313" s="439"/>
      <c r="W313" s="439"/>
      <c r="X313" s="439"/>
      <c r="Y313" s="439"/>
      <c r="Z313" s="439"/>
      <c r="AA313" s="439"/>
      <c r="AB313" s="439"/>
      <c r="AC313" s="439"/>
    </row>
    <row r="314" ht="15.75" customHeight="1">
      <c r="A314" s="439"/>
      <c r="B314" s="439"/>
      <c r="C314" s="439"/>
      <c r="D314" s="439"/>
      <c r="E314" s="439"/>
      <c r="F314" s="530"/>
      <c r="G314" s="439"/>
      <c r="H314" s="530"/>
      <c r="I314" s="439"/>
      <c r="J314" s="439"/>
      <c r="K314" s="439"/>
      <c r="L314" s="530"/>
      <c r="M314" s="439"/>
      <c r="N314" s="530"/>
      <c r="O314" s="439"/>
      <c r="P314" s="439"/>
      <c r="Q314" s="439"/>
      <c r="R314" s="530"/>
      <c r="S314" s="439"/>
      <c r="T314" s="530"/>
      <c r="U314" s="439"/>
      <c r="V314" s="439"/>
      <c r="W314" s="439"/>
      <c r="X314" s="439"/>
      <c r="Y314" s="439"/>
      <c r="Z314" s="439"/>
      <c r="AA314" s="439"/>
      <c r="AB314" s="439"/>
      <c r="AC314" s="439"/>
    </row>
    <row r="315" ht="15.75" customHeight="1">
      <c r="A315" s="439"/>
      <c r="B315" s="439"/>
      <c r="C315" s="439"/>
      <c r="D315" s="439"/>
      <c r="E315" s="439"/>
      <c r="F315" s="530"/>
      <c r="G315" s="439"/>
      <c r="H315" s="530"/>
      <c r="I315" s="439"/>
      <c r="J315" s="439"/>
      <c r="K315" s="439"/>
      <c r="L315" s="530"/>
      <c r="M315" s="439"/>
      <c r="N315" s="530"/>
      <c r="O315" s="439"/>
      <c r="P315" s="439"/>
      <c r="Q315" s="439"/>
      <c r="R315" s="530"/>
      <c r="S315" s="439"/>
      <c r="T315" s="530"/>
      <c r="U315" s="439"/>
      <c r="V315" s="439"/>
      <c r="W315" s="439"/>
      <c r="X315" s="439"/>
      <c r="Y315" s="439"/>
      <c r="Z315" s="439"/>
      <c r="AA315" s="439"/>
      <c r="AB315" s="439"/>
      <c r="AC315" s="439"/>
    </row>
    <row r="316" ht="15.75" customHeight="1">
      <c r="A316" s="439"/>
      <c r="B316" s="439"/>
      <c r="C316" s="439"/>
      <c r="D316" s="439"/>
      <c r="E316" s="439"/>
      <c r="F316" s="530"/>
      <c r="G316" s="439"/>
      <c r="H316" s="530"/>
      <c r="I316" s="439"/>
      <c r="J316" s="439"/>
      <c r="K316" s="439"/>
      <c r="L316" s="530"/>
      <c r="M316" s="439"/>
      <c r="N316" s="530"/>
      <c r="O316" s="439"/>
      <c r="P316" s="439"/>
      <c r="Q316" s="439"/>
      <c r="R316" s="530"/>
      <c r="S316" s="439"/>
      <c r="T316" s="530"/>
      <c r="U316" s="439"/>
      <c r="V316" s="439"/>
      <c r="W316" s="439"/>
      <c r="X316" s="439"/>
      <c r="Y316" s="439"/>
      <c r="Z316" s="439"/>
      <c r="AA316" s="439"/>
      <c r="AB316" s="439"/>
      <c r="AC316" s="439"/>
    </row>
    <row r="317" ht="15.75" customHeight="1">
      <c r="A317" s="439"/>
      <c r="B317" s="439"/>
      <c r="C317" s="439"/>
      <c r="D317" s="439"/>
      <c r="E317" s="439"/>
      <c r="F317" s="530"/>
      <c r="G317" s="439"/>
      <c r="H317" s="530"/>
      <c r="I317" s="439"/>
      <c r="J317" s="439"/>
      <c r="K317" s="439"/>
      <c r="L317" s="530"/>
      <c r="M317" s="439"/>
      <c r="N317" s="530"/>
      <c r="O317" s="439"/>
      <c r="P317" s="439"/>
      <c r="Q317" s="439"/>
      <c r="R317" s="530"/>
      <c r="S317" s="439"/>
      <c r="T317" s="530"/>
      <c r="U317" s="439"/>
      <c r="V317" s="439"/>
      <c r="W317" s="439"/>
      <c r="X317" s="439"/>
      <c r="Y317" s="439"/>
      <c r="Z317" s="439"/>
      <c r="AA317" s="439"/>
      <c r="AB317" s="439"/>
      <c r="AC317" s="439"/>
    </row>
    <row r="318" ht="15.75" customHeight="1">
      <c r="A318" s="439"/>
      <c r="B318" s="439"/>
      <c r="C318" s="439"/>
      <c r="D318" s="439"/>
      <c r="E318" s="439"/>
      <c r="F318" s="530"/>
      <c r="G318" s="439"/>
      <c r="H318" s="530"/>
      <c r="I318" s="439"/>
      <c r="J318" s="439"/>
      <c r="K318" s="439"/>
      <c r="L318" s="530"/>
      <c r="M318" s="439"/>
      <c r="N318" s="530"/>
      <c r="O318" s="439"/>
      <c r="P318" s="439"/>
      <c r="Q318" s="439"/>
      <c r="R318" s="530"/>
      <c r="S318" s="439"/>
      <c r="T318" s="530"/>
      <c r="U318" s="439"/>
      <c r="V318" s="439"/>
      <c r="W318" s="439"/>
      <c r="X318" s="439"/>
      <c r="Y318" s="439"/>
      <c r="Z318" s="439"/>
      <c r="AA318" s="439"/>
      <c r="AB318" s="439"/>
      <c r="AC318" s="439"/>
    </row>
    <row r="319" ht="15.75" customHeight="1">
      <c r="A319" s="439"/>
      <c r="B319" s="439"/>
      <c r="C319" s="439"/>
      <c r="D319" s="439"/>
      <c r="E319" s="439"/>
      <c r="F319" s="530"/>
      <c r="G319" s="439"/>
      <c r="H319" s="530"/>
      <c r="I319" s="439"/>
      <c r="J319" s="439"/>
      <c r="K319" s="439"/>
      <c r="L319" s="530"/>
      <c r="M319" s="439"/>
      <c r="N319" s="530"/>
      <c r="O319" s="439"/>
      <c r="P319" s="439"/>
      <c r="Q319" s="439"/>
      <c r="R319" s="530"/>
      <c r="S319" s="439"/>
      <c r="T319" s="530"/>
      <c r="U319" s="439"/>
      <c r="V319" s="439"/>
      <c r="W319" s="439"/>
      <c r="X319" s="439"/>
      <c r="Y319" s="439"/>
      <c r="Z319" s="439"/>
      <c r="AA319" s="439"/>
      <c r="AB319" s="439"/>
      <c r="AC319" s="439"/>
    </row>
    <row r="320" ht="15.75" customHeight="1">
      <c r="A320" s="439"/>
      <c r="B320" s="439"/>
      <c r="C320" s="439"/>
      <c r="D320" s="439"/>
      <c r="E320" s="439"/>
      <c r="F320" s="530"/>
      <c r="G320" s="439"/>
      <c r="H320" s="530"/>
      <c r="I320" s="439"/>
      <c r="J320" s="439"/>
      <c r="K320" s="439"/>
      <c r="L320" s="530"/>
      <c r="M320" s="439"/>
      <c r="N320" s="530"/>
      <c r="O320" s="439"/>
      <c r="P320" s="439"/>
      <c r="Q320" s="439"/>
      <c r="R320" s="530"/>
      <c r="S320" s="439"/>
      <c r="T320" s="530"/>
      <c r="U320" s="439"/>
      <c r="V320" s="439"/>
      <c r="W320" s="439"/>
      <c r="X320" s="439"/>
      <c r="Y320" s="439"/>
      <c r="Z320" s="439"/>
      <c r="AA320" s="439"/>
      <c r="AB320" s="439"/>
      <c r="AC320" s="439"/>
    </row>
    <row r="321" ht="15.75" customHeight="1">
      <c r="A321" s="439"/>
      <c r="B321" s="439"/>
      <c r="C321" s="439"/>
      <c r="D321" s="439"/>
      <c r="E321" s="439"/>
      <c r="F321" s="530"/>
      <c r="G321" s="439"/>
      <c r="H321" s="530"/>
      <c r="I321" s="439"/>
      <c r="J321" s="439"/>
      <c r="K321" s="439"/>
      <c r="L321" s="530"/>
      <c r="M321" s="439"/>
      <c r="N321" s="530"/>
      <c r="O321" s="439"/>
      <c r="P321" s="439"/>
      <c r="Q321" s="439"/>
      <c r="R321" s="530"/>
      <c r="S321" s="439"/>
      <c r="T321" s="530"/>
      <c r="U321" s="439"/>
      <c r="V321" s="439"/>
      <c r="W321" s="439"/>
      <c r="X321" s="439"/>
      <c r="Y321" s="439"/>
      <c r="Z321" s="439"/>
      <c r="AA321" s="439"/>
      <c r="AB321" s="439"/>
      <c r="AC321" s="439"/>
    </row>
    <row r="322" ht="15.75" customHeight="1">
      <c r="A322" s="439"/>
      <c r="B322" s="439"/>
      <c r="C322" s="439"/>
      <c r="D322" s="439"/>
      <c r="E322" s="439"/>
      <c r="F322" s="530"/>
      <c r="G322" s="439"/>
      <c r="H322" s="530"/>
      <c r="I322" s="439"/>
      <c r="J322" s="439"/>
      <c r="K322" s="439"/>
      <c r="L322" s="530"/>
      <c r="M322" s="439"/>
      <c r="N322" s="530"/>
      <c r="O322" s="439"/>
      <c r="P322" s="439"/>
      <c r="Q322" s="439"/>
      <c r="R322" s="530"/>
      <c r="S322" s="439"/>
      <c r="T322" s="530"/>
      <c r="U322" s="439"/>
      <c r="V322" s="439"/>
      <c r="W322" s="439"/>
      <c r="X322" s="439"/>
      <c r="Y322" s="439"/>
      <c r="Z322" s="439"/>
      <c r="AA322" s="439"/>
      <c r="AB322" s="439"/>
      <c r="AC322" s="439"/>
    </row>
    <row r="323" ht="15.75" customHeight="1">
      <c r="A323" s="439"/>
      <c r="B323" s="439"/>
      <c r="C323" s="439"/>
      <c r="D323" s="439"/>
      <c r="E323" s="439"/>
      <c r="F323" s="530"/>
      <c r="G323" s="439"/>
      <c r="H323" s="530"/>
      <c r="I323" s="439"/>
      <c r="J323" s="439"/>
      <c r="K323" s="439"/>
      <c r="L323" s="530"/>
      <c r="M323" s="439"/>
      <c r="N323" s="530"/>
      <c r="O323" s="439"/>
      <c r="P323" s="439"/>
      <c r="Q323" s="439"/>
      <c r="R323" s="530"/>
      <c r="S323" s="439"/>
      <c r="T323" s="530"/>
      <c r="U323" s="439"/>
      <c r="V323" s="439"/>
      <c r="W323" s="439"/>
      <c r="X323" s="439"/>
      <c r="Y323" s="439"/>
      <c r="Z323" s="439"/>
      <c r="AA323" s="439"/>
      <c r="AB323" s="439"/>
      <c r="AC323" s="439"/>
    </row>
    <row r="324" ht="15.75" customHeight="1">
      <c r="A324" s="439"/>
      <c r="B324" s="439"/>
      <c r="C324" s="439"/>
      <c r="D324" s="439"/>
      <c r="E324" s="439"/>
      <c r="F324" s="530"/>
      <c r="G324" s="439"/>
      <c r="H324" s="530"/>
      <c r="I324" s="439"/>
      <c r="J324" s="439"/>
      <c r="K324" s="439"/>
      <c r="L324" s="530"/>
      <c r="M324" s="439"/>
      <c r="N324" s="530"/>
      <c r="O324" s="439"/>
      <c r="P324" s="439"/>
      <c r="Q324" s="439"/>
      <c r="R324" s="530"/>
      <c r="S324" s="439"/>
      <c r="T324" s="530"/>
      <c r="U324" s="439"/>
      <c r="V324" s="439"/>
      <c r="W324" s="439"/>
      <c r="X324" s="439"/>
      <c r="Y324" s="439"/>
      <c r="Z324" s="439"/>
      <c r="AA324" s="439"/>
      <c r="AB324" s="439"/>
      <c r="AC324" s="439"/>
    </row>
    <row r="325" ht="15.75" customHeight="1">
      <c r="A325" s="439"/>
      <c r="B325" s="439"/>
      <c r="C325" s="439"/>
      <c r="D325" s="439"/>
      <c r="E325" s="439"/>
      <c r="F325" s="530"/>
      <c r="G325" s="439"/>
      <c r="H325" s="530"/>
      <c r="I325" s="439"/>
      <c r="J325" s="439"/>
      <c r="K325" s="439"/>
      <c r="L325" s="530"/>
      <c r="M325" s="439"/>
      <c r="N325" s="530"/>
      <c r="O325" s="439"/>
      <c r="P325" s="439"/>
      <c r="Q325" s="439"/>
      <c r="R325" s="530"/>
      <c r="S325" s="439"/>
      <c r="T325" s="530"/>
      <c r="U325" s="439"/>
      <c r="V325" s="439"/>
      <c r="W325" s="439"/>
      <c r="X325" s="439"/>
      <c r="Y325" s="439"/>
      <c r="Z325" s="439"/>
      <c r="AA325" s="439"/>
      <c r="AB325" s="439"/>
      <c r="AC325" s="439"/>
    </row>
    <row r="326" ht="15.75" customHeight="1">
      <c r="A326" s="439"/>
      <c r="B326" s="439"/>
      <c r="C326" s="439"/>
      <c r="D326" s="439"/>
      <c r="E326" s="439"/>
      <c r="F326" s="530"/>
      <c r="G326" s="439"/>
      <c r="H326" s="530"/>
      <c r="I326" s="439"/>
      <c r="J326" s="439"/>
      <c r="K326" s="439"/>
      <c r="L326" s="530"/>
      <c r="M326" s="439"/>
      <c r="N326" s="530"/>
      <c r="O326" s="439"/>
      <c r="P326" s="439"/>
      <c r="Q326" s="439"/>
      <c r="R326" s="530"/>
      <c r="S326" s="439"/>
      <c r="T326" s="530"/>
      <c r="U326" s="439"/>
      <c r="V326" s="439"/>
      <c r="W326" s="439"/>
      <c r="X326" s="439"/>
      <c r="Y326" s="439"/>
      <c r="Z326" s="439"/>
      <c r="AA326" s="439"/>
      <c r="AB326" s="439"/>
      <c r="AC326" s="439"/>
    </row>
    <row r="327" ht="15.75" customHeight="1">
      <c r="A327" s="439"/>
      <c r="B327" s="439"/>
      <c r="C327" s="439"/>
      <c r="D327" s="439"/>
      <c r="E327" s="439"/>
      <c r="F327" s="530"/>
      <c r="G327" s="439"/>
      <c r="H327" s="530"/>
      <c r="I327" s="439"/>
      <c r="J327" s="439"/>
      <c r="K327" s="439"/>
      <c r="L327" s="530"/>
      <c r="M327" s="439"/>
      <c r="N327" s="530"/>
      <c r="O327" s="439"/>
      <c r="P327" s="439"/>
      <c r="Q327" s="439"/>
      <c r="R327" s="530"/>
      <c r="S327" s="439"/>
      <c r="T327" s="530"/>
      <c r="U327" s="439"/>
      <c r="V327" s="439"/>
      <c r="W327" s="439"/>
      <c r="X327" s="439"/>
      <c r="Y327" s="439"/>
      <c r="Z327" s="439"/>
      <c r="AA327" s="439"/>
      <c r="AB327" s="439"/>
      <c r="AC327" s="439"/>
    </row>
    <row r="328" ht="15.75" customHeight="1">
      <c r="A328" s="439"/>
      <c r="B328" s="439"/>
      <c r="C328" s="439"/>
      <c r="D328" s="439"/>
      <c r="E328" s="439"/>
      <c r="F328" s="530"/>
      <c r="G328" s="439"/>
      <c r="H328" s="530"/>
      <c r="I328" s="439"/>
      <c r="J328" s="439"/>
      <c r="K328" s="439"/>
      <c r="L328" s="530"/>
      <c r="M328" s="439"/>
      <c r="N328" s="530"/>
      <c r="O328" s="439"/>
      <c r="P328" s="439"/>
      <c r="Q328" s="439"/>
      <c r="R328" s="530"/>
      <c r="S328" s="439"/>
      <c r="T328" s="530"/>
      <c r="U328" s="439"/>
      <c r="V328" s="439"/>
      <c r="W328" s="439"/>
      <c r="X328" s="439"/>
      <c r="Y328" s="439"/>
      <c r="Z328" s="439"/>
      <c r="AA328" s="439"/>
      <c r="AB328" s="439"/>
      <c r="AC328" s="439"/>
    </row>
    <row r="329" ht="15.75" customHeight="1">
      <c r="A329" s="439"/>
      <c r="B329" s="439"/>
      <c r="C329" s="439"/>
      <c r="D329" s="439"/>
      <c r="E329" s="439"/>
      <c r="F329" s="530"/>
      <c r="G329" s="439"/>
      <c r="H329" s="530"/>
      <c r="I329" s="439"/>
      <c r="J329" s="439"/>
      <c r="K329" s="439"/>
      <c r="L329" s="530"/>
      <c r="M329" s="439"/>
      <c r="N329" s="530"/>
      <c r="O329" s="439"/>
      <c r="P329" s="439"/>
      <c r="Q329" s="439"/>
      <c r="R329" s="530"/>
      <c r="S329" s="439"/>
      <c r="T329" s="530"/>
      <c r="U329" s="439"/>
      <c r="V329" s="439"/>
      <c r="W329" s="439"/>
      <c r="X329" s="439"/>
      <c r="Y329" s="439"/>
      <c r="Z329" s="439"/>
      <c r="AA329" s="439"/>
      <c r="AB329" s="439"/>
      <c r="AC329" s="439"/>
    </row>
    <row r="330" ht="15.75" customHeight="1">
      <c r="A330" s="439"/>
      <c r="B330" s="439"/>
      <c r="C330" s="439"/>
      <c r="D330" s="439"/>
      <c r="E330" s="439"/>
      <c r="F330" s="530"/>
      <c r="G330" s="439"/>
      <c r="H330" s="530"/>
      <c r="I330" s="439"/>
      <c r="J330" s="439"/>
      <c r="K330" s="439"/>
      <c r="L330" s="530"/>
      <c r="M330" s="439"/>
      <c r="N330" s="530"/>
      <c r="O330" s="439"/>
      <c r="P330" s="439"/>
      <c r="Q330" s="439"/>
      <c r="R330" s="530"/>
      <c r="S330" s="439"/>
      <c r="T330" s="530"/>
      <c r="U330" s="439"/>
      <c r="V330" s="439"/>
      <c r="W330" s="439"/>
      <c r="X330" s="439"/>
      <c r="Y330" s="439"/>
      <c r="Z330" s="439"/>
      <c r="AA330" s="439"/>
      <c r="AB330" s="439"/>
      <c r="AC330" s="439"/>
    </row>
    <row r="331" ht="15.75" customHeight="1">
      <c r="A331" s="439"/>
      <c r="B331" s="439"/>
      <c r="C331" s="439"/>
      <c r="D331" s="439"/>
      <c r="E331" s="439"/>
      <c r="F331" s="530"/>
      <c r="G331" s="439"/>
      <c r="H331" s="530"/>
      <c r="I331" s="439"/>
      <c r="J331" s="439"/>
      <c r="K331" s="439"/>
      <c r="L331" s="530"/>
      <c r="M331" s="439"/>
      <c r="N331" s="530"/>
      <c r="O331" s="439"/>
      <c r="P331" s="439"/>
      <c r="Q331" s="439"/>
      <c r="R331" s="530"/>
      <c r="S331" s="439"/>
      <c r="T331" s="530"/>
      <c r="U331" s="439"/>
      <c r="V331" s="439"/>
      <c r="W331" s="439"/>
      <c r="X331" s="439"/>
      <c r="Y331" s="439"/>
      <c r="Z331" s="439"/>
      <c r="AA331" s="439"/>
      <c r="AB331" s="439"/>
      <c r="AC331" s="439"/>
    </row>
    <row r="332" ht="15.75" customHeight="1">
      <c r="A332" s="439"/>
      <c r="B332" s="439"/>
      <c r="C332" s="439"/>
      <c r="D332" s="439"/>
      <c r="E332" s="439"/>
      <c r="F332" s="530"/>
      <c r="G332" s="439"/>
      <c r="H332" s="530"/>
      <c r="I332" s="439"/>
      <c r="J332" s="439"/>
      <c r="K332" s="439"/>
      <c r="L332" s="530"/>
      <c r="M332" s="439"/>
      <c r="N332" s="530"/>
      <c r="O332" s="439"/>
      <c r="P332" s="439"/>
      <c r="Q332" s="439"/>
      <c r="R332" s="530"/>
      <c r="S332" s="439"/>
      <c r="T332" s="530"/>
      <c r="U332" s="439"/>
      <c r="V332" s="439"/>
      <c r="W332" s="439"/>
      <c r="X332" s="439"/>
      <c r="Y332" s="439"/>
      <c r="Z332" s="439"/>
      <c r="AA332" s="439"/>
      <c r="AB332" s="439"/>
      <c r="AC332" s="439"/>
    </row>
    <row r="333" ht="15.75" customHeight="1">
      <c r="A333" s="439"/>
      <c r="B333" s="439"/>
      <c r="C333" s="439"/>
      <c r="D333" s="439"/>
      <c r="E333" s="439"/>
      <c r="F333" s="530"/>
      <c r="G333" s="439"/>
      <c r="H333" s="530"/>
      <c r="I333" s="439"/>
      <c r="J333" s="439"/>
      <c r="K333" s="439"/>
      <c r="L333" s="530"/>
      <c r="M333" s="439"/>
      <c r="N333" s="530"/>
      <c r="O333" s="439"/>
      <c r="P333" s="439"/>
      <c r="Q333" s="439"/>
      <c r="R333" s="530"/>
      <c r="S333" s="439"/>
      <c r="T333" s="530"/>
      <c r="U333" s="439"/>
      <c r="V333" s="439"/>
      <c r="W333" s="439"/>
      <c r="X333" s="439"/>
      <c r="Y333" s="439"/>
      <c r="Z333" s="439"/>
      <c r="AA333" s="439"/>
      <c r="AB333" s="439"/>
      <c r="AC333" s="439"/>
    </row>
    <row r="334" ht="15.75" customHeight="1">
      <c r="A334" s="439"/>
      <c r="B334" s="439"/>
      <c r="C334" s="439"/>
      <c r="D334" s="439"/>
      <c r="E334" s="439"/>
      <c r="F334" s="530"/>
      <c r="G334" s="439"/>
      <c r="H334" s="530"/>
      <c r="I334" s="439"/>
      <c r="J334" s="439"/>
      <c r="K334" s="439"/>
      <c r="L334" s="530"/>
      <c r="M334" s="439"/>
      <c r="N334" s="530"/>
      <c r="O334" s="439"/>
      <c r="P334" s="439"/>
      <c r="Q334" s="439"/>
      <c r="R334" s="530"/>
      <c r="S334" s="439"/>
      <c r="T334" s="530"/>
      <c r="U334" s="439"/>
      <c r="V334" s="439"/>
      <c r="W334" s="439"/>
      <c r="X334" s="439"/>
      <c r="Y334" s="439"/>
      <c r="Z334" s="439"/>
      <c r="AA334" s="439"/>
      <c r="AB334" s="439"/>
      <c r="AC334" s="439"/>
    </row>
    <row r="335" ht="15.75" customHeight="1">
      <c r="A335" s="439"/>
      <c r="B335" s="439"/>
      <c r="C335" s="439"/>
      <c r="D335" s="439"/>
      <c r="E335" s="439"/>
      <c r="F335" s="530"/>
      <c r="G335" s="439"/>
      <c r="H335" s="530"/>
      <c r="I335" s="439"/>
      <c r="J335" s="439"/>
      <c r="K335" s="439"/>
      <c r="L335" s="530"/>
      <c r="M335" s="439"/>
      <c r="N335" s="530"/>
      <c r="O335" s="439"/>
      <c r="P335" s="439"/>
      <c r="Q335" s="439"/>
      <c r="R335" s="530"/>
      <c r="S335" s="439"/>
      <c r="T335" s="530"/>
      <c r="U335" s="439"/>
      <c r="V335" s="439"/>
      <c r="W335" s="439"/>
      <c r="X335" s="439"/>
      <c r="Y335" s="439"/>
      <c r="Z335" s="439"/>
      <c r="AA335" s="439"/>
      <c r="AB335" s="439"/>
      <c r="AC335" s="439"/>
    </row>
    <row r="336" ht="15.75" customHeight="1">
      <c r="A336" s="439"/>
      <c r="B336" s="439"/>
      <c r="C336" s="439"/>
      <c r="D336" s="439"/>
      <c r="E336" s="439"/>
      <c r="F336" s="530"/>
      <c r="G336" s="439"/>
      <c r="H336" s="530"/>
      <c r="I336" s="439"/>
      <c r="J336" s="439"/>
      <c r="K336" s="439"/>
      <c r="L336" s="530"/>
      <c r="M336" s="439"/>
      <c r="N336" s="530"/>
      <c r="O336" s="439"/>
      <c r="P336" s="439"/>
      <c r="Q336" s="439"/>
      <c r="R336" s="530"/>
      <c r="S336" s="439"/>
      <c r="T336" s="530"/>
      <c r="U336" s="439"/>
      <c r="V336" s="439"/>
      <c r="W336" s="439"/>
      <c r="X336" s="439"/>
      <c r="Y336" s="439"/>
      <c r="Z336" s="439"/>
      <c r="AA336" s="439"/>
      <c r="AB336" s="439"/>
      <c r="AC336" s="439"/>
    </row>
    <row r="337" ht="15.75" customHeight="1">
      <c r="A337" s="439"/>
      <c r="B337" s="439"/>
      <c r="C337" s="439"/>
      <c r="D337" s="439"/>
      <c r="E337" s="439"/>
      <c r="F337" s="530"/>
      <c r="G337" s="439"/>
      <c r="H337" s="530"/>
      <c r="I337" s="439"/>
      <c r="J337" s="439"/>
      <c r="K337" s="439"/>
      <c r="L337" s="530"/>
      <c r="M337" s="439"/>
      <c r="N337" s="530"/>
      <c r="O337" s="439"/>
      <c r="P337" s="439"/>
      <c r="Q337" s="439"/>
      <c r="R337" s="530"/>
      <c r="S337" s="439"/>
      <c r="T337" s="530"/>
      <c r="U337" s="439"/>
      <c r="V337" s="439"/>
      <c r="W337" s="439"/>
      <c r="X337" s="439"/>
      <c r="Y337" s="439"/>
      <c r="Z337" s="439"/>
      <c r="AA337" s="439"/>
      <c r="AB337" s="439"/>
      <c r="AC337" s="439"/>
    </row>
    <row r="338" ht="15.75" customHeight="1">
      <c r="A338" s="439"/>
      <c r="B338" s="439"/>
      <c r="C338" s="439"/>
      <c r="D338" s="439"/>
      <c r="E338" s="439"/>
      <c r="F338" s="530"/>
      <c r="G338" s="439"/>
      <c r="H338" s="530"/>
      <c r="I338" s="439"/>
      <c r="J338" s="439"/>
      <c r="K338" s="439"/>
      <c r="L338" s="530"/>
      <c r="M338" s="439"/>
      <c r="N338" s="530"/>
      <c r="O338" s="439"/>
      <c r="P338" s="439"/>
      <c r="Q338" s="439"/>
      <c r="R338" s="530"/>
      <c r="S338" s="439"/>
      <c r="T338" s="530"/>
      <c r="U338" s="439"/>
      <c r="V338" s="439"/>
      <c r="W338" s="439"/>
      <c r="X338" s="439"/>
      <c r="Y338" s="439"/>
      <c r="Z338" s="439"/>
      <c r="AA338" s="439"/>
      <c r="AB338" s="439"/>
      <c r="AC338" s="439"/>
    </row>
    <row r="339" ht="15.75" customHeight="1">
      <c r="A339" s="439"/>
      <c r="B339" s="439"/>
      <c r="C339" s="439"/>
      <c r="D339" s="439"/>
      <c r="E339" s="439"/>
      <c r="F339" s="530"/>
      <c r="G339" s="439"/>
      <c r="H339" s="530"/>
      <c r="I339" s="439"/>
      <c r="J339" s="439"/>
      <c r="K339" s="439"/>
      <c r="L339" s="530"/>
      <c r="M339" s="439"/>
      <c r="N339" s="530"/>
      <c r="O339" s="439"/>
      <c r="P339" s="439"/>
      <c r="Q339" s="439"/>
      <c r="R339" s="530"/>
      <c r="S339" s="439"/>
      <c r="T339" s="530"/>
      <c r="U339" s="439"/>
      <c r="V339" s="439"/>
      <c r="W339" s="439"/>
      <c r="X339" s="439"/>
      <c r="Y339" s="439"/>
      <c r="Z339" s="439"/>
      <c r="AA339" s="439"/>
      <c r="AB339" s="439"/>
      <c r="AC339" s="439"/>
    </row>
    <row r="340" ht="15.75" customHeight="1">
      <c r="A340" s="439"/>
      <c r="B340" s="439"/>
      <c r="C340" s="439"/>
      <c r="D340" s="439"/>
      <c r="E340" s="439"/>
      <c r="F340" s="530"/>
      <c r="G340" s="439"/>
      <c r="H340" s="530"/>
      <c r="I340" s="439"/>
      <c r="J340" s="439"/>
      <c r="K340" s="439"/>
      <c r="L340" s="530"/>
      <c r="M340" s="439"/>
      <c r="N340" s="530"/>
      <c r="O340" s="439"/>
      <c r="P340" s="439"/>
      <c r="Q340" s="439"/>
      <c r="R340" s="530"/>
      <c r="S340" s="439"/>
      <c r="T340" s="530"/>
      <c r="U340" s="439"/>
      <c r="V340" s="439"/>
      <c r="W340" s="439"/>
      <c r="X340" s="439"/>
      <c r="Y340" s="439"/>
      <c r="Z340" s="439"/>
      <c r="AA340" s="439"/>
      <c r="AB340" s="439"/>
      <c r="AC340" s="439"/>
    </row>
    <row r="341" ht="15.75" customHeight="1">
      <c r="A341" s="439"/>
      <c r="B341" s="439"/>
      <c r="C341" s="439"/>
      <c r="D341" s="439"/>
      <c r="E341" s="439"/>
      <c r="F341" s="530"/>
      <c r="G341" s="439"/>
      <c r="H341" s="530"/>
      <c r="I341" s="439"/>
      <c r="J341" s="439"/>
      <c r="K341" s="439"/>
      <c r="L341" s="530"/>
      <c r="M341" s="439"/>
      <c r="N341" s="530"/>
      <c r="O341" s="439"/>
      <c r="P341" s="439"/>
      <c r="Q341" s="439"/>
      <c r="R341" s="530"/>
      <c r="S341" s="439"/>
      <c r="T341" s="530"/>
      <c r="U341" s="439"/>
      <c r="V341" s="439"/>
      <c r="W341" s="439"/>
      <c r="X341" s="439"/>
      <c r="Y341" s="439"/>
      <c r="Z341" s="439"/>
      <c r="AA341" s="439"/>
      <c r="AB341" s="439"/>
      <c r="AC341" s="439"/>
    </row>
    <row r="342" ht="15.75" customHeight="1">
      <c r="A342" s="439"/>
      <c r="B342" s="439"/>
      <c r="C342" s="439"/>
      <c r="D342" s="439"/>
      <c r="E342" s="439"/>
      <c r="F342" s="530"/>
      <c r="G342" s="439"/>
      <c r="H342" s="530"/>
      <c r="I342" s="439"/>
      <c r="J342" s="439"/>
      <c r="K342" s="439"/>
      <c r="L342" s="530"/>
      <c r="M342" s="439"/>
      <c r="N342" s="530"/>
      <c r="O342" s="439"/>
      <c r="P342" s="439"/>
      <c r="Q342" s="439"/>
      <c r="R342" s="530"/>
      <c r="S342" s="439"/>
      <c r="T342" s="530"/>
      <c r="U342" s="439"/>
      <c r="V342" s="439"/>
      <c r="W342" s="439"/>
      <c r="X342" s="439"/>
      <c r="Y342" s="439"/>
      <c r="Z342" s="439"/>
      <c r="AA342" s="439"/>
      <c r="AB342" s="439"/>
      <c r="AC342" s="439"/>
    </row>
    <row r="343" ht="15.75" customHeight="1">
      <c r="A343" s="439"/>
      <c r="B343" s="439"/>
      <c r="C343" s="439"/>
      <c r="D343" s="439"/>
      <c r="E343" s="439"/>
      <c r="F343" s="530"/>
      <c r="G343" s="439"/>
      <c r="H343" s="530"/>
      <c r="I343" s="439"/>
      <c r="J343" s="439"/>
      <c r="K343" s="439"/>
      <c r="L343" s="530"/>
      <c r="M343" s="439"/>
      <c r="N343" s="530"/>
      <c r="O343" s="439"/>
      <c r="P343" s="439"/>
      <c r="Q343" s="439"/>
      <c r="R343" s="530"/>
      <c r="S343" s="439"/>
      <c r="T343" s="530"/>
      <c r="U343" s="439"/>
      <c r="V343" s="439"/>
      <c r="W343" s="439"/>
      <c r="X343" s="439"/>
      <c r="Y343" s="439"/>
      <c r="Z343" s="439"/>
      <c r="AA343" s="439"/>
      <c r="AB343" s="439"/>
      <c r="AC343" s="439"/>
    </row>
    <row r="344" ht="15.75" customHeight="1">
      <c r="A344" s="439"/>
      <c r="B344" s="439"/>
      <c r="C344" s="439"/>
      <c r="D344" s="439"/>
      <c r="E344" s="439"/>
      <c r="F344" s="530"/>
      <c r="G344" s="439"/>
      <c r="H344" s="530"/>
      <c r="I344" s="439"/>
      <c r="J344" s="439"/>
      <c r="K344" s="439"/>
      <c r="L344" s="530"/>
      <c r="M344" s="439"/>
      <c r="N344" s="530"/>
      <c r="O344" s="439"/>
      <c r="P344" s="439"/>
      <c r="Q344" s="439"/>
      <c r="R344" s="530"/>
      <c r="S344" s="439"/>
      <c r="T344" s="530"/>
      <c r="U344" s="439"/>
      <c r="V344" s="439"/>
      <c r="W344" s="439"/>
      <c r="X344" s="439"/>
      <c r="Y344" s="439"/>
      <c r="Z344" s="439"/>
      <c r="AA344" s="439"/>
      <c r="AB344" s="439"/>
      <c r="AC344" s="439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6">
    <mergeCell ref="B4:B5"/>
    <mergeCell ref="C4:C5"/>
    <mergeCell ref="D4:I4"/>
    <mergeCell ref="J4:O4"/>
    <mergeCell ref="P4:U4"/>
    <mergeCell ref="B69:C69"/>
  </mergeCells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9.75"/>
    <col customWidth="1" min="4" max="4" width="12.63"/>
    <col customWidth="1" hidden="1" min="5" max="9" width="12.63"/>
    <col customWidth="1" min="10" max="10" width="12.63"/>
    <col customWidth="1" hidden="1" min="11" max="15" width="12.63"/>
    <col customWidth="1" min="16" max="16" width="10.75"/>
    <col customWidth="1" hidden="1" min="17" max="21" width="12.63"/>
    <col customWidth="1" min="22" max="29" width="12.63"/>
  </cols>
  <sheetData>
    <row r="1" ht="15.75" customHeight="1">
      <c r="A1" s="2"/>
      <c r="B1" s="1" t="s">
        <v>0</v>
      </c>
      <c r="C1" s="2"/>
      <c r="D1" s="827"/>
      <c r="E1" s="2"/>
      <c r="F1" s="827"/>
      <c r="G1" s="2"/>
      <c r="H1" s="2"/>
      <c r="I1" s="2"/>
      <c r="J1" s="827"/>
      <c r="K1" s="2"/>
      <c r="L1" s="827"/>
      <c r="M1" s="2"/>
      <c r="N1" s="2"/>
      <c r="O1" s="2"/>
      <c r="P1" s="827"/>
      <c r="Q1" s="2"/>
      <c r="R1" s="827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75" customHeight="1">
      <c r="A2" s="2"/>
      <c r="B2" s="828" t="s">
        <v>328</v>
      </c>
      <c r="C2" s="829"/>
      <c r="D2" s="827"/>
      <c r="E2" s="2"/>
      <c r="F2" s="827"/>
      <c r="G2" s="2"/>
      <c r="H2" s="2"/>
      <c r="I2" s="2"/>
      <c r="J2" s="827"/>
      <c r="K2" s="2"/>
      <c r="L2" s="827"/>
      <c r="M2" s="2"/>
      <c r="N2" s="2"/>
      <c r="O2" s="2"/>
      <c r="P2" s="827"/>
      <c r="Q2" s="2"/>
      <c r="R2" s="827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2"/>
      <c r="B3" s="2"/>
      <c r="C3" s="2"/>
      <c r="D3" s="827"/>
      <c r="E3" s="2"/>
      <c r="F3" s="827"/>
      <c r="G3" s="2"/>
      <c r="H3" s="2"/>
      <c r="I3" s="2"/>
      <c r="J3" s="827"/>
      <c r="K3" s="2"/>
      <c r="L3" s="827"/>
      <c r="M3" s="2"/>
      <c r="N3" s="2"/>
      <c r="O3" s="2"/>
      <c r="P3" s="827"/>
      <c r="Q3" s="2"/>
      <c r="R3" s="827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5.75" customHeight="1">
      <c r="A4" s="2"/>
      <c r="B4" s="830" t="s">
        <v>162</v>
      </c>
      <c r="C4" s="830" t="s">
        <v>163</v>
      </c>
      <c r="D4" s="831" t="s">
        <v>164</v>
      </c>
      <c r="E4" s="10"/>
      <c r="F4" s="10"/>
      <c r="G4" s="10"/>
      <c r="H4" s="10"/>
      <c r="I4" s="13"/>
      <c r="J4" s="831" t="s">
        <v>165</v>
      </c>
      <c r="K4" s="10"/>
      <c r="L4" s="10"/>
      <c r="M4" s="10"/>
      <c r="N4" s="10"/>
      <c r="O4" s="13"/>
      <c r="P4" s="832" t="s">
        <v>166</v>
      </c>
      <c r="Q4" s="10"/>
      <c r="R4" s="10"/>
      <c r="S4" s="10"/>
      <c r="T4" s="10"/>
      <c r="U4" s="13"/>
      <c r="V4" s="833"/>
      <c r="W4" s="833"/>
      <c r="X4" s="833"/>
      <c r="Y4" s="833"/>
      <c r="Z4" s="833"/>
      <c r="AA4" s="833"/>
      <c r="AB4" s="833"/>
      <c r="AC4" s="833"/>
    </row>
    <row r="5" ht="15.75" customHeight="1">
      <c r="A5" s="834"/>
      <c r="B5" s="448"/>
      <c r="C5" s="448"/>
      <c r="D5" s="835" t="s">
        <v>167</v>
      </c>
      <c r="E5" s="836" t="s">
        <v>18</v>
      </c>
      <c r="F5" s="835" t="s">
        <v>168</v>
      </c>
      <c r="G5" s="836" t="s">
        <v>18</v>
      </c>
      <c r="H5" s="836" t="s">
        <v>169</v>
      </c>
      <c r="I5" s="836" t="s">
        <v>260</v>
      </c>
      <c r="J5" s="835" t="s">
        <v>167</v>
      </c>
      <c r="K5" s="836" t="s">
        <v>18</v>
      </c>
      <c r="L5" s="835" t="s">
        <v>168</v>
      </c>
      <c r="M5" s="836" t="s">
        <v>18</v>
      </c>
      <c r="N5" s="836" t="s">
        <v>169</v>
      </c>
      <c r="O5" s="836" t="s">
        <v>260</v>
      </c>
      <c r="P5" s="835" t="s">
        <v>167</v>
      </c>
      <c r="Q5" s="836" t="s">
        <v>18</v>
      </c>
      <c r="R5" s="835" t="s">
        <v>168</v>
      </c>
      <c r="S5" s="836" t="s">
        <v>18</v>
      </c>
      <c r="T5" s="836" t="s">
        <v>169</v>
      </c>
      <c r="U5" s="836" t="s">
        <v>260</v>
      </c>
      <c r="V5" s="837"/>
      <c r="W5" s="837"/>
      <c r="X5" s="837"/>
      <c r="Y5" s="837"/>
      <c r="Z5" s="837"/>
      <c r="AA5" s="837"/>
      <c r="AB5" s="837"/>
      <c r="AC5" s="837"/>
    </row>
    <row r="6" ht="15.75" hidden="1" customHeight="1">
      <c r="A6" s="2"/>
      <c r="B6" s="838"/>
      <c r="C6" s="839" t="s">
        <v>73</v>
      </c>
      <c r="D6" s="840">
        <v>0.0</v>
      </c>
      <c r="E6" s="838"/>
      <c r="F6" s="841"/>
      <c r="G6" s="838"/>
      <c r="H6" s="842"/>
      <c r="I6" s="838"/>
      <c r="J6" s="841">
        <v>0.0</v>
      </c>
      <c r="K6" s="838"/>
      <c r="L6" s="841"/>
      <c r="M6" s="838"/>
      <c r="N6" s="842"/>
      <c r="O6" s="838"/>
      <c r="P6" s="841">
        <v>0.0</v>
      </c>
      <c r="Q6" s="838"/>
      <c r="R6" s="841"/>
      <c r="S6" s="838"/>
      <c r="T6" s="842"/>
      <c r="U6" s="843"/>
      <c r="V6" s="2"/>
      <c r="W6" s="2"/>
      <c r="X6" s="2"/>
      <c r="Y6" s="2"/>
      <c r="Z6" s="2"/>
      <c r="AA6" s="2"/>
      <c r="AB6" s="2"/>
      <c r="AC6" s="2"/>
    </row>
    <row r="7" ht="15.75" hidden="1" customHeight="1">
      <c r="A7" s="2"/>
      <c r="B7" s="844"/>
      <c r="C7" s="845" t="s">
        <v>80</v>
      </c>
      <c r="D7" s="846">
        <v>0.0</v>
      </c>
      <c r="E7" s="844"/>
      <c r="F7" s="847"/>
      <c r="G7" s="844"/>
      <c r="H7" s="848"/>
      <c r="I7" s="844"/>
      <c r="J7" s="847">
        <v>0.0</v>
      </c>
      <c r="K7" s="844"/>
      <c r="L7" s="847"/>
      <c r="M7" s="844"/>
      <c r="N7" s="848"/>
      <c r="O7" s="844"/>
      <c r="P7" s="847">
        <v>0.0</v>
      </c>
      <c r="Q7" s="844"/>
      <c r="R7" s="847"/>
      <c r="S7" s="844"/>
      <c r="T7" s="848"/>
      <c r="U7" s="849"/>
      <c r="V7" s="2"/>
      <c r="W7" s="2"/>
      <c r="X7" s="2"/>
      <c r="Y7" s="2"/>
      <c r="Z7" s="2"/>
      <c r="AA7" s="2"/>
      <c r="AB7" s="2"/>
      <c r="AC7" s="2"/>
    </row>
    <row r="8" ht="15.75" hidden="1" customHeight="1">
      <c r="A8" s="2"/>
      <c r="B8" s="844"/>
      <c r="C8" s="845" t="s">
        <v>87</v>
      </c>
      <c r="D8" s="846">
        <f>D29</f>
        <v>0</v>
      </c>
      <c r="E8" s="844"/>
      <c r="F8" s="847"/>
      <c r="G8" s="844"/>
      <c r="H8" s="848"/>
      <c r="I8" s="844"/>
      <c r="J8" s="847">
        <f>J29</f>
        <v>0</v>
      </c>
      <c r="K8" s="844"/>
      <c r="L8" s="847"/>
      <c r="M8" s="844"/>
      <c r="N8" s="848"/>
      <c r="O8" s="844"/>
      <c r="P8" s="847">
        <f>P29</f>
        <v>510003</v>
      </c>
      <c r="Q8" s="844"/>
      <c r="R8" s="847"/>
      <c r="S8" s="844"/>
      <c r="T8" s="848"/>
      <c r="U8" s="849"/>
      <c r="V8" s="2"/>
      <c r="W8" s="2"/>
      <c r="X8" s="2"/>
      <c r="Y8" s="2"/>
      <c r="Z8" s="2"/>
      <c r="AA8" s="2"/>
      <c r="AB8" s="2"/>
      <c r="AC8" s="2"/>
    </row>
    <row r="9" ht="15.75" hidden="1" customHeight="1">
      <c r="A9" s="2"/>
      <c r="B9" s="844"/>
      <c r="C9" s="845" t="s">
        <v>94</v>
      </c>
      <c r="D9" s="846" t="str">
        <f>D18+D21+#REF!+D22</f>
        <v>#REF!</v>
      </c>
      <c r="E9" s="844"/>
      <c r="F9" s="847"/>
      <c r="G9" s="844"/>
      <c r="H9" s="848"/>
      <c r="I9" s="844"/>
      <c r="J9" s="847" t="str">
        <f>J18+J21+#REF!+J22</f>
        <v>#REF!</v>
      </c>
      <c r="K9" s="844"/>
      <c r="L9" s="847"/>
      <c r="M9" s="844"/>
      <c r="N9" s="848"/>
      <c r="O9" s="844"/>
      <c r="P9" s="847" t="str">
        <f>P18+P21+#REF!+P22</f>
        <v>#REF!</v>
      </c>
      <c r="Q9" s="844"/>
      <c r="R9" s="847"/>
      <c r="S9" s="844"/>
      <c r="T9" s="848"/>
      <c r="U9" s="849"/>
      <c r="V9" s="2"/>
      <c r="W9" s="2"/>
      <c r="X9" s="2"/>
      <c r="Y9" s="2"/>
      <c r="Z9" s="2"/>
      <c r="AA9" s="2"/>
      <c r="AB9" s="2"/>
      <c r="AC9" s="2"/>
    </row>
    <row r="10" ht="15.75" hidden="1" customHeight="1">
      <c r="A10" s="2"/>
      <c r="B10" s="844"/>
      <c r="C10" s="845" t="s">
        <v>101</v>
      </c>
      <c r="D10" s="846"/>
      <c r="E10" s="844"/>
      <c r="F10" s="847"/>
      <c r="G10" s="844"/>
      <c r="H10" s="848"/>
      <c r="I10" s="844"/>
      <c r="J10" s="847"/>
      <c r="K10" s="844"/>
      <c r="L10" s="847"/>
      <c r="M10" s="844"/>
      <c r="N10" s="848"/>
      <c r="O10" s="844"/>
      <c r="P10" s="847"/>
      <c r="Q10" s="844"/>
      <c r="R10" s="847"/>
      <c r="S10" s="844"/>
      <c r="T10" s="848"/>
      <c r="U10" s="849"/>
      <c r="V10" s="2"/>
      <c r="W10" s="2"/>
      <c r="X10" s="2"/>
      <c r="Y10" s="2"/>
      <c r="Z10" s="2"/>
      <c r="AA10" s="2"/>
      <c r="AB10" s="2"/>
      <c r="AC10" s="2"/>
    </row>
    <row r="11" ht="15.75" hidden="1" customHeight="1">
      <c r="A11" s="2"/>
      <c r="B11" s="844"/>
      <c r="C11" s="845" t="s">
        <v>108</v>
      </c>
      <c r="D11" s="846"/>
      <c r="E11" s="844"/>
      <c r="F11" s="847"/>
      <c r="G11" s="844"/>
      <c r="H11" s="848"/>
      <c r="I11" s="844"/>
      <c r="J11" s="847"/>
      <c r="K11" s="844"/>
      <c r="L11" s="847"/>
      <c r="M11" s="844"/>
      <c r="N11" s="848"/>
      <c r="O11" s="844"/>
      <c r="P11" s="847"/>
      <c r="Q11" s="844"/>
      <c r="R11" s="847"/>
      <c r="S11" s="844"/>
      <c r="T11" s="848"/>
      <c r="U11" s="849"/>
      <c r="V11" s="2"/>
      <c r="W11" s="2"/>
      <c r="X11" s="2"/>
      <c r="Y11" s="2"/>
      <c r="Z11" s="2"/>
      <c r="AA11" s="2"/>
      <c r="AB11" s="2"/>
      <c r="AC11" s="2"/>
    </row>
    <row r="12" ht="15.75" hidden="1" customHeight="1">
      <c r="A12" s="2"/>
      <c r="B12" s="844"/>
      <c r="C12" s="845" t="s">
        <v>115</v>
      </c>
      <c r="D12" s="846"/>
      <c r="E12" s="844"/>
      <c r="F12" s="847"/>
      <c r="G12" s="844"/>
      <c r="H12" s="848"/>
      <c r="I12" s="844"/>
      <c r="J12" s="847"/>
      <c r="K12" s="844"/>
      <c r="L12" s="847"/>
      <c r="M12" s="844"/>
      <c r="N12" s="848"/>
      <c r="O12" s="844"/>
      <c r="P12" s="847"/>
      <c r="Q12" s="844"/>
      <c r="R12" s="847"/>
      <c r="S12" s="844"/>
      <c r="T12" s="848"/>
      <c r="U12" s="849"/>
      <c r="V12" s="2"/>
      <c r="W12" s="2"/>
      <c r="X12" s="2"/>
      <c r="Y12" s="2"/>
      <c r="Z12" s="2"/>
      <c r="AA12" s="2"/>
      <c r="AB12" s="2"/>
      <c r="AC12" s="2"/>
    </row>
    <row r="13" ht="15.75" hidden="1" customHeight="1">
      <c r="A13" s="2"/>
      <c r="B13" s="844"/>
      <c r="C13" s="845"/>
      <c r="D13" s="846"/>
      <c r="E13" s="845"/>
      <c r="F13" s="847"/>
      <c r="G13" s="845"/>
      <c r="H13" s="848"/>
      <c r="I13" s="845"/>
      <c r="J13" s="847"/>
      <c r="K13" s="845"/>
      <c r="L13" s="847"/>
      <c r="M13" s="845"/>
      <c r="N13" s="848"/>
      <c r="O13" s="845"/>
      <c r="P13" s="847"/>
      <c r="Q13" s="845"/>
      <c r="R13" s="847"/>
      <c r="S13" s="845"/>
      <c r="T13" s="848"/>
      <c r="U13" s="850"/>
      <c r="V13" s="2"/>
      <c r="W13" s="2"/>
      <c r="X13" s="2"/>
      <c r="Y13" s="2"/>
      <c r="Z13" s="2"/>
      <c r="AA13" s="2"/>
      <c r="AB13" s="2"/>
      <c r="AC13" s="2"/>
    </row>
    <row r="14" ht="15.75" hidden="1" customHeight="1">
      <c r="A14" s="2"/>
      <c r="B14" s="851"/>
      <c r="C14" s="852"/>
      <c r="D14" s="853"/>
      <c r="E14" s="852"/>
      <c r="F14" s="854"/>
      <c r="G14" s="852"/>
      <c r="H14" s="855"/>
      <c r="I14" s="852"/>
      <c r="J14" s="854"/>
      <c r="K14" s="852"/>
      <c r="L14" s="854"/>
      <c r="M14" s="852"/>
      <c r="N14" s="855"/>
      <c r="O14" s="852"/>
      <c r="P14" s="854"/>
      <c r="Q14" s="845"/>
      <c r="R14" s="847"/>
      <c r="S14" s="845"/>
      <c r="T14" s="848"/>
      <c r="U14" s="850"/>
      <c r="V14" s="2"/>
      <c r="W14" s="2"/>
      <c r="X14" s="2"/>
      <c r="Y14" s="2"/>
      <c r="Z14" s="2"/>
      <c r="AA14" s="2"/>
      <c r="AB14" s="2"/>
      <c r="AC14" s="2"/>
    </row>
    <row r="15" ht="15.75" customHeight="1">
      <c r="A15" s="2"/>
      <c r="B15" s="856" t="s">
        <v>170</v>
      </c>
      <c r="C15" s="857" t="s">
        <v>329</v>
      </c>
      <c r="D15" s="858">
        <f>SUM(D16:D20)</f>
        <v>0</v>
      </c>
      <c r="E15" s="857"/>
      <c r="F15" s="858">
        <f>SUM(F16:F20)</f>
        <v>0</v>
      </c>
      <c r="G15" s="857"/>
      <c r="H15" s="859">
        <f>SUM(H16:H20)</f>
        <v>0</v>
      </c>
      <c r="I15" s="857"/>
      <c r="J15" s="858">
        <f>SUM(J16:J20)</f>
        <v>0</v>
      </c>
      <c r="K15" s="857"/>
      <c r="L15" s="858">
        <f>SUM(L16:L20)</f>
        <v>0</v>
      </c>
      <c r="M15" s="857"/>
      <c r="N15" s="859">
        <f>SUM(N16:N20)</f>
        <v>0</v>
      </c>
      <c r="O15" s="857"/>
      <c r="P15" s="858">
        <f>SUM(P16:P20)</f>
        <v>510003</v>
      </c>
      <c r="Q15" s="845"/>
      <c r="R15" s="847"/>
      <c r="S15" s="845"/>
      <c r="T15" s="848"/>
      <c r="U15" s="850"/>
      <c r="V15" s="2"/>
      <c r="W15" s="2"/>
      <c r="X15" s="2"/>
      <c r="Y15" s="2"/>
      <c r="Z15" s="2"/>
      <c r="AA15" s="2"/>
      <c r="AB15" s="2"/>
      <c r="AC15" s="2"/>
    </row>
    <row r="16" ht="15.75" customHeight="1">
      <c r="A16" s="2"/>
      <c r="B16" s="860"/>
      <c r="C16" s="861"/>
      <c r="D16" s="862"/>
      <c r="E16" s="861"/>
      <c r="F16" s="863"/>
      <c r="G16" s="861"/>
      <c r="H16" s="864"/>
      <c r="I16" s="861"/>
      <c r="J16" s="863"/>
      <c r="K16" s="861"/>
      <c r="L16" s="863"/>
      <c r="M16" s="861"/>
      <c r="N16" s="864"/>
      <c r="O16" s="861"/>
      <c r="P16" s="863"/>
      <c r="Q16" s="865"/>
      <c r="R16" s="866">
        <f>SUM(R17:R21)</f>
        <v>0</v>
      </c>
      <c r="S16" s="865"/>
      <c r="T16" s="867">
        <f>SUM(T17:T21)</f>
        <v>0</v>
      </c>
      <c r="U16" s="868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2"/>
      <c r="B17" s="844" t="s">
        <v>23</v>
      </c>
      <c r="C17" s="465" t="s">
        <v>172</v>
      </c>
      <c r="D17" s="869">
        <v>0.0</v>
      </c>
      <c r="E17" s="845"/>
      <c r="F17" s="847"/>
      <c r="G17" s="845"/>
      <c r="H17" s="848"/>
      <c r="I17" s="845"/>
      <c r="J17" s="870">
        <v>0.0</v>
      </c>
      <c r="K17" s="845"/>
      <c r="L17" s="847"/>
      <c r="M17" s="845"/>
      <c r="N17" s="848"/>
      <c r="O17" s="845"/>
      <c r="P17" s="870">
        <v>0.0</v>
      </c>
      <c r="Q17" s="845"/>
      <c r="R17" s="847"/>
      <c r="S17" s="845"/>
      <c r="T17" s="848"/>
      <c r="U17" s="850"/>
      <c r="V17" s="2"/>
      <c r="W17" s="2"/>
      <c r="X17" s="2"/>
      <c r="Y17" s="2"/>
      <c r="Z17" s="2"/>
      <c r="AA17" s="2"/>
      <c r="AB17" s="2"/>
      <c r="AC17" s="2"/>
    </row>
    <row r="18" ht="15.75" customHeight="1">
      <c r="A18" s="2"/>
      <c r="B18" s="845"/>
      <c r="C18" s="465" t="s">
        <v>173</v>
      </c>
      <c r="D18" s="869">
        <v>0.0</v>
      </c>
      <c r="E18" s="845"/>
      <c r="F18" s="847"/>
      <c r="G18" s="845"/>
      <c r="H18" s="848"/>
      <c r="I18" s="845"/>
      <c r="J18" s="870">
        <v>0.0</v>
      </c>
      <c r="K18" s="845"/>
      <c r="L18" s="847"/>
      <c r="M18" s="845"/>
      <c r="N18" s="848"/>
      <c r="O18" s="845"/>
      <c r="P18" s="870">
        <v>0.0</v>
      </c>
      <c r="Q18" s="845"/>
      <c r="R18" s="847"/>
      <c r="S18" s="845"/>
      <c r="T18" s="848"/>
      <c r="U18" s="850"/>
      <c r="V18" s="2"/>
      <c r="W18" s="2"/>
      <c r="X18" s="2"/>
      <c r="Y18" s="2"/>
      <c r="Z18" s="2"/>
      <c r="AA18" s="2"/>
      <c r="AB18" s="2"/>
      <c r="AC18" s="2"/>
    </row>
    <row r="19" ht="15.75" customHeight="1">
      <c r="A19" s="2"/>
      <c r="B19" s="845"/>
      <c r="C19" s="465" t="s">
        <v>174</v>
      </c>
      <c r="D19" s="869">
        <v>0.0</v>
      </c>
      <c r="E19" s="845"/>
      <c r="F19" s="847"/>
      <c r="G19" s="845"/>
      <c r="H19" s="848"/>
      <c r="I19" s="845"/>
      <c r="J19" s="870">
        <v>0.0</v>
      </c>
      <c r="K19" s="845"/>
      <c r="L19" s="847"/>
      <c r="M19" s="845"/>
      <c r="N19" s="848"/>
      <c r="O19" s="845"/>
      <c r="P19" s="870">
        <v>510003.0</v>
      </c>
      <c r="Q19" s="845"/>
      <c r="R19" s="847"/>
      <c r="S19" s="845"/>
      <c r="T19" s="848"/>
      <c r="U19" s="850"/>
      <c r="V19" s="2"/>
      <c r="W19" s="2"/>
      <c r="X19" s="2"/>
      <c r="Y19" s="2"/>
      <c r="Z19" s="2"/>
      <c r="AA19" s="2"/>
      <c r="AB19" s="2"/>
      <c r="AC19" s="2"/>
    </row>
    <row r="20" ht="15.75" customHeight="1">
      <c r="A20" s="2"/>
      <c r="B20" s="845"/>
      <c r="C20" s="465" t="s">
        <v>175</v>
      </c>
      <c r="D20" s="869">
        <v>0.0</v>
      </c>
      <c r="E20" s="845"/>
      <c r="F20" s="847"/>
      <c r="G20" s="845"/>
      <c r="H20" s="848"/>
      <c r="I20" s="845"/>
      <c r="J20" s="870">
        <v>0.0</v>
      </c>
      <c r="K20" s="845"/>
      <c r="L20" s="847"/>
      <c r="M20" s="845"/>
      <c r="N20" s="848"/>
      <c r="O20" s="845"/>
      <c r="P20" s="870">
        <v>0.0</v>
      </c>
      <c r="Q20" s="845"/>
      <c r="R20" s="847"/>
      <c r="S20" s="845"/>
      <c r="T20" s="848"/>
      <c r="U20" s="850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2"/>
      <c r="B21" s="871"/>
      <c r="C21" s="465" t="s">
        <v>176</v>
      </c>
      <c r="D21" s="869">
        <v>0.0</v>
      </c>
      <c r="E21" s="845"/>
      <c r="F21" s="847"/>
      <c r="G21" s="845"/>
      <c r="H21" s="848"/>
      <c r="I21" s="845"/>
      <c r="J21" s="870">
        <v>0.0</v>
      </c>
      <c r="K21" s="845"/>
      <c r="L21" s="847"/>
      <c r="M21" s="845"/>
      <c r="N21" s="848"/>
      <c r="O21" s="845"/>
      <c r="P21" s="870">
        <v>0.0</v>
      </c>
      <c r="Q21" s="845"/>
      <c r="R21" s="847"/>
      <c r="S21" s="845"/>
      <c r="T21" s="848"/>
      <c r="U21" s="850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2"/>
      <c r="B22" s="844"/>
      <c r="C22" s="465" t="s">
        <v>263</v>
      </c>
      <c r="D22" s="869">
        <v>0.0</v>
      </c>
      <c r="E22" s="845"/>
      <c r="F22" s="847"/>
      <c r="G22" s="845"/>
      <c r="H22" s="848"/>
      <c r="I22" s="845"/>
      <c r="J22" s="870">
        <v>0.0</v>
      </c>
      <c r="K22" s="845"/>
      <c r="L22" s="847"/>
      <c r="M22" s="845"/>
      <c r="N22" s="848"/>
      <c r="O22" s="845"/>
      <c r="P22" s="870">
        <v>0.0</v>
      </c>
      <c r="Q22" s="845"/>
      <c r="R22" s="847"/>
      <c r="S22" s="845"/>
      <c r="T22" s="848"/>
      <c r="U22" s="850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2"/>
      <c r="B23" s="844"/>
      <c r="C23" s="871"/>
      <c r="D23" s="846"/>
      <c r="E23" s="845"/>
      <c r="F23" s="847"/>
      <c r="G23" s="845"/>
      <c r="H23" s="848"/>
      <c r="I23" s="845"/>
      <c r="J23" s="847"/>
      <c r="K23" s="845"/>
      <c r="L23" s="847"/>
      <c r="M23" s="845"/>
      <c r="N23" s="848"/>
      <c r="O23" s="845"/>
      <c r="P23" s="847"/>
      <c r="Q23" s="845"/>
      <c r="R23" s="847"/>
      <c r="S23" s="845"/>
      <c r="T23" s="848"/>
      <c r="U23" s="850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2"/>
      <c r="B24" s="844" t="s">
        <v>21</v>
      </c>
      <c r="C24" s="465" t="s">
        <v>21</v>
      </c>
      <c r="D24" s="869">
        <v>0.0</v>
      </c>
      <c r="E24" s="845"/>
      <c r="F24" s="847"/>
      <c r="G24" s="845"/>
      <c r="H24" s="848"/>
      <c r="I24" s="845"/>
      <c r="J24" s="870">
        <v>0.0</v>
      </c>
      <c r="K24" s="845"/>
      <c r="L24" s="847"/>
      <c r="M24" s="845"/>
      <c r="N24" s="848"/>
      <c r="O24" s="845"/>
      <c r="P24" s="870">
        <v>0.0</v>
      </c>
      <c r="Q24" s="845"/>
      <c r="R24" s="847"/>
      <c r="S24" s="845"/>
      <c r="T24" s="848"/>
      <c r="U24" s="850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2"/>
      <c r="B25" s="844" t="s">
        <v>22</v>
      </c>
      <c r="C25" s="465" t="s">
        <v>22</v>
      </c>
      <c r="D25" s="869">
        <v>0.0</v>
      </c>
      <c r="E25" s="845"/>
      <c r="F25" s="847"/>
      <c r="G25" s="845"/>
      <c r="H25" s="848"/>
      <c r="I25" s="845"/>
      <c r="J25" s="870">
        <v>0.0</v>
      </c>
      <c r="K25" s="845"/>
      <c r="L25" s="847"/>
      <c r="M25" s="845"/>
      <c r="N25" s="848"/>
      <c r="O25" s="845"/>
      <c r="P25" s="870">
        <v>0.0</v>
      </c>
      <c r="Q25" s="845"/>
      <c r="R25" s="847"/>
      <c r="S25" s="845"/>
      <c r="T25" s="848"/>
      <c r="U25" s="850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844" t="s">
        <v>23</v>
      </c>
      <c r="C26" s="465" t="s">
        <v>177</v>
      </c>
      <c r="D26" s="576">
        <f t="shared" ref="D26:P26" si="1">SUM(D16:D22)</f>
        <v>0</v>
      </c>
      <c r="E26" s="576">
        <f t="shared" si="1"/>
        <v>0</v>
      </c>
      <c r="F26" s="576">
        <f t="shared" si="1"/>
        <v>0</v>
      </c>
      <c r="G26" s="576">
        <f t="shared" si="1"/>
        <v>0</v>
      </c>
      <c r="H26" s="576">
        <f t="shared" si="1"/>
        <v>0</v>
      </c>
      <c r="I26" s="576">
        <f t="shared" si="1"/>
        <v>0</v>
      </c>
      <c r="J26" s="576">
        <f t="shared" si="1"/>
        <v>0</v>
      </c>
      <c r="K26" s="576">
        <f t="shared" si="1"/>
        <v>0</v>
      </c>
      <c r="L26" s="576">
        <f t="shared" si="1"/>
        <v>0</v>
      </c>
      <c r="M26" s="576">
        <f t="shared" si="1"/>
        <v>0</v>
      </c>
      <c r="N26" s="576">
        <f t="shared" si="1"/>
        <v>0</v>
      </c>
      <c r="O26" s="576">
        <f t="shared" si="1"/>
        <v>0</v>
      </c>
      <c r="P26" s="581">
        <f t="shared" si="1"/>
        <v>510003</v>
      </c>
      <c r="Q26" s="845"/>
      <c r="R26" s="872"/>
      <c r="S26" s="845"/>
      <c r="T26" s="873"/>
      <c r="U26" s="850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845"/>
      <c r="C27" s="871"/>
      <c r="D27" s="846"/>
      <c r="E27" s="845"/>
      <c r="F27" s="847"/>
      <c r="G27" s="845"/>
      <c r="H27" s="845"/>
      <c r="I27" s="845"/>
      <c r="J27" s="847"/>
      <c r="K27" s="845"/>
      <c r="L27" s="847"/>
      <c r="M27" s="845"/>
      <c r="N27" s="845"/>
      <c r="O27" s="845"/>
      <c r="P27" s="847"/>
      <c r="Q27" s="845"/>
      <c r="R27" s="847"/>
      <c r="S27" s="845"/>
      <c r="T27" s="845"/>
      <c r="U27" s="850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852"/>
      <c r="C28" s="483" t="s">
        <v>178</v>
      </c>
      <c r="D28" s="853"/>
      <c r="E28" s="852"/>
      <c r="F28" s="854"/>
      <c r="G28" s="852"/>
      <c r="H28" s="852"/>
      <c r="I28" s="852"/>
      <c r="J28" s="854"/>
      <c r="K28" s="852"/>
      <c r="L28" s="854"/>
      <c r="M28" s="852"/>
      <c r="N28" s="852"/>
      <c r="O28" s="852"/>
      <c r="P28" s="854"/>
      <c r="Q28" s="845"/>
      <c r="R28" s="847"/>
      <c r="S28" s="845"/>
      <c r="T28" s="845"/>
      <c r="U28" s="850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857"/>
      <c r="C29" s="857" t="s">
        <v>179</v>
      </c>
      <c r="D29" s="874">
        <f>D24+D25+D26</f>
        <v>0</v>
      </c>
      <c r="E29" s="875"/>
      <c r="F29" s="874">
        <f>F24+F25+F26</f>
        <v>0</v>
      </c>
      <c r="G29" s="875"/>
      <c r="H29" s="876">
        <f>H24+H25+H26</f>
        <v>0</v>
      </c>
      <c r="I29" s="875"/>
      <c r="J29" s="874">
        <f>J24+J25+J26</f>
        <v>0</v>
      </c>
      <c r="K29" s="857"/>
      <c r="L29" s="858">
        <f>L24+L25+L26</f>
        <v>0</v>
      </c>
      <c r="M29" s="857"/>
      <c r="N29" s="859">
        <f>N24+N25+N26</f>
        <v>0</v>
      </c>
      <c r="O29" s="857"/>
      <c r="P29" s="858">
        <f>P24+P25+P26</f>
        <v>510003</v>
      </c>
      <c r="Q29" s="865"/>
      <c r="R29" s="866">
        <f>R24+R25+R26</f>
        <v>0</v>
      </c>
      <c r="S29" s="865"/>
      <c r="T29" s="867">
        <f>T24+T25+T26</f>
        <v>0</v>
      </c>
      <c r="U29" s="868"/>
      <c r="V29" s="3"/>
      <c r="W29" s="3"/>
      <c r="X29" s="3"/>
      <c r="Y29" s="3"/>
      <c r="Z29" s="3"/>
      <c r="AA29" s="3"/>
      <c r="AB29" s="3"/>
      <c r="AC29" s="3"/>
    </row>
    <row r="30" ht="15.75" hidden="1" customHeight="1">
      <c r="A30" s="2"/>
      <c r="B30" s="838"/>
      <c r="C30" s="839"/>
      <c r="D30" s="840"/>
      <c r="E30" s="838"/>
      <c r="F30" s="841"/>
      <c r="G30" s="838"/>
      <c r="H30" s="838"/>
      <c r="I30" s="838"/>
      <c r="J30" s="841"/>
      <c r="K30" s="838"/>
      <c r="L30" s="841"/>
      <c r="M30" s="838"/>
      <c r="N30" s="838"/>
      <c r="O30" s="838"/>
      <c r="P30" s="841"/>
      <c r="Q30" s="844"/>
      <c r="R30" s="847"/>
      <c r="S30" s="844"/>
      <c r="T30" s="844"/>
      <c r="U30" s="849"/>
      <c r="V30" s="2"/>
      <c r="W30" s="2"/>
      <c r="X30" s="2"/>
      <c r="Y30" s="2"/>
      <c r="Z30" s="2"/>
      <c r="AA30" s="2"/>
      <c r="AB30" s="2"/>
      <c r="AC30" s="2"/>
    </row>
    <row r="31" ht="15.75" hidden="1" customHeight="1">
      <c r="A31" s="2"/>
      <c r="B31" s="845"/>
      <c r="C31" s="845"/>
      <c r="D31" s="846"/>
      <c r="E31" s="877"/>
      <c r="F31" s="847"/>
      <c r="G31" s="848"/>
      <c r="H31" s="848"/>
      <c r="I31" s="848"/>
      <c r="J31" s="847"/>
      <c r="K31" s="877"/>
      <c r="L31" s="847"/>
      <c r="M31" s="848"/>
      <c r="N31" s="848"/>
      <c r="O31" s="848"/>
      <c r="P31" s="847"/>
      <c r="Q31" s="877"/>
      <c r="R31" s="847"/>
      <c r="S31" s="848"/>
      <c r="T31" s="848"/>
      <c r="U31" s="878"/>
      <c r="V31" s="2"/>
      <c r="W31" s="2"/>
      <c r="X31" s="2"/>
      <c r="Y31" s="2"/>
      <c r="Z31" s="2"/>
      <c r="AA31" s="2"/>
      <c r="AB31" s="2"/>
      <c r="AC31" s="2"/>
    </row>
    <row r="32" ht="15.75" hidden="1" customHeight="1">
      <c r="A32" s="2"/>
      <c r="B32" s="845"/>
      <c r="C32" s="845"/>
      <c r="D32" s="846"/>
      <c r="E32" s="877"/>
      <c r="F32" s="847"/>
      <c r="G32" s="848"/>
      <c r="H32" s="848"/>
      <c r="I32" s="848"/>
      <c r="J32" s="847"/>
      <c r="K32" s="877"/>
      <c r="L32" s="847"/>
      <c r="M32" s="848"/>
      <c r="N32" s="848"/>
      <c r="O32" s="848"/>
      <c r="P32" s="847"/>
      <c r="Q32" s="877"/>
      <c r="R32" s="847"/>
      <c r="S32" s="848"/>
      <c r="T32" s="848"/>
      <c r="U32" s="878"/>
      <c r="V32" s="2"/>
      <c r="W32" s="2"/>
      <c r="X32" s="2"/>
      <c r="Y32" s="2"/>
      <c r="Z32" s="2"/>
      <c r="AA32" s="2"/>
      <c r="AB32" s="2"/>
      <c r="AC32" s="2"/>
    </row>
    <row r="33" ht="15.75" hidden="1" customHeight="1">
      <c r="A33" s="2"/>
      <c r="B33" s="845"/>
      <c r="C33" s="845"/>
      <c r="D33" s="846"/>
      <c r="E33" s="877"/>
      <c r="F33" s="847"/>
      <c r="G33" s="848"/>
      <c r="H33" s="848"/>
      <c r="I33" s="848"/>
      <c r="J33" s="847"/>
      <c r="K33" s="877"/>
      <c r="L33" s="847"/>
      <c r="M33" s="848"/>
      <c r="N33" s="848"/>
      <c r="O33" s="848"/>
      <c r="P33" s="847"/>
      <c r="Q33" s="877"/>
      <c r="R33" s="847"/>
      <c r="S33" s="848"/>
      <c r="T33" s="848"/>
      <c r="U33" s="878"/>
      <c r="V33" s="2"/>
      <c r="W33" s="2"/>
      <c r="X33" s="2"/>
      <c r="Y33" s="2"/>
      <c r="Z33" s="2"/>
      <c r="AA33" s="2"/>
      <c r="AB33" s="2"/>
      <c r="AC33" s="2"/>
    </row>
    <row r="34" ht="15.75" hidden="1" customHeight="1">
      <c r="A34" s="2"/>
      <c r="B34" s="845"/>
      <c r="C34" s="845"/>
      <c r="D34" s="846"/>
      <c r="E34" s="877"/>
      <c r="F34" s="847"/>
      <c r="G34" s="848"/>
      <c r="H34" s="848"/>
      <c r="I34" s="848"/>
      <c r="J34" s="847"/>
      <c r="K34" s="877"/>
      <c r="L34" s="847"/>
      <c r="M34" s="848"/>
      <c r="N34" s="848"/>
      <c r="O34" s="848"/>
      <c r="P34" s="847"/>
      <c r="Q34" s="877"/>
      <c r="R34" s="847"/>
      <c r="S34" s="848"/>
      <c r="T34" s="848"/>
      <c r="U34" s="878"/>
      <c r="V34" s="2"/>
      <c r="W34" s="2"/>
      <c r="X34" s="2"/>
      <c r="Y34" s="2"/>
      <c r="Z34" s="2"/>
      <c r="AA34" s="2"/>
      <c r="AB34" s="2"/>
      <c r="AC34" s="2"/>
    </row>
    <row r="35" ht="15.75" hidden="1" customHeight="1">
      <c r="A35" s="2"/>
      <c r="B35" s="845"/>
      <c r="C35" s="845"/>
      <c r="D35" s="846"/>
      <c r="E35" s="877"/>
      <c r="F35" s="847"/>
      <c r="G35" s="848"/>
      <c r="H35" s="848"/>
      <c r="I35" s="848"/>
      <c r="J35" s="847"/>
      <c r="K35" s="877"/>
      <c r="L35" s="847"/>
      <c r="M35" s="848"/>
      <c r="N35" s="848"/>
      <c r="O35" s="848"/>
      <c r="P35" s="847"/>
      <c r="Q35" s="877"/>
      <c r="R35" s="847"/>
      <c r="S35" s="848"/>
      <c r="T35" s="848"/>
      <c r="U35" s="878"/>
      <c r="V35" s="2"/>
      <c r="W35" s="2"/>
      <c r="X35" s="2"/>
      <c r="Y35" s="2"/>
      <c r="Z35" s="2"/>
      <c r="AA35" s="2"/>
      <c r="AB35" s="2"/>
      <c r="AC35" s="2"/>
    </row>
    <row r="36" ht="15.75" hidden="1" customHeight="1">
      <c r="A36" s="2"/>
      <c r="B36" s="845"/>
      <c r="C36" s="845"/>
      <c r="D36" s="846"/>
      <c r="E36" s="877"/>
      <c r="F36" s="847"/>
      <c r="G36" s="848"/>
      <c r="H36" s="848"/>
      <c r="I36" s="848"/>
      <c r="J36" s="847"/>
      <c r="K36" s="877"/>
      <c r="L36" s="847"/>
      <c r="M36" s="848"/>
      <c r="N36" s="848"/>
      <c r="O36" s="848"/>
      <c r="P36" s="847"/>
      <c r="Q36" s="877"/>
      <c r="R36" s="847"/>
      <c r="S36" s="848"/>
      <c r="T36" s="848"/>
      <c r="U36" s="878"/>
      <c r="V36" s="2"/>
      <c r="W36" s="2"/>
      <c r="X36" s="2"/>
      <c r="Y36" s="2"/>
      <c r="Z36" s="2"/>
      <c r="AA36" s="2"/>
      <c r="AB36" s="2"/>
      <c r="AC36" s="2"/>
    </row>
    <row r="37" ht="15.75" hidden="1" customHeight="1">
      <c r="A37" s="2"/>
      <c r="B37" s="879"/>
      <c r="C37" s="879"/>
      <c r="D37" s="880"/>
      <c r="E37" s="881"/>
      <c r="F37" s="882"/>
      <c r="G37" s="883"/>
      <c r="H37" s="883"/>
      <c r="I37" s="883"/>
      <c r="J37" s="882"/>
      <c r="K37" s="881"/>
      <c r="L37" s="882"/>
      <c r="M37" s="883"/>
      <c r="N37" s="883"/>
      <c r="O37" s="883"/>
      <c r="P37" s="882"/>
      <c r="Q37" s="881"/>
      <c r="R37" s="882"/>
      <c r="S37" s="883"/>
      <c r="T37" s="883"/>
      <c r="U37" s="884"/>
      <c r="V37" s="885"/>
      <c r="W37" s="885"/>
      <c r="X37" s="885"/>
      <c r="Y37" s="885"/>
      <c r="Z37" s="885"/>
      <c r="AA37" s="885"/>
      <c r="AB37" s="885"/>
      <c r="AC37" s="885"/>
    </row>
    <row r="38" ht="15.75" hidden="1" customHeight="1">
      <c r="A38" s="2"/>
      <c r="B38" s="844"/>
      <c r="C38" s="844"/>
      <c r="D38" s="886"/>
      <c r="E38" s="845"/>
      <c r="F38" s="887"/>
      <c r="G38" s="845"/>
      <c r="H38" s="845"/>
      <c r="I38" s="845"/>
      <c r="J38" s="887"/>
      <c r="K38" s="845"/>
      <c r="L38" s="887"/>
      <c r="M38" s="845"/>
      <c r="N38" s="845"/>
      <c r="O38" s="845"/>
      <c r="P38" s="887"/>
      <c r="Q38" s="845"/>
      <c r="R38" s="887"/>
      <c r="S38" s="845"/>
      <c r="T38" s="845"/>
      <c r="U38" s="850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865" t="s">
        <v>183</v>
      </c>
      <c r="C39" s="845"/>
      <c r="D39" s="886"/>
      <c r="E39" s="845"/>
      <c r="F39" s="887"/>
      <c r="G39" s="845"/>
      <c r="H39" s="845"/>
      <c r="I39" s="845"/>
      <c r="J39" s="887"/>
      <c r="K39" s="845"/>
      <c r="L39" s="887"/>
      <c r="M39" s="845"/>
      <c r="N39" s="845"/>
      <c r="O39" s="845"/>
      <c r="P39" s="887"/>
      <c r="Q39" s="845"/>
      <c r="R39" s="887"/>
      <c r="S39" s="845"/>
      <c r="T39" s="845"/>
      <c r="U39" s="850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844" t="s">
        <v>28</v>
      </c>
      <c r="C40" s="845"/>
      <c r="D40" s="886"/>
      <c r="E40" s="845"/>
      <c r="F40" s="887"/>
      <c r="G40" s="845"/>
      <c r="H40" s="845"/>
      <c r="I40" s="845"/>
      <c r="J40" s="887"/>
      <c r="K40" s="845"/>
      <c r="L40" s="887"/>
      <c r="M40" s="845"/>
      <c r="N40" s="845"/>
      <c r="O40" s="845"/>
      <c r="P40" s="887"/>
      <c r="Q40" s="845"/>
      <c r="R40" s="887"/>
      <c r="S40" s="845"/>
      <c r="T40" s="845"/>
      <c r="U40" s="850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845"/>
      <c r="C41" s="888" t="s">
        <v>184</v>
      </c>
      <c r="D41" s="886"/>
      <c r="E41" s="845"/>
      <c r="F41" s="887"/>
      <c r="G41" s="845"/>
      <c r="H41" s="845"/>
      <c r="I41" s="845"/>
      <c r="J41" s="887"/>
      <c r="K41" s="845"/>
      <c r="L41" s="887"/>
      <c r="M41" s="845"/>
      <c r="N41" s="845"/>
      <c r="O41" s="845"/>
      <c r="P41" s="887"/>
      <c r="Q41" s="845"/>
      <c r="R41" s="887"/>
      <c r="S41" s="845"/>
      <c r="T41" s="845"/>
      <c r="U41" s="850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845"/>
      <c r="C42" s="871" t="s">
        <v>185</v>
      </c>
      <c r="D42" s="889">
        <v>0.0</v>
      </c>
      <c r="E42" s="845"/>
      <c r="F42" s="887"/>
      <c r="G42" s="845"/>
      <c r="H42" s="845"/>
      <c r="I42" s="845"/>
      <c r="J42" s="890">
        <v>0.0</v>
      </c>
      <c r="K42" s="845"/>
      <c r="L42" s="887"/>
      <c r="M42" s="845"/>
      <c r="N42" s="845"/>
      <c r="O42" s="845"/>
      <c r="P42" s="890">
        <v>0.0</v>
      </c>
      <c r="Q42" s="845"/>
      <c r="R42" s="887"/>
      <c r="S42" s="845"/>
      <c r="T42" s="845"/>
      <c r="U42" s="850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845"/>
      <c r="C43" s="871" t="s">
        <v>186</v>
      </c>
      <c r="D43" s="889">
        <v>0.0</v>
      </c>
      <c r="E43" s="845"/>
      <c r="F43" s="887"/>
      <c r="G43" s="845"/>
      <c r="H43" s="845"/>
      <c r="I43" s="845"/>
      <c r="J43" s="890">
        <v>0.0</v>
      </c>
      <c r="K43" s="845"/>
      <c r="L43" s="887"/>
      <c r="M43" s="845"/>
      <c r="N43" s="845"/>
      <c r="O43" s="845"/>
      <c r="P43" s="890">
        <v>132816.0</v>
      </c>
      <c r="Q43" s="845"/>
      <c r="R43" s="887"/>
      <c r="S43" s="845"/>
      <c r="T43" s="845"/>
      <c r="U43" s="850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845"/>
      <c r="C44" s="871" t="s">
        <v>21</v>
      </c>
      <c r="D44" s="889">
        <v>0.0</v>
      </c>
      <c r="E44" s="845"/>
      <c r="F44" s="887"/>
      <c r="G44" s="845"/>
      <c r="H44" s="845"/>
      <c r="I44" s="845"/>
      <c r="J44" s="890">
        <v>0.0</v>
      </c>
      <c r="K44" s="845"/>
      <c r="L44" s="887"/>
      <c r="M44" s="845"/>
      <c r="N44" s="845"/>
      <c r="O44" s="845"/>
      <c r="P44" s="890">
        <v>0.0</v>
      </c>
      <c r="Q44" s="845"/>
      <c r="R44" s="887"/>
      <c r="S44" s="845"/>
      <c r="T44" s="845"/>
      <c r="U44" s="850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845"/>
      <c r="C45" s="871" t="s">
        <v>22</v>
      </c>
      <c r="D45" s="889">
        <v>0.0</v>
      </c>
      <c r="E45" s="845"/>
      <c r="F45" s="887"/>
      <c r="G45" s="845"/>
      <c r="H45" s="845"/>
      <c r="I45" s="845"/>
      <c r="J45" s="890">
        <v>0.0</v>
      </c>
      <c r="K45" s="845"/>
      <c r="L45" s="887"/>
      <c r="M45" s="845"/>
      <c r="N45" s="845"/>
      <c r="O45" s="845"/>
      <c r="P45" s="890">
        <v>0.0</v>
      </c>
      <c r="Q45" s="845"/>
      <c r="R45" s="887"/>
      <c r="S45" s="845"/>
      <c r="T45" s="845"/>
      <c r="U45" s="850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852"/>
      <c r="C46" s="852" t="s">
        <v>187</v>
      </c>
      <c r="D46" s="891">
        <v>0.0</v>
      </c>
      <c r="E46" s="852"/>
      <c r="F46" s="892"/>
      <c r="G46" s="852"/>
      <c r="H46" s="852"/>
      <c r="I46" s="852"/>
      <c r="J46" s="893">
        <v>0.0</v>
      </c>
      <c r="K46" s="852"/>
      <c r="L46" s="892"/>
      <c r="M46" s="852"/>
      <c r="N46" s="852"/>
      <c r="O46" s="852"/>
      <c r="P46" s="893">
        <v>0.0</v>
      </c>
      <c r="Q46" s="845"/>
      <c r="R46" s="887"/>
      <c r="S46" s="845"/>
      <c r="T46" s="845"/>
      <c r="U46" s="850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894"/>
      <c r="C47" s="894" t="s">
        <v>188</v>
      </c>
      <c r="D47" s="895">
        <f>SUM(D42:D46)</f>
        <v>0</v>
      </c>
      <c r="E47" s="896"/>
      <c r="F47" s="897">
        <f>SUM(F42:F46)</f>
        <v>0</v>
      </c>
      <c r="G47" s="896"/>
      <c r="H47" s="896">
        <f>SUM(H42:H46)</f>
        <v>0</v>
      </c>
      <c r="I47" s="896"/>
      <c r="J47" s="897">
        <f>SUM(J42:J46)</f>
        <v>0</v>
      </c>
      <c r="K47" s="896"/>
      <c r="L47" s="897">
        <f>SUM(L42:L46)</f>
        <v>0</v>
      </c>
      <c r="M47" s="896"/>
      <c r="N47" s="896">
        <f>SUM(N42:N46)</f>
        <v>0</v>
      </c>
      <c r="O47" s="896"/>
      <c r="P47" s="897">
        <f>SUM(P42:P46)</f>
        <v>132816</v>
      </c>
      <c r="Q47" s="845"/>
      <c r="R47" s="887">
        <f>SUM(R42:R46)</f>
        <v>0</v>
      </c>
      <c r="S47" s="845"/>
      <c r="T47" s="845">
        <f>SUM(T42:T46)</f>
        <v>0</v>
      </c>
      <c r="U47" s="850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2"/>
      <c r="B48" s="857"/>
      <c r="C48" s="857" t="s">
        <v>189</v>
      </c>
      <c r="D48" s="898"/>
      <c r="E48" s="857"/>
      <c r="F48" s="898"/>
      <c r="G48" s="857"/>
      <c r="H48" s="857"/>
      <c r="I48" s="857"/>
      <c r="J48" s="898">
        <v>1030.0</v>
      </c>
      <c r="K48" s="857"/>
      <c r="L48" s="898"/>
      <c r="M48" s="857"/>
      <c r="N48" s="857"/>
      <c r="O48" s="857"/>
      <c r="P48" s="899">
        <v>11990.0</v>
      </c>
      <c r="Q48" s="845"/>
      <c r="R48" s="887"/>
      <c r="S48" s="845"/>
      <c r="T48" s="845"/>
      <c r="U48" s="850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857"/>
      <c r="C49" s="857" t="s">
        <v>190</v>
      </c>
      <c r="D49" s="898">
        <f>D47+D48</f>
        <v>0</v>
      </c>
      <c r="E49" s="857"/>
      <c r="F49" s="898">
        <f>F47+F48</f>
        <v>0</v>
      </c>
      <c r="G49" s="857"/>
      <c r="H49" s="857">
        <f>H47+H48</f>
        <v>0</v>
      </c>
      <c r="I49" s="857"/>
      <c r="J49" s="898">
        <f>J47+J48</f>
        <v>1030</v>
      </c>
      <c r="K49" s="857"/>
      <c r="L49" s="898">
        <f>L47+L48</f>
        <v>0</v>
      </c>
      <c r="M49" s="857"/>
      <c r="N49" s="857">
        <f>N47+N48</f>
        <v>0</v>
      </c>
      <c r="O49" s="857"/>
      <c r="P49" s="898">
        <f>P47+P48</f>
        <v>144806</v>
      </c>
      <c r="Q49" s="865"/>
      <c r="R49" s="900">
        <f>R47+R48</f>
        <v>0</v>
      </c>
      <c r="S49" s="865"/>
      <c r="T49" s="865">
        <f>T47+T48</f>
        <v>0</v>
      </c>
      <c r="U49" s="868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2"/>
      <c r="B50" s="901" t="s">
        <v>32</v>
      </c>
      <c r="C50" s="857" t="s">
        <v>32</v>
      </c>
      <c r="D50" s="902">
        <f>D29-D49</f>
        <v>0</v>
      </c>
      <c r="E50" s="903" t="str">
        <f>D50/D$29</f>
        <v>#DIV/0!</v>
      </c>
      <c r="F50" s="898" t="str">
        <f>F29-F49-#REF!</f>
        <v>#REF!</v>
      </c>
      <c r="G50" s="903" t="str">
        <f>F50/F$29</f>
        <v>#REF!</v>
      </c>
      <c r="H50" s="904" t="str">
        <f>H29-H49-#REF!</f>
        <v>#REF!</v>
      </c>
      <c r="I50" s="903" t="str">
        <f>H50/H$29</f>
        <v>#REF!</v>
      </c>
      <c r="J50" s="898">
        <f>J29-J49</f>
        <v>-1030</v>
      </c>
      <c r="K50" s="903" t="str">
        <f>J50/J$29</f>
        <v>#DIV/0!</v>
      </c>
      <c r="L50" s="898" t="str">
        <f>L29-L49-#REF!</f>
        <v>#REF!</v>
      </c>
      <c r="M50" s="903" t="str">
        <f>L50/L$29</f>
        <v>#REF!</v>
      </c>
      <c r="N50" s="904" t="str">
        <f>N29-N49-#REF!</f>
        <v>#REF!</v>
      </c>
      <c r="O50" s="903" t="str">
        <f>N50/N$29</f>
        <v>#REF!</v>
      </c>
      <c r="P50" s="898">
        <f>P29-P49</f>
        <v>365197</v>
      </c>
      <c r="Q50" s="903">
        <f>P50/P$29</f>
        <v>0.7160683369</v>
      </c>
      <c r="R50" s="898" t="str">
        <f>R29-R49-#REF!</f>
        <v>#REF!</v>
      </c>
      <c r="S50" s="903" t="str">
        <f>R50/R$29</f>
        <v>#REF!</v>
      </c>
      <c r="T50" s="904" t="str">
        <f>T29-T49-#REF!</f>
        <v>#REF!</v>
      </c>
      <c r="U50" s="905" t="str">
        <f>T50/T$29</f>
        <v>#REF!</v>
      </c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839"/>
      <c r="C51" s="839"/>
      <c r="D51" s="906"/>
      <c r="E51" s="839"/>
      <c r="F51" s="907"/>
      <c r="G51" s="839"/>
      <c r="H51" s="839"/>
      <c r="I51" s="839"/>
      <c r="J51" s="907"/>
      <c r="K51" s="839"/>
      <c r="L51" s="907"/>
      <c r="M51" s="839"/>
      <c r="N51" s="839"/>
      <c r="O51" s="839"/>
      <c r="P51" s="907"/>
      <c r="Q51" s="839"/>
      <c r="R51" s="907"/>
      <c r="S51" s="839"/>
      <c r="T51" s="839"/>
      <c r="U51" s="908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845"/>
      <c r="C52" s="909" t="s">
        <v>191</v>
      </c>
      <c r="D52" s="886"/>
      <c r="E52" s="845"/>
      <c r="F52" s="887"/>
      <c r="G52" s="845"/>
      <c r="H52" s="845"/>
      <c r="I52" s="845"/>
      <c r="J52" s="887"/>
      <c r="K52" s="845"/>
      <c r="L52" s="887"/>
      <c r="M52" s="845"/>
      <c r="N52" s="845"/>
      <c r="O52" s="845"/>
      <c r="P52" s="887"/>
      <c r="Q52" s="845"/>
      <c r="R52" s="887"/>
      <c r="S52" s="845"/>
      <c r="T52" s="845"/>
      <c r="U52" s="850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845"/>
      <c r="C53" s="845" t="s">
        <v>192</v>
      </c>
      <c r="D53" s="886">
        <v>11280.0</v>
      </c>
      <c r="E53" s="845"/>
      <c r="F53" s="887"/>
      <c r="G53" s="845"/>
      <c r="H53" s="845"/>
      <c r="I53" s="845"/>
      <c r="J53" s="887">
        <v>22094.0</v>
      </c>
      <c r="K53" s="845"/>
      <c r="L53" s="887"/>
      <c r="M53" s="845"/>
      <c r="N53" s="845"/>
      <c r="O53" s="845"/>
      <c r="P53" s="890">
        <v>23431.0</v>
      </c>
      <c r="Q53" s="845"/>
      <c r="R53" s="887"/>
      <c r="S53" s="845"/>
      <c r="T53" s="845"/>
      <c r="U53" s="850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845"/>
      <c r="C54" s="845" t="s">
        <v>193</v>
      </c>
      <c r="D54" s="886">
        <v>0.0</v>
      </c>
      <c r="E54" s="845"/>
      <c r="F54" s="887"/>
      <c r="G54" s="845"/>
      <c r="H54" s="845"/>
      <c r="I54" s="845"/>
      <c r="J54" s="887">
        <v>0.0</v>
      </c>
      <c r="K54" s="845"/>
      <c r="L54" s="887"/>
      <c r="M54" s="845"/>
      <c r="N54" s="845"/>
      <c r="O54" s="845"/>
      <c r="P54" s="890">
        <v>2600.0</v>
      </c>
      <c r="Q54" s="845"/>
      <c r="R54" s="887"/>
      <c r="S54" s="845"/>
      <c r="T54" s="845"/>
      <c r="U54" s="850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845"/>
      <c r="C55" s="845" t="s">
        <v>266</v>
      </c>
      <c r="D55" s="886">
        <v>0.0</v>
      </c>
      <c r="E55" s="845"/>
      <c r="F55" s="887"/>
      <c r="G55" s="845"/>
      <c r="H55" s="845"/>
      <c r="I55" s="845"/>
      <c r="J55" s="887">
        <v>0.0</v>
      </c>
      <c r="K55" s="845"/>
      <c r="L55" s="887"/>
      <c r="M55" s="845"/>
      <c r="N55" s="845"/>
      <c r="O55" s="845"/>
      <c r="P55" s="890">
        <v>0.0</v>
      </c>
      <c r="Q55" s="845"/>
      <c r="R55" s="887"/>
      <c r="S55" s="845"/>
      <c r="T55" s="845"/>
      <c r="U55" s="850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845"/>
      <c r="C56" s="845" t="s">
        <v>194</v>
      </c>
      <c r="D56" s="886">
        <v>0.0</v>
      </c>
      <c r="E56" s="845"/>
      <c r="F56" s="887"/>
      <c r="G56" s="845"/>
      <c r="H56" s="845"/>
      <c r="I56" s="845"/>
      <c r="J56" s="887">
        <v>2140.0</v>
      </c>
      <c r="K56" s="845"/>
      <c r="L56" s="887"/>
      <c r="M56" s="845"/>
      <c r="N56" s="845"/>
      <c r="O56" s="845"/>
      <c r="P56" s="890">
        <v>12025.0</v>
      </c>
      <c r="Q56" s="845"/>
      <c r="R56" s="887"/>
      <c r="S56" s="845"/>
      <c r="T56" s="845"/>
      <c r="U56" s="850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845"/>
      <c r="C57" s="845" t="s">
        <v>195</v>
      </c>
      <c r="D57" s="886">
        <v>0.0</v>
      </c>
      <c r="E57" s="845"/>
      <c r="F57" s="887"/>
      <c r="G57" s="845"/>
      <c r="H57" s="845"/>
      <c r="I57" s="845"/>
      <c r="J57" s="887">
        <v>0.0</v>
      </c>
      <c r="K57" s="845"/>
      <c r="L57" s="887"/>
      <c r="M57" s="845"/>
      <c r="N57" s="845"/>
      <c r="O57" s="845"/>
      <c r="P57" s="890">
        <v>6155.0</v>
      </c>
      <c r="Q57" s="845"/>
      <c r="R57" s="887"/>
      <c r="S57" s="845"/>
      <c r="T57" s="845"/>
      <c r="U57" s="850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852"/>
      <c r="C58" s="852" t="s">
        <v>196</v>
      </c>
      <c r="D58" s="910">
        <v>0.0</v>
      </c>
      <c r="E58" s="852"/>
      <c r="F58" s="892"/>
      <c r="G58" s="852"/>
      <c r="H58" s="852"/>
      <c r="I58" s="852"/>
      <c r="J58" s="892">
        <v>0.0</v>
      </c>
      <c r="K58" s="845"/>
      <c r="L58" s="887"/>
      <c r="M58" s="845"/>
      <c r="N58" s="845"/>
      <c r="O58" s="845"/>
      <c r="P58" s="893">
        <v>0.0</v>
      </c>
      <c r="Q58" s="845"/>
      <c r="R58" s="887"/>
      <c r="S58" s="845"/>
      <c r="T58" s="845"/>
      <c r="U58" s="850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898"/>
      <c r="C59" s="898" t="s">
        <v>197</v>
      </c>
      <c r="D59" s="898">
        <f>SUM(D53:D58)</f>
        <v>11280</v>
      </c>
      <c r="E59" s="898"/>
      <c r="F59" s="898">
        <f>SUM(F53:F58)</f>
        <v>0</v>
      </c>
      <c r="G59" s="898"/>
      <c r="H59" s="898">
        <f>SUM(H53:H58)</f>
        <v>0</v>
      </c>
      <c r="I59" s="898"/>
      <c r="J59" s="898">
        <f>SUM(J53:J58)</f>
        <v>24234</v>
      </c>
      <c r="K59" s="900"/>
      <c r="L59" s="900">
        <f>SUM(L53:L58)</f>
        <v>0</v>
      </c>
      <c r="M59" s="900"/>
      <c r="N59" s="900">
        <f>SUM(N53:N58)</f>
        <v>0</v>
      </c>
      <c r="O59" s="900"/>
      <c r="P59" s="898">
        <f>SUM(P53:P58)</f>
        <v>44211</v>
      </c>
      <c r="Q59" s="900"/>
      <c r="R59" s="900">
        <f>SUM(R53:R58)</f>
        <v>0</v>
      </c>
      <c r="S59" s="900"/>
      <c r="T59" s="900">
        <f>SUM(T53:T58)</f>
        <v>0</v>
      </c>
      <c r="U59" s="911"/>
      <c r="V59" s="3"/>
      <c r="W59" s="3"/>
      <c r="X59" s="3"/>
      <c r="Y59" s="3"/>
      <c r="Z59" s="3"/>
      <c r="AA59" s="3"/>
      <c r="AB59" s="3"/>
      <c r="AC59" s="3"/>
    </row>
    <row r="60" ht="15.75" hidden="1" customHeight="1">
      <c r="A60" s="2"/>
      <c r="B60" s="839"/>
      <c r="C60" s="839"/>
      <c r="D60" s="906"/>
      <c r="E60" s="839"/>
      <c r="F60" s="907"/>
      <c r="G60" s="839"/>
      <c r="H60" s="839"/>
      <c r="I60" s="839"/>
      <c r="J60" s="907"/>
      <c r="K60" s="845"/>
      <c r="L60" s="887"/>
      <c r="M60" s="845"/>
      <c r="N60" s="845"/>
      <c r="O60" s="845"/>
      <c r="P60" s="907"/>
      <c r="Q60" s="845"/>
      <c r="R60" s="887"/>
      <c r="S60" s="845"/>
      <c r="T60" s="845"/>
      <c r="U60" s="850"/>
      <c r="V60" s="2"/>
      <c r="W60" s="2"/>
      <c r="X60" s="2"/>
      <c r="Y60" s="2"/>
      <c r="Z60" s="2"/>
      <c r="AA60" s="2"/>
      <c r="AB60" s="2"/>
      <c r="AC60" s="2"/>
    </row>
    <row r="61" ht="15.75" hidden="1" customHeight="1">
      <c r="A61" s="2"/>
      <c r="B61" s="845"/>
      <c r="C61" s="845"/>
      <c r="D61" s="846"/>
      <c r="E61" s="844"/>
      <c r="F61" s="847"/>
      <c r="G61" s="844"/>
      <c r="H61" s="844"/>
      <c r="I61" s="844"/>
      <c r="J61" s="847"/>
      <c r="K61" s="844"/>
      <c r="L61" s="847"/>
      <c r="M61" s="844"/>
      <c r="N61" s="844"/>
      <c r="O61" s="844"/>
      <c r="P61" s="847"/>
      <c r="Q61" s="844"/>
      <c r="R61" s="847"/>
      <c r="S61" s="844"/>
      <c r="T61" s="844"/>
      <c r="U61" s="849"/>
      <c r="V61" s="2"/>
      <c r="W61" s="2"/>
      <c r="X61" s="2"/>
      <c r="Y61" s="2"/>
      <c r="Z61" s="2"/>
      <c r="AA61" s="2"/>
      <c r="AB61" s="2"/>
      <c r="AC61" s="2"/>
    </row>
    <row r="62" ht="15.75" hidden="1" customHeight="1">
      <c r="A62" s="2"/>
      <c r="B62" s="845"/>
      <c r="C62" s="845"/>
      <c r="D62" s="846"/>
      <c r="E62" s="844"/>
      <c r="F62" s="847"/>
      <c r="G62" s="844"/>
      <c r="H62" s="844"/>
      <c r="I62" s="844"/>
      <c r="J62" s="847"/>
      <c r="K62" s="844"/>
      <c r="L62" s="847"/>
      <c r="M62" s="844"/>
      <c r="N62" s="844"/>
      <c r="O62" s="844"/>
      <c r="P62" s="847"/>
      <c r="Q62" s="844"/>
      <c r="R62" s="847"/>
      <c r="S62" s="844"/>
      <c r="T62" s="844"/>
      <c r="U62" s="849"/>
      <c r="V62" s="2"/>
      <c r="W62" s="2"/>
      <c r="X62" s="2"/>
      <c r="Y62" s="2"/>
      <c r="Z62" s="2"/>
      <c r="AA62" s="2"/>
      <c r="AB62" s="2"/>
      <c r="AC62" s="2"/>
    </row>
    <row r="63" ht="15.75" hidden="1" customHeight="1">
      <c r="A63" s="2"/>
      <c r="B63" s="845"/>
      <c r="C63" s="845"/>
      <c r="D63" s="846"/>
      <c r="E63" s="844"/>
      <c r="F63" s="847"/>
      <c r="G63" s="844"/>
      <c r="H63" s="844"/>
      <c r="I63" s="844"/>
      <c r="J63" s="847"/>
      <c r="K63" s="844"/>
      <c r="L63" s="847"/>
      <c r="M63" s="844"/>
      <c r="N63" s="844"/>
      <c r="O63" s="844"/>
      <c r="P63" s="847"/>
      <c r="Q63" s="844"/>
      <c r="R63" s="847"/>
      <c r="S63" s="844"/>
      <c r="T63" s="844"/>
      <c r="U63" s="849"/>
      <c r="V63" s="2"/>
      <c r="W63" s="2"/>
      <c r="X63" s="2"/>
      <c r="Y63" s="2"/>
      <c r="Z63" s="2"/>
      <c r="AA63" s="2"/>
      <c r="AB63" s="2"/>
      <c r="AC63" s="2"/>
    </row>
    <row r="64" ht="15.75" hidden="1" customHeight="1">
      <c r="A64" s="2"/>
      <c r="B64" s="845"/>
      <c r="C64" s="845"/>
      <c r="D64" s="846"/>
      <c r="E64" s="844"/>
      <c r="F64" s="847"/>
      <c r="G64" s="844"/>
      <c r="H64" s="844"/>
      <c r="I64" s="844"/>
      <c r="J64" s="847"/>
      <c r="K64" s="844"/>
      <c r="L64" s="847"/>
      <c r="M64" s="844"/>
      <c r="N64" s="844"/>
      <c r="O64" s="844"/>
      <c r="P64" s="847"/>
      <c r="Q64" s="844"/>
      <c r="R64" s="847"/>
      <c r="S64" s="844"/>
      <c r="T64" s="844"/>
      <c r="U64" s="849"/>
      <c r="V64" s="2"/>
      <c r="W64" s="2"/>
      <c r="X64" s="2"/>
      <c r="Y64" s="2"/>
      <c r="Z64" s="2"/>
      <c r="AA64" s="2"/>
      <c r="AB64" s="2"/>
      <c r="AC64" s="2"/>
    </row>
    <row r="65" ht="15.75" hidden="1" customHeight="1">
      <c r="A65" s="2"/>
      <c r="B65" s="845"/>
      <c r="C65" s="845"/>
      <c r="D65" s="846"/>
      <c r="E65" s="844"/>
      <c r="F65" s="847"/>
      <c r="G65" s="844"/>
      <c r="H65" s="844"/>
      <c r="I65" s="844"/>
      <c r="J65" s="847"/>
      <c r="K65" s="844"/>
      <c r="L65" s="847"/>
      <c r="M65" s="844"/>
      <c r="N65" s="844"/>
      <c r="O65" s="844"/>
      <c r="P65" s="847"/>
      <c r="Q65" s="844"/>
      <c r="R65" s="847"/>
      <c r="S65" s="844"/>
      <c r="T65" s="844"/>
      <c r="U65" s="849"/>
      <c r="V65" s="2"/>
      <c r="W65" s="2"/>
      <c r="X65" s="2"/>
      <c r="Y65" s="2"/>
      <c r="Z65" s="2"/>
      <c r="AA65" s="2"/>
      <c r="AB65" s="2"/>
      <c r="AC65" s="2"/>
    </row>
    <row r="66" ht="15.75" hidden="1" customHeight="1">
      <c r="A66" s="2"/>
      <c r="B66" s="845"/>
      <c r="C66" s="845"/>
      <c r="D66" s="846"/>
      <c r="E66" s="844"/>
      <c r="F66" s="847"/>
      <c r="G66" s="844"/>
      <c r="H66" s="844"/>
      <c r="I66" s="844"/>
      <c r="J66" s="847"/>
      <c r="K66" s="844"/>
      <c r="L66" s="847"/>
      <c r="M66" s="844"/>
      <c r="N66" s="844"/>
      <c r="O66" s="844"/>
      <c r="P66" s="847"/>
      <c r="Q66" s="844"/>
      <c r="R66" s="847"/>
      <c r="S66" s="844"/>
      <c r="T66" s="844"/>
      <c r="U66" s="849"/>
      <c r="V66" s="2"/>
      <c r="W66" s="2"/>
      <c r="X66" s="2"/>
      <c r="Y66" s="2"/>
      <c r="Z66" s="2"/>
      <c r="AA66" s="2"/>
      <c r="AB66" s="2"/>
      <c r="AC66" s="2"/>
    </row>
    <row r="67" ht="15.75" hidden="1" customHeight="1">
      <c r="A67" s="2"/>
      <c r="B67" s="845"/>
      <c r="C67" s="845"/>
      <c r="D67" s="846"/>
      <c r="E67" s="844"/>
      <c r="F67" s="847"/>
      <c r="G67" s="844"/>
      <c r="H67" s="844"/>
      <c r="I67" s="844"/>
      <c r="J67" s="847"/>
      <c r="K67" s="844"/>
      <c r="L67" s="847"/>
      <c r="M67" s="844"/>
      <c r="N67" s="844"/>
      <c r="O67" s="844"/>
      <c r="P67" s="847"/>
      <c r="Q67" s="844"/>
      <c r="R67" s="847"/>
      <c r="S67" s="844"/>
      <c r="T67" s="844"/>
      <c r="U67" s="849"/>
      <c r="V67" s="2"/>
      <c r="W67" s="2"/>
      <c r="X67" s="2"/>
      <c r="Y67" s="2"/>
      <c r="Z67" s="2"/>
      <c r="AA67" s="2"/>
      <c r="AB67" s="2"/>
      <c r="AC67" s="2"/>
    </row>
    <row r="68" ht="15.75" hidden="1" customHeight="1">
      <c r="A68" s="2"/>
      <c r="B68" s="912"/>
      <c r="C68" s="912"/>
      <c r="D68" s="913"/>
      <c r="E68" s="914"/>
      <c r="F68" s="915"/>
      <c r="G68" s="914"/>
      <c r="H68" s="916"/>
      <c r="I68" s="914"/>
      <c r="J68" s="915"/>
      <c r="K68" s="914"/>
      <c r="L68" s="915"/>
      <c r="M68" s="914"/>
      <c r="N68" s="916"/>
      <c r="O68" s="914"/>
      <c r="P68" s="915"/>
      <c r="Q68" s="914"/>
      <c r="R68" s="915"/>
      <c r="S68" s="914"/>
      <c r="T68" s="916"/>
      <c r="U68" s="917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852"/>
      <c r="C69" s="852"/>
      <c r="D69" s="886"/>
      <c r="E69" s="845"/>
      <c r="F69" s="887"/>
      <c r="G69" s="845"/>
      <c r="H69" s="845"/>
      <c r="I69" s="845"/>
      <c r="J69" s="887"/>
      <c r="K69" s="845"/>
      <c r="L69" s="887"/>
      <c r="M69" s="845"/>
      <c r="N69" s="845"/>
      <c r="O69" s="845"/>
      <c r="P69" s="887"/>
      <c r="Q69" s="845"/>
      <c r="R69" s="887"/>
      <c r="S69" s="845"/>
      <c r="T69" s="845"/>
      <c r="U69" s="850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875"/>
      <c r="C70" s="918" t="s">
        <v>202</v>
      </c>
      <c r="D70" s="919">
        <f t="shared" ref="D70:U70" si="2">SUM(D71:D75)</f>
        <v>0</v>
      </c>
      <c r="E70" s="875">
        <f t="shared" si="2"/>
        <v>0</v>
      </c>
      <c r="F70" s="920">
        <f t="shared" si="2"/>
        <v>0</v>
      </c>
      <c r="G70" s="875">
        <f t="shared" si="2"/>
        <v>0</v>
      </c>
      <c r="H70" s="875">
        <f t="shared" si="2"/>
        <v>0</v>
      </c>
      <c r="I70" s="875">
        <f t="shared" si="2"/>
        <v>0</v>
      </c>
      <c r="J70" s="898">
        <f t="shared" si="2"/>
        <v>80000</v>
      </c>
      <c r="K70" s="875">
        <f t="shared" si="2"/>
        <v>0</v>
      </c>
      <c r="L70" s="920">
        <f t="shared" si="2"/>
        <v>0</v>
      </c>
      <c r="M70" s="875">
        <f t="shared" si="2"/>
        <v>0</v>
      </c>
      <c r="N70" s="875">
        <f t="shared" si="2"/>
        <v>0</v>
      </c>
      <c r="O70" s="875">
        <f t="shared" si="2"/>
        <v>0</v>
      </c>
      <c r="P70" s="898">
        <f t="shared" si="2"/>
        <v>0</v>
      </c>
      <c r="Q70" s="875">
        <f t="shared" si="2"/>
        <v>0</v>
      </c>
      <c r="R70" s="920">
        <f t="shared" si="2"/>
        <v>0</v>
      </c>
      <c r="S70" s="875">
        <f t="shared" si="2"/>
        <v>0</v>
      </c>
      <c r="T70" s="875">
        <f t="shared" si="2"/>
        <v>0</v>
      </c>
      <c r="U70" s="921">
        <f t="shared" si="2"/>
        <v>0</v>
      </c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2"/>
      <c r="B71" s="839"/>
      <c r="C71" s="839" t="s">
        <v>268</v>
      </c>
      <c r="D71" s="922">
        <v>0.0</v>
      </c>
      <c r="E71" s="839"/>
      <c r="F71" s="907"/>
      <c r="G71" s="839"/>
      <c r="H71" s="839"/>
      <c r="I71" s="839"/>
      <c r="J71" s="923">
        <v>0.0</v>
      </c>
      <c r="K71" s="839"/>
      <c r="L71" s="907"/>
      <c r="M71" s="839"/>
      <c r="N71" s="839"/>
      <c r="O71" s="839"/>
      <c r="P71" s="923">
        <v>0.0</v>
      </c>
      <c r="Q71" s="839"/>
      <c r="R71" s="907"/>
      <c r="S71" s="839"/>
      <c r="T71" s="839"/>
      <c r="U71" s="908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845"/>
      <c r="C72" s="845" t="s">
        <v>209</v>
      </c>
      <c r="D72" s="889">
        <v>0.0</v>
      </c>
      <c r="E72" s="845"/>
      <c r="F72" s="887"/>
      <c r="G72" s="845"/>
      <c r="H72" s="845"/>
      <c r="I72" s="845"/>
      <c r="J72" s="890">
        <v>0.0</v>
      </c>
      <c r="K72" s="845"/>
      <c r="L72" s="887"/>
      <c r="M72" s="845"/>
      <c r="N72" s="845"/>
      <c r="O72" s="845"/>
      <c r="P72" s="890">
        <v>0.0</v>
      </c>
      <c r="Q72" s="845"/>
      <c r="R72" s="887"/>
      <c r="S72" s="845"/>
      <c r="T72" s="845"/>
      <c r="U72" s="850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845"/>
      <c r="C73" s="845" t="s">
        <v>210</v>
      </c>
      <c r="D73" s="889">
        <v>0.0</v>
      </c>
      <c r="E73" s="845"/>
      <c r="F73" s="887"/>
      <c r="G73" s="845"/>
      <c r="H73" s="845"/>
      <c r="I73" s="845"/>
      <c r="J73" s="887">
        <v>80000.0</v>
      </c>
      <c r="K73" s="845"/>
      <c r="L73" s="887"/>
      <c r="M73" s="845"/>
      <c r="N73" s="845"/>
      <c r="O73" s="845"/>
      <c r="P73" s="890">
        <v>0.0</v>
      </c>
      <c r="Q73" s="845"/>
      <c r="R73" s="887"/>
      <c r="S73" s="845"/>
      <c r="T73" s="845"/>
      <c r="U73" s="850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845"/>
      <c r="C74" s="924" t="s">
        <v>330</v>
      </c>
      <c r="D74" s="889">
        <v>0.0</v>
      </c>
      <c r="E74" s="845"/>
      <c r="F74" s="887"/>
      <c r="G74" s="845"/>
      <c r="H74" s="845"/>
      <c r="I74" s="845"/>
      <c r="J74" s="890">
        <v>0.0</v>
      </c>
      <c r="K74" s="845"/>
      <c r="L74" s="887"/>
      <c r="M74" s="845"/>
      <c r="N74" s="845"/>
      <c r="O74" s="845"/>
      <c r="P74" s="890">
        <v>0.0</v>
      </c>
      <c r="Q74" s="845"/>
      <c r="R74" s="887"/>
      <c r="S74" s="845"/>
      <c r="T74" s="845"/>
      <c r="U74" s="850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845"/>
      <c r="C75" s="845" t="s">
        <v>287</v>
      </c>
      <c r="D75" s="889">
        <v>0.0</v>
      </c>
      <c r="E75" s="845"/>
      <c r="F75" s="887"/>
      <c r="G75" s="845"/>
      <c r="H75" s="845"/>
      <c r="I75" s="845"/>
      <c r="J75" s="890">
        <v>0.0</v>
      </c>
      <c r="K75" s="845"/>
      <c r="L75" s="887"/>
      <c r="M75" s="845"/>
      <c r="N75" s="845"/>
      <c r="O75" s="845"/>
      <c r="P75" s="890">
        <v>0.0</v>
      </c>
      <c r="Q75" s="845"/>
      <c r="R75" s="887"/>
      <c r="S75" s="845"/>
      <c r="T75" s="845"/>
      <c r="U75" s="850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852"/>
      <c r="C76" s="925"/>
      <c r="D76" s="910"/>
      <c r="E76" s="852"/>
      <c r="F76" s="892"/>
      <c r="G76" s="852"/>
      <c r="H76" s="852"/>
      <c r="I76" s="852"/>
      <c r="J76" s="892"/>
      <c r="K76" s="852"/>
      <c r="L76" s="892"/>
      <c r="M76" s="852"/>
      <c r="N76" s="852"/>
      <c r="O76" s="852"/>
      <c r="P76" s="892"/>
      <c r="Q76" s="852"/>
      <c r="R76" s="892"/>
      <c r="S76" s="852"/>
      <c r="T76" s="852"/>
      <c r="U76" s="926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875"/>
      <c r="C77" s="918" t="s">
        <v>35</v>
      </c>
      <c r="D77" s="919">
        <f>SUM(D78:D81)</f>
        <v>0</v>
      </c>
      <c r="E77" s="875"/>
      <c r="F77" s="920">
        <f>SUM(F78:F81)</f>
        <v>0</v>
      </c>
      <c r="G77" s="875"/>
      <c r="H77" s="875">
        <f>SUM(H78:H81)</f>
        <v>0</v>
      </c>
      <c r="I77" s="875"/>
      <c r="J77" s="920">
        <f>SUM(J78:J81)</f>
        <v>0</v>
      </c>
      <c r="K77" s="875"/>
      <c r="L77" s="920">
        <f>SUM(L78:L81)</f>
        <v>0</v>
      </c>
      <c r="M77" s="875"/>
      <c r="N77" s="875">
        <f>SUM(N78:N81)</f>
        <v>0</v>
      </c>
      <c r="O77" s="875"/>
      <c r="P77" s="920">
        <f>SUM(P78:P81)</f>
        <v>0</v>
      </c>
      <c r="Q77" s="875"/>
      <c r="R77" s="920">
        <f>SUM(R78:R81)</f>
        <v>0</v>
      </c>
      <c r="S77" s="875"/>
      <c r="T77" s="875">
        <f>SUM(T78:T81)</f>
        <v>0</v>
      </c>
      <c r="U77" s="921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2"/>
      <c r="B78" s="839"/>
      <c r="C78" s="839" t="s">
        <v>212</v>
      </c>
      <c r="D78" s="922">
        <v>0.0</v>
      </c>
      <c r="E78" s="839"/>
      <c r="F78" s="907"/>
      <c r="G78" s="839"/>
      <c r="H78" s="839"/>
      <c r="I78" s="839"/>
      <c r="J78" s="923">
        <v>0.0</v>
      </c>
      <c r="K78" s="839"/>
      <c r="L78" s="907"/>
      <c r="M78" s="839"/>
      <c r="N78" s="839"/>
      <c r="O78" s="839"/>
      <c r="P78" s="923">
        <v>0.0</v>
      </c>
      <c r="Q78" s="839"/>
      <c r="R78" s="907"/>
      <c r="S78" s="839"/>
      <c r="T78" s="839"/>
      <c r="U78" s="908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845"/>
      <c r="C79" s="845" t="s">
        <v>213</v>
      </c>
      <c r="D79" s="889">
        <v>0.0</v>
      </c>
      <c r="E79" s="845"/>
      <c r="F79" s="887"/>
      <c r="G79" s="845"/>
      <c r="H79" s="845"/>
      <c r="I79" s="845"/>
      <c r="J79" s="890">
        <v>0.0</v>
      </c>
      <c r="K79" s="845"/>
      <c r="L79" s="887"/>
      <c r="M79" s="845"/>
      <c r="N79" s="845"/>
      <c r="O79" s="845"/>
      <c r="P79" s="890">
        <v>0.0</v>
      </c>
      <c r="Q79" s="845"/>
      <c r="R79" s="887"/>
      <c r="S79" s="845"/>
      <c r="T79" s="845"/>
      <c r="U79" s="850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845"/>
      <c r="C80" s="845" t="s">
        <v>214</v>
      </c>
      <c r="D80" s="889">
        <v>0.0</v>
      </c>
      <c r="E80" s="845"/>
      <c r="F80" s="887"/>
      <c r="G80" s="845"/>
      <c r="H80" s="845"/>
      <c r="I80" s="845"/>
      <c r="J80" s="890">
        <v>0.0</v>
      </c>
      <c r="K80" s="845"/>
      <c r="L80" s="887"/>
      <c r="M80" s="845"/>
      <c r="N80" s="845"/>
      <c r="O80" s="845"/>
      <c r="P80" s="890">
        <v>0.0</v>
      </c>
      <c r="Q80" s="845"/>
      <c r="R80" s="887"/>
      <c r="S80" s="845"/>
      <c r="T80" s="845"/>
      <c r="U80" s="850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845"/>
      <c r="C81" s="845" t="s">
        <v>215</v>
      </c>
      <c r="D81" s="889">
        <v>0.0</v>
      </c>
      <c r="E81" s="845"/>
      <c r="F81" s="887"/>
      <c r="G81" s="845"/>
      <c r="H81" s="845"/>
      <c r="I81" s="845"/>
      <c r="J81" s="890">
        <v>0.0</v>
      </c>
      <c r="K81" s="845"/>
      <c r="L81" s="887"/>
      <c r="M81" s="845"/>
      <c r="N81" s="845"/>
      <c r="O81" s="845"/>
      <c r="P81" s="890">
        <v>0.0</v>
      </c>
      <c r="Q81" s="845"/>
      <c r="R81" s="887"/>
      <c r="S81" s="845"/>
      <c r="T81" s="845"/>
      <c r="U81" s="850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845"/>
      <c r="C82" s="845"/>
      <c r="D82" s="886"/>
      <c r="E82" s="845"/>
      <c r="F82" s="887"/>
      <c r="G82" s="845"/>
      <c r="H82" s="845"/>
      <c r="I82" s="845"/>
      <c r="J82" s="887"/>
      <c r="K82" s="845"/>
      <c r="L82" s="887"/>
      <c r="M82" s="845"/>
      <c r="N82" s="845"/>
      <c r="O82" s="845"/>
      <c r="P82" s="887"/>
      <c r="Q82" s="845"/>
      <c r="R82" s="887"/>
      <c r="S82" s="845"/>
      <c r="T82" s="845"/>
      <c r="U82" s="850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852"/>
      <c r="C83" s="852"/>
      <c r="D83" s="910"/>
      <c r="E83" s="852"/>
      <c r="F83" s="892"/>
      <c r="G83" s="852"/>
      <c r="H83" s="852"/>
      <c r="I83" s="852"/>
      <c r="J83" s="892"/>
      <c r="K83" s="852"/>
      <c r="L83" s="892"/>
      <c r="M83" s="852"/>
      <c r="N83" s="852"/>
      <c r="O83" s="852"/>
      <c r="P83" s="892"/>
      <c r="Q83" s="852"/>
      <c r="R83" s="892"/>
      <c r="S83" s="852"/>
      <c r="T83" s="852"/>
      <c r="U83" s="926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875"/>
      <c r="C84" s="918" t="s">
        <v>216</v>
      </c>
      <c r="D84" s="902">
        <f>SUM(D85:D88)</f>
        <v>210952</v>
      </c>
      <c r="E84" s="857"/>
      <c r="F84" s="898">
        <f>SUM(F85:F88)</f>
        <v>90931</v>
      </c>
      <c r="G84" s="857"/>
      <c r="H84" s="898">
        <f>SUM(H85:H88)</f>
        <v>90931</v>
      </c>
      <c r="I84" s="857"/>
      <c r="J84" s="898">
        <f>SUM(J85:J88)</f>
        <v>249141</v>
      </c>
      <c r="K84" s="857"/>
      <c r="L84" s="898">
        <f>SUM(L85:L88)</f>
        <v>0</v>
      </c>
      <c r="M84" s="857"/>
      <c r="N84" s="857">
        <f>SUM(N85:N88)</f>
        <v>0</v>
      </c>
      <c r="O84" s="857"/>
      <c r="P84" s="898">
        <f>SUM(P85:P88)</f>
        <v>252141</v>
      </c>
      <c r="Q84" s="857"/>
      <c r="R84" s="898">
        <f>SUM(R85:R88)</f>
        <v>0</v>
      </c>
      <c r="S84" s="857"/>
      <c r="T84" s="857">
        <f>SUM(T85:T88)</f>
        <v>0</v>
      </c>
      <c r="U84" s="927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2"/>
      <c r="B85" s="839"/>
      <c r="C85" s="839" t="s">
        <v>217</v>
      </c>
      <c r="D85" s="906">
        <v>90931.0</v>
      </c>
      <c r="E85" s="907">
        <v>90931.0</v>
      </c>
      <c r="F85" s="907">
        <v>90931.0</v>
      </c>
      <c r="G85" s="907">
        <v>90931.0</v>
      </c>
      <c r="H85" s="907">
        <v>90931.0</v>
      </c>
      <c r="I85" s="907">
        <v>90931.0</v>
      </c>
      <c r="J85" s="907">
        <v>90931.0</v>
      </c>
      <c r="K85" s="839"/>
      <c r="L85" s="907"/>
      <c r="M85" s="839"/>
      <c r="N85" s="839"/>
      <c r="O85" s="839"/>
      <c r="P85" s="907">
        <v>90931.0</v>
      </c>
      <c r="Q85" s="839"/>
      <c r="R85" s="907"/>
      <c r="S85" s="839"/>
      <c r="T85" s="839"/>
      <c r="U85" s="908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845"/>
      <c r="C86" s="845" t="s">
        <v>218</v>
      </c>
      <c r="D86" s="886">
        <f>650+116472</f>
        <v>117122</v>
      </c>
      <c r="E86" s="845"/>
      <c r="F86" s="887"/>
      <c r="G86" s="845"/>
      <c r="H86" s="845"/>
      <c r="I86" s="845"/>
      <c r="J86" s="890">
        <f>650+155760</f>
        <v>156410</v>
      </c>
      <c r="K86" s="845"/>
      <c r="L86" s="887"/>
      <c r="M86" s="845"/>
      <c r="N86" s="845"/>
      <c r="O86" s="845"/>
      <c r="P86" s="890">
        <f>650+155760</f>
        <v>156410</v>
      </c>
      <c r="Q86" s="845"/>
      <c r="R86" s="887"/>
      <c r="S86" s="845"/>
      <c r="T86" s="845"/>
      <c r="U86" s="850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845"/>
      <c r="C87" s="845" t="s">
        <v>219</v>
      </c>
      <c r="D87" s="886">
        <v>1000.0</v>
      </c>
      <c r="E87" s="845"/>
      <c r="F87" s="887"/>
      <c r="G87" s="845"/>
      <c r="H87" s="845"/>
      <c r="I87" s="845"/>
      <c r="J87" s="887">
        <v>1800.0</v>
      </c>
      <c r="K87" s="845"/>
      <c r="L87" s="887"/>
      <c r="M87" s="845"/>
      <c r="N87" s="845"/>
      <c r="O87" s="845"/>
      <c r="P87" s="890">
        <v>4800.0</v>
      </c>
      <c r="Q87" s="845"/>
      <c r="R87" s="887"/>
      <c r="S87" s="845"/>
      <c r="T87" s="845"/>
      <c r="U87" s="850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845"/>
      <c r="C88" s="845" t="s">
        <v>220</v>
      </c>
      <c r="D88" s="889">
        <v>1899.0</v>
      </c>
      <c r="E88" s="845"/>
      <c r="F88" s="887"/>
      <c r="G88" s="845"/>
      <c r="H88" s="845"/>
      <c r="I88" s="845"/>
      <c r="J88" s="890">
        <v>0.0</v>
      </c>
      <c r="K88" s="845"/>
      <c r="L88" s="887"/>
      <c r="M88" s="845"/>
      <c r="N88" s="845"/>
      <c r="O88" s="845"/>
      <c r="P88" s="890">
        <v>0.0</v>
      </c>
      <c r="Q88" s="845"/>
      <c r="R88" s="887"/>
      <c r="S88" s="845"/>
      <c r="T88" s="845"/>
      <c r="U88" s="850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852"/>
      <c r="C89" s="925"/>
      <c r="D89" s="910"/>
      <c r="E89" s="852"/>
      <c r="F89" s="892"/>
      <c r="G89" s="852"/>
      <c r="H89" s="852"/>
      <c r="I89" s="852"/>
      <c r="J89" s="892"/>
      <c r="K89" s="852"/>
      <c r="L89" s="892"/>
      <c r="M89" s="852"/>
      <c r="N89" s="852"/>
      <c r="O89" s="852"/>
      <c r="P89" s="892"/>
      <c r="Q89" s="852"/>
      <c r="R89" s="892"/>
      <c r="S89" s="852"/>
      <c r="T89" s="852"/>
      <c r="U89" s="926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875"/>
      <c r="C90" s="918" t="s">
        <v>37</v>
      </c>
      <c r="D90" s="902">
        <f>SUM(D91:D98)</f>
        <v>271146</v>
      </c>
      <c r="E90" s="857"/>
      <c r="F90" s="898">
        <f>SUM(F91:F98)</f>
        <v>0</v>
      </c>
      <c r="G90" s="857"/>
      <c r="H90" s="857">
        <f>SUM(H91:H98)</f>
        <v>0</v>
      </c>
      <c r="I90" s="857"/>
      <c r="J90" s="898">
        <f>SUM(J91:J98)</f>
        <v>189246</v>
      </c>
      <c r="K90" s="857"/>
      <c r="L90" s="898">
        <f>SUM(L91:L98)</f>
        <v>0</v>
      </c>
      <c r="M90" s="857"/>
      <c r="N90" s="857">
        <f>SUM(N91:N98)</f>
        <v>0</v>
      </c>
      <c r="O90" s="857"/>
      <c r="P90" s="898">
        <f>SUM(P91:P98)</f>
        <v>188320</v>
      </c>
      <c r="Q90" s="857"/>
      <c r="R90" s="898">
        <f>SUM(R91:R98)</f>
        <v>0</v>
      </c>
      <c r="S90" s="857"/>
      <c r="T90" s="857">
        <f>SUM(T91:T98)</f>
        <v>0</v>
      </c>
      <c r="U90" s="927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2"/>
      <c r="B91" s="839"/>
      <c r="C91" s="839" t="s">
        <v>221</v>
      </c>
      <c r="D91" s="906">
        <v>0.0</v>
      </c>
      <c r="E91" s="839"/>
      <c r="F91" s="907"/>
      <c r="G91" s="839"/>
      <c r="H91" s="839"/>
      <c r="I91" s="839"/>
      <c r="J91" s="907">
        <v>0.0</v>
      </c>
      <c r="K91" s="839"/>
      <c r="L91" s="907"/>
      <c r="M91" s="839"/>
      <c r="N91" s="839"/>
      <c r="O91" s="839"/>
      <c r="P91" s="923">
        <v>0.0</v>
      </c>
      <c r="Q91" s="839"/>
      <c r="R91" s="907"/>
      <c r="S91" s="839"/>
      <c r="T91" s="839"/>
      <c r="U91" s="908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845"/>
      <c r="C92" s="845" t="s">
        <v>222</v>
      </c>
      <c r="D92" s="886">
        <v>270851.0</v>
      </c>
      <c r="E92" s="845"/>
      <c r="F92" s="887"/>
      <c r="G92" s="845"/>
      <c r="H92" s="845"/>
      <c r="I92" s="845"/>
      <c r="J92" s="928">
        <v>161321.0</v>
      </c>
      <c r="K92" s="845"/>
      <c r="L92" s="887"/>
      <c r="M92" s="845"/>
      <c r="N92" s="845"/>
      <c r="O92" s="845"/>
      <c r="P92" s="519">
        <v>133892.0</v>
      </c>
      <c r="Q92" s="845"/>
      <c r="R92" s="887"/>
      <c r="S92" s="845"/>
      <c r="T92" s="845"/>
      <c r="U92" s="850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845"/>
      <c r="C93" s="845" t="s">
        <v>223</v>
      </c>
      <c r="D93" s="886">
        <v>0.0</v>
      </c>
      <c r="E93" s="845"/>
      <c r="F93" s="887"/>
      <c r="G93" s="845"/>
      <c r="H93" s="845"/>
      <c r="I93" s="845"/>
      <c r="J93" s="887">
        <v>0.0</v>
      </c>
      <c r="K93" s="845"/>
      <c r="L93" s="887"/>
      <c r="M93" s="845"/>
      <c r="N93" s="845"/>
      <c r="O93" s="845"/>
      <c r="P93" s="890">
        <v>0.0</v>
      </c>
      <c r="Q93" s="845"/>
      <c r="R93" s="887"/>
      <c r="S93" s="845"/>
      <c r="T93" s="845"/>
      <c r="U93" s="850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845"/>
      <c r="C94" s="845" t="s">
        <v>225</v>
      </c>
      <c r="D94" s="886">
        <v>0.0</v>
      </c>
      <c r="E94" s="845"/>
      <c r="F94" s="887"/>
      <c r="G94" s="845"/>
      <c r="H94" s="845"/>
      <c r="I94" s="845"/>
      <c r="J94" s="887">
        <v>0.0</v>
      </c>
      <c r="K94" s="845"/>
      <c r="L94" s="887"/>
      <c r="M94" s="845"/>
      <c r="N94" s="845"/>
      <c r="O94" s="845"/>
      <c r="P94" s="890">
        <v>0.0</v>
      </c>
      <c r="Q94" s="845"/>
      <c r="R94" s="887"/>
      <c r="S94" s="845"/>
      <c r="T94" s="845"/>
      <c r="U94" s="850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845"/>
      <c r="C95" s="845" t="s">
        <v>226</v>
      </c>
      <c r="D95" s="886">
        <v>0.0</v>
      </c>
      <c r="E95" s="845"/>
      <c r="F95" s="887"/>
      <c r="G95" s="845"/>
      <c r="H95" s="845"/>
      <c r="I95" s="845"/>
      <c r="J95" s="887">
        <v>0.0</v>
      </c>
      <c r="K95" s="845"/>
      <c r="L95" s="887"/>
      <c r="M95" s="845"/>
      <c r="N95" s="845"/>
      <c r="O95" s="845"/>
      <c r="P95" s="890">
        <v>0.0</v>
      </c>
      <c r="Q95" s="845"/>
      <c r="R95" s="887"/>
      <c r="S95" s="845"/>
      <c r="T95" s="845"/>
      <c r="U95" s="850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845"/>
      <c r="C96" s="845" t="s">
        <v>331</v>
      </c>
      <c r="D96" s="886">
        <v>0.0</v>
      </c>
      <c r="E96" s="845"/>
      <c r="F96" s="887"/>
      <c r="G96" s="845"/>
      <c r="H96" s="845"/>
      <c r="I96" s="845"/>
      <c r="J96" s="887">
        <v>0.0</v>
      </c>
      <c r="K96" s="845"/>
      <c r="L96" s="887"/>
      <c r="M96" s="845"/>
      <c r="N96" s="845"/>
      <c r="O96" s="845"/>
      <c r="P96" s="890">
        <v>0.0</v>
      </c>
      <c r="Q96" s="845"/>
      <c r="R96" s="887"/>
      <c r="S96" s="845"/>
      <c r="T96" s="845"/>
      <c r="U96" s="850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845"/>
      <c r="C97" s="845" t="s">
        <v>227</v>
      </c>
      <c r="D97" s="886">
        <v>295.0</v>
      </c>
      <c r="E97" s="845"/>
      <c r="F97" s="887"/>
      <c r="G97" s="845"/>
      <c r="H97" s="845"/>
      <c r="I97" s="845"/>
      <c r="J97" s="887">
        <v>27925.0</v>
      </c>
      <c r="K97" s="845"/>
      <c r="L97" s="887"/>
      <c r="M97" s="845"/>
      <c r="N97" s="845"/>
      <c r="O97" s="845"/>
      <c r="P97" s="890">
        <v>54428.0</v>
      </c>
      <c r="Q97" s="845"/>
      <c r="R97" s="887"/>
      <c r="S97" s="845"/>
      <c r="T97" s="845"/>
      <c r="U97" s="850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845"/>
      <c r="C98" s="845" t="s">
        <v>228</v>
      </c>
      <c r="D98" s="886">
        <v>0.0</v>
      </c>
      <c r="E98" s="845"/>
      <c r="F98" s="887"/>
      <c r="G98" s="845"/>
      <c r="H98" s="845"/>
      <c r="I98" s="845"/>
      <c r="J98" s="887">
        <v>0.0</v>
      </c>
      <c r="K98" s="845"/>
      <c r="L98" s="887"/>
      <c r="M98" s="845"/>
      <c r="N98" s="845"/>
      <c r="O98" s="845"/>
      <c r="P98" s="890">
        <v>0.0</v>
      </c>
      <c r="Q98" s="845"/>
      <c r="R98" s="887"/>
      <c r="S98" s="845"/>
      <c r="T98" s="845"/>
      <c r="U98" s="850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852"/>
      <c r="C99" s="925"/>
      <c r="D99" s="910"/>
      <c r="E99" s="852"/>
      <c r="F99" s="892"/>
      <c r="G99" s="852"/>
      <c r="H99" s="852"/>
      <c r="I99" s="852"/>
      <c r="J99" s="892"/>
      <c r="K99" s="852"/>
      <c r="L99" s="892"/>
      <c r="M99" s="852"/>
      <c r="N99" s="852"/>
      <c r="O99" s="852"/>
      <c r="P99" s="892"/>
      <c r="Q99" s="852"/>
      <c r="R99" s="892"/>
      <c r="S99" s="852"/>
      <c r="T99" s="852"/>
      <c r="U99" s="926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875"/>
      <c r="C100" s="918" t="s">
        <v>38</v>
      </c>
      <c r="D100" s="919">
        <f>SUM(D101)</f>
        <v>0</v>
      </c>
      <c r="E100" s="875"/>
      <c r="F100" s="920">
        <f>SUM(F101)</f>
        <v>0</v>
      </c>
      <c r="G100" s="875"/>
      <c r="H100" s="875">
        <f>SUM(H101)</f>
        <v>0</v>
      </c>
      <c r="I100" s="875"/>
      <c r="J100" s="920">
        <f>SUM(J101)</f>
        <v>0</v>
      </c>
      <c r="K100" s="875"/>
      <c r="L100" s="920">
        <f>SUM(L101)</f>
        <v>0</v>
      </c>
      <c r="M100" s="875"/>
      <c r="N100" s="875">
        <f>SUM(N101)</f>
        <v>0</v>
      </c>
      <c r="O100" s="875"/>
      <c r="P100" s="920">
        <f>SUM(P101)</f>
        <v>0</v>
      </c>
      <c r="Q100" s="875"/>
      <c r="R100" s="920">
        <f>SUM(R101)</f>
        <v>0</v>
      </c>
      <c r="S100" s="875"/>
      <c r="T100" s="875">
        <f>SUM(T101)</f>
        <v>0</v>
      </c>
      <c r="U100" s="921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2"/>
      <c r="B101" s="839"/>
      <c r="C101" s="839" t="s">
        <v>277</v>
      </c>
      <c r="D101" s="906">
        <v>0.0</v>
      </c>
      <c r="E101" s="839"/>
      <c r="F101" s="907"/>
      <c r="G101" s="839"/>
      <c r="H101" s="839"/>
      <c r="I101" s="839"/>
      <c r="J101" s="907">
        <v>0.0</v>
      </c>
      <c r="K101" s="839"/>
      <c r="L101" s="907"/>
      <c r="M101" s="839"/>
      <c r="N101" s="839"/>
      <c r="O101" s="839"/>
      <c r="P101" s="923">
        <v>0.0</v>
      </c>
      <c r="Q101" s="839"/>
      <c r="R101" s="907"/>
      <c r="S101" s="839"/>
      <c r="T101" s="839"/>
      <c r="U101" s="908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852"/>
      <c r="C102" s="852"/>
      <c r="D102" s="910"/>
      <c r="E102" s="852"/>
      <c r="F102" s="892"/>
      <c r="G102" s="852"/>
      <c r="H102" s="852"/>
      <c r="I102" s="852"/>
      <c r="J102" s="892"/>
      <c r="K102" s="852"/>
      <c r="L102" s="892"/>
      <c r="M102" s="852"/>
      <c r="N102" s="852"/>
      <c r="O102" s="852"/>
      <c r="P102" s="892"/>
      <c r="Q102" s="852"/>
      <c r="R102" s="892"/>
      <c r="S102" s="852"/>
      <c r="T102" s="852"/>
      <c r="U102" s="926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875"/>
      <c r="C103" s="918" t="s">
        <v>235</v>
      </c>
      <c r="D103" s="902">
        <f>SUM(D104:D105)</f>
        <v>6806.25</v>
      </c>
      <c r="E103" s="857"/>
      <c r="F103" s="898">
        <f>SUM(F104:F105)</f>
        <v>6806.25</v>
      </c>
      <c r="G103" s="857"/>
      <c r="H103" s="857">
        <f>SUM(H104:H105)</f>
        <v>6806.25</v>
      </c>
      <c r="I103" s="857"/>
      <c r="J103" s="898">
        <f>SUM(J104:J105)</f>
        <v>6806.25</v>
      </c>
      <c r="K103" s="857"/>
      <c r="L103" s="898">
        <f>SUM(L104:L105)</f>
        <v>0</v>
      </c>
      <c r="M103" s="857"/>
      <c r="N103" s="857">
        <f>SUM(N104:N105)</f>
        <v>0</v>
      </c>
      <c r="O103" s="857"/>
      <c r="P103" s="898">
        <f>SUM(P104:P105)</f>
        <v>6806.25</v>
      </c>
      <c r="Q103" s="857"/>
      <c r="R103" s="898">
        <f>SUM(R104:R105)</f>
        <v>0</v>
      </c>
      <c r="S103" s="857"/>
      <c r="T103" s="857">
        <f>SUM(T104:T105)</f>
        <v>0</v>
      </c>
      <c r="U103" s="927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2"/>
      <c r="B104" s="839"/>
      <c r="C104" s="839" t="s">
        <v>236</v>
      </c>
      <c r="D104" s="906"/>
      <c r="E104" s="839"/>
      <c r="F104" s="907"/>
      <c r="G104" s="839"/>
      <c r="H104" s="839"/>
      <c r="I104" s="839"/>
      <c r="J104" s="907"/>
      <c r="K104" s="839"/>
      <c r="L104" s="907"/>
      <c r="M104" s="839"/>
      <c r="N104" s="839"/>
      <c r="O104" s="839"/>
      <c r="P104" s="907"/>
      <c r="Q104" s="839"/>
      <c r="R104" s="907"/>
      <c r="S104" s="839"/>
      <c r="T104" s="839"/>
      <c r="U104" s="908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845"/>
      <c r="C105" s="845" t="s">
        <v>291</v>
      </c>
      <c r="D105" s="886">
        <v>6806.25</v>
      </c>
      <c r="E105" s="887">
        <v>6806.25</v>
      </c>
      <c r="F105" s="887">
        <v>6806.25</v>
      </c>
      <c r="G105" s="887">
        <v>6806.25</v>
      </c>
      <c r="H105" s="887">
        <v>6806.25</v>
      </c>
      <c r="I105" s="887">
        <v>6806.25</v>
      </c>
      <c r="J105" s="887">
        <v>6806.25</v>
      </c>
      <c r="K105" s="845"/>
      <c r="L105" s="887"/>
      <c r="M105" s="845"/>
      <c r="N105" s="845"/>
      <c r="O105" s="845"/>
      <c r="P105" s="887">
        <v>6806.25</v>
      </c>
      <c r="Q105" s="845"/>
      <c r="R105" s="887"/>
      <c r="S105" s="845"/>
      <c r="T105" s="845"/>
      <c r="U105" s="850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852"/>
      <c r="C106" s="852"/>
      <c r="D106" s="910"/>
      <c r="E106" s="852"/>
      <c r="F106" s="892"/>
      <c r="G106" s="852"/>
      <c r="H106" s="852"/>
      <c r="I106" s="852"/>
      <c r="J106" s="892"/>
      <c r="K106" s="852"/>
      <c r="L106" s="892"/>
      <c r="M106" s="852"/>
      <c r="N106" s="852"/>
      <c r="O106" s="852"/>
      <c r="P106" s="892"/>
      <c r="Q106" s="852"/>
      <c r="R106" s="892"/>
      <c r="S106" s="852"/>
      <c r="T106" s="852"/>
      <c r="U106" s="926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875"/>
      <c r="C107" s="918" t="s">
        <v>40</v>
      </c>
      <c r="D107" s="902">
        <f>SUM(D108:D119)</f>
        <v>879487.0067</v>
      </c>
      <c r="E107" s="857"/>
      <c r="F107" s="898">
        <f>SUM(F108:F119)</f>
        <v>5934.916667</v>
      </c>
      <c r="G107" s="857"/>
      <c r="H107" s="857">
        <f>SUM(H108:H119)</f>
        <v>5934.916667</v>
      </c>
      <c r="I107" s="857"/>
      <c r="J107" s="898">
        <f>SUM(J108:J121)</f>
        <v>741723</v>
      </c>
      <c r="K107" s="857"/>
      <c r="L107" s="898">
        <f>SUM(L108:L119)</f>
        <v>0</v>
      </c>
      <c r="M107" s="857"/>
      <c r="N107" s="857">
        <f>SUM(N108:N119)</f>
        <v>0</v>
      </c>
      <c r="O107" s="857"/>
      <c r="P107" s="898">
        <f>SUM(P108:P121)</f>
        <v>897116</v>
      </c>
      <c r="Q107" s="857"/>
      <c r="R107" s="898">
        <f>SUM(R108:R119)</f>
        <v>0</v>
      </c>
      <c r="S107" s="857"/>
      <c r="T107" s="857">
        <f>SUM(T108:T119)</f>
        <v>0</v>
      </c>
      <c r="U107" s="927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2"/>
      <c r="B108" s="839"/>
      <c r="C108" s="839" t="s">
        <v>238</v>
      </c>
      <c r="D108" s="906">
        <v>0.0</v>
      </c>
      <c r="E108" s="839"/>
      <c r="F108" s="907"/>
      <c r="G108" s="839"/>
      <c r="H108" s="839"/>
      <c r="I108" s="839"/>
      <c r="J108" s="907">
        <v>0.0</v>
      </c>
      <c r="K108" s="839"/>
      <c r="L108" s="907"/>
      <c r="M108" s="839"/>
      <c r="N108" s="839"/>
      <c r="O108" s="839"/>
      <c r="P108" s="923">
        <v>3360.0</v>
      </c>
      <c r="Q108" s="839"/>
      <c r="R108" s="907"/>
      <c r="S108" s="839"/>
      <c r="T108" s="839"/>
      <c r="U108" s="908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845"/>
      <c r="C109" s="845" t="s">
        <v>239</v>
      </c>
      <c r="D109" s="889">
        <v>5824.0</v>
      </c>
      <c r="E109" s="845"/>
      <c r="F109" s="887"/>
      <c r="G109" s="845"/>
      <c r="H109" s="845"/>
      <c r="I109" s="845"/>
      <c r="J109" s="887">
        <v>0.0</v>
      </c>
      <c r="K109" s="845"/>
      <c r="L109" s="887"/>
      <c r="M109" s="845"/>
      <c r="N109" s="845"/>
      <c r="O109" s="845"/>
      <c r="P109" s="890">
        <v>1200.0</v>
      </c>
      <c r="Q109" s="845"/>
      <c r="R109" s="887"/>
      <c r="S109" s="845"/>
      <c r="T109" s="845"/>
      <c r="U109" s="850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845"/>
      <c r="C110" s="845" t="s">
        <v>240</v>
      </c>
      <c r="D110" s="886">
        <v>5934.916666666667</v>
      </c>
      <c r="E110" s="887">
        <v>5934.916666666667</v>
      </c>
      <c r="F110" s="887">
        <v>5934.916666666667</v>
      </c>
      <c r="G110" s="887">
        <v>5934.916666666667</v>
      </c>
      <c r="H110" s="887">
        <v>5934.916666666667</v>
      </c>
      <c r="I110" s="887">
        <v>5934.916666666667</v>
      </c>
      <c r="J110" s="890">
        <v>44280.0</v>
      </c>
      <c r="K110" s="845"/>
      <c r="L110" s="887"/>
      <c r="M110" s="845"/>
      <c r="N110" s="845"/>
      <c r="O110" s="845"/>
      <c r="P110" s="890">
        <v>54550.0</v>
      </c>
      <c r="Q110" s="845"/>
      <c r="R110" s="887"/>
      <c r="S110" s="845"/>
      <c r="T110" s="845"/>
      <c r="U110" s="850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845"/>
      <c r="C111" s="845" t="s">
        <v>332</v>
      </c>
      <c r="D111" s="886">
        <v>0.0</v>
      </c>
      <c r="E111" s="845"/>
      <c r="F111" s="887"/>
      <c r="G111" s="845"/>
      <c r="H111" s="845"/>
      <c r="I111" s="845"/>
      <c r="J111" s="887">
        <v>0.0</v>
      </c>
      <c r="K111" s="845"/>
      <c r="L111" s="887"/>
      <c r="M111" s="845"/>
      <c r="N111" s="845"/>
      <c r="O111" s="845"/>
      <c r="P111" s="890">
        <v>0.0</v>
      </c>
      <c r="Q111" s="845"/>
      <c r="R111" s="887"/>
      <c r="S111" s="845"/>
      <c r="T111" s="845"/>
      <c r="U111" s="850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845"/>
      <c r="C112" s="845" t="s">
        <v>292</v>
      </c>
      <c r="D112" s="886">
        <v>0.0</v>
      </c>
      <c r="E112" s="845"/>
      <c r="F112" s="887"/>
      <c r="G112" s="845"/>
      <c r="H112" s="845"/>
      <c r="I112" s="845"/>
      <c r="J112" s="887">
        <v>0.0</v>
      </c>
      <c r="K112" s="845"/>
      <c r="L112" s="887"/>
      <c r="M112" s="845"/>
      <c r="N112" s="845"/>
      <c r="O112" s="845"/>
      <c r="P112" s="890">
        <v>0.0</v>
      </c>
      <c r="Q112" s="845"/>
      <c r="R112" s="887"/>
      <c r="S112" s="845"/>
      <c r="T112" s="845"/>
      <c r="U112" s="850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845"/>
      <c r="C113" s="845" t="s">
        <v>244</v>
      </c>
      <c r="D113" s="886">
        <v>820965.0900000001</v>
      </c>
      <c r="E113" s="845"/>
      <c r="F113" s="887"/>
      <c r="G113" s="845"/>
      <c r="H113" s="845"/>
      <c r="I113" s="845"/>
      <c r="J113" s="890">
        <v>593342.0</v>
      </c>
      <c r="K113" s="845"/>
      <c r="L113" s="887"/>
      <c r="M113" s="845"/>
      <c r="N113" s="845"/>
      <c r="O113" s="845"/>
      <c r="P113" s="890">
        <v>303292.0</v>
      </c>
      <c r="Q113" s="845"/>
      <c r="R113" s="887"/>
      <c r="S113" s="845"/>
      <c r="T113" s="845"/>
      <c r="U113" s="850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845"/>
      <c r="C114" s="845" t="s">
        <v>243</v>
      </c>
      <c r="D114" s="889">
        <v>27521.0</v>
      </c>
      <c r="E114" s="845"/>
      <c r="F114" s="887"/>
      <c r="G114" s="845"/>
      <c r="H114" s="845"/>
      <c r="I114" s="845"/>
      <c r="J114" s="889">
        <v>27521.0</v>
      </c>
      <c r="K114" s="845"/>
      <c r="L114" s="887"/>
      <c r="M114" s="845"/>
      <c r="N114" s="845"/>
      <c r="O114" s="845"/>
      <c r="P114" s="889">
        <v>27521.0</v>
      </c>
      <c r="Q114" s="845"/>
      <c r="R114" s="887"/>
      <c r="S114" s="845"/>
      <c r="T114" s="845"/>
      <c r="U114" s="850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845"/>
      <c r="C115" s="845" t="s">
        <v>246</v>
      </c>
      <c r="D115" s="886">
        <v>14682.0</v>
      </c>
      <c r="E115" s="845"/>
      <c r="F115" s="887"/>
      <c r="G115" s="845"/>
      <c r="H115" s="845"/>
      <c r="I115" s="845"/>
      <c r="J115" s="887">
        <v>0.0</v>
      </c>
      <c r="K115" s="845"/>
      <c r="L115" s="887"/>
      <c r="M115" s="845"/>
      <c r="N115" s="845"/>
      <c r="O115" s="845"/>
      <c r="P115" s="890">
        <v>26240.0</v>
      </c>
      <c r="Q115" s="845"/>
      <c r="R115" s="887"/>
      <c r="S115" s="845"/>
      <c r="T115" s="845"/>
      <c r="U115" s="850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845"/>
      <c r="C116" s="845" t="s">
        <v>247</v>
      </c>
      <c r="D116" s="886">
        <v>4560.0</v>
      </c>
      <c r="E116" s="845"/>
      <c r="F116" s="887"/>
      <c r="G116" s="845"/>
      <c r="H116" s="845"/>
      <c r="I116" s="845"/>
      <c r="J116" s="890">
        <v>5224.0</v>
      </c>
      <c r="K116" s="845"/>
      <c r="L116" s="887"/>
      <c r="M116" s="845"/>
      <c r="N116" s="845"/>
      <c r="O116" s="845"/>
      <c r="P116" s="890">
        <v>5819.0</v>
      </c>
      <c r="Q116" s="845"/>
      <c r="R116" s="887"/>
      <c r="S116" s="845"/>
      <c r="T116" s="845"/>
      <c r="U116" s="850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845"/>
      <c r="C117" s="845" t="s">
        <v>248</v>
      </c>
      <c r="D117" s="886">
        <v>0.0</v>
      </c>
      <c r="E117" s="845"/>
      <c r="F117" s="887"/>
      <c r="G117" s="845"/>
      <c r="H117" s="845"/>
      <c r="I117" s="845"/>
      <c r="J117" s="887">
        <v>0.0</v>
      </c>
      <c r="K117" s="845"/>
      <c r="L117" s="887"/>
      <c r="M117" s="845"/>
      <c r="N117" s="845"/>
      <c r="O117" s="845"/>
      <c r="P117" s="890">
        <v>443029.0</v>
      </c>
      <c r="Q117" s="845"/>
      <c r="R117" s="887"/>
      <c r="S117" s="845"/>
      <c r="T117" s="845"/>
      <c r="U117" s="850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845"/>
      <c r="C118" s="845" t="s">
        <v>249</v>
      </c>
      <c r="D118" s="886">
        <v>0.0</v>
      </c>
      <c r="E118" s="845"/>
      <c r="F118" s="887"/>
      <c r="G118" s="845"/>
      <c r="H118" s="845"/>
      <c r="I118" s="845"/>
      <c r="J118" s="887">
        <v>0.0</v>
      </c>
      <c r="K118" s="845"/>
      <c r="L118" s="887"/>
      <c r="M118" s="845"/>
      <c r="N118" s="845"/>
      <c r="O118" s="845"/>
      <c r="P118" s="890">
        <v>0.0</v>
      </c>
      <c r="Q118" s="845"/>
      <c r="R118" s="887"/>
      <c r="S118" s="845"/>
      <c r="T118" s="845"/>
      <c r="U118" s="850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845"/>
      <c r="C119" s="845" t="s">
        <v>333</v>
      </c>
      <c r="D119" s="886">
        <v>0.0</v>
      </c>
      <c r="E119" s="845"/>
      <c r="F119" s="887"/>
      <c r="G119" s="845"/>
      <c r="H119" s="845"/>
      <c r="I119" s="845"/>
      <c r="J119" s="887">
        <v>0.0</v>
      </c>
      <c r="K119" s="845"/>
      <c r="L119" s="887"/>
      <c r="M119" s="845"/>
      <c r="N119" s="845"/>
      <c r="O119" s="845"/>
      <c r="P119" s="890">
        <v>0.0</v>
      </c>
      <c r="Q119" s="845"/>
      <c r="R119" s="887"/>
      <c r="S119" s="845"/>
      <c r="T119" s="845"/>
      <c r="U119" s="850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845"/>
      <c r="C120" s="845" t="s">
        <v>334</v>
      </c>
      <c r="D120" s="886">
        <v>0.0</v>
      </c>
      <c r="E120" s="845"/>
      <c r="F120" s="887"/>
      <c r="G120" s="845"/>
      <c r="H120" s="845"/>
      <c r="I120" s="845"/>
      <c r="J120" s="887">
        <v>0.0</v>
      </c>
      <c r="K120" s="845"/>
      <c r="L120" s="887"/>
      <c r="M120" s="845"/>
      <c r="N120" s="845"/>
      <c r="O120" s="845"/>
      <c r="P120" s="887"/>
      <c r="Q120" s="845"/>
      <c r="R120" s="887"/>
      <c r="S120" s="845"/>
      <c r="T120" s="845"/>
      <c r="U120" s="850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845"/>
      <c r="C121" s="845" t="s">
        <v>293</v>
      </c>
      <c r="D121" s="886">
        <v>0.0</v>
      </c>
      <c r="E121" s="845"/>
      <c r="F121" s="887"/>
      <c r="G121" s="845"/>
      <c r="H121" s="845"/>
      <c r="I121" s="845"/>
      <c r="J121" s="890">
        <v>71356.0</v>
      </c>
      <c r="K121" s="845"/>
      <c r="L121" s="887"/>
      <c r="M121" s="845"/>
      <c r="N121" s="845"/>
      <c r="O121" s="845"/>
      <c r="P121" s="890">
        <v>32105.0</v>
      </c>
      <c r="Q121" s="845"/>
      <c r="R121" s="887"/>
      <c r="S121" s="845"/>
      <c r="T121" s="845"/>
      <c r="U121" s="850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845"/>
      <c r="C122" s="845" t="s">
        <v>281</v>
      </c>
      <c r="D122" s="886">
        <v>0.0</v>
      </c>
      <c r="E122" s="845"/>
      <c r="F122" s="887"/>
      <c r="G122" s="845"/>
      <c r="H122" s="845"/>
      <c r="I122" s="845"/>
      <c r="J122" s="887">
        <v>0.0</v>
      </c>
      <c r="K122" s="845"/>
      <c r="L122" s="887"/>
      <c r="M122" s="845"/>
      <c r="N122" s="845"/>
      <c r="O122" s="845"/>
      <c r="P122" s="890">
        <v>0.0</v>
      </c>
      <c r="Q122" s="845"/>
      <c r="R122" s="887"/>
      <c r="S122" s="845"/>
      <c r="T122" s="845"/>
      <c r="U122" s="850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845"/>
      <c r="C123" s="845"/>
      <c r="D123" s="886"/>
      <c r="E123" s="845"/>
      <c r="F123" s="887"/>
      <c r="G123" s="845"/>
      <c r="H123" s="845"/>
      <c r="I123" s="845"/>
      <c r="J123" s="887"/>
      <c r="K123" s="845"/>
      <c r="L123" s="887"/>
      <c r="M123" s="845"/>
      <c r="N123" s="845"/>
      <c r="O123" s="845"/>
      <c r="P123" s="887"/>
      <c r="Q123" s="845"/>
      <c r="R123" s="887"/>
      <c r="S123" s="845"/>
      <c r="T123" s="845"/>
      <c r="U123" s="850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852"/>
      <c r="C124" s="929"/>
      <c r="D124" s="910"/>
      <c r="E124" s="852"/>
      <c r="F124" s="892"/>
      <c r="G124" s="852"/>
      <c r="H124" s="852"/>
      <c r="I124" s="852"/>
      <c r="J124" s="892"/>
      <c r="K124" s="852"/>
      <c r="L124" s="892"/>
      <c r="M124" s="852"/>
      <c r="N124" s="852"/>
      <c r="O124" s="852"/>
      <c r="P124" s="892"/>
      <c r="Q124" s="852"/>
      <c r="R124" s="892"/>
      <c r="S124" s="852"/>
      <c r="T124" s="852"/>
      <c r="U124" s="926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875"/>
      <c r="C125" s="918" t="s">
        <v>41</v>
      </c>
      <c r="D125" s="902">
        <f>SUM(D126)</f>
        <v>0</v>
      </c>
      <c r="E125" s="857"/>
      <c r="F125" s="898">
        <f>SUM(F126)</f>
        <v>0</v>
      </c>
      <c r="G125" s="857"/>
      <c r="H125" s="857">
        <f>SUM(H126)</f>
        <v>0</v>
      </c>
      <c r="I125" s="857"/>
      <c r="J125" s="898">
        <f>SUM(J126)</f>
        <v>0</v>
      </c>
      <c r="K125" s="857"/>
      <c r="L125" s="898">
        <f>SUM(L126)</f>
        <v>0</v>
      </c>
      <c r="M125" s="857"/>
      <c r="N125" s="857">
        <f>SUM(N126)</f>
        <v>0</v>
      </c>
      <c r="O125" s="857"/>
      <c r="P125" s="898">
        <f>SUM(P126)</f>
        <v>0</v>
      </c>
      <c r="Q125" s="857"/>
      <c r="R125" s="898">
        <f>SUM(R126)</f>
        <v>0</v>
      </c>
      <c r="S125" s="857"/>
      <c r="T125" s="857">
        <f>SUM(T126)</f>
        <v>0</v>
      </c>
      <c r="U125" s="927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2"/>
      <c r="B126" s="839"/>
      <c r="C126" s="839" t="s">
        <v>250</v>
      </c>
      <c r="D126" s="906"/>
      <c r="E126" s="839"/>
      <c r="F126" s="907"/>
      <c r="G126" s="839"/>
      <c r="H126" s="839"/>
      <c r="I126" s="839"/>
      <c r="J126" s="907"/>
      <c r="K126" s="839"/>
      <c r="L126" s="907"/>
      <c r="M126" s="839"/>
      <c r="N126" s="839"/>
      <c r="O126" s="839"/>
      <c r="P126" s="907"/>
      <c r="Q126" s="839"/>
      <c r="R126" s="907"/>
      <c r="S126" s="839"/>
      <c r="T126" s="839"/>
      <c r="U126" s="908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845"/>
      <c r="C127" s="845" t="s">
        <v>41</v>
      </c>
      <c r="D127" s="886">
        <v>0.0</v>
      </c>
      <c r="E127" s="845"/>
      <c r="F127" s="887"/>
      <c r="G127" s="845"/>
      <c r="H127" s="845"/>
      <c r="I127" s="845"/>
      <c r="J127" s="887">
        <v>0.0</v>
      </c>
      <c r="K127" s="845"/>
      <c r="L127" s="887"/>
      <c r="M127" s="845"/>
      <c r="N127" s="845"/>
      <c r="O127" s="845"/>
      <c r="P127" s="890">
        <v>35400.0</v>
      </c>
      <c r="Q127" s="845"/>
      <c r="R127" s="887"/>
      <c r="S127" s="845"/>
      <c r="T127" s="845"/>
      <c r="U127" s="850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852"/>
      <c r="C128" s="852"/>
      <c r="D128" s="910"/>
      <c r="E128" s="852"/>
      <c r="F128" s="892"/>
      <c r="G128" s="852"/>
      <c r="H128" s="852"/>
      <c r="I128" s="852"/>
      <c r="J128" s="892"/>
      <c r="K128" s="852"/>
      <c r="L128" s="892"/>
      <c r="M128" s="852"/>
      <c r="N128" s="852"/>
      <c r="O128" s="852"/>
      <c r="P128" s="892"/>
      <c r="Q128" s="852"/>
      <c r="R128" s="892"/>
      <c r="S128" s="852"/>
      <c r="T128" s="852"/>
      <c r="U128" s="926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875"/>
      <c r="C129" s="918" t="s">
        <v>42</v>
      </c>
      <c r="D129" s="902">
        <f>SUM(D130:D131)</f>
        <v>0</v>
      </c>
      <c r="E129" s="857"/>
      <c r="F129" s="898">
        <f>SUM(F130:F131)</f>
        <v>0</v>
      </c>
      <c r="G129" s="857"/>
      <c r="H129" s="857">
        <f>SUM(H130:H131)</f>
        <v>0</v>
      </c>
      <c r="I129" s="857"/>
      <c r="J129" s="898">
        <f>SUM(J130:J131)</f>
        <v>0</v>
      </c>
      <c r="K129" s="857"/>
      <c r="L129" s="898">
        <f>SUM(L130:L131)</f>
        <v>0</v>
      </c>
      <c r="M129" s="857"/>
      <c r="N129" s="857">
        <f>SUM(N130:N131)</f>
        <v>0</v>
      </c>
      <c r="O129" s="857"/>
      <c r="P129" s="898">
        <f>SUM(P130:P131)</f>
        <v>0</v>
      </c>
      <c r="Q129" s="857"/>
      <c r="R129" s="898">
        <f>SUM(R130:R131)</f>
        <v>0</v>
      </c>
      <c r="S129" s="857"/>
      <c r="T129" s="857">
        <f>SUM(T130:T131)</f>
        <v>0</v>
      </c>
      <c r="U129" s="927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2"/>
      <c r="B130" s="839"/>
      <c r="C130" s="839" t="s">
        <v>285</v>
      </c>
      <c r="D130" s="906">
        <v>0.0</v>
      </c>
      <c r="E130" s="839"/>
      <c r="F130" s="907"/>
      <c r="G130" s="839"/>
      <c r="H130" s="839"/>
      <c r="I130" s="839"/>
      <c r="J130" s="907">
        <v>0.0</v>
      </c>
      <c r="K130" s="839"/>
      <c r="L130" s="907"/>
      <c r="M130" s="839"/>
      <c r="N130" s="839"/>
      <c r="O130" s="839"/>
      <c r="P130" s="907">
        <v>0.0</v>
      </c>
      <c r="Q130" s="839"/>
      <c r="R130" s="907"/>
      <c r="S130" s="839"/>
      <c r="T130" s="839"/>
      <c r="U130" s="908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845"/>
      <c r="C131" s="845" t="s">
        <v>253</v>
      </c>
      <c r="D131" s="886">
        <v>0.0</v>
      </c>
      <c r="E131" s="845"/>
      <c r="F131" s="887"/>
      <c r="G131" s="845"/>
      <c r="H131" s="845"/>
      <c r="I131" s="845"/>
      <c r="J131" s="887">
        <v>0.0</v>
      </c>
      <c r="K131" s="845"/>
      <c r="L131" s="887"/>
      <c r="M131" s="845"/>
      <c r="N131" s="845"/>
      <c r="O131" s="845"/>
      <c r="P131" s="887">
        <v>0.0</v>
      </c>
      <c r="Q131" s="845"/>
      <c r="R131" s="887"/>
      <c r="S131" s="845"/>
      <c r="T131" s="845"/>
      <c r="U131" s="850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845"/>
      <c r="C132" s="845"/>
      <c r="D132" s="886"/>
      <c r="E132" s="845"/>
      <c r="F132" s="887"/>
      <c r="G132" s="845"/>
      <c r="H132" s="845"/>
      <c r="I132" s="845"/>
      <c r="J132" s="887"/>
      <c r="K132" s="845"/>
      <c r="L132" s="887"/>
      <c r="M132" s="845"/>
      <c r="N132" s="845"/>
      <c r="O132" s="845"/>
      <c r="P132" s="887"/>
      <c r="Q132" s="845"/>
      <c r="R132" s="887"/>
      <c r="S132" s="845"/>
      <c r="T132" s="845"/>
      <c r="U132" s="850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852"/>
      <c r="C133" s="852"/>
      <c r="D133" s="910"/>
      <c r="E133" s="852"/>
      <c r="F133" s="892"/>
      <c r="G133" s="852"/>
      <c r="H133" s="852"/>
      <c r="I133" s="852"/>
      <c r="J133" s="892"/>
      <c r="K133" s="852"/>
      <c r="L133" s="892"/>
      <c r="M133" s="852"/>
      <c r="N133" s="852"/>
      <c r="O133" s="852"/>
      <c r="P133" s="892"/>
      <c r="Q133" s="852"/>
      <c r="R133" s="892"/>
      <c r="S133" s="852"/>
      <c r="T133" s="852"/>
      <c r="U133" s="926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857"/>
      <c r="C134" s="857" t="s">
        <v>254</v>
      </c>
      <c r="D134" s="902">
        <f>D59+D70+D77+D84+D90+D100+D129+D125+D107+D103</f>
        <v>1379671.257</v>
      </c>
      <c r="E134" s="857"/>
      <c r="F134" s="898">
        <f>+F129+F125+F107+F103+F100</f>
        <v>12741.16667</v>
      </c>
      <c r="G134" s="857"/>
      <c r="H134" s="898">
        <f>+H129+H125+H107+H103+H100</f>
        <v>12741.16667</v>
      </c>
      <c r="I134" s="857"/>
      <c r="J134" s="898">
        <f>J59+J70+J77+J84+J90+J100+J129+J125+J107+J103</f>
        <v>1291150.25</v>
      </c>
      <c r="K134" s="857"/>
      <c r="L134" s="898">
        <f>+L129+L125+L107+L103+L100</f>
        <v>0</v>
      </c>
      <c r="M134" s="857"/>
      <c r="N134" s="898">
        <f>+N129+N125+N107+N103+N100</f>
        <v>0</v>
      </c>
      <c r="O134" s="857"/>
      <c r="P134" s="898">
        <f>P59+P70+P77+P84+P90+P100+P129+P125+P107+P103</f>
        <v>1388594.25</v>
      </c>
      <c r="Q134" s="857"/>
      <c r="R134" s="898">
        <f>+R129+R125+R107+R103+R100</f>
        <v>0</v>
      </c>
      <c r="S134" s="857"/>
      <c r="T134" s="898">
        <f>+T129+T125+T107+T103+T100</f>
        <v>0</v>
      </c>
      <c r="U134" s="927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924"/>
      <c r="C135" s="924"/>
      <c r="D135" s="930"/>
      <c r="E135" s="924"/>
      <c r="F135" s="931"/>
      <c r="G135" s="924"/>
      <c r="H135" s="924"/>
      <c r="I135" s="924"/>
      <c r="J135" s="931"/>
      <c r="K135" s="924"/>
      <c r="L135" s="931"/>
      <c r="M135" s="924"/>
      <c r="N135" s="924"/>
      <c r="O135" s="924"/>
      <c r="P135" s="931"/>
      <c r="Q135" s="924"/>
      <c r="R135" s="931"/>
      <c r="S135" s="924"/>
      <c r="T135" s="924"/>
      <c r="U135" s="118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875"/>
      <c r="C136" s="857" t="s">
        <v>255</v>
      </c>
      <c r="D136" s="902">
        <f>D50-D134</f>
        <v>-1379671.257</v>
      </c>
      <c r="E136" s="875"/>
      <c r="F136" s="920">
        <f>+F29-F134</f>
        <v>-12741.16667</v>
      </c>
      <c r="G136" s="875"/>
      <c r="H136" s="920">
        <f>+H29-H134</f>
        <v>-12741.16667</v>
      </c>
      <c r="I136" s="875"/>
      <c r="J136" s="898">
        <f>J50-J134</f>
        <v>-1292180.25</v>
      </c>
      <c r="K136" s="875"/>
      <c r="L136" s="920">
        <f>+L29-L134</f>
        <v>0</v>
      </c>
      <c r="M136" s="875"/>
      <c r="N136" s="920">
        <f>+N29-N134</f>
        <v>0</v>
      </c>
      <c r="O136" s="875"/>
      <c r="P136" s="898">
        <f>P50-P134</f>
        <v>-1023397.25</v>
      </c>
      <c r="Q136" s="875"/>
      <c r="R136" s="920">
        <f>+R29-R134</f>
        <v>0</v>
      </c>
      <c r="S136" s="875"/>
      <c r="T136" s="920">
        <f>+T29-T134</f>
        <v>0</v>
      </c>
      <c r="U136" s="921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827"/>
      <c r="E137" s="2"/>
      <c r="F137" s="827"/>
      <c r="G137" s="2"/>
      <c r="H137" s="2"/>
      <c r="I137" s="2"/>
      <c r="J137" s="827"/>
      <c r="K137" s="2"/>
      <c r="L137" s="827"/>
      <c r="M137" s="2"/>
      <c r="N137" s="2"/>
      <c r="O137" s="2"/>
      <c r="P137" s="827"/>
      <c r="Q137" s="2"/>
      <c r="R137" s="827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827"/>
      <c r="E138" s="2"/>
      <c r="F138" s="827"/>
      <c r="G138" s="2"/>
      <c r="H138" s="2"/>
      <c r="I138" s="2"/>
      <c r="J138" s="827"/>
      <c r="K138" s="2"/>
      <c r="L138" s="827"/>
      <c r="M138" s="2"/>
      <c r="N138" s="2"/>
      <c r="O138" s="2"/>
      <c r="P138" s="827"/>
      <c r="Q138" s="2"/>
      <c r="R138" s="827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827"/>
      <c r="E139" s="2"/>
      <c r="F139" s="827"/>
      <c r="G139" s="2"/>
      <c r="H139" s="2"/>
      <c r="I139" s="2"/>
      <c r="J139" s="827"/>
      <c r="K139" s="2"/>
      <c r="L139" s="827"/>
      <c r="M139" s="2"/>
      <c r="N139" s="2"/>
      <c r="O139" s="2"/>
      <c r="P139" s="827"/>
      <c r="Q139" s="2"/>
      <c r="R139" s="827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827"/>
      <c r="E140" s="2"/>
      <c r="F140" s="827"/>
      <c r="G140" s="2"/>
      <c r="H140" s="2"/>
      <c r="I140" s="2"/>
      <c r="J140" s="827"/>
      <c r="K140" s="2"/>
      <c r="L140" s="827"/>
      <c r="M140" s="2"/>
      <c r="N140" s="2"/>
      <c r="O140" s="2"/>
      <c r="P140" s="827"/>
      <c r="Q140" s="2"/>
      <c r="R140" s="827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827"/>
      <c r="E141" s="2"/>
      <c r="F141" s="827"/>
      <c r="G141" s="2"/>
      <c r="H141" s="2"/>
      <c r="I141" s="2"/>
      <c r="J141" s="827"/>
      <c r="K141" s="2"/>
      <c r="L141" s="827"/>
      <c r="M141" s="2"/>
      <c r="N141" s="2"/>
      <c r="O141" s="2"/>
      <c r="P141" s="827"/>
      <c r="Q141" s="2"/>
      <c r="R141" s="827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827"/>
      <c r="E142" s="2"/>
      <c r="F142" s="827"/>
      <c r="G142" s="2"/>
      <c r="H142" s="2"/>
      <c r="I142" s="2"/>
      <c r="J142" s="827"/>
      <c r="K142" s="2"/>
      <c r="L142" s="827"/>
      <c r="M142" s="2"/>
      <c r="N142" s="2"/>
      <c r="O142" s="2"/>
      <c r="P142" s="827"/>
      <c r="Q142" s="2"/>
      <c r="R142" s="827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827"/>
      <c r="E143" s="2"/>
      <c r="F143" s="827"/>
      <c r="G143" s="2"/>
      <c r="H143" s="2"/>
      <c r="I143" s="2"/>
      <c r="J143" s="827"/>
      <c r="K143" s="2"/>
      <c r="L143" s="827"/>
      <c r="M143" s="2"/>
      <c r="N143" s="2"/>
      <c r="O143" s="2"/>
      <c r="P143" s="827"/>
      <c r="Q143" s="2"/>
      <c r="R143" s="827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827"/>
      <c r="E144" s="2"/>
      <c r="F144" s="827"/>
      <c r="G144" s="2"/>
      <c r="H144" s="2"/>
      <c r="I144" s="2"/>
      <c r="J144" s="827"/>
      <c r="K144" s="2"/>
      <c r="L144" s="827"/>
      <c r="M144" s="2"/>
      <c r="N144" s="2"/>
      <c r="O144" s="2"/>
      <c r="P144" s="827"/>
      <c r="Q144" s="2"/>
      <c r="R144" s="827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827"/>
      <c r="E145" s="2"/>
      <c r="F145" s="827"/>
      <c r="G145" s="2"/>
      <c r="H145" s="2"/>
      <c r="I145" s="2"/>
      <c r="J145" s="827"/>
      <c r="K145" s="2"/>
      <c r="L145" s="827"/>
      <c r="M145" s="2"/>
      <c r="N145" s="2"/>
      <c r="O145" s="2"/>
      <c r="P145" s="827"/>
      <c r="Q145" s="2"/>
      <c r="R145" s="827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827"/>
      <c r="E146" s="2"/>
      <c r="F146" s="827"/>
      <c r="G146" s="2"/>
      <c r="H146" s="2"/>
      <c r="I146" s="2"/>
      <c r="J146" s="827"/>
      <c r="K146" s="2"/>
      <c r="L146" s="827"/>
      <c r="M146" s="2"/>
      <c r="N146" s="2"/>
      <c r="O146" s="2"/>
      <c r="P146" s="827"/>
      <c r="Q146" s="2"/>
      <c r="R146" s="827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827"/>
      <c r="E147" s="2"/>
      <c r="F147" s="827"/>
      <c r="G147" s="2"/>
      <c r="H147" s="2"/>
      <c r="I147" s="2"/>
      <c r="J147" s="827"/>
      <c r="K147" s="2"/>
      <c r="L147" s="827"/>
      <c r="M147" s="2"/>
      <c r="N147" s="2"/>
      <c r="O147" s="2"/>
      <c r="P147" s="827"/>
      <c r="Q147" s="2"/>
      <c r="R147" s="827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827"/>
      <c r="E148" s="2"/>
      <c r="F148" s="827"/>
      <c r="G148" s="2"/>
      <c r="H148" s="2"/>
      <c r="I148" s="2"/>
      <c r="J148" s="827"/>
      <c r="K148" s="2"/>
      <c r="L148" s="827"/>
      <c r="M148" s="2"/>
      <c r="N148" s="2"/>
      <c r="O148" s="2"/>
      <c r="P148" s="827"/>
      <c r="Q148" s="2"/>
      <c r="R148" s="827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827"/>
      <c r="E149" s="2"/>
      <c r="F149" s="827"/>
      <c r="G149" s="2"/>
      <c r="H149" s="2"/>
      <c r="I149" s="2"/>
      <c r="J149" s="827"/>
      <c r="K149" s="2"/>
      <c r="L149" s="827"/>
      <c r="M149" s="2"/>
      <c r="N149" s="2"/>
      <c r="O149" s="2"/>
      <c r="P149" s="827"/>
      <c r="Q149" s="2"/>
      <c r="R149" s="827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827"/>
      <c r="E150" s="2"/>
      <c r="F150" s="827"/>
      <c r="G150" s="2"/>
      <c r="H150" s="2"/>
      <c r="I150" s="2"/>
      <c r="J150" s="827"/>
      <c r="K150" s="2"/>
      <c r="L150" s="827"/>
      <c r="M150" s="2"/>
      <c r="N150" s="2"/>
      <c r="O150" s="2"/>
      <c r="P150" s="827"/>
      <c r="Q150" s="2"/>
      <c r="R150" s="827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827"/>
      <c r="E151" s="2"/>
      <c r="F151" s="827"/>
      <c r="G151" s="2"/>
      <c r="H151" s="2"/>
      <c r="I151" s="2"/>
      <c r="J151" s="827"/>
      <c r="K151" s="2"/>
      <c r="L151" s="827"/>
      <c r="M151" s="2"/>
      <c r="N151" s="2"/>
      <c r="O151" s="2"/>
      <c r="P151" s="827"/>
      <c r="Q151" s="2"/>
      <c r="R151" s="827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827"/>
      <c r="E152" s="2"/>
      <c r="F152" s="827"/>
      <c r="G152" s="2"/>
      <c r="H152" s="2"/>
      <c r="I152" s="2"/>
      <c r="J152" s="827"/>
      <c r="K152" s="2"/>
      <c r="L152" s="827"/>
      <c r="M152" s="2"/>
      <c r="N152" s="2"/>
      <c r="O152" s="2"/>
      <c r="P152" s="827"/>
      <c r="Q152" s="2"/>
      <c r="R152" s="827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827"/>
      <c r="E153" s="2"/>
      <c r="F153" s="827"/>
      <c r="G153" s="2"/>
      <c r="H153" s="2"/>
      <c r="I153" s="2"/>
      <c r="J153" s="827"/>
      <c r="K153" s="2"/>
      <c r="L153" s="827"/>
      <c r="M153" s="2"/>
      <c r="N153" s="2"/>
      <c r="O153" s="2"/>
      <c r="P153" s="827"/>
      <c r="Q153" s="2"/>
      <c r="R153" s="827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827"/>
      <c r="E154" s="2"/>
      <c r="F154" s="827"/>
      <c r="G154" s="2"/>
      <c r="H154" s="2"/>
      <c r="I154" s="2"/>
      <c r="J154" s="827"/>
      <c r="K154" s="2"/>
      <c r="L154" s="827"/>
      <c r="M154" s="2"/>
      <c r="N154" s="2"/>
      <c r="O154" s="2"/>
      <c r="P154" s="827"/>
      <c r="Q154" s="2"/>
      <c r="R154" s="827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827"/>
      <c r="E155" s="2"/>
      <c r="F155" s="827"/>
      <c r="G155" s="2"/>
      <c r="H155" s="2"/>
      <c r="I155" s="2"/>
      <c r="J155" s="827"/>
      <c r="K155" s="2"/>
      <c r="L155" s="827"/>
      <c r="M155" s="2"/>
      <c r="N155" s="2"/>
      <c r="O155" s="2"/>
      <c r="P155" s="827"/>
      <c r="Q155" s="2"/>
      <c r="R155" s="827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827"/>
      <c r="E156" s="2"/>
      <c r="F156" s="827"/>
      <c r="G156" s="2"/>
      <c r="H156" s="2"/>
      <c r="I156" s="2"/>
      <c r="J156" s="827"/>
      <c r="K156" s="2"/>
      <c r="L156" s="827"/>
      <c r="M156" s="2"/>
      <c r="N156" s="2"/>
      <c r="O156" s="2"/>
      <c r="P156" s="827"/>
      <c r="Q156" s="2"/>
      <c r="R156" s="827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827"/>
      <c r="E157" s="2"/>
      <c r="F157" s="827"/>
      <c r="G157" s="2"/>
      <c r="H157" s="2"/>
      <c r="I157" s="2"/>
      <c r="J157" s="827"/>
      <c r="K157" s="2"/>
      <c r="L157" s="827"/>
      <c r="M157" s="2"/>
      <c r="N157" s="2"/>
      <c r="O157" s="2"/>
      <c r="P157" s="827"/>
      <c r="Q157" s="2"/>
      <c r="R157" s="827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827"/>
      <c r="E158" s="2"/>
      <c r="F158" s="827"/>
      <c r="G158" s="2"/>
      <c r="H158" s="2"/>
      <c r="I158" s="2"/>
      <c r="J158" s="827"/>
      <c r="K158" s="2"/>
      <c r="L158" s="827"/>
      <c r="M158" s="2"/>
      <c r="N158" s="2"/>
      <c r="O158" s="2"/>
      <c r="P158" s="827"/>
      <c r="Q158" s="2"/>
      <c r="R158" s="827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827"/>
      <c r="E159" s="2"/>
      <c r="F159" s="827"/>
      <c r="G159" s="2"/>
      <c r="H159" s="2"/>
      <c r="I159" s="2"/>
      <c r="J159" s="827"/>
      <c r="K159" s="2"/>
      <c r="L159" s="827"/>
      <c r="M159" s="2"/>
      <c r="N159" s="2"/>
      <c r="O159" s="2"/>
      <c r="P159" s="827"/>
      <c r="Q159" s="2"/>
      <c r="R159" s="827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827"/>
      <c r="E160" s="2"/>
      <c r="F160" s="827"/>
      <c r="G160" s="2"/>
      <c r="H160" s="2"/>
      <c r="I160" s="2"/>
      <c r="J160" s="827"/>
      <c r="K160" s="2"/>
      <c r="L160" s="827"/>
      <c r="M160" s="2"/>
      <c r="N160" s="2"/>
      <c r="O160" s="2"/>
      <c r="P160" s="827"/>
      <c r="Q160" s="2"/>
      <c r="R160" s="827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827"/>
      <c r="E161" s="2"/>
      <c r="F161" s="827"/>
      <c r="G161" s="2"/>
      <c r="H161" s="2"/>
      <c r="I161" s="2"/>
      <c r="J161" s="827"/>
      <c r="K161" s="2"/>
      <c r="L161" s="827"/>
      <c r="M161" s="2"/>
      <c r="N161" s="2"/>
      <c r="O161" s="2"/>
      <c r="P161" s="827"/>
      <c r="Q161" s="2"/>
      <c r="R161" s="827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827"/>
      <c r="E162" s="2"/>
      <c r="F162" s="827"/>
      <c r="G162" s="2"/>
      <c r="H162" s="2"/>
      <c r="I162" s="2"/>
      <c r="J162" s="827"/>
      <c r="K162" s="2"/>
      <c r="L162" s="827"/>
      <c r="M162" s="2"/>
      <c r="N162" s="2"/>
      <c r="O162" s="2"/>
      <c r="P162" s="827"/>
      <c r="Q162" s="2"/>
      <c r="R162" s="827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827"/>
      <c r="E163" s="2"/>
      <c r="F163" s="827"/>
      <c r="G163" s="2"/>
      <c r="H163" s="2"/>
      <c r="I163" s="2"/>
      <c r="J163" s="827"/>
      <c r="K163" s="2"/>
      <c r="L163" s="827"/>
      <c r="M163" s="2"/>
      <c r="N163" s="2"/>
      <c r="O163" s="2"/>
      <c r="P163" s="827"/>
      <c r="Q163" s="2"/>
      <c r="R163" s="827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827"/>
      <c r="E164" s="2"/>
      <c r="F164" s="827"/>
      <c r="G164" s="2"/>
      <c r="H164" s="2"/>
      <c r="I164" s="2"/>
      <c r="J164" s="827"/>
      <c r="K164" s="2"/>
      <c r="L164" s="827"/>
      <c r="M164" s="2"/>
      <c r="N164" s="2"/>
      <c r="O164" s="2"/>
      <c r="P164" s="827"/>
      <c r="Q164" s="2"/>
      <c r="R164" s="827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827"/>
      <c r="E165" s="2"/>
      <c r="F165" s="827"/>
      <c r="G165" s="2"/>
      <c r="H165" s="2"/>
      <c r="I165" s="2"/>
      <c r="J165" s="827"/>
      <c r="K165" s="2"/>
      <c r="L165" s="827"/>
      <c r="M165" s="2"/>
      <c r="N165" s="2"/>
      <c r="O165" s="2"/>
      <c r="P165" s="827"/>
      <c r="Q165" s="2"/>
      <c r="R165" s="827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827"/>
      <c r="E166" s="2"/>
      <c r="F166" s="827"/>
      <c r="G166" s="2"/>
      <c r="H166" s="2"/>
      <c r="I166" s="2"/>
      <c r="J166" s="827"/>
      <c r="K166" s="2"/>
      <c r="L166" s="827"/>
      <c r="M166" s="2"/>
      <c r="N166" s="2"/>
      <c r="O166" s="2"/>
      <c r="P166" s="827"/>
      <c r="Q166" s="2"/>
      <c r="R166" s="827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827"/>
      <c r="E167" s="2"/>
      <c r="F167" s="827"/>
      <c r="G167" s="2"/>
      <c r="H167" s="2"/>
      <c r="I167" s="2"/>
      <c r="J167" s="827"/>
      <c r="K167" s="2"/>
      <c r="L167" s="827"/>
      <c r="M167" s="2"/>
      <c r="N167" s="2"/>
      <c r="O167" s="2"/>
      <c r="P167" s="827"/>
      <c r="Q167" s="2"/>
      <c r="R167" s="827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827"/>
      <c r="E168" s="2"/>
      <c r="F168" s="827"/>
      <c r="G168" s="2"/>
      <c r="H168" s="2"/>
      <c r="I168" s="2"/>
      <c r="J168" s="827"/>
      <c r="K168" s="2"/>
      <c r="L168" s="827"/>
      <c r="M168" s="2"/>
      <c r="N168" s="2"/>
      <c r="O168" s="2"/>
      <c r="P168" s="827"/>
      <c r="Q168" s="2"/>
      <c r="R168" s="827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827"/>
      <c r="E169" s="2"/>
      <c r="F169" s="827"/>
      <c r="G169" s="2"/>
      <c r="H169" s="2"/>
      <c r="I169" s="2"/>
      <c r="J169" s="827"/>
      <c r="K169" s="2"/>
      <c r="L169" s="827"/>
      <c r="M169" s="2"/>
      <c r="N169" s="2"/>
      <c r="O169" s="2"/>
      <c r="P169" s="827"/>
      <c r="Q169" s="2"/>
      <c r="R169" s="827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827"/>
      <c r="E170" s="2"/>
      <c r="F170" s="827"/>
      <c r="G170" s="2"/>
      <c r="H170" s="2"/>
      <c r="I170" s="2"/>
      <c r="J170" s="827"/>
      <c r="K170" s="2"/>
      <c r="L170" s="827"/>
      <c r="M170" s="2"/>
      <c r="N170" s="2"/>
      <c r="O170" s="2"/>
      <c r="P170" s="827"/>
      <c r="Q170" s="2"/>
      <c r="R170" s="827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827"/>
      <c r="E171" s="2"/>
      <c r="F171" s="827"/>
      <c r="G171" s="2"/>
      <c r="H171" s="2"/>
      <c r="I171" s="2"/>
      <c r="J171" s="827"/>
      <c r="K171" s="2"/>
      <c r="L171" s="827"/>
      <c r="M171" s="2"/>
      <c r="N171" s="2"/>
      <c r="O171" s="2"/>
      <c r="P171" s="827"/>
      <c r="Q171" s="2"/>
      <c r="R171" s="827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827"/>
      <c r="E172" s="2"/>
      <c r="F172" s="827"/>
      <c r="G172" s="2"/>
      <c r="H172" s="2"/>
      <c r="I172" s="2"/>
      <c r="J172" s="827"/>
      <c r="K172" s="2"/>
      <c r="L172" s="827"/>
      <c r="M172" s="2"/>
      <c r="N172" s="2"/>
      <c r="O172" s="2"/>
      <c r="P172" s="827"/>
      <c r="Q172" s="2"/>
      <c r="R172" s="827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827"/>
      <c r="E173" s="2"/>
      <c r="F173" s="827"/>
      <c r="G173" s="2"/>
      <c r="H173" s="2"/>
      <c r="I173" s="2"/>
      <c r="J173" s="827"/>
      <c r="K173" s="2"/>
      <c r="L173" s="827"/>
      <c r="M173" s="2"/>
      <c r="N173" s="2"/>
      <c r="O173" s="2"/>
      <c r="P173" s="827"/>
      <c r="Q173" s="2"/>
      <c r="R173" s="827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827"/>
      <c r="E174" s="2"/>
      <c r="F174" s="827"/>
      <c r="G174" s="2"/>
      <c r="H174" s="2"/>
      <c r="I174" s="2"/>
      <c r="J174" s="827"/>
      <c r="K174" s="2"/>
      <c r="L174" s="827"/>
      <c r="M174" s="2"/>
      <c r="N174" s="2"/>
      <c r="O174" s="2"/>
      <c r="P174" s="827"/>
      <c r="Q174" s="2"/>
      <c r="R174" s="827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827"/>
      <c r="E175" s="2"/>
      <c r="F175" s="827"/>
      <c r="G175" s="2"/>
      <c r="H175" s="2"/>
      <c r="I175" s="2"/>
      <c r="J175" s="827"/>
      <c r="K175" s="2"/>
      <c r="L175" s="827"/>
      <c r="M175" s="2"/>
      <c r="N175" s="2"/>
      <c r="O175" s="2"/>
      <c r="P175" s="827"/>
      <c r="Q175" s="2"/>
      <c r="R175" s="827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827"/>
      <c r="E176" s="2"/>
      <c r="F176" s="827"/>
      <c r="G176" s="2"/>
      <c r="H176" s="2"/>
      <c r="I176" s="2"/>
      <c r="J176" s="827"/>
      <c r="K176" s="2"/>
      <c r="L176" s="827"/>
      <c r="M176" s="2"/>
      <c r="N176" s="2"/>
      <c r="O176" s="2"/>
      <c r="P176" s="827"/>
      <c r="Q176" s="2"/>
      <c r="R176" s="827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827"/>
      <c r="E177" s="2"/>
      <c r="F177" s="827"/>
      <c r="G177" s="2"/>
      <c r="H177" s="2"/>
      <c r="I177" s="2"/>
      <c r="J177" s="827"/>
      <c r="K177" s="2"/>
      <c r="L177" s="827"/>
      <c r="M177" s="2"/>
      <c r="N177" s="2"/>
      <c r="O177" s="2"/>
      <c r="P177" s="827"/>
      <c r="Q177" s="2"/>
      <c r="R177" s="827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827"/>
      <c r="E178" s="2"/>
      <c r="F178" s="827"/>
      <c r="G178" s="2"/>
      <c r="H178" s="2"/>
      <c r="I178" s="2"/>
      <c r="J178" s="827"/>
      <c r="K178" s="2"/>
      <c r="L178" s="827"/>
      <c r="M178" s="2"/>
      <c r="N178" s="2"/>
      <c r="O178" s="2"/>
      <c r="P178" s="827"/>
      <c r="Q178" s="2"/>
      <c r="R178" s="827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827"/>
      <c r="E179" s="2"/>
      <c r="F179" s="827"/>
      <c r="G179" s="2"/>
      <c r="H179" s="2"/>
      <c r="I179" s="2"/>
      <c r="J179" s="827"/>
      <c r="K179" s="2"/>
      <c r="L179" s="827"/>
      <c r="M179" s="2"/>
      <c r="N179" s="2"/>
      <c r="O179" s="2"/>
      <c r="P179" s="827"/>
      <c r="Q179" s="2"/>
      <c r="R179" s="827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827"/>
      <c r="E180" s="2"/>
      <c r="F180" s="827"/>
      <c r="G180" s="2"/>
      <c r="H180" s="2"/>
      <c r="I180" s="2"/>
      <c r="J180" s="827"/>
      <c r="K180" s="2"/>
      <c r="L180" s="827"/>
      <c r="M180" s="2"/>
      <c r="N180" s="2"/>
      <c r="O180" s="2"/>
      <c r="P180" s="827"/>
      <c r="Q180" s="2"/>
      <c r="R180" s="827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827"/>
      <c r="E181" s="2"/>
      <c r="F181" s="827"/>
      <c r="G181" s="2"/>
      <c r="H181" s="2"/>
      <c r="I181" s="2"/>
      <c r="J181" s="827"/>
      <c r="K181" s="2"/>
      <c r="L181" s="827"/>
      <c r="M181" s="2"/>
      <c r="N181" s="2"/>
      <c r="O181" s="2"/>
      <c r="P181" s="827"/>
      <c r="Q181" s="2"/>
      <c r="R181" s="827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827"/>
      <c r="E182" s="2"/>
      <c r="F182" s="827"/>
      <c r="G182" s="2"/>
      <c r="H182" s="2"/>
      <c r="I182" s="2"/>
      <c r="J182" s="827"/>
      <c r="K182" s="2"/>
      <c r="L182" s="827"/>
      <c r="M182" s="2"/>
      <c r="N182" s="2"/>
      <c r="O182" s="2"/>
      <c r="P182" s="827"/>
      <c r="Q182" s="2"/>
      <c r="R182" s="827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827"/>
      <c r="E183" s="2"/>
      <c r="F183" s="827"/>
      <c r="G183" s="2"/>
      <c r="H183" s="2"/>
      <c r="I183" s="2"/>
      <c r="J183" s="827"/>
      <c r="K183" s="2"/>
      <c r="L183" s="827"/>
      <c r="M183" s="2"/>
      <c r="N183" s="2"/>
      <c r="O183" s="2"/>
      <c r="P183" s="827"/>
      <c r="Q183" s="2"/>
      <c r="R183" s="827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827"/>
      <c r="E184" s="2"/>
      <c r="F184" s="827"/>
      <c r="G184" s="2"/>
      <c r="H184" s="2"/>
      <c r="I184" s="2"/>
      <c r="J184" s="827"/>
      <c r="K184" s="2"/>
      <c r="L184" s="827"/>
      <c r="M184" s="2"/>
      <c r="N184" s="2"/>
      <c r="O184" s="2"/>
      <c r="P184" s="827"/>
      <c r="Q184" s="2"/>
      <c r="R184" s="827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827"/>
      <c r="E185" s="2"/>
      <c r="F185" s="827"/>
      <c r="G185" s="2"/>
      <c r="H185" s="2"/>
      <c r="I185" s="2"/>
      <c r="J185" s="827"/>
      <c r="K185" s="2"/>
      <c r="L185" s="827"/>
      <c r="M185" s="2"/>
      <c r="N185" s="2"/>
      <c r="O185" s="2"/>
      <c r="P185" s="827"/>
      <c r="Q185" s="2"/>
      <c r="R185" s="827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827"/>
      <c r="E186" s="2"/>
      <c r="F186" s="827"/>
      <c r="G186" s="2"/>
      <c r="H186" s="2"/>
      <c r="I186" s="2"/>
      <c r="J186" s="827"/>
      <c r="K186" s="2"/>
      <c r="L186" s="827"/>
      <c r="M186" s="2"/>
      <c r="N186" s="2"/>
      <c r="O186" s="2"/>
      <c r="P186" s="827"/>
      <c r="Q186" s="2"/>
      <c r="R186" s="827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827"/>
      <c r="E187" s="2"/>
      <c r="F187" s="827"/>
      <c r="G187" s="2"/>
      <c r="H187" s="2"/>
      <c r="I187" s="2"/>
      <c r="J187" s="827"/>
      <c r="K187" s="2"/>
      <c r="L187" s="827"/>
      <c r="M187" s="2"/>
      <c r="N187" s="2"/>
      <c r="O187" s="2"/>
      <c r="P187" s="827"/>
      <c r="Q187" s="2"/>
      <c r="R187" s="827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827"/>
      <c r="E188" s="2"/>
      <c r="F188" s="827"/>
      <c r="G188" s="2"/>
      <c r="H188" s="2"/>
      <c r="I188" s="2"/>
      <c r="J188" s="827"/>
      <c r="K188" s="2"/>
      <c r="L188" s="827"/>
      <c r="M188" s="2"/>
      <c r="N188" s="2"/>
      <c r="O188" s="2"/>
      <c r="P188" s="827"/>
      <c r="Q188" s="2"/>
      <c r="R188" s="827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827"/>
      <c r="E189" s="2"/>
      <c r="F189" s="827"/>
      <c r="G189" s="2"/>
      <c r="H189" s="2"/>
      <c r="I189" s="2"/>
      <c r="J189" s="827"/>
      <c r="K189" s="2"/>
      <c r="L189" s="827"/>
      <c r="M189" s="2"/>
      <c r="N189" s="2"/>
      <c r="O189" s="2"/>
      <c r="P189" s="827"/>
      <c r="Q189" s="2"/>
      <c r="R189" s="827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827"/>
      <c r="E190" s="2"/>
      <c r="F190" s="827"/>
      <c r="G190" s="2"/>
      <c r="H190" s="2"/>
      <c r="I190" s="2"/>
      <c r="J190" s="827"/>
      <c r="K190" s="2"/>
      <c r="L190" s="827"/>
      <c r="M190" s="2"/>
      <c r="N190" s="2"/>
      <c r="O190" s="2"/>
      <c r="P190" s="827"/>
      <c r="Q190" s="2"/>
      <c r="R190" s="827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827"/>
      <c r="E191" s="2"/>
      <c r="F191" s="827"/>
      <c r="G191" s="2"/>
      <c r="H191" s="2"/>
      <c r="I191" s="2"/>
      <c r="J191" s="827"/>
      <c r="K191" s="2"/>
      <c r="L191" s="827"/>
      <c r="M191" s="2"/>
      <c r="N191" s="2"/>
      <c r="O191" s="2"/>
      <c r="P191" s="827"/>
      <c r="Q191" s="2"/>
      <c r="R191" s="827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827"/>
      <c r="E192" s="2"/>
      <c r="F192" s="827"/>
      <c r="G192" s="2"/>
      <c r="H192" s="2"/>
      <c r="I192" s="2"/>
      <c r="J192" s="827"/>
      <c r="K192" s="2"/>
      <c r="L192" s="827"/>
      <c r="M192" s="2"/>
      <c r="N192" s="2"/>
      <c r="O192" s="2"/>
      <c r="P192" s="827"/>
      <c r="Q192" s="2"/>
      <c r="R192" s="827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827"/>
      <c r="E193" s="2"/>
      <c r="F193" s="827"/>
      <c r="G193" s="2"/>
      <c r="H193" s="2"/>
      <c r="I193" s="2"/>
      <c r="J193" s="827"/>
      <c r="K193" s="2"/>
      <c r="L193" s="827"/>
      <c r="M193" s="2"/>
      <c r="N193" s="2"/>
      <c r="O193" s="2"/>
      <c r="P193" s="827"/>
      <c r="Q193" s="2"/>
      <c r="R193" s="827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827"/>
      <c r="E194" s="2"/>
      <c r="F194" s="827"/>
      <c r="G194" s="2"/>
      <c r="H194" s="2"/>
      <c r="I194" s="2"/>
      <c r="J194" s="827"/>
      <c r="K194" s="2"/>
      <c r="L194" s="827"/>
      <c r="M194" s="2"/>
      <c r="N194" s="2"/>
      <c r="O194" s="2"/>
      <c r="P194" s="827"/>
      <c r="Q194" s="2"/>
      <c r="R194" s="827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827"/>
      <c r="E195" s="2"/>
      <c r="F195" s="827"/>
      <c r="G195" s="2"/>
      <c r="H195" s="2"/>
      <c r="I195" s="2"/>
      <c r="J195" s="827"/>
      <c r="K195" s="2"/>
      <c r="L195" s="827"/>
      <c r="M195" s="2"/>
      <c r="N195" s="2"/>
      <c r="O195" s="2"/>
      <c r="P195" s="827"/>
      <c r="Q195" s="2"/>
      <c r="R195" s="827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827"/>
      <c r="E196" s="2"/>
      <c r="F196" s="827"/>
      <c r="G196" s="2"/>
      <c r="H196" s="2"/>
      <c r="I196" s="2"/>
      <c r="J196" s="827"/>
      <c r="K196" s="2"/>
      <c r="L196" s="827"/>
      <c r="M196" s="2"/>
      <c r="N196" s="2"/>
      <c r="O196" s="2"/>
      <c r="P196" s="827"/>
      <c r="Q196" s="2"/>
      <c r="R196" s="827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827"/>
      <c r="E197" s="2"/>
      <c r="F197" s="827"/>
      <c r="G197" s="2"/>
      <c r="H197" s="2"/>
      <c r="I197" s="2"/>
      <c r="J197" s="827"/>
      <c r="K197" s="2"/>
      <c r="L197" s="827"/>
      <c r="M197" s="2"/>
      <c r="N197" s="2"/>
      <c r="O197" s="2"/>
      <c r="P197" s="827"/>
      <c r="Q197" s="2"/>
      <c r="R197" s="827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827"/>
      <c r="E198" s="2"/>
      <c r="F198" s="827"/>
      <c r="G198" s="2"/>
      <c r="H198" s="2"/>
      <c r="I198" s="2"/>
      <c r="J198" s="827"/>
      <c r="K198" s="2"/>
      <c r="L198" s="827"/>
      <c r="M198" s="2"/>
      <c r="N198" s="2"/>
      <c r="O198" s="2"/>
      <c r="P198" s="827"/>
      <c r="Q198" s="2"/>
      <c r="R198" s="827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827"/>
      <c r="E199" s="2"/>
      <c r="F199" s="827"/>
      <c r="G199" s="2"/>
      <c r="H199" s="2"/>
      <c r="I199" s="2"/>
      <c r="J199" s="827"/>
      <c r="K199" s="2"/>
      <c r="L199" s="827"/>
      <c r="M199" s="2"/>
      <c r="N199" s="2"/>
      <c r="O199" s="2"/>
      <c r="P199" s="827"/>
      <c r="Q199" s="2"/>
      <c r="R199" s="827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827"/>
      <c r="E200" s="2"/>
      <c r="F200" s="827"/>
      <c r="G200" s="2"/>
      <c r="H200" s="2"/>
      <c r="I200" s="2"/>
      <c r="J200" s="827"/>
      <c r="K200" s="2"/>
      <c r="L200" s="827"/>
      <c r="M200" s="2"/>
      <c r="N200" s="2"/>
      <c r="O200" s="2"/>
      <c r="P200" s="827"/>
      <c r="Q200" s="2"/>
      <c r="R200" s="827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827"/>
      <c r="E201" s="2"/>
      <c r="F201" s="827"/>
      <c r="G201" s="2"/>
      <c r="H201" s="2"/>
      <c r="I201" s="2"/>
      <c r="J201" s="827"/>
      <c r="K201" s="2"/>
      <c r="L201" s="827"/>
      <c r="M201" s="2"/>
      <c r="N201" s="2"/>
      <c r="O201" s="2"/>
      <c r="P201" s="827"/>
      <c r="Q201" s="2"/>
      <c r="R201" s="827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827"/>
      <c r="E202" s="2"/>
      <c r="F202" s="827"/>
      <c r="G202" s="2"/>
      <c r="H202" s="2"/>
      <c r="I202" s="2"/>
      <c r="J202" s="827"/>
      <c r="K202" s="2"/>
      <c r="L202" s="827"/>
      <c r="M202" s="2"/>
      <c r="N202" s="2"/>
      <c r="O202" s="2"/>
      <c r="P202" s="827"/>
      <c r="Q202" s="2"/>
      <c r="R202" s="827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827"/>
      <c r="E203" s="2"/>
      <c r="F203" s="827"/>
      <c r="G203" s="2"/>
      <c r="H203" s="2"/>
      <c r="I203" s="2"/>
      <c r="J203" s="827"/>
      <c r="K203" s="2"/>
      <c r="L203" s="827"/>
      <c r="M203" s="2"/>
      <c r="N203" s="2"/>
      <c r="O203" s="2"/>
      <c r="P203" s="827"/>
      <c r="Q203" s="2"/>
      <c r="R203" s="827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827"/>
      <c r="E204" s="2"/>
      <c r="F204" s="827"/>
      <c r="G204" s="2"/>
      <c r="H204" s="2"/>
      <c r="I204" s="2"/>
      <c r="J204" s="827"/>
      <c r="K204" s="2"/>
      <c r="L204" s="827"/>
      <c r="M204" s="2"/>
      <c r="N204" s="2"/>
      <c r="O204" s="2"/>
      <c r="P204" s="827"/>
      <c r="Q204" s="2"/>
      <c r="R204" s="827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827"/>
      <c r="E205" s="2"/>
      <c r="F205" s="827"/>
      <c r="G205" s="2"/>
      <c r="H205" s="2"/>
      <c r="I205" s="2"/>
      <c r="J205" s="827"/>
      <c r="K205" s="2"/>
      <c r="L205" s="827"/>
      <c r="M205" s="2"/>
      <c r="N205" s="2"/>
      <c r="O205" s="2"/>
      <c r="P205" s="827"/>
      <c r="Q205" s="2"/>
      <c r="R205" s="827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827"/>
      <c r="E206" s="2"/>
      <c r="F206" s="827"/>
      <c r="G206" s="2"/>
      <c r="H206" s="2"/>
      <c r="I206" s="2"/>
      <c r="J206" s="827"/>
      <c r="K206" s="2"/>
      <c r="L206" s="827"/>
      <c r="M206" s="2"/>
      <c r="N206" s="2"/>
      <c r="O206" s="2"/>
      <c r="P206" s="827"/>
      <c r="Q206" s="2"/>
      <c r="R206" s="827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827"/>
      <c r="E207" s="2"/>
      <c r="F207" s="827"/>
      <c r="G207" s="2"/>
      <c r="H207" s="2"/>
      <c r="I207" s="2"/>
      <c r="J207" s="827"/>
      <c r="K207" s="2"/>
      <c r="L207" s="827"/>
      <c r="M207" s="2"/>
      <c r="N207" s="2"/>
      <c r="O207" s="2"/>
      <c r="P207" s="827"/>
      <c r="Q207" s="2"/>
      <c r="R207" s="827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827"/>
      <c r="E208" s="2"/>
      <c r="F208" s="827"/>
      <c r="G208" s="2"/>
      <c r="H208" s="2"/>
      <c r="I208" s="2"/>
      <c r="J208" s="827"/>
      <c r="K208" s="2"/>
      <c r="L208" s="827"/>
      <c r="M208" s="2"/>
      <c r="N208" s="2"/>
      <c r="O208" s="2"/>
      <c r="P208" s="827"/>
      <c r="Q208" s="2"/>
      <c r="R208" s="827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827"/>
      <c r="E209" s="2"/>
      <c r="F209" s="827"/>
      <c r="G209" s="2"/>
      <c r="H209" s="2"/>
      <c r="I209" s="2"/>
      <c r="J209" s="827"/>
      <c r="K209" s="2"/>
      <c r="L209" s="827"/>
      <c r="M209" s="2"/>
      <c r="N209" s="2"/>
      <c r="O209" s="2"/>
      <c r="P209" s="827"/>
      <c r="Q209" s="2"/>
      <c r="R209" s="827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827"/>
      <c r="E210" s="2"/>
      <c r="F210" s="827"/>
      <c r="G210" s="2"/>
      <c r="H210" s="2"/>
      <c r="I210" s="2"/>
      <c r="J210" s="827"/>
      <c r="K210" s="2"/>
      <c r="L210" s="827"/>
      <c r="M210" s="2"/>
      <c r="N210" s="2"/>
      <c r="O210" s="2"/>
      <c r="P210" s="827"/>
      <c r="Q210" s="2"/>
      <c r="R210" s="827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827"/>
      <c r="E211" s="2"/>
      <c r="F211" s="827"/>
      <c r="G211" s="2"/>
      <c r="H211" s="2"/>
      <c r="I211" s="2"/>
      <c r="J211" s="827"/>
      <c r="K211" s="2"/>
      <c r="L211" s="827"/>
      <c r="M211" s="2"/>
      <c r="N211" s="2"/>
      <c r="O211" s="2"/>
      <c r="P211" s="827"/>
      <c r="Q211" s="2"/>
      <c r="R211" s="827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827"/>
      <c r="E212" s="2"/>
      <c r="F212" s="827"/>
      <c r="G212" s="2"/>
      <c r="H212" s="2"/>
      <c r="I212" s="2"/>
      <c r="J212" s="827"/>
      <c r="K212" s="2"/>
      <c r="L212" s="827"/>
      <c r="M212" s="2"/>
      <c r="N212" s="2"/>
      <c r="O212" s="2"/>
      <c r="P212" s="827"/>
      <c r="Q212" s="2"/>
      <c r="R212" s="827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827"/>
      <c r="E213" s="2"/>
      <c r="F213" s="827"/>
      <c r="G213" s="2"/>
      <c r="H213" s="2"/>
      <c r="I213" s="2"/>
      <c r="J213" s="827"/>
      <c r="K213" s="2"/>
      <c r="L213" s="827"/>
      <c r="M213" s="2"/>
      <c r="N213" s="2"/>
      <c r="O213" s="2"/>
      <c r="P213" s="827"/>
      <c r="Q213" s="2"/>
      <c r="R213" s="827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827"/>
      <c r="E214" s="2"/>
      <c r="F214" s="827"/>
      <c r="G214" s="2"/>
      <c r="H214" s="2"/>
      <c r="I214" s="2"/>
      <c r="J214" s="827"/>
      <c r="K214" s="2"/>
      <c r="L214" s="827"/>
      <c r="M214" s="2"/>
      <c r="N214" s="2"/>
      <c r="O214" s="2"/>
      <c r="P214" s="827"/>
      <c r="Q214" s="2"/>
      <c r="R214" s="827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827"/>
      <c r="E215" s="2"/>
      <c r="F215" s="827"/>
      <c r="G215" s="2"/>
      <c r="H215" s="2"/>
      <c r="I215" s="2"/>
      <c r="J215" s="827"/>
      <c r="K215" s="2"/>
      <c r="L215" s="827"/>
      <c r="M215" s="2"/>
      <c r="N215" s="2"/>
      <c r="O215" s="2"/>
      <c r="P215" s="827"/>
      <c r="Q215" s="2"/>
      <c r="R215" s="827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827"/>
      <c r="E216" s="2"/>
      <c r="F216" s="827"/>
      <c r="G216" s="2"/>
      <c r="H216" s="2"/>
      <c r="I216" s="2"/>
      <c r="J216" s="827"/>
      <c r="K216" s="2"/>
      <c r="L216" s="827"/>
      <c r="M216" s="2"/>
      <c r="N216" s="2"/>
      <c r="O216" s="2"/>
      <c r="P216" s="827"/>
      <c r="Q216" s="2"/>
      <c r="R216" s="827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827"/>
      <c r="E217" s="2"/>
      <c r="F217" s="827"/>
      <c r="G217" s="2"/>
      <c r="H217" s="2"/>
      <c r="I217" s="2"/>
      <c r="J217" s="827"/>
      <c r="K217" s="2"/>
      <c r="L217" s="827"/>
      <c r="M217" s="2"/>
      <c r="N217" s="2"/>
      <c r="O217" s="2"/>
      <c r="P217" s="827"/>
      <c r="Q217" s="2"/>
      <c r="R217" s="827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827"/>
      <c r="E218" s="2"/>
      <c r="F218" s="827"/>
      <c r="G218" s="2"/>
      <c r="H218" s="2"/>
      <c r="I218" s="2"/>
      <c r="J218" s="827"/>
      <c r="K218" s="2"/>
      <c r="L218" s="827"/>
      <c r="M218" s="2"/>
      <c r="N218" s="2"/>
      <c r="O218" s="2"/>
      <c r="P218" s="827"/>
      <c r="Q218" s="2"/>
      <c r="R218" s="827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827"/>
      <c r="E219" s="2"/>
      <c r="F219" s="827"/>
      <c r="G219" s="2"/>
      <c r="H219" s="2"/>
      <c r="I219" s="2"/>
      <c r="J219" s="827"/>
      <c r="K219" s="2"/>
      <c r="L219" s="827"/>
      <c r="M219" s="2"/>
      <c r="N219" s="2"/>
      <c r="O219" s="2"/>
      <c r="P219" s="827"/>
      <c r="Q219" s="2"/>
      <c r="R219" s="827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827"/>
      <c r="E220" s="2"/>
      <c r="F220" s="827"/>
      <c r="G220" s="2"/>
      <c r="H220" s="2"/>
      <c r="I220" s="2"/>
      <c r="J220" s="827"/>
      <c r="K220" s="2"/>
      <c r="L220" s="827"/>
      <c r="M220" s="2"/>
      <c r="N220" s="2"/>
      <c r="O220" s="2"/>
      <c r="P220" s="827"/>
      <c r="Q220" s="2"/>
      <c r="R220" s="827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827"/>
      <c r="E221" s="2"/>
      <c r="F221" s="827"/>
      <c r="G221" s="2"/>
      <c r="H221" s="2"/>
      <c r="I221" s="2"/>
      <c r="J221" s="827"/>
      <c r="K221" s="2"/>
      <c r="L221" s="827"/>
      <c r="M221" s="2"/>
      <c r="N221" s="2"/>
      <c r="O221" s="2"/>
      <c r="P221" s="827"/>
      <c r="Q221" s="2"/>
      <c r="R221" s="827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827"/>
      <c r="E222" s="2"/>
      <c r="F222" s="827"/>
      <c r="G222" s="2"/>
      <c r="H222" s="2"/>
      <c r="I222" s="2"/>
      <c r="J222" s="827"/>
      <c r="K222" s="2"/>
      <c r="L222" s="827"/>
      <c r="M222" s="2"/>
      <c r="N222" s="2"/>
      <c r="O222" s="2"/>
      <c r="P222" s="827"/>
      <c r="Q222" s="2"/>
      <c r="R222" s="827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827"/>
      <c r="E223" s="2"/>
      <c r="F223" s="827"/>
      <c r="G223" s="2"/>
      <c r="H223" s="2"/>
      <c r="I223" s="2"/>
      <c r="J223" s="827"/>
      <c r="K223" s="2"/>
      <c r="L223" s="827"/>
      <c r="M223" s="2"/>
      <c r="N223" s="2"/>
      <c r="O223" s="2"/>
      <c r="P223" s="827"/>
      <c r="Q223" s="2"/>
      <c r="R223" s="827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827"/>
      <c r="E224" s="2"/>
      <c r="F224" s="827"/>
      <c r="G224" s="2"/>
      <c r="H224" s="2"/>
      <c r="I224" s="2"/>
      <c r="J224" s="827"/>
      <c r="K224" s="2"/>
      <c r="L224" s="827"/>
      <c r="M224" s="2"/>
      <c r="N224" s="2"/>
      <c r="O224" s="2"/>
      <c r="P224" s="827"/>
      <c r="Q224" s="2"/>
      <c r="R224" s="827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827"/>
      <c r="E225" s="2"/>
      <c r="F225" s="827"/>
      <c r="G225" s="2"/>
      <c r="H225" s="2"/>
      <c r="I225" s="2"/>
      <c r="J225" s="827"/>
      <c r="K225" s="2"/>
      <c r="L225" s="827"/>
      <c r="M225" s="2"/>
      <c r="N225" s="2"/>
      <c r="O225" s="2"/>
      <c r="P225" s="827"/>
      <c r="Q225" s="2"/>
      <c r="R225" s="827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827"/>
      <c r="E226" s="2"/>
      <c r="F226" s="827"/>
      <c r="G226" s="2"/>
      <c r="H226" s="2"/>
      <c r="I226" s="2"/>
      <c r="J226" s="827"/>
      <c r="K226" s="2"/>
      <c r="L226" s="827"/>
      <c r="M226" s="2"/>
      <c r="N226" s="2"/>
      <c r="O226" s="2"/>
      <c r="P226" s="827"/>
      <c r="Q226" s="2"/>
      <c r="R226" s="827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827"/>
      <c r="E227" s="2"/>
      <c r="F227" s="827"/>
      <c r="G227" s="2"/>
      <c r="H227" s="2"/>
      <c r="I227" s="2"/>
      <c r="J227" s="827"/>
      <c r="K227" s="2"/>
      <c r="L227" s="827"/>
      <c r="M227" s="2"/>
      <c r="N227" s="2"/>
      <c r="O227" s="2"/>
      <c r="P227" s="827"/>
      <c r="Q227" s="2"/>
      <c r="R227" s="827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827"/>
      <c r="E228" s="2"/>
      <c r="F228" s="827"/>
      <c r="G228" s="2"/>
      <c r="H228" s="2"/>
      <c r="I228" s="2"/>
      <c r="J228" s="827"/>
      <c r="K228" s="2"/>
      <c r="L228" s="827"/>
      <c r="M228" s="2"/>
      <c r="N228" s="2"/>
      <c r="O228" s="2"/>
      <c r="P228" s="827"/>
      <c r="Q228" s="2"/>
      <c r="R228" s="827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827"/>
      <c r="E229" s="2"/>
      <c r="F229" s="827"/>
      <c r="G229" s="2"/>
      <c r="H229" s="2"/>
      <c r="I229" s="2"/>
      <c r="J229" s="827"/>
      <c r="K229" s="2"/>
      <c r="L229" s="827"/>
      <c r="M229" s="2"/>
      <c r="N229" s="2"/>
      <c r="O229" s="2"/>
      <c r="P229" s="827"/>
      <c r="Q229" s="2"/>
      <c r="R229" s="827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827"/>
      <c r="E230" s="2"/>
      <c r="F230" s="827"/>
      <c r="G230" s="2"/>
      <c r="H230" s="2"/>
      <c r="I230" s="2"/>
      <c r="J230" s="827"/>
      <c r="K230" s="2"/>
      <c r="L230" s="827"/>
      <c r="M230" s="2"/>
      <c r="N230" s="2"/>
      <c r="O230" s="2"/>
      <c r="P230" s="827"/>
      <c r="Q230" s="2"/>
      <c r="R230" s="827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827"/>
      <c r="E231" s="2"/>
      <c r="F231" s="827"/>
      <c r="G231" s="2"/>
      <c r="H231" s="2"/>
      <c r="I231" s="2"/>
      <c r="J231" s="827"/>
      <c r="K231" s="2"/>
      <c r="L231" s="827"/>
      <c r="M231" s="2"/>
      <c r="N231" s="2"/>
      <c r="O231" s="2"/>
      <c r="P231" s="827"/>
      <c r="Q231" s="2"/>
      <c r="R231" s="827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827"/>
      <c r="E232" s="2"/>
      <c r="F232" s="827"/>
      <c r="G232" s="2"/>
      <c r="H232" s="2"/>
      <c r="I232" s="2"/>
      <c r="J232" s="827"/>
      <c r="K232" s="2"/>
      <c r="L232" s="827"/>
      <c r="M232" s="2"/>
      <c r="N232" s="2"/>
      <c r="O232" s="2"/>
      <c r="P232" s="827"/>
      <c r="Q232" s="2"/>
      <c r="R232" s="827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827"/>
      <c r="E233" s="2"/>
      <c r="F233" s="827"/>
      <c r="G233" s="2"/>
      <c r="H233" s="2"/>
      <c r="I233" s="2"/>
      <c r="J233" s="827"/>
      <c r="K233" s="2"/>
      <c r="L233" s="827"/>
      <c r="M233" s="2"/>
      <c r="N233" s="2"/>
      <c r="O233" s="2"/>
      <c r="P233" s="827"/>
      <c r="Q233" s="2"/>
      <c r="R233" s="827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827"/>
      <c r="E234" s="2"/>
      <c r="F234" s="827"/>
      <c r="G234" s="2"/>
      <c r="H234" s="2"/>
      <c r="I234" s="2"/>
      <c r="J234" s="827"/>
      <c r="K234" s="2"/>
      <c r="L234" s="827"/>
      <c r="M234" s="2"/>
      <c r="N234" s="2"/>
      <c r="O234" s="2"/>
      <c r="P234" s="827"/>
      <c r="Q234" s="2"/>
      <c r="R234" s="827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827"/>
      <c r="E235" s="2"/>
      <c r="F235" s="827"/>
      <c r="G235" s="2"/>
      <c r="H235" s="2"/>
      <c r="I235" s="2"/>
      <c r="J235" s="827"/>
      <c r="K235" s="2"/>
      <c r="L235" s="827"/>
      <c r="M235" s="2"/>
      <c r="N235" s="2"/>
      <c r="O235" s="2"/>
      <c r="P235" s="827"/>
      <c r="Q235" s="2"/>
      <c r="R235" s="827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827"/>
      <c r="E236" s="2"/>
      <c r="F236" s="827"/>
      <c r="G236" s="2"/>
      <c r="H236" s="2"/>
      <c r="I236" s="2"/>
      <c r="J236" s="827"/>
      <c r="K236" s="2"/>
      <c r="L236" s="827"/>
      <c r="M236" s="2"/>
      <c r="N236" s="2"/>
      <c r="O236" s="2"/>
      <c r="P236" s="827"/>
      <c r="Q236" s="2"/>
      <c r="R236" s="827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827"/>
      <c r="E237" s="2"/>
      <c r="F237" s="827"/>
      <c r="G237" s="2"/>
      <c r="H237" s="2"/>
      <c r="I237" s="2"/>
      <c r="J237" s="827"/>
      <c r="K237" s="2"/>
      <c r="L237" s="827"/>
      <c r="M237" s="2"/>
      <c r="N237" s="2"/>
      <c r="O237" s="2"/>
      <c r="P237" s="827"/>
      <c r="Q237" s="2"/>
      <c r="R237" s="827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827"/>
      <c r="E238" s="2"/>
      <c r="F238" s="827"/>
      <c r="G238" s="2"/>
      <c r="H238" s="2"/>
      <c r="I238" s="2"/>
      <c r="J238" s="827"/>
      <c r="K238" s="2"/>
      <c r="L238" s="827"/>
      <c r="M238" s="2"/>
      <c r="N238" s="2"/>
      <c r="O238" s="2"/>
      <c r="P238" s="827"/>
      <c r="Q238" s="2"/>
      <c r="R238" s="827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827"/>
      <c r="E239" s="2"/>
      <c r="F239" s="827"/>
      <c r="G239" s="2"/>
      <c r="H239" s="2"/>
      <c r="I239" s="2"/>
      <c r="J239" s="827"/>
      <c r="K239" s="2"/>
      <c r="L239" s="827"/>
      <c r="M239" s="2"/>
      <c r="N239" s="2"/>
      <c r="O239" s="2"/>
      <c r="P239" s="827"/>
      <c r="Q239" s="2"/>
      <c r="R239" s="827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827"/>
      <c r="E240" s="2"/>
      <c r="F240" s="827"/>
      <c r="G240" s="2"/>
      <c r="H240" s="2"/>
      <c r="I240" s="2"/>
      <c r="J240" s="827"/>
      <c r="K240" s="2"/>
      <c r="L240" s="827"/>
      <c r="M240" s="2"/>
      <c r="N240" s="2"/>
      <c r="O240" s="2"/>
      <c r="P240" s="827"/>
      <c r="Q240" s="2"/>
      <c r="R240" s="827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827"/>
      <c r="E241" s="2"/>
      <c r="F241" s="827"/>
      <c r="G241" s="2"/>
      <c r="H241" s="2"/>
      <c r="I241" s="2"/>
      <c r="J241" s="827"/>
      <c r="K241" s="2"/>
      <c r="L241" s="827"/>
      <c r="M241" s="2"/>
      <c r="N241" s="2"/>
      <c r="O241" s="2"/>
      <c r="P241" s="827"/>
      <c r="Q241" s="2"/>
      <c r="R241" s="827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827"/>
      <c r="E242" s="2"/>
      <c r="F242" s="827"/>
      <c r="G242" s="2"/>
      <c r="H242" s="2"/>
      <c r="I242" s="2"/>
      <c r="J242" s="827"/>
      <c r="K242" s="2"/>
      <c r="L242" s="827"/>
      <c r="M242" s="2"/>
      <c r="N242" s="2"/>
      <c r="O242" s="2"/>
      <c r="P242" s="827"/>
      <c r="Q242" s="2"/>
      <c r="R242" s="827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827"/>
      <c r="E243" s="2"/>
      <c r="F243" s="827"/>
      <c r="G243" s="2"/>
      <c r="H243" s="2"/>
      <c r="I243" s="2"/>
      <c r="J243" s="827"/>
      <c r="K243" s="2"/>
      <c r="L243" s="827"/>
      <c r="M243" s="2"/>
      <c r="N243" s="2"/>
      <c r="O243" s="2"/>
      <c r="P243" s="827"/>
      <c r="Q243" s="2"/>
      <c r="R243" s="827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827"/>
      <c r="E244" s="2"/>
      <c r="F244" s="827"/>
      <c r="G244" s="2"/>
      <c r="H244" s="2"/>
      <c r="I244" s="2"/>
      <c r="J244" s="827"/>
      <c r="K244" s="2"/>
      <c r="L244" s="827"/>
      <c r="M244" s="2"/>
      <c r="N244" s="2"/>
      <c r="O244" s="2"/>
      <c r="P244" s="827"/>
      <c r="Q244" s="2"/>
      <c r="R244" s="827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827"/>
      <c r="E245" s="2"/>
      <c r="F245" s="827"/>
      <c r="G245" s="2"/>
      <c r="H245" s="2"/>
      <c r="I245" s="2"/>
      <c r="J245" s="827"/>
      <c r="K245" s="2"/>
      <c r="L245" s="827"/>
      <c r="M245" s="2"/>
      <c r="N245" s="2"/>
      <c r="O245" s="2"/>
      <c r="P245" s="827"/>
      <c r="Q245" s="2"/>
      <c r="R245" s="827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827"/>
      <c r="E246" s="2"/>
      <c r="F246" s="827"/>
      <c r="G246" s="2"/>
      <c r="H246" s="2"/>
      <c r="I246" s="2"/>
      <c r="J246" s="827"/>
      <c r="K246" s="2"/>
      <c r="L246" s="827"/>
      <c r="M246" s="2"/>
      <c r="N246" s="2"/>
      <c r="O246" s="2"/>
      <c r="P246" s="827"/>
      <c r="Q246" s="2"/>
      <c r="R246" s="827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827"/>
      <c r="E247" s="2"/>
      <c r="F247" s="827"/>
      <c r="G247" s="2"/>
      <c r="H247" s="2"/>
      <c r="I247" s="2"/>
      <c r="J247" s="827"/>
      <c r="K247" s="2"/>
      <c r="L247" s="827"/>
      <c r="M247" s="2"/>
      <c r="N247" s="2"/>
      <c r="O247" s="2"/>
      <c r="P247" s="827"/>
      <c r="Q247" s="2"/>
      <c r="R247" s="827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827"/>
      <c r="E248" s="2"/>
      <c r="F248" s="827"/>
      <c r="G248" s="2"/>
      <c r="H248" s="2"/>
      <c r="I248" s="2"/>
      <c r="J248" s="827"/>
      <c r="K248" s="2"/>
      <c r="L248" s="827"/>
      <c r="M248" s="2"/>
      <c r="N248" s="2"/>
      <c r="O248" s="2"/>
      <c r="P248" s="827"/>
      <c r="Q248" s="2"/>
      <c r="R248" s="827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827"/>
      <c r="E249" s="2"/>
      <c r="F249" s="827"/>
      <c r="G249" s="2"/>
      <c r="H249" s="2"/>
      <c r="I249" s="2"/>
      <c r="J249" s="827"/>
      <c r="K249" s="2"/>
      <c r="L249" s="827"/>
      <c r="M249" s="2"/>
      <c r="N249" s="2"/>
      <c r="O249" s="2"/>
      <c r="P249" s="827"/>
      <c r="Q249" s="2"/>
      <c r="R249" s="827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827"/>
      <c r="E250" s="2"/>
      <c r="F250" s="827"/>
      <c r="G250" s="2"/>
      <c r="H250" s="2"/>
      <c r="I250" s="2"/>
      <c r="J250" s="827"/>
      <c r="K250" s="2"/>
      <c r="L250" s="827"/>
      <c r="M250" s="2"/>
      <c r="N250" s="2"/>
      <c r="O250" s="2"/>
      <c r="P250" s="827"/>
      <c r="Q250" s="2"/>
      <c r="R250" s="827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827"/>
      <c r="E251" s="2"/>
      <c r="F251" s="827"/>
      <c r="G251" s="2"/>
      <c r="H251" s="2"/>
      <c r="I251" s="2"/>
      <c r="J251" s="827"/>
      <c r="K251" s="2"/>
      <c r="L251" s="827"/>
      <c r="M251" s="2"/>
      <c r="N251" s="2"/>
      <c r="O251" s="2"/>
      <c r="P251" s="827"/>
      <c r="Q251" s="2"/>
      <c r="R251" s="827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827"/>
      <c r="E252" s="2"/>
      <c r="F252" s="827"/>
      <c r="G252" s="2"/>
      <c r="H252" s="2"/>
      <c r="I252" s="2"/>
      <c r="J252" s="827"/>
      <c r="K252" s="2"/>
      <c r="L252" s="827"/>
      <c r="M252" s="2"/>
      <c r="N252" s="2"/>
      <c r="O252" s="2"/>
      <c r="P252" s="827"/>
      <c r="Q252" s="2"/>
      <c r="R252" s="827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827"/>
      <c r="E253" s="2"/>
      <c r="F253" s="827"/>
      <c r="G253" s="2"/>
      <c r="H253" s="2"/>
      <c r="I253" s="2"/>
      <c r="J253" s="827"/>
      <c r="K253" s="2"/>
      <c r="L253" s="827"/>
      <c r="M253" s="2"/>
      <c r="N253" s="2"/>
      <c r="O253" s="2"/>
      <c r="P253" s="827"/>
      <c r="Q253" s="2"/>
      <c r="R253" s="827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827"/>
      <c r="E254" s="2"/>
      <c r="F254" s="827"/>
      <c r="G254" s="2"/>
      <c r="H254" s="2"/>
      <c r="I254" s="2"/>
      <c r="J254" s="827"/>
      <c r="K254" s="2"/>
      <c r="L254" s="827"/>
      <c r="M254" s="2"/>
      <c r="N254" s="2"/>
      <c r="O254" s="2"/>
      <c r="P254" s="827"/>
      <c r="Q254" s="2"/>
      <c r="R254" s="827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827"/>
      <c r="E255" s="2"/>
      <c r="F255" s="827"/>
      <c r="G255" s="2"/>
      <c r="H255" s="2"/>
      <c r="I255" s="2"/>
      <c r="J255" s="827"/>
      <c r="K255" s="2"/>
      <c r="L255" s="827"/>
      <c r="M255" s="2"/>
      <c r="N255" s="2"/>
      <c r="O255" s="2"/>
      <c r="P255" s="827"/>
      <c r="Q255" s="2"/>
      <c r="R255" s="827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827"/>
      <c r="E256" s="2"/>
      <c r="F256" s="827"/>
      <c r="G256" s="2"/>
      <c r="H256" s="2"/>
      <c r="I256" s="2"/>
      <c r="J256" s="827"/>
      <c r="K256" s="2"/>
      <c r="L256" s="827"/>
      <c r="M256" s="2"/>
      <c r="N256" s="2"/>
      <c r="O256" s="2"/>
      <c r="P256" s="827"/>
      <c r="Q256" s="2"/>
      <c r="R256" s="827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827"/>
      <c r="E257" s="2"/>
      <c r="F257" s="827"/>
      <c r="G257" s="2"/>
      <c r="H257" s="2"/>
      <c r="I257" s="2"/>
      <c r="J257" s="827"/>
      <c r="K257" s="2"/>
      <c r="L257" s="827"/>
      <c r="M257" s="2"/>
      <c r="N257" s="2"/>
      <c r="O257" s="2"/>
      <c r="P257" s="827"/>
      <c r="Q257" s="2"/>
      <c r="R257" s="827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827"/>
      <c r="E258" s="2"/>
      <c r="F258" s="827"/>
      <c r="G258" s="2"/>
      <c r="H258" s="2"/>
      <c r="I258" s="2"/>
      <c r="J258" s="827"/>
      <c r="K258" s="2"/>
      <c r="L258" s="827"/>
      <c r="M258" s="2"/>
      <c r="N258" s="2"/>
      <c r="O258" s="2"/>
      <c r="P258" s="827"/>
      <c r="Q258" s="2"/>
      <c r="R258" s="827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827"/>
      <c r="E259" s="2"/>
      <c r="F259" s="827"/>
      <c r="G259" s="2"/>
      <c r="H259" s="2"/>
      <c r="I259" s="2"/>
      <c r="J259" s="827"/>
      <c r="K259" s="2"/>
      <c r="L259" s="827"/>
      <c r="M259" s="2"/>
      <c r="N259" s="2"/>
      <c r="O259" s="2"/>
      <c r="P259" s="827"/>
      <c r="Q259" s="2"/>
      <c r="R259" s="827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827"/>
      <c r="E260" s="2"/>
      <c r="F260" s="827"/>
      <c r="G260" s="2"/>
      <c r="H260" s="2"/>
      <c r="I260" s="2"/>
      <c r="J260" s="827"/>
      <c r="K260" s="2"/>
      <c r="L260" s="827"/>
      <c r="M260" s="2"/>
      <c r="N260" s="2"/>
      <c r="O260" s="2"/>
      <c r="P260" s="827"/>
      <c r="Q260" s="2"/>
      <c r="R260" s="827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827"/>
      <c r="E261" s="2"/>
      <c r="F261" s="827"/>
      <c r="G261" s="2"/>
      <c r="H261" s="2"/>
      <c r="I261" s="2"/>
      <c r="J261" s="827"/>
      <c r="K261" s="2"/>
      <c r="L261" s="827"/>
      <c r="M261" s="2"/>
      <c r="N261" s="2"/>
      <c r="O261" s="2"/>
      <c r="P261" s="827"/>
      <c r="Q261" s="2"/>
      <c r="R261" s="827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827"/>
      <c r="E262" s="2"/>
      <c r="F262" s="827"/>
      <c r="G262" s="2"/>
      <c r="H262" s="2"/>
      <c r="I262" s="2"/>
      <c r="J262" s="827"/>
      <c r="K262" s="2"/>
      <c r="L262" s="827"/>
      <c r="M262" s="2"/>
      <c r="N262" s="2"/>
      <c r="O262" s="2"/>
      <c r="P262" s="827"/>
      <c r="Q262" s="2"/>
      <c r="R262" s="827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827"/>
      <c r="E263" s="2"/>
      <c r="F263" s="827"/>
      <c r="G263" s="2"/>
      <c r="H263" s="2"/>
      <c r="I263" s="2"/>
      <c r="J263" s="827"/>
      <c r="K263" s="2"/>
      <c r="L263" s="827"/>
      <c r="M263" s="2"/>
      <c r="N263" s="2"/>
      <c r="O263" s="2"/>
      <c r="P263" s="827"/>
      <c r="Q263" s="2"/>
      <c r="R263" s="827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827"/>
      <c r="E264" s="2"/>
      <c r="F264" s="827"/>
      <c r="G264" s="2"/>
      <c r="H264" s="2"/>
      <c r="I264" s="2"/>
      <c r="J264" s="827"/>
      <c r="K264" s="2"/>
      <c r="L264" s="827"/>
      <c r="M264" s="2"/>
      <c r="N264" s="2"/>
      <c r="O264" s="2"/>
      <c r="P264" s="827"/>
      <c r="Q264" s="2"/>
      <c r="R264" s="827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827"/>
      <c r="E265" s="2"/>
      <c r="F265" s="827"/>
      <c r="G265" s="2"/>
      <c r="H265" s="2"/>
      <c r="I265" s="2"/>
      <c r="J265" s="827"/>
      <c r="K265" s="2"/>
      <c r="L265" s="827"/>
      <c r="M265" s="2"/>
      <c r="N265" s="2"/>
      <c r="O265" s="2"/>
      <c r="P265" s="827"/>
      <c r="Q265" s="2"/>
      <c r="R265" s="827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827"/>
      <c r="E266" s="2"/>
      <c r="F266" s="827"/>
      <c r="G266" s="2"/>
      <c r="H266" s="2"/>
      <c r="I266" s="2"/>
      <c r="J266" s="827"/>
      <c r="K266" s="2"/>
      <c r="L266" s="827"/>
      <c r="M266" s="2"/>
      <c r="N266" s="2"/>
      <c r="O266" s="2"/>
      <c r="P266" s="827"/>
      <c r="Q266" s="2"/>
      <c r="R266" s="827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827"/>
      <c r="E267" s="2"/>
      <c r="F267" s="827"/>
      <c r="G267" s="2"/>
      <c r="H267" s="2"/>
      <c r="I267" s="2"/>
      <c r="J267" s="827"/>
      <c r="K267" s="2"/>
      <c r="L267" s="827"/>
      <c r="M267" s="2"/>
      <c r="N267" s="2"/>
      <c r="O267" s="2"/>
      <c r="P267" s="827"/>
      <c r="Q267" s="2"/>
      <c r="R267" s="827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827"/>
      <c r="E268" s="2"/>
      <c r="F268" s="827"/>
      <c r="G268" s="2"/>
      <c r="H268" s="2"/>
      <c r="I268" s="2"/>
      <c r="J268" s="827"/>
      <c r="K268" s="2"/>
      <c r="L268" s="827"/>
      <c r="M268" s="2"/>
      <c r="N268" s="2"/>
      <c r="O268" s="2"/>
      <c r="P268" s="827"/>
      <c r="Q268" s="2"/>
      <c r="R268" s="827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827"/>
      <c r="E269" s="2"/>
      <c r="F269" s="827"/>
      <c r="G269" s="2"/>
      <c r="H269" s="2"/>
      <c r="I269" s="2"/>
      <c r="J269" s="827"/>
      <c r="K269" s="2"/>
      <c r="L269" s="827"/>
      <c r="M269" s="2"/>
      <c r="N269" s="2"/>
      <c r="O269" s="2"/>
      <c r="P269" s="827"/>
      <c r="Q269" s="2"/>
      <c r="R269" s="827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827"/>
      <c r="E270" s="2"/>
      <c r="F270" s="827"/>
      <c r="G270" s="2"/>
      <c r="H270" s="2"/>
      <c r="I270" s="2"/>
      <c r="J270" s="827"/>
      <c r="K270" s="2"/>
      <c r="L270" s="827"/>
      <c r="M270" s="2"/>
      <c r="N270" s="2"/>
      <c r="O270" s="2"/>
      <c r="P270" s="827"/>
      <c r="Q270" s="2"/>
      <c r="R270" s="827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827"/>
      <c r="E271" s="2"/>
      <c r="F271" s="827"/>
      <c r="G271" s="2"/>
      <c r="H271" s="2"/>
      <c r="I271" s="2"/>
      <c r="J271" s="827"/>
      <c r="K271" s="2"/>
      <c r="L271" s="827"/>
      <c r="M271" s="2"/>
      <c r="N271" s="2"/>
      <c r="O271" s="2"/>
      <c r="P271" s="827"/>
      <c r="Q271" s="2"/>
      <c r="R271" s="827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827"/>
      <c r="E272" s="2"/>
      <c r="F272" s="827"/>
      <c r="G272" s="2"/>
      <c r="H272" s="2"/>
      <c r="I272" s="2"/>
      <c r="J272" s="827"/>
      <c r="K272" s="2"/>
      <c r="L272" s="827"/>
      <c r="M272" s="2"/>
      <c r="N272" s="2"/>
      <c r="O272" s="2"/>
      <c r="P272" s="827"/>
      <c r="Q272" s="2"/>
      <c r="R272" s="827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827"/>
      <c r="E273" s="2"/>
      <c r="F273" s="827"/>
      <c r="G273" s="2"/>
      <c r="H273" s="2"/>
      <c r="I273" s="2"/>
      <c r="J273" s="827"/>
      <c r="K273" s="2"/>
      <c r="L273" s="827"/>
      <c r="M273" s="2"/>
      <c r="N273" s="2"/>
      <c r="O273" s="2"/>
      <c r="P273" s="827"/>
      <c r="Q273" s="2"/>
      <c r="R273" s="827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827"/>
      <c r="E274" s="2"/>
      <c r="F274" s="827"/>
      <c r="G274" s="2"/>
      <c r="H274" s="2"/>
      <c r="I274" s="2"/>
      <c r="J274" s="827"/>
      <c r="K274" s="2"/>
      <c r="L274" s="827"/>
      <c r="M274" s="2"/>
      <c r="N274" s="2"/>
      <c r="O274" s="2"/>
      <c r="P274" s="827"/>
      <c r="Q274" s="2"/>
      <c r="R274" s="827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827"/>
      <c r="E275" s="2"/>
      <c r="F275" s="827"/>
      <c r="G275" s="2"/>
      <c r="H275" s="2"/>
      <c r="I275" s="2"/>
      <c r="J275" s="827"/>
      <c r="K275" s="2"/>
      <c r="L275" s="827"/>
      <c r="M275" s="2"/>
      <c r="N275" s="2"/>
      <c r="O275" s="2"/>
      <c r="P275" s="827"/>
      <c r="Q275" s="2"/>
      <c r="R275" s="827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827"/>
      <c r="E276" s="2"/>
      <c r="F276" s="827"/>
      <c r="G276" s="2"/>
      <c r="H276" s="2"/>
      <c r="I276" s="2"/>
      <c r="J276" s="827"/>
      <c r="K276" s="2"/>
      <c r="L276" s="827"/>
      <c r="M276" s="2"/>
      <c r="N276" s="2"/>
      <c r="O276" s="2"/>
      <c r="P276" s="827"/>
      <c r="Q276" s="2"/>
      <c r="R276" s="827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827"/>
      <c r="E277" s="2"/>
      <c r="F277" s="827"/>
      <c r="G277" s="2"/>
      <c r="H277" s="2"/>
      <c r="I277" s="2"/>
      <c r="J277" s="827"/>
      <c r="K277" s="2"/>
      <c r="L277" s="827"/>
      <c r="M277" s="2"/>
      <c r="N277" s="2"/>
      <c r="O277" s="2"/>
      <c r="P277" s="827"/>
      <c r="Q277" s="2"/>
      <c r="R277" s="827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827"/>
      <c r="E278" s="2"/>
      <c r="F278" s="827"/>
      <c r="G278" s="2"/>
      <c r="H278" s="2"/>
      <c r="I278" s="2"/>
      <c r="J278" s="827"/>
      <c r="K278" s="2"/>
      <c r="L278" s="827"/>
      <c r="M278" s="2"/>
      <c r="N278" s="2"/>
      <c r="O278" s="2"/>
      <c r="P278" s="827"/>
      <c r="Q278" s="2"/>
      <c r="R278" s="827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827"/>
      <c r="E279" s="2"/>
      <c r="F279" s="827"/>
      <c r="G279" s="2"/>
      <c r="H279" s="2"/>
      <c r="I279" s="2"/>
      <c r="J279" s="827"/>
      <c r="K279" s="2"/>
      <c r="L279" s="827"/>
      <c r="M279" s="2"/>
      <c r="N279" s="2"/>
      <c r="O279" s="2"/>
      <c r="P279" s="827"/>
      <c r="Q279" s="2"/>
      <c r="R279" s="827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827"/>
      <c r="E280" s="2"/>
      <c r="F280" s="827"/>
      <c r="G280" s="2"/>
      <c r="H280" s="2"/>
      <c r="I280" s="2"/>
      <c r="J280" s="827"/>
      <c r="K280" s="2"/>
      <c r="L280" s="827"/>
      <c r="M280" s="2"/>
      <c r="N280" s="2"/>
      <c r="O280" s="2"/>
      <c r="P280" s="827"/>
      <c r="Q280" s="2"/>
      <c r="R280" s="827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827"/>
      <c r="E281" s="2"/>
      <c r="F281" s="827"/>
      <c r="G281" s="2"/>
      <c r="H281" s="2"/>
      <c r="I281" s="2"/>
      <c r="J281" s="827"/>
      <c r="K281" s="2"/>
      <c r="L281" s="827"/>
      <c r="M281" s="2"/>
      <c r="N281" s="2"/>
      <c r="O281" s="2"/>
      <c r="P281" s="827"/>
      <c r="Q281" s="2"/>
      <c r="R281" s="827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827"/>
      <c r="E282" s="2"/>
      <c r="F282" s="827"/>
      <c r="G282" s="2"/>
      <c r="H282" s="2"/>
      <c r="I282" s="2"/>
      <c r="J282" s="827"/>
      <c r="K282" s="2"/>
      <c r="L282" s="827"/>
      <c r="M282" s="2"/>
      <c r="N282" s="2"/>
      <c r="O282" s="2"/>
      <c r="P282" s="827"/>
      <c r="Q282" s="2"/>
      <c r="R282" s="827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827"/>
      <c r="E283" s="2"/>
      <c r="F283" s="827"/>
      <c r="G283" s="2"/>
      <c r="H283" s="2"/>
      <c r="I283" s="2"/>
      <c r="J283" s="827"/>
      <c r="K283" s="2"/>
      <c r="L283" s="827"/>
      <c r="M283" s="2"/>
      <c r="N283" s="2"/>
      <c r="O283" s="2"/>
      <c r="P283" s="827"/>
      <c r="Q283" s="2"/>
      <c r="R283" s="827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827"/>
      <c r="E284" s="2"/>
      <c r="F284" s="827"/>
      <c r="G284" s="2"/>
      <c r="H284" s="2"/>
      <c r="I284" s="2"/>
      <c r="J284" s="827"/>
      <c r="K284" s="2"/>
      <c r="L284" s="827"/>
      <c r="M284" s="2"/>
      <c r="N284" s="2"/>
      <c r="O284" s="2"/>
      <c r="P284" s="827"/>
      <c r="Q284" s="2"/>
      <c r="R284" s="827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827"/>
      <c r="E285" s="2"/>
      <c r="F285" s="827"/>
      <c r="G285" s="2"/>
      <c r="H285" s="2"/>
      <c r="I285" s="2"/>
      <c r="J285" s="827"/>
      <c r="K285" s="2"/>
      <c r="L285" s="827"/>
      <c r="M285" s="2"/>
      <c r="N285" s="2"/>
      <c r="O285" s="2"/>
      <c r="P285" s="827"/>
      <c r="Q285" s="2"/>
      <c r="R285" s="827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827"/>
      <c r="E286" s="2"/>
      <c r="F286" s="827"/>
      <c r="G286" s="2"/>
      <c r="H286" s="2"/>
      <c r="I286" s="2"/>
      <c r="J286" s="827"/>
      <c r="K286" s="2"/>
      <c r="L286" s="827"/>
      <c r="M286" s="2"/>
      <c r="N286" s="2"/>
      <c r="O286" s="2"/>
      <c r="P286" s="827"/>
      <c r="Q286" s="2"/>
      <c r="R286" s="827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827"/>
      <c r="E287" s="2"/>
      <c r="F287" s="827"/>
      <c r="G287" s="2"/>
      <c r="H287" s="2"/>
      <c r="I287" s="2"/>
      <c r="J287" s="827"/>
      <c r="K287" s="2"/>
      <c r="L287" s="827"/>
      <c r="M287" s="2"/>
      <c r="N287" s="2"/>
      <c r="O287" s="2"/>
      <c r="P287" s="827"/>
      <c r="Q287" s="2"/>
      <c r="R287" s="827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827"/>
      <c r="E288" s="2"/>
      <c r="F288" s="827"/>
      <c r="G288" s="2"/>
      <c r="H288" s="2"/>
      <c r="I288" s="2"/>
      <c r="J288" s="827"/>
      <c r="K288" s="2"/>
      <c r="L288" s="827"/>
      <c r="M288" s="2"/>
      <c r="N288" s="2"/>
      <c r="O288" s="2"/>
      <c r="P288" s="827"/>
      <c r="Q288" s="2"/>
      <c r="R288" s="827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827"/>
      <c r="E289" s="2"/>
      <c r="F289" s="827"/>
      <c r="G289" s="2"/>
      <c r="H289" s="2"/>
      <c r="I289" s="2"/>
      <c r="J289" s="827"/>
      <c r="K289" s="2"/>
      <c r="L289" s="827"/>
      <c r="M289" s="2"/>
      <c r="N289" s="2"/>
      <c r="O289" s="2"/>
      <c r="P289" s="827"/>
      <c r="Q289" s="2"/>
      <c r="R289" s="827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827"/>
      <c r="E290" s="2"/>
      <c r="F290" s="827"/>
      <c r="G290" s="2"/>
      <c r="H290" s="2"/>
      <c r="I290" s="2"/>
      <c r="J290" s="827"/>
      <c r="K290" s="2"/>
      <c r="L290" s="827"/>
      <c r="M290" s="2"/>
      <c r="N290" s="2"/>
      <c r="O290" s="2"/>
      <c r="P290" s="827"/>
      <c r="Q290" s="2"/>
      <c r="R290" s="827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827"/>
      <c r="E291" s="2"/>
      <c r="F291" s="827"/>
      <c r="G291" s="2"/>
      <c r="H291" s="2"/>
      <c r="I291" s="2"/>
      <c r="J291" s="827"/>
      <c r="K291" s="2"/>
      <c r="L291" s="827"/>
      <c r="M291" s="2"/>
      <c r="N291" s="2"/>
      <c r="O291" s="2"/>
      <c r="P291" s="827"/>
      <c r="Q291" s="2"/>
      <c r="R291" s="827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827"/>
      <c r="E292" s="2"/>
      <c r="F292" s="827"/>
      <c r="G292" s="2"/>
      <c r="H292" s="2"/>
      <c r="I292" s="2"/>
      <c r="J292" s="827"/>
      <c r="K292" s="2"/>
      <c r="L292" s="827"/>
      <c r="M292" s="2"/>
      <c r="N292" s="2"/>
      <c r="O292" s="2"/>
      <c r="P292" s="827"/>
      <c r="Q292" s="2"/>
      <c r="R292" s="827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827"/>
      <c r="E293" s="2"/>
      <c r="F293" s="827"/>
      <c r="G293" s="2"/>
      <c r="H293" s="2"/>
      <c r="I293" s="2"/>
      <c r="J293" s="827"/>
      <c r="K293" s="2"/>
      <c r="L293" s="827"/>
      <c r="M293" s="2"/>
      <c r="N293" s="2"/>
      <c r="O293" s="2"/>
      <c r="P293" s="827"/>
      <c r="Q293" s="2"/>
      <c r="R293" s="827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827"/>
      <c r="E294" s="2"/>
      <c r="F294" s="827"/>
      <c r="G294" s="2"/>
      <c r="H294" s="2"/>
      <c r="I294" s="2"/>
      <c r="J294" s="827"/>
      <c r="K294" s="2"/>
      <c r="L294" s="827"/>
      <c r="M294" s="2"/>
      <c r="N294" s="2"/>
      <c r="O294" s="2"/>
      <c r="P294" s="827"/>
      <c r="Q294" s="2"/>
      <c r="R294" s="827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827"/>
      <c r="E295" s="2"/>
      <c r="F295" s="827"/>
      <c r="G295" s="2"/>
      <c r="H295" s="2"/>
      <c r="I295" s="2"/>
      <c r="J295" s="827"/>
      <c r="K295" s="2"/>
      <c r="L295" s="827"/>
      <c r="M295" s="2"/>
      <c r="N295" s="2"/>
      <c r="O295" s="2"/>
      <c r="P295" s="827"/>
      <c r="Q295" s="2"/>
      <c r="R295" s="827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827"/>
      <c r="E296" s="2"/>
      <c r="F296" s="827"/>
      <c r="G296" s="2"/>
      <c r="H296" s="2"/>
      <c r="I296" s="2"/>
      <c r="J296" s="827"/>
      <c r="K296" s="2"/>
      <c r="L296" s="827"/>
      <c r="M296" s="2"/>
      <c r="N296" s="2"/>
      <c r="O296" s="2"/>
      <c r="P296" s="827"/>
      <c r="Q296" s="2"/>
      <c r="R296" s="827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827"/>
      <c r="E297" s="2"/>
      <c r="F297" s="827"/>
      <c r="G297" s="2"/>
      <c r="H297" s="2"/>
      <c r="I297" s="2"/>
      <c r="J297" s="827"/>
      <c r="K297" s="2"/>
      <c r="L297" s="827"/>
      <c r="M297" s="2"/>
      <c r="N297" s="2"/>
      <c r="O297" s="2"/>
      <c r="P297" s="827"/>
      <c r="Q297" s="2"/>
      <c r="R297" s="827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827"/>
      <c r="E298" s="2"/>
      <c r="F298" s="827"/>
      <c r="G298" s="2"/>
      <c r="H298" s="2"/>
      <c r="I298" s="2"/>
      <c r="J298" s="827"/>
      <c r="K298" s="2"/>
      <c r="L298" s="827"/>
      <c r="M298" s="2"/>
      <c r="N298" s="2"/>
      <c r="O298" s="2"/>
      <c r="P298" s="827"/>
      <c r="Q298" s="2"/>
      <c r="R298" s="827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827"/>
      <c r="E299" s="2"/>
      <c r="F299" s="827"/>
      <c r="G299" s="2"/>
      <c r="H299" s="2"/>
      <c r="I299" s="2"/>
      <c r="J299" s="827"/>
      <c r="K299" s="2"/>
      <c r="L299" s="827"/>
      <c r="M299" s="2"/>
      <c r="N299" s="2"/>
      <c r="O299" s="2"/>
      <c r="P299" s="827"/>
      <c r="Q299" s="2"/>
      <c r="R299" s="827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827"/>
      <c r="E300" s="2"/>
      <c r="F300" s="827"/>
      <c r="G300" s="2"/>
      <c r="H300" s="2"/>
      <c r="I300" s="2"/>
      <c r="J300" s="827"/>
      <c r="K300" s="2"/>
      <c r="L300" s="827"/>
      <c r="M300" s="2"/>
      <c r="N300" s="2"/>
      <c r="O300" s="2"/>
      <c r="P300" s="827"/>
      <c r="Q300" s="2"/>
      <c r="R300" s="827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827"/>
      <c r="E301" s="2"/>
      <c r="F301" s="827"/>
      <c r="G301" s="2"/>
      <c r="H301" s="2"/>
      <c r="I301" s="2"/>
      <c r="J301" s="827"/>
      <c r="K301" s="2"/>
      <c r="L301" s="827"/>
      <c r="M301" s="2"/>
      <c r="N301" s="2"/>
      <c r="O301" s="2"/>
      <c r="P301" s="827"/>
      <c r="Q301" s="2"/>
      <c r="R301" s="827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827"/>
      <c r="E302" s="2"/>
      <c r="F302" s="827"/>
      <c r="G302" s="2"/>
      <c r="H302" s="2"/>
      <c r="I302" s="2"/>
      <c r="J302" s="827"/>
      <c r="K302" s="2"/>
      <c r="L302" s="827"/>
      <c r="M302" s="2"/>
      <c r="N302" s="2"/>
      <c r="O302" s="2"/>
      <c r="P302" s="827"/>
      <c r="Q302" s="2"/>
      <c r="R302" s="827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827"/>
      <c r="E303" s="2"/>
      <c r="F303" s="827"/>
      <c r="G303" s="2"/>
      <c r="H303" s="2"/>
      <c r="I303" s="2"/>
      <c r="J303" s="827"/>
      <c r="K303" s="2"/>
      <c r="L303" s="827"/>
      <c r="M303" s="2"/>
      <c r="N303" s="2"/>
      <c r="O303" s="2"/>
      <c r="P303" s="827"/>
      <c r="Q303" s="2"/>
      <c r="R303" s="827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827"/>
      <c r="E304" s="2"/>
      <c r="F304" s="827"/>
      <c r="G304" s="2"/>
      <c r="H304" s="2"/>
      <c r="I304" s="2"/>
      <c r="J304" s="827"/>
      <c r="K304" s="2"/>
      <c r="L304" s="827"/>
      <c r="M304" s="2"/>
      <c r="N304" s="2"/>
      <c r="O304" s="2"/>
      <c r="P304" s="827"/>
      <c r="Q304" s="2"/>
      <c r="R304" s="827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827"/>
      <c r="E305" s="2"/>
      <c r="F305" s="827"/>
      <c r="G305" s="2"/>
      <c r="H305" s="2"/>
      <c r="I305" s="2"/>
      <c r="J305" s="827"/>
      <c r="K305" s="2"/>
      <c r="L305" s="827"/>
      <c r="M305" s="2"/>
      <c r="N305" s="2"/>
      <c r="O305" s="2"/>
      <c r="P305" s="827"/>
      <c r="Q305" s="2"/>
      <c r="R305" s="827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827"/>
      <c r="E306" s="2"/>
      <c r="F306" s="827"/>
      <c r="G306" s="2"/>
      <c r="H306" s="2"/>
      <c r="I306" s="2"/>
      <c r="J306" s="827"/>
      <c r="K306" s="2"/>
      <c r="L306" s="827"/>
      <c r="M306" s="2"/>
      <c r="N306" s="2"/>
      <c r="O306" s="2"/>
      <c r="P306" s="827"/>
      <c r="Q306" s="2"/>
      <c r="R306" s="827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827"/>
      <c r="E307" s="2"/>
      <c r="F307" s="827"/>
      <c r="G307" s="2"/>
      <c r="H307" s="2"/>
      <c r="I307" s="2"/>
      <c r="J307" s="827"/>
      <c r="K307" s="2"/>
      <c r="L307" s="827"/>
      <c r="M307" s="2"/>
      <c r="N307" s="2"/>
      <c r="O307" s="2"/>
      <c r="P307" s="827"/>
      <c r="Q307" s="2"/>
      <c r="R307" s="827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827"/>
      <c r="E308" s="2"/>
      <c r="F308" s="827"/>
      <c r="G308" s="2"/>
      <c r="H308" s="2"/>
      <c r="I308" s="2"/>
      <c r="J308" s="827"/>
      <c r="K308" s="2"/>
      <c r="L308" s="827"/>
      <c r="M308" s="2"/>
      <c r="N308" s="2"/>
      <c r="O308" s="2"/>
      <c r="P308" s="827"/>
      <c r="Q308" s="2"/>
      <c r="R308" s="827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827"/>
      <c r="E309" s="2"/>
      <c r="F309" s="827"/>
      <c r="G309" s="2"/>
      <c r="H309" s="2"/>
      <c r="I309" s="2"/>
      <c r="J309" s="827"/>
      <c r="K309" s="2"/>
      <c r="L309" s="827"/>
      <c r="M309" s="2"/>
      <c r="N309" s="2"/>
      <c r="O309" s="2"/>
      <c r="P309" s="827"/>
      <c r="Q309" s="2"/>
      <c r="R309" s="827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827"/>
      <c r="E310" s="2"/>
      <c r="F310" s="827"/>
      <c r="G310" s="2"/>
      <c r="H310" s="2"/>
      <c r="I310" s="2"/>
      <c r="J310" s="827"/>
      <c r="K310" s="2"/>
      <c r="L310" s="827"/>
      <c r="M310" s="2"/>
      <c r="N310" s="2"/>
      <c r="O310" s="2"/>
      <c r="P310" s="827"/>
      <c r="Q310" s="2"/>
      <c r="R310" s="827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827"/>
      <c r="E311" s="2"/>
      <c r="F311" s="827"/>
      <c r="G311" s="2"/>
      <c r="H311" s="2"/>
      <c r="I311" s="2"/>
      <c r="J311" s="827"/>
      <c r="K311" s="2"/>
      <c r="L311" s="827"/>
      <c r="M311" s="2"/>
      <c r="N311" s="2"/>
      <c r="O311" s="2"/>
      <c r="P311" s="827"/>
      <c r="Q311" s="2"/>
      <c r="R311" s="827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827"/>
      <c r="E312" s="2"/>
      <c r="F312" s="827"/>
      <c r="G312" s="2"/>
      <c r="H312" s="2"/>
      <c r="I312" s="2"/>
      <c r="J312" s="827"/>
      <c r="K312" s="2"/>
      <c r="L312" s="827"/>
      <c r="M312" s="2"/>
      <c r="N312" s="2"/>
      <c r="O312" s="2"/>
      <c r="P312" s="827"/>
      <c r="Q312" s="2"/>
      <c r="R312" s="827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827"/>
      <c r="E313" s="2"/>
      <c r="F313" s="827"/>
      <c r="G313" s="2"/>
      <c r="H313" s="2"/>
      <c r="I313" s="2"/>
      <c r="J313" s="827"/>
      <c r="K313" s="2"/>
      <c r="L313" s="827"/>
      <c r="M313" s="2"/>
      <c r="N313" s="2"/>
      <c r="O313" s="2"/>
      <c r="P313" s="827"/>
      <c r="Q313" s="2"/>
      <c r="R313" s="827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827"/>
      <c r="E314" s="2"/>
      <c r="F314" s="827"/>
      <c r="G314" s="2"/>
      <c r="H314" s="2"/>
      <c r="I314" s="2"/>
      <c r="J314" s="827"/>
      <c r="K314" s="2"/>
      <c r="L314" s="827"/>
      <c r="M314" s="2"/>
      <c r="N314" s="2"/>
      <c r="O314" s="2"/>
      <c r="P314" s="827"/>
      <c r="Q314" s="2"/>
      <c r="R314" s="827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827"/>
      <c r="E315" s="2"/>
      <c r="F315" s="827"/>
      <c r="G315" s="2"/>
      <c r="H315" s="2"/>
      <c r="I315" s="2"/>
      <c r="J315" s="827"/>
      <c r="K315" s="2"/>
      <c r="L315" s="827"/>
      <c r="M315" s="2"/>
      <c r="N315" s="2"/>
      <c r="O315" s="2"/>
      <c r="P315" s="827"/>
      <c r="Q315" s="2"/>
      <c r="R315" s="827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827"/>
      <c r="E316" s="2"/>
      <c r="F316" s="827"/>
      <c r="G316" s="2"/>
      <c r="H316" s="2"/>
      <c r="I316" s="2"/>
      <c r="J316" s="827"/>
      <c r="K316" s="2"/>
      <c r="L316" s="827"/>
      <c r="M316" s="2"/>
      <c r="N316" s="2"/>
      <c r="O316" s="2"/>
      <c r="P316" s="827"/>
      <c r="Q316" s="2"/>
      <c r="R316" s="827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827"/>
      <c r="E317" s="2"/>
      <c r="F317" s="827"/>
      <c r="G317" s="2"/>
      <c r="H317" s="2"/>
      <c r="I317" s="2"/>
      <c r="J317" s="827"/>
      <c r="K317" s="2"/>
      <c r="L317" s="827"/>
      <c r="M317" s="2"/>
      <c r="N317" s="2"/>
      <c r="O317" s="2"/>
      <c r="P317" s="827"/>
      <c r="Q317" s="2"/>
      <c r="R317" s="827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827"/>
      <c r="E318" s="2"/>
      <c r="F318" s="827"/>
      <c r="G318" s="2"/>
      <c r="H318" s="2"/>
      <c r="I318" s="2"/>
      <c r="J318" s="827"/>
      <c r="K318" s="2"/>
      <c r="L318" s="827"/>
      <c r="M318" s="2"/>
      <c r="N318" s="2"/>
      <c r="O318" s="2"/>
      <c r="P318" s="827"/>
      <c r="Q318" s="2"/>
      <c r="R318" s="827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827"/>
      <c r="E319" s="2"/>
      <c r="F319" s="827"/>
      <c r="G319" s="2"/>
      <c r="H319" s="2"/>
      <c r="I319" s="2"/>
      <c r="J319" s="827"/>
      <c r="K319" s="2"/>
      <c r="L319" s="827"/>
      <c r="M319" s="2"/>
      <c r="N319" s="2"/>
      <c r="O319" s="2"/>
      <c r="P319" s="827"/>
      <c r="Q319" s="2"/>
      <c r="R319" s="827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827"/>
      <c r="E320" s="2"/>
      <c r="F320" s="827"/>
      <c r="G320" s="2"/>
      <c r="H320" s="2"/>
      <c r="I320" s="2"/>
      <c r="J320" s="827"/>
      <c r="K320" s="2"/>
      <c r="L320" s="827"/>
      <c r="M320" s="2"/>
      <c r="N320" s="2"/>
      <c r="O320" s="2"/>
      <c r="P320" s="827"/>
      <c r="Q320" s="2"/>
      <c r="R320" s="827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827"/>
      <c r="E321" s="2"/>
      <c r="F321" s="827"/>
      <c r="G321" s="2"/>
      <c r="H321" s="2"/>
      <c r="I321" s="2"/>
      <c r="J321" s="827"/>
      <c r="K321" s="2"/>
      <c r="L321" s="827"/>
      <c r="M321" s="2"/>
      <c r="N321" s="2"/>
      <c r="O321" s="2"/>
      <c r="P321" s="827"/>
      <c r="Q321" s="2"/>
      <c r="R321" s="827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827"/>
      <c r="E322" s="2"/>
      <c r="F322" s="827"/>
      <c r="G322" s="2"/>
      <c r="H322" s="2"/>
      <c r="I322" s="2"/>
      <c r="J322" s="827"/>
      <c r="K322" s="2"/>
      <c r="L322" s="827"/>
      <c r="M322" s="2"/>
      <c r="N322" s="2"/>
      <c r="O322" s="2"/>
      <c r="P322" s="827"/>
      <c r="Q322" s="2"/>
      <c r="R322" s="827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827"/>
      <c r="E323" s="2"/>
      <c r="F323" s="827"/>
      <c r="G323" s="2"/>
      <c r="H323" s="2"/>
      <c r="I323" s="2"/>
      <c r="J323" s="827"/>
      <c r="K323" s="2"/>
      <c r="L323" s="827"/>
      <c r="M323" s="2"/>
      <c r="N323" s="2"/>
      <c r="O323" s="2"/>
      <c r="P323" s="827"/>
      <c r="Q323" s="2"/>
      <c r="R323" s="827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827"/>
      <c r="E324" s="2"/>
      <c r="F324" s="827"/>
      <c r="G324" s="2"/>
      <c r="H324" s="2"/>
      <c r="I324" s="2"/>
      <c r="J324" s="827"/>
      <c r="K324" s="2"/>
      <c r="L324" s="827"/>
      <c r="M324" s="2"/>
      <c r="N324" s="2"/>
      <c r="O324" s="2"/>
      <c r="P324" s="827"/>
      <c r="Q324" s="2"/>
      <c r="R324" s="827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827"/>
      <c r="E325" s="2"/>
      <c r="F325" s="827"/>
      <c r="G325" s="2"/>
      <c r="H325" s="2"/>
      <c r="I325" s="2"/>
      <c r="J325" s="827"/>
      <c r="K325" s="2"/>
      <c r="L325" s="827"/>
      <c r="M325" s="2"/>
      <c r="N325" s="2"/>
      <c r="O325" s="2"/>
      <c r="P325" s="827"/>
      <c r="Q325" s="2"/>
      <c r="R325" s="827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827"/>
      <c r="E326" s="2"/>
      <c r="F326" s="827"/>
      <c r="G326" s="2"/>
      <c r="H326" s="2"/>
      <c r="I326" s="2"/>
      <c r="J326" s="827"/>
      <c r="K326" s="2"/>
      <c r="L326" s="827"/>
      <c r="M326" s="2"/>
      <c r="N326" s="2"/>
      <c r="O326" s="2"/>
      <c r="P326" s="827"/>
      <c r="Q326" s="2"/>
      <c r="R326" s="827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827"/>
      <c r="E327" s="2"/>
      <c r="F327" s="827"/>
      <c r="G327" s="2"/>
      <c r="H327" s="2"/>
      <c r="I327" s="2"/>
      <c r="J327" s="827"/>
      <c r="K327" s="2"/>
      <c r="L327" s="827"/>
      <c r="M327" s="2"/>
      <c r="N327" s="2"/>
      <c r="O327" s="2"/>
      <c r="P327" s="827"/>
      <c r="Q327" s="2"/>
      <c r="R327" s="827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827"/>
      <c r="E328" s="2"/>
      <c r="F328" s="827"/>
      <c r="G328" s="2"/>
      <c r="H328" s="2"/>
      <c r="I328" s="2"/>
      <c r="J328" s="827"/>
      <c r="K328" s="2"/>
      <c r="L328" s="827"/>
      <c r="M328" s="2"/>
      <c r="N328" s="2"/>
      <c r="O328" s="2"/>
      <c r="P328" s="827"/>
      <c r="Q328" s="2"/>
      <c r="R328" s="827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827"/>
      <c r="E329" s="2"/>
      <c r="F329" s="827"/>
      <c r="G329" s="2"/>
      <c r="H329" s="2"/>
      <c r="I329" s="2"/>
      <c r="J329" s="827"/>
      <c r="K329" s="2"/>
      <c r="L329" s="827"/>
      <c r="M329" s="2"/>
      <c r="N329" s="2"/>
      <c r="O329" s="2"/>
      <c r="P329" s="827"/>
      <c r="Q329" s="2"/>
      <c r="R329" s="827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827"/>
      <c r="E330" s="2"/>
      <c r="F330" s="827"/>
      <c r="G330" s="2"/>
      <c r="H330" s="2"/>
      <c r="I330" s="2"/>
      <c r="J330" s="827"/>
      <c r="K330" s="2"/>
      <c r="L330" s="827"/>
      <c r="M330" s="2"/>
      <c r="N330" s="2"/>
      <c r="O330" s="2"/>
      <c r="P330" s="827"/>
      <c r="Q330" s="2"/>
      <c r="R330" s="827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827"/>
      <c r="E331" s="2"/>
      <c r="F331" s="827"/>
      <c r="G331" s="2"/>
      <c r="H331" s="2"/>
      <c r="I331" s="2"/>
      <c r="J331" s="827"/>
      <c r="K331" s="2"/>
      <c r="L331" s="827"/>
      <c r="M331" s="2"/>
      <c r="N331" s="2"/>
      <c r="O331" s="2"/>
      <c r="P331" s="827"/>
      <c r="Q331" s="2"/>
      <c r="R331" s="827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827"/>
      <c r="E332" s="2"/>
      <c r="F332" s="827"/>
      <c r="G332" s="2"/>
      <c r="H332" s="2"/>
      <c r="I332" s="2"/>
      <c r="J332" s="827"/>
      <c r="K332" s="2"/>
      <c r="L332" s="827"/>
      <c r="M332" s="2"/>
      <c r="N332" s="2"/>
      <c r="O332" s="2"/>
      <c r="P332" s="827"/>
      <c r="Q332" s="2"/>
      <c r="R332" s="827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827"/>
      <c r="E333" s="2"/>
      <c r="F333" s="827"/>
      <c r="G333" s="2"/>
      <c r="H333" s="2"/>
      <c r="I333" s="2"/>
      <c r="J333" s="827"/>
      <c r="K333" s="2"/>
      <c r="L333" s="827"/>
      <c r="M333" s="2"/>
      <c r="N333" s="2"/>
      <c r="O333" s="2"/>
      <c r="P333" s="827"/>
      <c r="Q333" s="2"/>
      <c r="R333" s="827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827"/>
      <c r="E334" s="2"/>
      <c r="F334" s="827"/>
      <c r="G334" s="2"/>
      <c r="H334" s="2"/>
      <c r="I334" s="2"/>
      <c r="J334" s="827"/>
      <c r="K334" s="2"/>
      <c r="L334" s="827"/>
      <c r="M334" s="2"/>
      <c r="N334" s="2"/>
      <c r="O334" s="2"/>
      <c r="P334" s="827"/>
      <c r="Q334" s="2"/>
      <c r="R334" s="827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827"/>
      <c r="E335" s="2"/>
      <c r="F335" s="827"/>
      <c r="G335" s="2"/>
      <c r="H335" s="2"/>
      <c r="I335" s="2"/>
      <c r="J335" s="827"/>
      <c r="K335" s="2"/>
      <c r="L335" s="827"/>
      <c r="M335" s="2"/>
      <c r="N335" s="2"/>
      <c r="O335" s="2"/>
      <c r="P335" s="827"/>
      <c r="Q335" s="2"/>
      <c r="R335" s="827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827"/>
      <c r="E336" s="2"/>
      <c r="F336" s="827"/>
      <c r="G336" s="2"/>
      <c r="H336" s="2"/>
      <c r="I336" s="2"/>
      <c r="J336" s="827"/>
      <c r="K336" s="2"/>
      <c r="L336" s="827"/>
      <c r="M336" s="2"/>
      <c r="N336" s="2"/>
      <c r="O336" s="2"/>
      <c r="P336" s="827"/>
      <c r="Q336" s="2"/>
      <c r="R336" s="827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B4:B5"/>
    <mergeCell ref="C4:C5"/>
    <mergeCell ref="D4:I4"/>
    <mergeCell ref="J4:O4"/>
    <mergeCell ref="P4:U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41.38"/>
    <col customWidth="1" min="4" max="4" width="12.63"/>
    <col customWidth="1" hidden="1" min="5" max="5" width="9.63"/>
    <col customWidth="1" hidden="1" min="6" max="6" width="13.38"/>
    <col customWidth="1" hidden="1" min="7" max="7" width="8.88"/>
    <col customWidth="1" hidden="1" min="8" max="8" width="11.88"/>
    <col customWidth="1" hidden="1" min="9" max="9" width="13.0"/>
    <col customWidth="1" min="10" max="10" width="12.63"/>
    <col customWidth="1" hidden="1" min="11" max="11" width="9.63"/>
    <col customWidth="1" hidden="1" min="12" max="12" width="13.38"/>
    <col customWidth="1" hidden="1" min="13" max="13" width="8.88"/>
    <col customWidth="1" hidden="1" min="14" max="14" width="11.88"/>
    <col customWidth="1" hidden="1" min="15" max="15" width="13.0"/>
    <col customWidth="1" min="16" max="16" width="11.25"/>
    <col customWidth="1" hidden="1" min="17" max="17" width="9.63"/>
    <col customWidth="1" hidden="1" min="18" max="18" width="13.38"/>
    <col customWidth="1" hidden="1" min="19" max="19" width="8.88"/>
    <col customWidth="1" hidden="1" min="20" max="20" width="11.88"/>
    <col customWidth="1" hidden="1" min="21" max="21" width="13.0"/>
    <col customWidth="1" hidden="1" min="22" max="22" width="11.25"/>
    <col customWidth="1" hidden="1" min="23" max="23" width="9.63"/>
    <col customWidth="1" hidden="1" min="24" max="24" width="13.38"/>
    <col customWidth="1" hidden="1" min="25" max="25" width="8.88"/>
    <col customWidth="1" hidden="1" min="26" max="26" width="11.88"/>
    <col customWidth="1" hidden="1" min="27" max="27" width="13.0"/>
    <col customWidth="1" hidden="1" min="28" max="28" width="11.25"/>
    <col customWidth="1" hidden="1" min="29" max="29" width="9.63"/>
    <col customWidth="1" hidden="1" min="30" max="30" width="13.38"/>
    <col customWidth="1" hidden="1" min="31" max="31" width="8.88"/>
    <col customWidth="1" hidden="1" min="32" max="32" width="11.88"/>
    <col customWidth="1" hidden="1" min="33" max="33" width="13.0"/>
    <col customWidth="1" hidden="1" min="34" max="34" width="11.25"/>
    <col customWidth="1" hidden="1" min="35" max="35" width="9.63"/>
    <col customWidth="1" hidden="1" min="36" max="36" width="13.38"/>
    <col customWidth="1" hidden="1" min="37" max="37" width="8.88"/>
    <col customWidth="1" hidden="1" min="38" max="38" width="11.88"/>
    <col customWidth="1" hidden="1" min="39" max="39" width="13.0"/>
    <col customWidth="1" hidden="1" min="40" max="40" width="11.25"/>
    <col customWidth="1" hidden="1" min="41" max="41" width="9.63"/>
    <col customWidth="1" hidden="1" min="42" max="42" width="13.38"/>
    <col customWidth="1" hidden="1" min="43" max="43" width="8.88"/>
    <col customWidth="1" hidden="1" min="44" max="44" width="11.88"/>
    <col customWidth="1" hidden="1" min="45" max="45" width="13.0"/>
    <col customWidth="1" hidden="1" min="46" max="46" width="11.25"/>
    <col customWidth="1" hidden="1" min="47" max="47" width="9.63"/>
    <col customWidth="1" hidden="1" min="48" max="48" width="13.38"/>
    <col customWidth="1" hidden="1" min="49" max="49" width="8.88"/>
    <col customWidth="1" hidden="1" min="50" max="50" width="11.88"/>
    <col customWidth="1" hidden="1" min="51" max="51" width="13.0"/>
    <col customWidth="1" hidden="1" min="52" max="52" width="11.25"/>
    <col customWidth="1" hidden="1" min="53" max="53" width="9.63"/>
    <col customWidth="1" hidden="1" min="54" max="54" width="13.38"/>
    <col customWidth="1" hidden="1" min="55" max="55" width="8.88"/>
    <col customWidth="1" hidden="1" min="56" max="56" width="11.88"/>
    <col customWidth="1" hidden="1" min="57" max="57" width="13.0"/>
    <col customWidth="1" hidden="1" min="58" max="58" width="11.25"/>
    <col customWidth="1" hidden="1" min="59" max="59" width="9.63"/>
    <col customWidth="1" hidden="1" min="60" max="60" width="13.38"/>
    <col customWidth="1" hidden="1" min="61" max="61" width="8.88"/>
    <col customWidth="1" hidden="1" min="62" max="62" width="11.88"/>
    <col customWidth="1" hidden="1" min="63" max="63" width="13.0"/>
    <col customWidth="1" hidden="1" min="64" max="64" width="11.25"/>
    <col customWidth="1" hidden="1" min="65" max="65" width="9.63"/>
    <col customWidth="1" hidden="1" min="66" max="66" width="13.38"/>
    <col customWidth="1" hidden="1" min="67" max="67" width="8.88"/>
    <col customWidth="1" hidden="1" min="68" max="68" width="11.88"/>
    <col customWidth="1" hidden="1" min="69" max="69" width="13.0"/>
    <col customWidth="1" hidden="1" min="70" max="70" width="11.25"/>
  </cols>
  <sheetData>
    <row r="1" ht="15.75" customHeight="1">
      <c r="A1" s="439"/>
      <c r="B1" s="440" t="s">
        <v>0</v>
      </c>
      <c r="C1" s="439"/>
      <c r="D1" s="439"/>
      <c r="E1" s="932"/>
      <c r="F1" s="439"/>
      <c r="G1" s="439"/>
      <c r="H1" s="439"/>
      <c r="I1" s="439"/>
      <c r="J1" s="439"/>
      <c r="K1" s="932"/>
      <c r="L1" s="439"/>
      <c r="M1" s="439"/>
      <c r="N1" s="439"/>
      <c r="O1" s="439"/>
      <c r="P1" s="439"/>
      <c r="Q1" s="932"/>
      <c r="R1" s="439"/>
      <c r="S1" s="439"/>
      <c r="T1" s="439"/>
      <c r="U1" s="439"/>
      <c r="V1" s="439"/>
      <c r="W1" s="932"/>
      <c r="X1" s="439"/>
      <c r="Y1" s="439"/>
      <c r="Z1" s="439"/>
      <c r="AA1" s="439"/>
      <c r="AB1" s="439"/>
      <c r="AC1" s="932"/>
      <c r="AD1" s="439"/>
      <c r="AE1" s="439"/>
      <c r="AF1" s="439"/>
      <c r="AG1" s="439"/>
      <c r="AH1" s="439"/>
      <c r="AI1" s="932"/>
      <c r="AJ1" s="439"/>
      <c r="AK1" s="439"/>
      <c r="AL1" s="439"/>
      <c r="AM1" s="439"/>
      <c r="AN1" s="439"/>
      <c r="AO1" s="932"/>
      <c r="AP1" s="439"/>
      <c r="AQ1" s="439"/>
      <c r="AR1" s="439"/>
      <c r="AS1" s="439"/>
      <c r="AT1" s="439"/>
      <c r="AU1" s="932"/>
      <c r="AV1" s="439"/>
      <c r="AW1" s="439"/>
      <c r="AX1" s="439"/>
      <c r="AY1" s="439"/>
      <c r="AZ1" s="439"/>
      <c r="BA1" s="932"/>
      <c r="BB1" s="439"/>
      <c r="BC1" s="439"/>
      <c r="BD1" s="439"/>
      <c r="BE1" s="439"/>
      <c r="BF1" s="439"/>
      <c r="BG1" s="932"/>
      <c r="BH1" s="439"/>
      <c r="BI1" s="439"/>
      <c r="BJ1" s="439"/>
      <c r="BK1" s="439"/>
      <c r="BL1" s="439"/>
      <c r="BM1" s="932"/>
      <c r="BN1" s="439"/>
      <c r="BO1" s="439"/>
      <c r="BP1" s="439"/>
      <c r="BQ1" s="439"/>
      <c r="BR1" s="439"/>
    </row>
    <row r="2" ht="15.75" customHeight="1">
      <c r="A2" s="439"/>
      <c r="B2" s="692" t="s">
        <v>335</v>
      </c>
      <c r="C2" s="439"/>
      <c r="D2" s="439"/>
      <c r="E2" s="932"/>
      <c r="F2" s="439"/>
      <c r="G2" s="439"/>
      <c r="H2" s="439"/>
      <c r="I2" s="439"/>
      <c r="J2" s="439"/>
      <c r="K2" s="932"/>
      <c r="L2" s="439"/>
      <c r="M2" s="439"/>
      <c r="N2" s="439"/>
      <c r="O2" s="439"/>
      <c r="P2" s="439"/>
      <c r="Q2" s="932"/>
      <c r="R2" s="439"/>
      <c r="S2" s="439"/>
      <c r="T2" s="439"/>
      <c r="U2" s="439"/>
      <c r="V2" s="439"/>
      <c r="W2" s="932"/>
      <c r="X2" s="439"/>
      <c r="Y2" s="439"/>
      <c r="Z2" s="439"/>
      <c r="AA2" s="439"/>
      <c r="AB2" s="439"/>
      <c r="AC2" s="932"/>
      <c r="AD2" s="439"/>
      <c r="AE2" s="439"/>
      <c r="AF2" s="439"/>
      <c r="AG2" s="439"/>
      <c r="AH2" s="439"/>
      <c r="AI2" s="932"/>
      <c r="AJ2" s="439"/>
      <c r="AK2" s="439"/>
      <c r="AL2" s="439"/>
      <c r="AM2" s="439"/>
      <c r="AN2" s="439"/>
      <c r="AO2" s="932"/>
      <c r="AP2" s="439"/>
      <c r="AQ2" s="439"/>
      <c r="AR2" s="439"/>
      <c r="AS2" s="439"/>
      <c r="AT2" s="439"/>
      <c r="AU2" s="932"/>
      <c r="AV2" s="439"/>
      <c r="AW2" s="439"/>
      <c r="AX2" s="439"/>
      <c r="AY2" s="439"/>
      <c r="AZ2" s="439"/>
      <c r="BA2" s="932"/>
      <c r="BB2" s="439"/>
      <c r="BC2" s="439"/>
      <c r="BD2" s="439"/>
      <c r="BE2" s="439"/>
      <c r="BF2" s="439"/>
      <c r="BG2" s="932"/>
      <c r="BH2" s="439"/>
      <c r="BI2" s="439"/>
      <c r="BJ2" s="439"/>
      <c r="BK2" s="439"/>
      <c r="BL2" s="439"/>
      <c r="BM2" s="932"/>
      <c r="BN2" s="439"/>
      <c r="BO2" s="439"/>
      <c r="BP2" s="439"/>
      <c r="BQ2" s="439"/>
      <c r="BR2" s="439"/>
    </row>
    <row r="3" ht="15.75" customHeight="1">
      <c r="A3" s="439"/>
      <c r="B3" s="439"/>
      <c r="C3" s="439"/>
      <c r="D3" s="439"/>
      <c r="E3" s="932"/>
      <c r="F3" s="439"/>
      <c r="G3" s="439"/>
      <c r="H3" s="439"/>
      <c r="I3" s="439"/>
      <c r="J3" s="439"/>
      <c r="K3" s="932"/>
      <c r="L3" s="439"/>
      <c r="M3" s="439"/>
      <c r="N3" s="439"/>
      <c r="O3" s="439"/>
      <c r="P3" s="439"/>
      <c r="Q3" s="932"/>
      <c r="R3" s="439"/>
      <c r="S3" s="439"/>
      <c r="T3" s="439"/>
      <c r="U3" s="439"/>
      <c r="V3" s="439"/>
      <c r="W3" s="932"/>
      <c r="X3" s="439"/>
      <c r="Y3" s="439"/>
      <c r="Z3" s="439"/>
      <c r="AA3" s="439"/>
      <c r="AB3" s="439"/>
      <c r="AC3" s="932"/>
      <c r="AD3" s="439"/>
      <c r="AE3" s="439"/>
      <c r="AF3" s="439"/>
      <c r="AG3" s="439"/>
      <c r="AH3" s="439"/>
      <c r="AI3" s="932"/>
      <c r="AJ3" s="439"/>
      <c r="AK3" s="439"/>
      <c r="AL3" s="439"/>
      <c r="AM3" s="439"/>
      <c r="AN3" s="439"/>
      <c r="AO3" s="932"/>
      <c r="AP3" s="439"/>
      <c r="AQ3" s="439"/>
      <c r="AR3" s="439"/>
      <c r="AS3" s="439"/>
      <c r="AT3" s="439"/>
      <c r="AU3" s="932"/>
      <c r="AV3" s="439"/>
      <c r="AW3" s="439"/>
      <c r="AX3" s="439"/>
      <c r="AY3" s="439"/>
      <c r="AZ3" s="439"/>
      <c r="BA3" s="932"/>
      <c r="BB3" s="439"/>
      <c r="BC3" s="439"/>
      <c r="BD3" s="439"/>
      <c r="BE3" s="439"/>
      <c r="BF3" s="439"/>
      <c r="BG3" s="932"/>
      <c r="BH3" s="439"/>
      <c r="BI3" s="439"/>
      <c r="BJ3" s="439"/>
      <c r="BK3" s="439"/>
      <c r="BL3" s="439"/>
      <c r="BM3" s="932"/>
      <c r="BN3" s="439"/>
      <c r="BO3" s="439"/>
      <c r="BP3" s="439"/>
      <c r="BQ3" s="439"/>
      <c r="BR3" s="439"/>
    </row>
    <row r="4" ht="15.75" customHeight="1">
      <c r="A4" s="439"/>
      <c r="B4" s="443" t="s">
        <v>162</v>
      </c>
      <c r="C4" s="443" t="s">
        <v>163</v>
      </c>
      <c r="D4" s="933" t="s">
        <v>164</v>
      </c>
      <c r="E4" s="10"/>
      <c r="F4" s="10"/>
      <c r="G4" s="10"/>
      <c r="H4" s="10"/>
      <c r="I4" s="13"/>
      <c r="J4" s="934" t="s">
        <v>165</v>
      </c>
      <c r="K4" s="10"/>
      <c r="L4" s="10"/>
      <c r="M4" s="10"/>
      <c r="N4" s="10"/>
      <c r="O4" s="13"/>
      <c r="P4" s="934" t="s">
        <v>166</v>
      </c>
      <c r="Q4" s="10"/>
      <c r="R4" s="10"/>
      <c r="S4" s="10"/>
      <c r="T4" s="10"/>
      <c r="U4" s="13"/>
      <c r="V4" s="934" t="s">
        <v>336</v>
      </c>
      <c r="W4" s="10"/>
      <c r="X4" s="10"/>
      <c r="Y4" s="10"/>
      <c r="Z4" s="10"/>
      <c r="AA4" s="13"/>
      <c r="AB4" s="934" t="s">
        <v>337</v>
      </c>
      <c r="AC4" s="10"/>
      <c r="AD4" s="10"/>
      <c r="AE4" s="10"/>
      <c r="AF4" s="10"/>
      <c r="AG4" s="13"/>
      <c r="AH4" s="934" t="s">
        <v>338</v>
      </c>
      <c r="AI4" s="10"/>
      <c r="AJ4" s="10"/>
      <c r="AK4" s="10"/>
      <c r="AL4" s="10"/>
      <c r="AM4" s="13"/>
      <c r="AN4" s="934" t="s">
        <v>339</v>
      </c>
      <c r="AO4" s="10"/>
      <c r="AP4" s="10"/>
      <c r="AQ4" s="10"/>
      <c r="AR4" s="10"/>
      <c r="AS4" s="13"/>
      <c r="AT4" s="934" t="s">
        <v>340</v>
      </c>
      <c r="AU4" s="10"/>
      <c r="AV4" s="10"/>
      <c r="AW4" s="10"/>
      <c r="AX4" s="10"/>
      <c r="AY4" s="13"/>
      <c r="AZ4" s="934" t="s">
        <v>341</v>
      </c>
      <c r="BA4" s="10"/>
      <c r="BB4" s="10"/>
      <c r="BC4" s="10"/>
      <c r="BD4" s="10"/>
      <c r="BE4" s="13"/>
      <c r="BF4" s="934" t="s">
        <v>342</v>
      </c>
      <c r="BG4" s="10"/>
      <c r="BH4" s="10"/>
      <c r="BI4" s="10"/>
      <c r="BJ4" s="10"/>
      <c r="BK4" s="13"/>
      <c r="BL4" s="934" t="s">
        <v>343</v>
      </c>
      <c r="BM4" s="10"/>
      <c r="BN4" s="10"/>
      <c r="BO4" s="10"/>
      <c r="BP4" s="10"/>
      <c r="BQ4" s="13"/>
      <c r="BR4" s="935" t="s">
        <v>344</v>
      </c>
    </row>
    <row r="5" ht="15.75" customHeight="1">
      <c r="A5" s="447"/>
      <c r="B5" s="448"/>
      <c r="C5" s="448"/>
      <c r="D5" s="936" t="s">
        <v>167</v>
      </c>
      <c r="E5" s="937" t="s">
        <v>18</v>
      </c>
      <c r="F5" s="938" t="s">
        <v>19</v>
      </c>
      <c r="G5" s="939" t="s">
        <v>18</v>
      </c>
      <c r="H5" s="939" t="s">
        <v>169</v>
      </c>
      <c r="I5" s="940" t="s">
        <v>169</v>
      </c>
      <c r="J5" s="941" t="s">
        <v>167</v>
      </c>
      <c r="K5" s="942" t="s">
        <v>18</v>
      </c>
      <c r="L5" s="941" t="s">
        <v>19</v>
      </c>
      <c r="M5" s="943" t="s">
        <v>18</v>
      </c>
      <c r="N5" s="943" t="s">
        <v>169</v>
      </c>
      <c r="O5" s="943" t="s">
        <v>169</v>
      </c>
      <c r="P5" s="941" t="s">
        <v>167</v>
      </c>
      <c r="Q5" s="942" t="s">
        <v>18</v>
      </c>
      <c r="R5" s="941" t="s">
        <v>19</v>
      </c>
      <c r="S5" s="943" t="s">
        <v>18</v>
      </c>
      <c r="T5" s="943" t="s">
        <v>169</v>
      </c>
      <c r="U5" s="943" t="s">
        <v>169</v>
      </c>
      <c r="V5" s="941" t="s">
        <v>167</v>
      </c>
      <c r="W5" s="942" t="s">
        <v>18</v>
      </c>
      <c r="X5" s="941" t="s">
        <v>19</v>
      </c>
      <c r="Y5" s="943" t="s">
        <v>18</v>
      </c>
      <c r="Z5" s="943" t="s">
        <v>169</v>
      </c>
      <c r="AA5" s="943" t="s">
        <v>169</v>
      </c>
      <c r="AB5" s="941" t="s">
        <v>167</v>
      </c>
      <c r="AC5" s="942" t="s">
        <v>18</v>
      </c>
      <c r="AD5" s="941" t="s">
        <v>19</v>
      </c>
      <c r="AE5" s="943" t="s">
        <v>18</v>
      </c>
      <c r="AF5" s="943" t="s">
        <v>169</v>
      </c>
      <c r="AG5" s="943" t="s">
        <v>169</v>
      </c>
      <c r="AH5" s="941" t="s">
        <v>167</v>
      </c>
      <c r="AI5" s="942" t="s">
        <v>18</v>
      </c>
      <c r="AJ5" s="941" t="s">
        <v>19</v>
      </c>
      <c r="AK5" s="943" t="s">
        <v>18</v>
      </c>
      <c r="AL5" s="943" t="s">
        <v>169</v>
      </c>
      <c r="AM5" s="943" t="s">
        <v>169</v>
      </c>
      <c r="AN5" s="941" t="s">
        <v>167</v>
      </c>
      <c r="AO5" s="942" t="s">
        <v>18</v>
      </c>
      <c r="AP5" s="941" t="s">
        <v>19</v>
      </c>
      <c r="AQ5" s="943" t="s">
        <v>18</v>
      </c>
      <c r="AR5" s="943" t="s">
        <v>169</v>
      </c>
      <c r="AS5" s="943" t="s">
        <v>169</v>
      </c>
      <c r="AT5" s="941" t="s">
        <v>167</v>
      </c>
      <c r="AU5" s="942" t="s">
        <v>18</v>
      </c>
      <c r="AV5" s="941" t="s">
        <v>19</v>
      </c>
      <c r="AW5" s="943" t="s">
        <v>18</v>
      </c>
      <c r="AX5" s="943" t="s">
        <v>169</v>
      </c>
      <c r="AY5" s="943" t="s">
        <v>169</v>
      </c>
      <c r="AZ5" s="941" t="s">
        <v>167</v>
      </c>
      <c r="BA5" s="942" t="s">
        <v>18</v>
      </c>
      <c r="BB5" s="941" t="s">
        <v>19</v>
      </c>
      <c r="BC5" s="943" t="s">
        <v>18</v>
      </c>
      <c r="BD5" s="943" t="s">
        <v>169</v>
      </c>
      <c r="BE5" s="943" t="s">
        <v>169</v>
      </c>
      <c r="BF5" s="941" t="s">
        <v>167</v>
      </c>
      <c r="BG5" s="942" t="s">
        <v>18</v>
      </c>
      <c r="BH5" s="941" t="s">
        <v>19</v>
      </c>
      <c r="BI5" s="943" t="s">
        <v>18</v>
      </c>
      <c r="BJ5" s="943" t="s">
        <v>169</v>
      </c>
      <c r="BK5" s="943" t="s">
        <v>169</v>
      </c>
      <c r="BL5" s="941" t="s">
        <v>167</v>
      </c>
      <c r="BM5" s="942" t="s">
        <v>18</v>
      </c>
      <c r="BN5" s="941" t="s">
        <v>19</v>
      </c>
      <c r="BO5" s="943" t="s">
        <v>18</v>
      </c>
      <c r="BP5" s="943" t="s">
        <v>169</v>
      </c>
      <c r="BQ5" s="943" t="s">
        <v>169</v>
      </c>
      <c r="BR5" s="941" t="s">
        <v>167</v>
      </c>
    </row>
    <row r="6" ht="15.75" hidden="1" customHeight="1">
      <c r="A6" s="439"/>
      <c r="B6" s="944"/>
      <c r="C6" s="945" t="s">
        <v>73</v>
      </c>
      <c r="D6" s="946">
        <v>0.0</v>
      </c>
      <c r="E6" s="947"/>
      <c r="F6" s="948"/>
      <c r="G6" s="949"/>
      <c r="H6" s="950"/>
      <c r="I6" s="951"/>
      <c r="J6" s="952">
        <v>0.0</v>
      </c>
      <c r="K6" s="947"/>
      <c r="L6" s="948"/>
      <c r="M6" s="949"/>
      <c r="N6" s="950"/>
      <c r="O6" s="949"/>
      <c r="P6" s="952">
        <v>0.0</v>
      </c>
      <c r="Q6" s="947"/>
      <c r="R6" s="948"/>
      <c r="S6" s="949"/>
      <c r="T6" s="950"/>
      <c r="U6" s="949"/>
      <c r="V6" s="952">
        <v>0.0</v>
      </c>
      <c r="W6" s="947"/>
      <c r="X6" s="948"/>
      <c r="Y6" s="949"/>
      <c r="Z6" s="950"/>
      <c r="AA6" s="949"/>
      <c r="AB6" s="952">
        <v>0.0</v>
      </c>
      <c r="AC6" s="947"/>
      <c r="AD6" s="948"/>
      <c r="AE6" s="949"/>
      <c r="AF6" s="950"/>
      <c r="AG6" s="949"/>
      <c r="AH6" s="952">
        <v>0.0</v>
      </c>
      <c r="AI6" s="947"/>
      <c r="AJ6" s="948"/>
      <c r="AK6" s="949"/>
      <c r="AL6" s="950"/>
      <c r="AM6" s="949"/>
      <c r="AN6" s="952">
        <v>0.0</v>
      </c>
      <c r="AO6" s="947"/>
      <c r="AP6" s="948"/>
      <c r="AQ6" s="949"/>
      <c r="AR6" s="950"/>
      <c r="AS6" s="949"/>
      <c r="AT6" s="952">
        <v>0.0</v>
      </c>
      <c r="AU6" s="947"/>
      <c r="AV6" s="948"/>
      <c r="AW6" s="949"/>
      <c r="AX6" s="950"/>
      <c r="AY6" s="949"/>
      <c r="AZ6" s="952">
        <v>0.0</v>
      </c>
      <c r="BA6" s="947"/>
      <c r="BB6" s="948"/>
      <c r="BC6" s="949"/>
      <c r="BD6" s="950"/>
      <c r="BE6" s="949"/>
      <c r="BF6" s="952">
        <v>0.0</v>
      </c>
      <c r="BG6" s="947"/>
      <c r="BH6" s="948"/>
      <c r="BI6" s="949"/>
      <c r="BJ6" s="950"/>
      <c r="BK6" s="949"/>
      <c r="BL6" s="952">
        <v>0.0</v>
      </c>
      <c r="BM6" s="947"/>
      <c r="BN6" s="948"/>
      <c r="BO6" s="949"/>
      <c r="BP6" s="950"/>
      <c r="BQ6" s="949"/>
      <c r="BR6" s="952">
        <v>0.0</v>
      </c>
    </row>
    <row r="7" ht="15.75" hidden="1" customHeight="1">
      <c r="A7" s="439"/>
      <c r="B7" s="953"/>
      <c r="C7" s="954" t="s">
        <v>80</v>
      </c>
      <c r="D7" s="955">
        <v>0.0</v>
      </c>
      <c r="E7" s="956"/>
      <c r="F7" s="957"/>
      <c r="G7" s="958"/>
      <c r="H7" s="959"/>
      <c r="I7" s="960"/>
      <c r="J7" s="961">
        <v>0.0</v>
      </c>
      <c r="K7" s="956"/>
      <c r="L7" s="957"/>
      <c r="M7" s="958"/>
      <c r="N7" s="959"/>
      <c r="O7" s="958"/>
      <c r="P7" s="961">
        <v>0.0</v>
      </c>
      <c r="Q7" s="956"/>
      <c r="R7" s="957"/>
      <c r="S7" s="958"/>
      <c r="T7" s="959"/>
      <c r="U7" s="958"/>
      <c r="V7" s="961">
        <v>0.0</v>
      </c>
      <c r="W7" s="956"/>
      <c r="X7" s="957"/>
      <c r="Y7" s="958"/>
      <c r="Z7" s="959"/>
      <c r="AA7" s="960"/>
      <c r="AB7" s="961">
        <v>0.0</v>
      </c>
      <c r="AC7" s="956"/>
      <c r="AD7" s="957"/>
      <c r="AE7" s="958"/>
      <c r="AF7" s="959"/>
      <c r="AG7" s="960"/>
      <c r="AH7" s="961">
        <v>0.0</v>
      </c>
      <c r="AI7" s="956"/>
      <c r="AJ7" s="957"/>
      <c r="AK7" s="958"/>
      <c r="AL7" s="959"/>
      <c r="AM7" s="960"/>
      <c r="AN7" s="961">
        <v>0.0</v>
      </c>
      <c r="AO7" s="956"/>
      <c r="AP7" s="957"/>
      <c r="AQ7" s="958"/>
      <c r="AR7" s="959"/>
      <c r="AS7" s="960"/>
      <c r="AT7" s="961">
        <v>0.0</v>
      </c>
      <c r="AU7" s="956"/>
      <c r="AV7" s="957"/>
      <c r="AW7" s="958"/>
      <c r="AX7" s="959"/>
      <c r="AY7" s="960"/>
      <c r="AZ7" s="961">
        <v>0.0</v>
      </c>
      <c r="BA7" s="956"/>
      <c r="BB7" s="957"/>
      <c r="BC7" s="958"/>
      <c r="BD7" s="959"/>
      <c r="BE7" s="960"/>
      <c r="BF7" s="961">
        <v>0.0</v>
      </c>
      <c r="BG7" s="956"/>
      <c r="BH7" s="957"/>
      <c r="BI7" s="958"/>
      <c r="BJ7" s="959"/>
      <c r="BK7" s="960"/>
      <c r="BL7" s="961">
        <v>0.0</v>
      </c>
      <c r="BM7" s="956"/>
      <c r="BN7" s="957"/>
      <c r="BO7" s="958"/>
      <c r="BP7" s="959"/>
      <c r="BQ7" s="960"/>
      <c r="BR7" s="961">
        <v>0.0</v>
      </c>
    </row>
    <row r="8" ht="15.75" hidden="1" customHeight="1">
      <c r="A8" s="439"/>
      <c r="B8" s="953"/>
      <c r="C8" s="954" t="s">
        <v>87</v>
      </c>
      <c r="D8" s="955">
        <f>D16+D24+D25+D28</f>
        <v>460551</v>
      </c>
      <c r="E8" s="956"/>
      <c r="F8" s="957"/>
      <c r="G8" s="958"/>
      <c r="H8" s="959"/>
      <c r="I8" s="960"/>
      <c r="J8" s="961">
        <f>J16+J24+J25+J28</f>
        <v>460464</v>
      </c>
      <c r="K8" s="956"/>
      <c r="L8" s="957"/>
      <c r="M8" s="958"/>
      <c r="N8" s="959"/>
      <c r="O8" s="958"/>
      <c r="P8" s="961">
        <f>P16+P24+P25+P28</f>
        <v>326383</v>
      </c>
      <c r="Q8" s="956"/>
      <c r="R8" s="957"/>
      <c r="S8" s="958"/>
      <c r="T8" s="959"/>
      <c r="U8" s="958"/>
      <c r="V8" s="961">
        <f>V16+V24+V25+V28</f>
        <v>0</v>
      </c>
      <c r="W8" s="956"/>
      <c r="X8" s="957"/>
      <c r="Y8" s="958"/>
      <c r="Z8" s="959"/>
      <c r="AA8" s="958"/>
      <c r="AB8" s="961">
        <f>AB16+AB24+AB25+AB28</f>
        <v>0</v>
      </c>
      <c r="AC8" s="956"/>
      <c r="AD8" s="957"/>
      <c r="AE8" s="958"/>
      <c r="AF8" s="959"/>
      <c r="AG8" s="958"/>
      <c r="AH8" s="961">
        <f>AH16+AH24+AH25+AH28</f>
        <v>0</v>
      </c>
      <c r="AI8" s="956"/>
      <c r="AJ8" s="957"/>
      <c r="AK8" s="958"/>
      <c r="AL8" s="959"/>
      <c r="AM8" s="958"/>
      <c r="AN8" s="961">
        <f>AN16+AN24+AN25+AN28</f>
        <v>0</v>
      </c>
      <c r="AO8" s="956"/>
      <c r="AP8" s="957"/>
      <c r="AQ8" s="958"/>
      <c r="AR8" s="959"/>
      <c r="AS8" s="958"/>
      <c r="AT8" s="961">
        <f>AT16+AT24+AT25+AT28</f>
        <v>0</v>
      </c>
      <c r="AU8" s="956"/>
      <c r="AV8" s="957"/>
      <c r="AW8" s="958"/>
      <c r="AX8" s="959"/>
      <c r="AY8" s="958"/>
      <c r="AZ8" s="961">
        <f>AZ16+AZ24+AZ25+AZ28</f>
        <v>0</v>
      </c>
      <c r="BA8" s="956"/>
      <c r="BB8" s="957"/>
      <c r="BC8" s="958"/>
      <c r="BD8" s="959"/>
      <c r="BE8" s="958"/>
      <c r="BF8" s="961">
        <f>BF16+BF24+BF25+BF28</f>
        <v>0</v>
      </c>
      <c r="BG8" s="956"/>
      <c r="BH8" s="957"/>
      <c r="BI8" s="958"/>
      <c r="BJ8" s="959"/>
      <c r="BK8" s="958"/>
      <c r="BL8" s="961">
        <f>BL16+BL24+BL25+BL28</f>
        <v>0</v>
      </c>
      <c r="BM8" s="956"/>
      <c r="BN8" s="957"/>
      <c r="BO8" s="958"/>
      <c r="BP8" s="959"/>
      <c r="BQ8" s="958"/>
      <c r="BR8" s="961">
        <f>BR16+BR24+BR25+BR28</f>
        <v>0</v>
      </c>
    </row>
    <row r="9" ht="15.75" hidden="1" customHeight="1">
      <c r="A9" s="439"/>
      <c r="B9" s="953"/>
      <c r="C9" s="954" t="s">
        <v>94</v>
      </c>
      <c r="D9" s="955">
        <f>D17+D18+D20+D21</f>
        <v>49978.82</v>
      </c>
      <c r="E9" s="956"/>
      <c r="F9" s="957"/>
      <c r="G9" s="958"/>
      <c r="H9" s="959"/>
      <c r="I9" s="960"/>
      <c r="J9" s="961">
        <f>J17+J18+J20+J21</f>
        <v>0</v>
      </c>
      <c r="K9" s="956"/>
      <c r="L9" s="957"/>
      <c r="M9" s="958"/>
      <c r="N9" s="959"/>
      <c r="O9" s="958"/>
      <c r="P9" s="961">
        <f>P17+P18+P20+P21</f>
        <v>0</v>
      </c>
      <c r="Q9" s="956"/>
      <c r="R9" s="957"/>
      <c r="S9" s="958"/>
      <c r="T9" s="959"/>
      <c r="U9" s="958"/>
      <c r="V9" s="961">
        <f>V17+V18+V20+V21</f>
        <v>0</v>
      </c>
      <c r="W9" s="956"/>
      <c r="X9" s="957"/>
      <c r="Y9" s="958"/>
      <c r="Z9" s="959"/>
      <c r="AA9" s="958"/>
      <c r="AB9" s="961">
        <f>AB17+AB18+AB20+AB21</f>
        <v>0</v>
      </c>
      <c r="AC9" s="956"/>
      <c r="AD9" s="957"/>
      <c r="AE9" s="958"/>
      <c r="AF9" s="959"/>
      <c r="AG9" s="958"/>
      <c r="AH9" s="961">
        <f>AH17+AH18+AH20+AH21</f>
        <v>0</v>
      </c>
      <c r="AI9" s="956"/>
      <c r="AJ9" s="957"/>
      <c r="AK9" s="958"/>
      <c r="AL9" s="959"/>
      <c r="AM9" s="958"/>
      <c r="AN9" s="961">
        <f>AN17+AN18+AN20+AN21</f>
        <v>0</v>
      </c>
      <c r="AO9" s="956"/>
      <c r="AP9" s="957"/>
      <c r="AQ9" s="958"/>
      <c r="AR9" s="959"/>
      <c r="AS9" s="958"/>
      <c r="AT9" s="961">
        <f>AT17+AT18+AT20+AT21</f>
        <v>0</v>
      </c>
      <c r="AU9" s="956"/>
      <c r="AV9" s="957"/>
      <c r="AW9" s="958"/>
      <c r="AX9" s="959"/>
      <c r="AY9" s="958"/>
      <c r="AZ9" s="961">
        <f>AZ17+AZ18+AZ20+AZ21</f>
        <v>0</v>
      </c>
      <c r="BA9" s="956"/>
      <c r="BB9" s="957"/>
      <c r="BC9" s="958"/>
      <c r="BD9" s="959"/>
      <c r="BE9" s="958"/>
      <c r="BF9" s="961">
        <f>BF17+BF18+BF20+BF21</f>
        <v>0</v>
      </c>
      <c r="BG9" s="956"/>
      <c r="BH9" s="957"/>
      <c r="BI9" s="958"/>
      <c r="BJ9" s="959"/>
      <c r="BK9" s="958"/>
      <c r="BL9" s="961">
        <f>BL17+BL18+BL20+BL21</f>
        <v>0</v>
      </c>
      <c r="BM9" s="956"/>
      <c r="BN9" s="957"/>
      <c r="BO9" s="958"/>
      <c r="BP9" s="959"/>
      <c r="BQ9" s="958"/>
      <c r="BR9" s="961">
        <f>BR17+BR18+BR20+BR21</f>
        <v>0</v>
      </c>
    </row>
    <row r="10" ht="15.75" hidden="1" customHeight="1">
      <c r="A10" s="439"/>
      <c r="B10" s="953"/>
      <c r="C10" s="954" t="s">
        <v>101</v>
      </c>
      <c r="D10" s="955">
        <f>SUM(D8:D9)-D29</f>
        <v>0</v>
      </c>
      <c r="E10" s="956"/>
      <c r="F10" s="957"/>
      <c r="G10" s="958"/>
      <c r="H10" s="959"/>
      <c r="I10" s="960"/>
      <c r="J10" s="961">
        <f>SUM(J8:J9)-J29</f>
        <v>0</v>
      </c>
      <c r="K10" s="956"/>
      <c r="L10" s="957"/>
      <c r="M10" s="958"/>
      <c r="N10" s="959"/>
      <c r="O10" s="958"/>
      <c r="P10" s="961">
        <f>SUM(P8:P9)-P29</f>
        <v>0</v>
      </c>
      <c r="Q10" s="956"/>
      <c r="R10" s="957"/>
      <c r="S10" s="958"/>
      <c r="T10" s="959"/>
      <c r="U10" s="958"/>
      <c r="V10" s="961">
        <f>SUM(V8:V9)-V29</f>
        <v>0</v>
      </c>
      <c r="W10" s="956"/>
      <c r="X10" s="957"/>
      <c r="Y10" s="958"/>
      <c r="Z10" s="959"/>
      <c r="AA10" s="958"/>
      <c r="AB10" s="961">
        <f>SUM(AB8:AB9)-AB29</f>
        <v>0</v>
      </c>
      <c r="AC10" s="956"/>
      <c r="AD10" s="957"/>
      <c r="AE10" s="958"/>
      <c r="AF10" s="959"/>
      <c r="AG10" s="958"/>
      <c r="AH10" s="961">
        <f>SUM(AH8:AH9)-AH29</f>
        <v>0</v>
      </c>
      <c r="AI10" s="956"/>
      <c r="AJ10" s="957"/>
      <c r="AK10" s="958"/>
      <c r="AL10" s="959"/>
      <c r="AM10" s="958"/>
      <c r="AN10" s="961">
        <f>SUM(AN8:AN9)-AN29</f>
        <v>0</v>
      </c>
      <c r="AO10" s="956"/>
      <c r="AP10" s="957"/>
      <c r="AQ10" s="958"/>
      <c r="AR10" s="959"/>
      <c r="AS10" s="958"/>
      <c r="AT10" s="961">
        <f>SUM(AT8:AT9)-AT29</f>
        <v>0</v>
      </c>
      <c r="AU10" s="956"/>
      <c r="AV10" s="957"/>
      <c r="AW10" s="958"/>
      <c r="AX10" s="959"/>
      <c r="AY10" s="958"/>
      <c r="AZ10" s="961">
        <f>SUM(AZ8:AZ9)-AZ29</f>
        <v>0</v>
      </c>
      <c r="BA10" s="956"/>
      <c r="BB10" s="957"/>
      <c r="BC10" s="958"/>
      <c r="BD10" s="959"/>
      <c r="BE10" s="958"/>
      <c r="BF10" s="961">
        <f>SUM(BF8:BF9)-BF29</f>
        <v>0</v>
      </c>
      <c r="BG10" s="956"/>
      <c r="BH10" s="957"/>
      <c r="BI10" s="958"/>
      <c r="BJ10" s="959"/>
      <c r="BK10" s="958"/>
      <c r="BL10" s="961">
        <f>SUM(BL8:BL9)-BL29</f>
        <v>0</v>
      </c>
      <c r="BM10" s="956"/>
      <c r="BN10" s="957"/>
      <c r="BO10" s="958"/>
      <c r="BP10" s="959"/>
      <c r="BQ10" s="958"/>
      <c r="BR10" s="961">
        <f>SUM(BR8:BR9)-BR29</f>
        <v>0</v>
      </c>
    </row>
    <row r="11" ht="15.75" hidden="1" customHeight="1">
      <c r="A11" s="439"/>
      <c r="B11" s="953"/>
      <c r="C11" s="954" t="s">
        <v>108</v>
      </c>
      <c r="D11" s="955"/>
      <c r="E11" s="956"/>
      <c r="F11" s="957"/>
      <c r="G11" s="958"/>
      <c r="H11" s="959"/>
      <c r="I11" s="960"/>
      <c r="J11" s="961"/>
      <c r="K11" s="956"/>
      <c r="L11" s="957"/>
      <c r="M11" s="958"/>
      <c r="N11" s="959"/>
      <c r="O11" s="958"/>
      <c r="P11" s="961"/>
      <c r="Q11" s="956"/>
      <c r="R11" s="957"/>
      <c r="S11" s="958"/>
      <c r="T11" s="959"/>
      <c r="U11" s="958"/>
      <c r="V11" s="961"/>
      <c r="W11" s="956"/>
      <c r="X11" s="957"/>
      <c r="Y11" s="958"/>
      <c r="Z11" s="959"/>
      <c r="AA11" s="958"/>
      <c r="AB11" s="961"/>
      <c r="AC11" s="956"/>
      <c r="AD11" s="957"/>
      <c r="AE11" s="958"/>
      <c r="AF11" s="959"/>
      <c r="AG11" s="958"/>
      <c r="AH11" s="961"/>
      <c r="AI11" s="956"/>
      <c r="AJ11" s="957"/>
      <c r="AK11" s="958"/>
      <c r="AL11" s="959"/>
      <c r="AM11" s="958"/>
      <c r="AN11" s="961"/>
      <c r="AO11" s="956"/>
      <c r="AP11" s="957"/>
      <c r="AQ11" s="958"/>
      <c r="AR11" s="959"/>
      <c r="AS11" s="958"/>
      <c r="AT11" s="961"/>
      <c r="AU11" s="956"/>
      <c r="AV11" s="957"/>
      <c r="AW11" s="958"/>
      <c r="AX11" s="959"/>
      <c r="AY11" s="958"/>
      <c r="AZ11" s="961"/>
      <c r="BA11" s="956"/>
      <c r="BB11" s="957"/>
      <c r="BC11" s="958"/>
      <c r="BD11" s="959"/>
      <c r="BE11" s="958"/>
      <c r="BF11" s="961"/>
      <c r="BG11" s="956"/>
      <c r="BH11" s="957"/>
      <c r="BI11" s="958"/>
      <c r="BJ11" s="959"/>
      <c r="BK11" s="958"/>
      <c r="BL11" s="961"/>
      <c r="BM11" s="956"/>
      <c r="BN11" s="957"/>
      <c r="BO11" s="958"/>
      <c r="BP11" s="959"/>
      <c r="BQ11" s="958"/>
      <c r="BR11" s="961"/>
    </row>
    <row r="12" ht="15.75" hidden="1" customHeight="1">
      <c r="A12" s="439"/>
      <c r="B12" s="953"/>
      <c r="C12" s="954" t="s">
        <v>115</v>
      </c>
      <c r="D12" s="955"/>
      <c r="E12" s="956"/>
      <c r="F12" s="957"/>
      <c r="G12" s="958"/>
      <c r="H12" s="959"/>
      <c r="I12" s="960"/>
      <c r="J12" s="961"/>
      <c r="K12" s="956"/>
      <c r="L12" s="957"/>
      <c r="M12" s="958"/>
      <c r="N12" s="959"/>
      <c r="O12" s="958"/>
      <c r="P12" s="961"/>
      <c r="Q12" s="956"/>
      <c r="R12" s="957"/>
      <c r="S12" s="958"/>
      <c r="T12" s="959"/>
      <c r="U12" s="958"/>
      <c r="V12" s="961"/>
      <c r="W12" s="956"/>
      <c r="X12" s="957"/>
      <c r="Y12" s="958"/>
      <c r="Z12" s="959"/>
      <c r="AA12" s="958"/>
      <c r="AB12" s="961"/>
      <c r="AC12" s="956"/>
      <c r="AD12" s="957"/>
      <c r="AE12" s="958"/>
      <c r="AF12" s="959"/>
      <c r="AG12" s="958"/>
      <c r="AH12" s="961"/>
      <c r="AI12" s="956"/>
      <c r="AJ12" s="957"/>
      <c r="AK12" s="958"/>
      <c r="AL12" s="959"/>
      <c r="AM12" s="958"/>
      <c r="AN12" s="961"/>
      <c r="AO12" s="956"/>
      <c r="AP12" s="957"/>
      <c r="AQ12" s="958"/>
      <c r="AR12" s="959"/>
      <c r="AS12" s="958"/>
      <c r="AT12" s="961"/>
      <c r="AU12" s="956"/>
      <c r="AV12" s="957"/>
      <c r="AW12" s="958"/>
      <c r="AX12" s="959"/>
      <c r="AY12" s="958"/>
      <c r="AZ12" s="961"/>
      <c r="BA12" s="956"/>
      <c r="BB12" s="957"/>
      <c r="BC12" s="958"/>
      <c r="BD12" s="959"/>
      <c r="BE12" s="958"/>
      <c r="BF12" s="961"/>
      <c r="BG12" s="956"/>
      <c r="BH12" s="957"/>
      <c r="BI12" s="958"/>
      <c r="BJ12" s="959"/>
      <c r="BK12" s="958"/>
      <c r="BL12" s="961"/>
      <c r="BM12" s="956"/>
      <c r="BN12" s="957"/>
      <c r="BO12" s="958"/>
      <c r="BP12" s="959"/>
      <c r="BQ12" s="958"/>
      <c r="BR12" s="961"/>
    </row>
    <row r="13" ht="15.75" hidden="1" customHeight="1">
      <c r="A13" s="439"/>
      <c r="B13" s="469"/>
      <c r="C13" s="465"/>
      <c r="D13" s="955"/>
      <c r="E13" s="962"/>
      <c r="F13" s="957"/>
      <c r="G13" s="52"/>
      <c r="H13" s="959"/>
      <c r="I13" s="46"/>
      <c r="J13" s="961"/>
      <c r="K13" s="962"/>
      <c r="L13" s="957"/>
      <c r="M13" s="52"/>
      <c r="N13" s="959"/>
      <c r="O13" s="52"/>
      <c r="P13" s="961"/>
      <c r="Q13" s="962"/>
      <c r="R13" s="957"/>
      <c r="S13" s="52"/>
      <c r="T13" s="959"/>
      <c r="U13" s="52"/>
      <c r="V13" s="961"/>
      <c r="W13" s="962"/>
      <c r="X13" s="957"/>
      <c r="Y13" s="52"/>
      <c r="Z13" s="959"/>
      <c r="AA13" s="52"/>
      <c r="AB13" s="961"/>
      <c r="AC13" s="962"/>
      <c r="AD13" s="957"/>
      <c r="AE13" s="52"/>
      <c r="AF13" s="959"/>
      <c r="AG13" s="52"/>
      <c r="AH13" s="961"/>
      <c r="AI13" s="962"/>
      <c r="AJ13" s="957"/>
      <c r="AK13" s="52"/>
      <c r="AL13" s="959"/>
      <c r="AM13" s="52"/>
      <c r="AN13" s="961"/>
      <c r="AO13" s="962"/>
      <c r="AP13" s="957"/>
      <c r="AQ13" s="52"/>
      <c r="AR13" s="959"/>
      <c r="AS13" s="52"/>
      <c r="AT13" s="961"/>
      <c r="AU13" s="962"/>
      <c r="AV13" s="957"/>
      <c r="AW13" s="52"/>
      <c r="AX13" s="959"/>
      <c r="AY13" s="52"/>
      <c r="AZ13" s="961"/>
      <c r="BA13" s="962"/>
      <c r="BB13" s="957"/>
      <c r="BC13" s="52"/>
      <c r="BD13" s="959"/>
      <c r="BE13" s="52"/>
      <c r="BF13" s="961"/>
      <c r="BG13" s="962"/>
      <c r="BH13" s="957"/>
      <c r="BI13" s="52"/>
      <c r="BJ13" s="959"/>
      <c r="BK13" s="52"/>
      <c r="BL13" s="961"/>
      <c r="BM13" s="962"/>
      <c r="BN13" s="957"/>
      <c r="BO13" s="52"/>
      <c r="BP13" s="959"/>
      <c r="BQ13" s="52"/>
      <c r="BR13" s="961"/>
    </row>
    <row r="14" ht="15.75" hidden="1" customHeight="1">
      <c r="A14" s="439"/>
      <c r="B14" s="543"/>
      <c r="C14" s="483"/>
      <c r="D14" s="963"/>
      <c r="E14" s="964"/>
      <c r="F14" s="965"/>
      <c r="G14" s="64"/>
      <c r="H14" s="966"/>
      <c r="I14" s="58"/>
      <c r="J14" s="967"/>
      <c r="K14" s="964"/>
      <c r="L14" s="965"/>
      <c r="M14" s="64"/>
      <c r="N14" s="966"/>
      <c r="O14" s="64"/>
      <c r="P14" s="967"/>
      <c r="Q14" s="964"/>
      <c r="R14" s="965"/>
      <c r="S14" s="64"/>
      <c r="T14" s="966"/>
      <c r="U14" s="64"/>
      <c r="V14" s="967"/>
      <c r="W14" s="964"/>
      <c r="X14" s="965"/>
      <c r="Y14" s="64"/>
      <c r="Z14" s="966"/>
      <c r="AA14" s="64"/>
      <c r="AB14" s="967"/>
      <c r="AC14" s="964"/>
      <c r="AD14" s="965"/>
      <c r="AE14" s="64"/>
      <c r="AF14" s="966"/>
      <c r="AG14" s="64"/>
      <c r="AH14" s="967"/>
      <c r="AI14" s="964"/>
      <c r="AJ14" s="965"/>
      <c r="AK14" s="64"/>
      <c r="AL14" s="966"/>
      <c r="AM14" s="64"/>
      <c r="AN14" s="967"/>
      <c r="AO14" s="964"/>
      <c r="AP14" s="965"/>
      <c r="AQ14" s="64"/>
      <c r="AR14" s="966"/>
      <c r="AS14" s="64"/>
      <c r="AT14" s="967"/>
      <c r="AU14" s="964"/>
      <c r="AV14" s="965"/>
      <c r="AW14" s="64"/>
      <c r="AX14" s="966"/>
      <c r="AY14" s="64"/>
      <c r="AZ14" s="967"/>
      <c r="BA14" s="964"/>
      <c r="BB14" s="965"/>
      <c r="BC14" s="64"/>
      <c r="BD14" s="966"/>
      <c r="BE14" s="64"/>
      <c r="BF14" s="967"/>
      <c r="BG14" s="964"/>
      <c r="BH14" s="965"/>
      <c r="BI14" s="64"/>
      <c r="BJ14" s="966"/>
      <c r="BK14" s="64"/>
      <c r="BL14" s="967"/>
      <c r="BM14" s="964"/>
      <c r="BN14" s="965"/>
      <c r="BO14" s="64"/>
      <c r="BP14" s="966"/>
      <c r="BQ14" s="64"/>
      <c r="BR14" s="967"/>
    </row>
    <row r="15" ht="15.75" customHeight="1">
      <c r="A15" s="439"/>
      <c r="B15" s="968" t="s">
        <v>170</v>
      </c>
      <c r="C15" s="490" t="s">
        <v>329</v>
      </c>
      <c r="D15" s="858">
        <f>SUM(D16:D21)</f>
        <v>510529.82</v>
      </c>
      <c r="E15" s="969"/>
      <c r="F15" s="874"/>
      <c r="G15" s="875"/>
      <c r="H15" s="876"/>
      <c r="I15" s="875"/>
      <c r="J15" s="858">
        <f>SUM(J16:J20)</f>
        <v>460464</v>
      </c>
      <c r="K15" s="969"/>
      <c r="L15" s="874"/>
      <c r="M15" s="875"/>
      <c r="N15" s="876"/>
      <c r="O15" s="875"/>
      <c r="P15" s="858">
        <f>SUM(P16:P20)</f>
        <v>326383</v>
      </c>
      <c r="Q15" s="969"/>
      <c r="R15" s="874"/>
      <c r="S15" s="875"/>
      <c r="T15" s="876"/>
      <c r="U15" s="875"/>
      <c r="V15" s="858">
        <f>SUM(V16:V20)</f>
        <v>0</v>
      </c>
      <c r="W15" s="969"/>
      <c r="X15" s="874"/>
      <c r="Y15" s="875"/>
      <c r="Z15" s="876"/>
      <c r="AA15" s="875"/>
      <c r="AB15" s="858">
        <f>SUM(AB16:AB20)</f>
        <v>0</v>
      </c>
      <c r="AC15" s="969"/>
      <c r="AD15" s="874"/>
      <c r="AE15" s="875"/>
      <c r="AF15" s="876"/>
      <c r="AG15" s="875"/>
      <c r="AH15" s="858">
        <f>SUM(AH16:AH20)</f>
        <v>0</v>
      </c>
      <c r="AI15" s="969"/>
      <c r="AJ15" s="874"/>
      <c r="AK15" s="875"/>
      <c r="AL15" s="876"/>
      <c r="AM15" s="875"/>
      <c r="AN15" s="858">
        <f>SUM(AN16:AN20)</f>
        <v>0</v>
      </c>
      <c r="AO15" s="969"/>
      <c r="AP15" s="874"/>
      <c r="AQ15" s="875"/>
      <c r="AR15" s="876"/>
      <c r="AS15" s="875"/>
      <c r="AT15" s="858">
        <f>SUM(AT16:AT20)</f>
        <v>0</v>
      </c>
      <c r="AU15" s="969"/>
      <c r="AV15" s="874"/>
      <c r="AW15" s="875"/>
      <c r="AX15" s="876"/>
      <c r="AY15" s="875"/>
      <c r="AZ15" s="858">
        <f>SUM(AZ16:AZ20)</f>
        <v>0</v>
      </c>
      <c r="BA15" s="969"/>
      <c r="BB15" s="874"/>
      <c r="BC15" s="875"/>
      <c r="BD15" s="876"/>
      <c r="BE15" s="875"/>
      <c r="BF15" s="858">
        <f>SUM(BF16:BF20)</f>
        <v>0</v>
      </c>
      <c r="BG15" s="969"/>
      <c r="BH15" s="874"/>
      <c r="BI15" s="875"/>
      <c r="BJ15" s="876"/>
      <c r="BK15" s="875"/>
      <c r="BL15" s="858">
        <f>SUM(BL16:BL20)</f>
        <v>0</v>
      </c>
      <c r="BM15" s="969"/>
      <c r="BN15" s="874"/>
      <c r="BO15" s="875"/>
      <c r="BP15" s="876"/>
      <c r="BQ15" s="875"/>
      <c r="BR15" s="858">
        <f>SUM(BR16:BR20)</f>
        <v>0</v>
      </c>
    </row>
    <row r="16" ht="15.75" customHeight="1">
      <c r="A16" s="439"/>
      <c r="B16" s="461" t="s">
        <v>23</v>
      </c>
      <c r="C16" s="497" t="s">
        <v>345</v>
      </c>
      <c r="D16" s="946">
        <f>208061+212122+40368</f>
        <v>460551</v>
      </c>
      <c r="E16" s="970"/>
      <c r="F16" s="948"/>
      <c r="G16" s="41"/>
      <c r="H16" s="950">
        <f>D16-F16</f>
        <v>460551</v>
      </c>
      <c r="I16" s="29"/>
      <c r="J16" s="952">
        <f>240517+219947</f>
        <v>460464</v>
      </c>
      <c r="K16" s="970"/>
      <c r="L16" s="948"/>
      <c r="M16" s="41"/>
      <c r="N16" s="950">
        <f>J16-L16</f>
        <v>460464</v>
      </c>
      <c r="O16" s="41"/>
      <c r="P16" s="971">
        <v>326383.0</v>
      </c>
      <c r="Q16" s="972"/>
      <c r="R16" s="948"/>
      <c r="S16" s="41"/>
      <c r="T16" s="950">
        <f>P16-R16</f>
        <v>326383</v>
      </c>
      <c r="U16" s="41"/>
      <c r="V16" s="971"/>
      <c r="W16" s="972"/>
      <c r="X16" s="948"/>
      <c r="Y16" s="41"/>
      <c r="Z16" s="950"/>
      <c r="AA16" s="41"/>
      <c r="AB16" s="971"/>
      <c r="AC16" s="972"/>
      <c r="AD16" s="948"/>
      <c r="AE16" s="41"/>
      <c r="AF16" s="950">
        <f>AB16-AD16</f>
        <v>0</v>
      </c>
      <c r="AG16" s="41"/>
      <c r="AH16" s="971"/>
      <c r="AI16" s="972"/>
      <c r="AJ16" s="948"/>
      <c r="AK16" s="41"/>
      <c r="AL16" s="950">
        <f>AH16-AJ16</f>
        <v>0</v>
      </c>
      <c r="AM16" s="41"/>
      <c r="AN16" s="971"/>
      <c r="AO16" s="972"/>
      <c r="AP16" s="948"/>
      <c r="AQ16" s="41"/>
      <c r="AR16" s="950">
        <f>AN16-AP16</f>
        <v>0</v>
      </c>
      <c r="AS16" s="41"/>
      <c r="AT16" s="971"/>
      <c r="AU16" s="972"/>
      <c r="AV16" s="948"/>
      <c r="AW16" s="41"/>
      <c r="AX16" s="950">
        <f>AT16-AV16</f>
        <v>0</v>
      </c>
      <c r="AY16" s="41"/>
      <c r="AZ16" s="971"/>
      <c r="BA16" s="972"/>
      <c r="BB16" s="948"/>
      <c r="BC16" s="41"/>
      <c r="BD16" s="950">
        <f>AZ16-BB16</f>
        <v>0</v>
      </c>
      <c r="BE16" s="41"/>
      <c r="BF16" s="971"/>
      <c r="BG16" s="972"/>
      <c r="BH16" s="948"/>
      <c r="BI16" s="41"/>
      <c r="BJ16" s="950">
        <f>BF16-BH16</f>
        <v>0</v>
      </c>
      <c r="BK16" s="41"/>
      <c r="BL16" s="971"/>
      <c r="BM16" s="972"/>
      <c r="BN16" s="948"/>
      <c r="BO16" s="41"/>
      <c r="BP16" s="950">
        <f>BL16-BN16</f>
        <v>0</v>
      </c>
      <c r="BQ16" s="41"/>
      <c r="BR16" s="971"/>
    </row>
    <row r="17" ht="15.75" customHeight="1">
      <c r="A17" s="439"/>
      <c r="B17" s="465"/>
      <c r="C17" s="465"/>
      <c r="D17" s="955"/>
      <c r="E17" s="962"/>
      <c r="F17" s="957"/>
      <c r="G17" s="52"/>
      <c r="H17" s="959"/>
      <c r="I17" s="46"/>
      <c r="J17" s="961"/>
      <c r="K17" s="962"/>
      <c r="L17" s="957"/>
      <c r="M17" s="52"/>
      <c r="N17" s="959"/>
      <c r="O17" s="52"/>
      <c r="P17" s="847"/>
      <c r="Q17" s="973"/>
      <c r="R17" s="957"/>
      <c r="S17" s="52"/>
      <c r="T17" s="959"/>
      <c r="U17" s="52"/>
      <c r="V17" s="847"/>
      <c r="W17" s="973"/>
      <c r="X17" s="957"/>
      <c r="Y17" s="52"/>
      <c r="Z17" s="959"/>
      <c r="AA17" s="52"/>
      <c r="AB17" s="847"/>
      <c r="AC17" s="973"/>
      <c r="AD17" s="957"/>
      <c r="AE17" s="52"/>
      <c r="AF17" s="959"/>
      <c r="AG17" s="52"/>
      <c r="AH17" s="847"/>
      <c r="AI17" s="973"/>
      <c r="AJ17" s="957"/>
      <c r="AK17" s="52"/>
      <c r="AL17" s="959"/>
      <c r="AM17" s="52"/>
      <c r="AN17" s="847"/>
      <c r="AO17" s="973"/>
      <c r="AP17" s="957"/>
      <c r="AQ17" s="52"/>
      <c r="AR17" s="959"/>
      <c r="AS17" s="52"/>
      <c r="AT17" s="847"/>
      <c r="AU17" s="973"/>
      <c r="AV17" s="957"/>
      <c r="AW17" s="52"/>
      <c r="AX17" s="959"/>
      <c r="AY17" s="52"/>
      <c r="AZ17" s="847"/>
      <c r="BA17" s="973"/>
      <c r="BB17" s="957"/>
      <c r="BC17" s="52"/>
      <c r="BD17" s="959"/>
      <c r="BE17" s="52"/>
      <c r="BF17" s="847"/>
      <c r="BG17" s="973"/>
      <c r="BH17" s="957"/>
      <c r="BI17" s="52"/>
      <c r="BJ17" s="959"/>
      <c r="BK17" s="52"/>
      <c r="BL17" s="847"/>
      <c r="BM17" s="973"/>
      <c r="BN17" s="957"/>
      <c r="BO17" s="52"/>
      <c r="BP17" s="959"/>
      <c r="BQ17" s="52"/>
      <c r="BR17" s="847"/>
    </row>
    <row r="18" ht="15.75" customHeight="1">
      <c r="A18" s="439"/>
      <c r="B18" s="465"/>
      <c r="C18" s="465" t="s">
        <v>346</v>
      </c>
      <c r="D18" s="955">
        <v>25840.0</v>
      </c>
      <c r="E18" s="962"/>
      <c r="F18" s="957"/>
      <c r="G18" s="52"/>
      <c r="H18" s="959"/>
      <c r="I18" s="46"/>
      <c r="J18" s="961">
        <v>0.0</v>
      </c>
      <c r="K18" s="962"/>
      <c r="L18" s="957"/>
      <c r="M18" s="52"/>
      <c r="N18" s="959"/>
      <c r="O18" s="52"/>
      <c r="P18" s="870">
        <v>0.0</v>
      </c>
      <c r="Q18" s="973"/>
      <c r="R18" s="957"/>
      <c r="S18" s="52"/>
      <c r="T18" s="959"/>
      <c r="U18" s="52"/>
      <c r="V18" s="847"/>
      <c r="W18" s="973"/>
      <c r="X18" s="957"/>
      <c r="Y18" s="52"/>
      <c r="Z18" s="959"/>
      <c r="AA18" s="52"/>
      <c r="AB18" s="847"/>
      <c r="AC18" s="973"/>
      <c r="AD18" s="957"/>
      <c r="AE18" s="52"/>
      <c r="AF18" s="959"/>
      <c r="AG18" s="52"/>
      <c r="AH18" s="847"/>
      <c r="AI18" s="973"/>
      <c r="AJ18" s="957"/>
      <c r="AK18" s="52"/>
      <c r="AL18" s="959"/>
      <c r="AM18" s="52"/>
      <c r="AN18" s="847"/>
      <c r="AO18" s="973"/>
      <c r="AP18" s="957"/>
      <c r="AQ18" s="52"/>
      <c r="AR18" s="959"/>
      <c r="AS18" s="52"/>
      <c r="AT18" s="847"/>
      <c r="AU18" s="973"/>
      <c r="AV18" s="957"/>
      <c r="AW18" s="52"/>
      <c r="AX18" s="959"/>
      <c r="AY18" s="52"/>
      <c r="AZ18" s="847"/>
      <c r="BA18" s="973"/>
      <c r="BB18" s="957"/>
      <c r="BC18" s="52"/>
      <c r="BD18" s="959"/>
      <c r="BE18" s="52"/>
      <c r="BF18" s="847"/>
      <c r="BG18" s="973"/>
      <c r="BH18" s="957"/>
      <c r="BI18" s="52"/>
      <c r="BJ18" s="959"/>
      <c r="BK18" s="52"/>
      <c r="BL18" s="847"/>
      <c r="BM18" s="973"/>
      <c r="BN18" s="957"/>
      <c r="BO18" s="52"/>
      <c r="BP18" s="959"/>
      <c r="BQ18" s="52"/>
      <c r="BR18" s="847"/>
    </row>
    <row r="19" ht="15.75" customHeight="1">
      <c r="A19" s="439"/>
      <c r="B19" s="465"/>
      <c r="C19" s="465"/>
      <c r="D19" s="955"/>
      <c r="E19" s="962"/>
      <c r="F19" s="957"/>
      <c r="G19" s="52"/>
      <c r="H19" s="959"/>
      <c r="I19" s="46"/>
      <c r="J19" s="961"/>
      <c r="K19" s="962"/>
      <c r="L19" s="957"/>
      <c r="M19" s="52"/>
      <c r="N19" s="959"/>
      <c r="O19" s="52"/>
      <c r="P19" s="847"/>
      <c r="Q19" s="973"/>
      <c r="R19" s="957"/>
      <c r="S19" s="52"/>
      <c r="T19" s="959"/>
      <c r="U19" s="52"/>
      <c r="V19" s="847"/>
      <c r="W19" s="973"/>
      <c r="X19" s="957"/>
      <c r="Y19" s="52"/>
      <c r="Z19" s="959"/>
      <c r="AA19" s="52"/>
      <c r="AB19" s="847"/>
      <c r="AC19" s="973"/>
      <c r="AD19" s="957"/>
      <c r="AE19" s="52"/>
      <c r="AF19" s="959"/>
      <c r="AG19" s="52"/>
      <c r="AH19" s="847"/>
      <c r="AI19" s="973"/>
      <c r="AJ19" s="957"/>
      <c r="AK19" s="52"/>
      <c r="AL19" s="959"/>
      <c r="AM19" s="52"/>
      <c r="AN19" s="847"/>
      <c r="AO19" s="973"/>
      <c r="AP19" s="957"/>
      <c r="AQ19" s="52"/>
      <c r="AR19" s="959"/>
      <c r="AS19" s="52"/>
      <c r="AT19" s="847"/>
      <c r="AU19" s="973"/>
      <c r="AV19" s="957"/>
      <c r="AW19" s="52"/>
      <c r="AX19" s="959"/>
      <c r="AY19" s="52"/>
      <c r="AZ19" s="847"/>
      <c r="BA19" s="973"/>
      <c r="BB19" s="957"/>
      <c r="BC19" s="52"/>
      <c r="BD19" s="959"/>
      <c r="BE19" s="52"/>
      <c r="BF19" s="847"/>
      <c r="BG19" s="973"/>
      <c r="BH19" s="957"/>
      <c r="BI19" s="52"/>
      <c r="BJ19" s="959"/>
      <c r="BK19" s="52"/>
      <c r="BL19" s="847"/>
      <c r="BM19" s="973"/>
      <c r="BN19" s="957"/>
      <c r="BO19" s="52"/>
      <c r="BP19" s="959"/>
      <c r="BQ19" s="52"/>
      <c r="BR19" s="847"/>
    </row>
    <row r="20" ht="15.75" customHeight="1">
      <c r="A20" s="439"/>
      <c r="B20" s="465"/>
      <c r="C20" s="845" t="s">
        <v>175</v>
      </c>
      <c r="D20" s="955">
        <f>10268.05+85</f>
        <v>10353.05</v>
      </c>
      <c r="E20" s="962"/>
      <c r="F20" s="957"/>
      <c r="G20" s="52"/>
      <c r="H20" s="959"/>
      <c r="I20" s="46"/>
      <c r="J20" s="974">
        <v>0.0</v>
      </c>
      <c r="K20" s="962"/>
      <c r="L20" s="957"/>
      <c r="M20" s="52"/>
      <c r="N20" s="959"/>
      <c r="O20" s="52"/>
      <c r="P20" s="870">
        <v>0.0</v>
      </c>
      <c r="Q20" s="973"/>
      <c r="R20" s="957"/>
      <c r="S20" s="52"/>
      <c r="T20" s="959"/>
      <c r="U20" s="52"/>
      <c r="V20" s="847"/>
      <c r="W20" s="973"/>
      <c r="X20" s="957"/>
      <c r="Y20" s="52"/>
      <c r="Z20" s="959"/>
      <c r="AA20" s="52"/>
      <c r="AB20" s="847"/>
      <c r="AC20" s="973"/>
      <c r="AD20" s="957"/>
      <c r="AE20" s="52"/>
      <c r="AF20" s="959"/>
      <c r="AG20" s="52"/>
      <c r="AH20" s="847"/>
      <c r="AI20" s="973"/>
      <c r="AJ20" s="957"/>
      <c r="AK20" s="52"/>
      <c r="AL20" s="959"/>
      <c r="AM20" s="52"/>
      <c r="AN20" s="847"/>
      <c r="AO20" s="973"/>
      <c r="AP20" s="957"/>
      <c r="AQ20" s="52"/>
      <c r="AR20" s="959"/>
      <c r="AS20" s="52"/>
      <c r="AT20" s="847"/>
      <c r="AU20" s="973"/>
      <c r="AV20" s="957"/>
      <c r="AW20" s="52"/>
      <c r="AX20" s="959"/>
      <c r="AY20" s="52"/>
      <c r="AZ20" s="847"/>
      <c r="BA20" s="973"/>
      <c r="BB20" s="957"/>
      <c r="BC20" s="52"/>
      <c r="BD20" s="959"/>
      <c r="BE20" s="52"/>
      <c r="BF20" s="847"/>
      <c r="BG20" s="973"/>
      <c r="BH20" s="957"/>
      <c r="BI20" s="52"/>
      <c r="BJ20" s="959"/>
      <c r="BK20" s="52"/>
      <c r="BL20" s="847"/>
      <c r="BM20" s="973"/>
      <c r="BN20" s="957"/>
      <c r="BO20" s="52"/>
      <c r="BP20" s="959"/>
      <c r="BQ20" s="52"/>
      <c r="BR20" s="847"/>
    </row>
    <row r="21" ht="15.75" customHeight="1">
      <c r="A21" s="439"/>
      <c r="B21" s="465"/>
      <c r="C21" s="465" t="s">
        <v>176</v>
      </c>
      <c r="D21" s="955">
        <f>11780.5+2005.27</f>
        <v>13785.77</v>
      </c>
      <c r="E21" s="962"/>
      <c r="F21" s="957"/>
      <c r="G21" s="52"/>
      <c r="H21" s="959"/>
      <c r="I21" s="46"/>
      <c r="J21" s="974">
        <v>0.0</v>
      </c>
      <c r="K21" s="962"/>
      <c r="L21" s="957"/>
      <c r="M21" s="52"/>
      <c r="N21" s="959"/>
      <c r="O21" s="52"/>
      <c r="P21" s="870">
        <v>0.0</v>
      </c>
      <c r="Q21" s="973"/>
      <c r="R21" s="957"/>
      <c r="S21" s="52"/>
      <c r="T21" s="959"/>
      <c r="U21" s="52"/>
      <c r="V21" s="847"/>
      <c r="W21" s="973"/>
      <c r="X21" s="957"/>
      <c r="Y21" s="52"/>
      <c r="Z21" s="959"/>
      <c r="AA21" s="52"/>
      <c r="AB21" s="847"/>
      <c r="AC21" s="973"/>
      <c r="AD21" s="957"/>
      <c r="AE21" s="52"/>
      <c r="AF21" s="959"/>
      <c r="AG21" s="52"/>
      <c r="AH21" s="847"/>
      <c r="AI21" s="973"/>
      <c r="AJ21" s="957"/>
      <c r="AK21" s="52"/>
      <c r="AL21" s="959"/>
      <c r="AM21" s="52"/>
      <c r="AN21" s="847"/>
      <c r="AO21" s="973"/>
      <c r="AP21" s="957"/>
      <c r="AQ21" s="52"/>
      <c r="AR21" s="959"/>
      <c r="AS21" s="52"/>
      <c r="AT21" s="847"/>
      <c r="AU21" s="973"/>
      <c r="AV21" s="957"/>
      <c r="AW21" s="52"/>
      <c r="AX21" s="959"/>
      <c r="AY21" s="52"/>
      <c r="AZ21" s="847"/>
      <c r="BA21" s="973"/>
      <c r="BB21" s="957"/>
      <c r="BC21" s="52"/>
      <c r="BD21" s="959"/>
      <c r="BE21" s="52"/>
      <c r="BF21" s="847"/>
      <c r="BG21" s="973"/>
      <c r="BH21" s="957"/>
      <c r="BI21" s="52"/>
      <c r="BJ21" s="959"/>
      <c r="BK21" s="52"/>
      <c r="BL21" s="847"/>
      <c r="BM21" s="973"/>
      <c r="BN21" s="957"/>
      <c r="BO21" s="52"/>
      <c r="BP21" s="959"/>
      <c r="BQ21" s="52"/>
      <c r="BR21" s="847"/>
    </row>
    <row r="22" ht="15.75" customHeight="1">
      <c r="A22" s="439"/>
      <c r="B22" s="465"/>
      <c r="C22" s="465" t="s">
        <v>263</v>
      </c>
      <c r="D22" s="955"/>
      <c r="E22" s="962"/>
      <c r="F22" s="957"/>
      <c r="G22" s="52"/>
      <c r="H22" s="959"/>
      <c r="I22" s="46"/>
      <c r="J22" s="961"/>
      <c r="K22" s="962"/>
      <c r="L22" s="957"/>
      <c r="M22" s="52"/>
      <c r="N22" s="959"/>
      <c r="O22" s="52"/>
      <c r="P22" s="847"/>
      <c r="Q22" s="973"/>
      <c r="R22" s="957"/>
      <c r="S22" s="52"/>
      <c r="T22" s="959"/>
      <c r="U22" s="52"/>
      <c r="V22" s="847"/>
      <c r="W22" s="973"/>
      <c r="X22" s="957"/>
      <c r="Y22" s="52"/>
      <c r="Z22" s="959"/>
      <c r="AA22" s="52"/>
      <c r="AB22" s="847"/>
      <c r="AC22" s="973"/>
      <c r="AD22" s="957"/>
      <c r="AE22" s="52"/>
      <c r="AF22" s="959"/>
      <c r="AG22" s="52"/>
      <c r="AH22" s="847"/>
      <c r="AI22" s="973"/>
      <c r="AJ22" s="957"/>
      <c r="AK22" s="52"/>
      <c r="AL22" s="959"/>
      <c r="AM22" s="52"/>
      <c r="AN22" s="847"/>
      <c r="AO22" s="973"/>
      <c r="AP22" s="957"/>
      <c r="AQ22" s="52"/>
      <c r="AR22" s="959"/>
      <c r="AS22" s="52"/>
      <c r="AT22" s="847"/>
      <c r="AU22" s="973"/>
      <c r="AV22" s="957"/>
      <c r="AW22" s="52"/>
      <c r="AX22" s="959"/>
      <c r="AY22" s="52"/>
      <c r="AZ22" s="847"/>
      <c r="BA22" s="973"/>
      <c r="BB22" s="957"/>
      <c r="BC22" s="52"/>
      <c r="BD22" s="959"/>
      <c r="BE22" s="52"/>
      <c r="BF22" s="847"/>
      <c r="BG22" s="973"/>
      <c r="BH22" s="957"/>
      <c r="BI22" s="52"/>
      <c r="BJ22" s="959"/>
      <c r="BK22" s="52"/>
      <c r="BL22" s="847"/>
      <c r="BM22" s="973"/>
      <c r="BN22" s="957"/>
      <c r="BO22" s="52"/>
      <c r="BP22" s="959"/>
      <c r="BQ22" s="52"/>
      <c r="BR22" s="847"/>
    </row>
    <row r="23" ht="15.75" customHeight="1">
      <c r="A23" s="439"/>
      <c r="B23" s="469"/>
      <c r="C23" s="465"/>
      <c r="D23" s="955"/>
      <c r="E23" s="962"/>
      <c r="F23" s="957"/>
      <c r="G23" s="52"/>
      <c r="H23" s="959"/>
      <c r="I23" s="46"/>
      <c r="J23" s="961"/>
      <c r="K23" s="962"/>
      <c r="L23" s="957"/>
      <c r="M23" s="52"/>
      <c r="N23" s="959"/>
      <c r="O23" s="52"/>
      <c r="P23" s="847"/>
      <c r="Q23" s="973"/>
      <c r="R23" s="957"/>
      <c r="S23" s="52"/>
      <c r="T23" s="959"/>
      <c r="U23" s="52"/>
      <c r="V23" s="847"/>
      <c r="W23" s="973"/>
      <c r="X23" s="957"/>
      <c r="Y23" s="52"/>
      <c r="Z23" s="959"/>
      <c r="AA23" s="52"/>
      <c r="AB23" s="847"/>
      <c r="AC23" s="973"/>
      <c r="AD23" s="957"/>
      <c r="AE23" s="52"/>
      <c r="AF23" s="959"/>
      <c r="AG23" s="52"/>
      <c r="AH23" s="847"/>
      <c r="AI23" s="973"/>
      <c r="AJ23" s="957"/>
      <c r="AK23" s="52"/>
      <c r="AL23" s="959"/>
      <c r="AM23" s="52"/>
      <c r="AN23" s="847"/>
      <c r="AO23" s="973"/>
      <c r="AP23" s="957"/>
      <c r="AQ23" s="52"/>
      <c r="AR23" s="959"/>
      <c r="AS23" s="52"/>
      <c r="AT23" s="847"/>
      <c r="AU23" s="973"/>
      <c r="AV23" s="957"/>
      <c r="AW23" s="52"/>
      <c r="AX23" s="959"/>
      <c r="AY23" s="52"/>
      <c r="AZ23" s="847"/>
      <c r="BA23" s="973"/>
      <c r="BB23" s="957"/>
      <c r="BC23" s="52"/>
      <c r="BD23" s="959"/>
      <c r="BE23" s="52"/>
      <c r="BF23" s="847"/>
      <c r="BG23" s="973"/>
      <c r="BH23" s="957"/>
      <c r="BI23" s="52"/>
      <c r="BJ23" s="959"/>
      <c r="BK23" s="52"/>
      <c r="BL23" s="847"/>
      <c r="BM23" s="973"/>
      <c r="BN23" s="957"/>
      <c r="BO23" s="52"/>
      <c r="BP23" s="959"/>
      <c r="BQ23" s="52"/>
      <c r="BR23" s="847"/>
    </row>
    <row r="24" ht="15.75" customHeight="1">
      <c r="A24" s="439"/>
      <c r="B24" s="469" t="s">
        <v>21</v>
      </c>
      <c r="C24" s="465" t="s">
        <v>21</v>
      </c>
      <c r="D24" s="975">
        <v>0.0</v>
      </c>
      <c r="E24" s="962"/>
      <c r="F24" s="957">
        <v>0.0</v>
      </c>
      <c r="G24" s="52"/>
      <c r="H24" s="959">
        <v>0.0</v>
      </c>
      <c r="I24" s="46"/>
      <c r="J24" s="974">
        <v>0.0</v>
      </c>
      <c r="K24" s="962"/>
      <c r="L24" s="957">
        <v>0.0</v>
      </c>
      <c r="M24" s="52"/>
      <c r="N24" s="959">
        <v>0.0</v>
      </c>
      <c r="O24" s="52"/>
      <c r="P24" s="870">
        <v>0.0</v>
      </c>
      <c r="Q24" s="973"/>
      <c r="R24" s="957">
        <v>0.0</v>
      </c>
      <c r="S24" s="52"/>
      <c r="T24" s="959">
        <v>0.0</v>
      </c>
      <c r="U24" s="52"/>
      <c r="V24" s="870">
        <v>0.0</v>
      </c>
      <c r="W24" s="973"/>
      <c r="X24" s="957">
        <v>0.0</v>
      </c>
      <c r="Y24" s="52"/>
      <c r="Z24" s="959">
        <v>0.0</v>
      </c>
      <c r="AA24" s="52"/>
      <c r="AB24" s="870">
        <v>0.0</v>
      </c>
      <c r="AC24" s="973"/>
      <c r="AD24" s="957">
        <v>0.0</v>
      </c>
      <c r="AE24" s="52"/>
      <c r="AF24" s="959">
        <v>0.0</v>
      </c>
      <c r="AG24" s="52"/>
      <c r="AH24" s="870">
        <v>0.0</v>
      </c>
      <c r="AI24" s="973"/>
      <c r="AJ24" s="957">
        <v>0.0</v>
      </c>
      <c r="AK24" s="52"/>
      <c r="AL24" s="959">
        <v>0.0</v>
      </c>
      <c r="AM24" s="52"/>
      <c r="AN24" s="870">
        <v>0.0</v>
      </c>
      <c r="AO24" s="973"/>
      <c r="AP24" s="957">
        <v>0.0</v>
      </c>
      <c r="AQ24" s="52"/>
      <c r="AR24" s="959">
        <v>0.0</v>
      </c>
      <c r="AS24" s="52"/>
      <c r="AT24" s="870">
        <v>0.0</v>
      </c>
      <c r="AU24" s="973"/>
      <c r="AV24" s="957">
        <v>0.0</v>
      </c>
      <c r="AW24" s="52"/>
      <c r="AX24" s="959">
        <v>0.0</v>
      </c>
      <c r="AY24" s="52"/>
      <c r="AZ24" s="870">
        <v>0.0</v>
      </c>
      <c r="BA24" s="973"/>
      <c r="BB24" s="957">
        <v>0.0</v>
      </c>
      <c r="BC24" s="52"/>
      <c r="BD24" s="959">
        <v>0.0</v>
      </c>
      <c r="BE24" s="52"/>
      <c r="BF24" s="870">
        <v>0.0</v>
      </c>
      <c r="BG24" s="973"/>
      <c r="BH24" s="957">
        <v>0.0</v>
      </c>
      <c r="BI24" s="52"/>
      <c r="BJ24" s="959">
        <v>0.0</v>
      </c>
      <c r="BK24" s="52"/>
      <c r="BL24" s="870">
        <v>0.0</v>
      </c>
      <c r="BM24" s="973"/>
      <c r="BN24" s="957">
        <v>0.0</v>
      </c>
      <c r="BO24" s="52"/>
      <c r="BP24" s="959">
        <v>0.0</v>
      </c>
      <c r="BQ24" s="52"/>
      <c r="BR24" s="870">
        <v>0.0</v>
      </c>
    </row>
    <row r="25" ht="15.75" customHeight="1">
      <c r="A25" s="439"/>
      <c r="B25" s="469" t="s">
        <v>22</v>
      </c>
      <c r="C25" s="465" t="s">
        <v>22</v>
      </c>
      <c r="D25" s="976">
        <v>0.0</v>
      </c>
      <c r="E25" s="962"/>
      <c r="F25" s="977">
        <v>0.0</v>
      </c>
      <c r="G25" s="52"/>
      <c r="H25" s="978">
        <v>0.0</v>
      </c>
      <c r="I25" s="46"/>
      <c r="J25" s="974">
        <v>0.0</v>
      </c>
      <c r="K25" s="962"/>
      <c r="L25" s="977">
        <v>0.0</v>
      </c>
      <c r="M25" s="52"/>
      <c r="N25" s="978">
        <v>0.0</v>
      </c>
      <c r="O25" s="52"/>
      <c r="P25" s="870">
        <v>0.0</v>
      </c>
      <c r="Q25" s="973"/>
      <c r="R25" s="977">
        <v>0.0</v>
      </c>
      <c r="S25" s="52"/>
      <c r="T25" s="978">
        <v>0.0</v>
      </c>
      <c r="U25" s="52"/>
      <c r="V25" s="870">
        <v>0.0</v>
      </c>
      <c r="W25" s="973"/>
      <c r="X25" s="977">
        <v>0.0</v>
      </c>
      <c r="Y25" s="52"/>
      <c r="Z25" s="978">
        <v>0.0</v>
      </c>
      <c r="AA25" s="52"/>
      <c r="AB25" s="870">
        <v>0.0</v>
      </c>
      <c r="AC25" s="973"/>
      <c r="AD25" s="977">
        <v>0.0</v>
      </c>
      <c r="AE25" s="52"/>
      <c r="AF25" s="978">
        <v>0.0</v>
      </c>
      <c r="AG25" s="52"/>
      <c r="AH25" s="870">
        <v>0.0</v>
      </c>
      <c r="AI25" s="973"/>
      <c r="AJ25" s="977">
        <v>0.0</v>
      </c>
      <c r="AK25" s="52"/>
      <c r="AL25" s="978">
        <v>0.0</v>
      </c>
      <c r="AM25" s="52"/>
      <c r="AN25" s="870">
        <v>0.0</v>
      </c>
      <c r="AO25" s="973"/>
      <c r="AP25" s="977">
        <v>0.0</v>
      </c>
      <c r="AQ25" s="52"/>
      <c r="AR25" s="978">
        <v>0.0</v>
      </c>
      <c r="AS25" s="52"/>
      <c r="AT25" s="870">
        <v>0.0</v>
      </c>
      <c r="AU25" s="973"/>
      <c r="AV25" s="977">
        <v>0.0</v>
      </c>
      <c r="AW25" s="52"/>
      <c r="AX25" s="978">
        <v>0.0</v>
      </c>
      <c r="AY25" s="52"/>
      <c r="AZ25" s="870">
        <v>0.0</v>
      </c>
      <c r="BA25" s="973"/>
      <c r="BB25" s="977">
        <v>0.0</v>
      </c>
      <c r="BC25" s="52"/>
      <c r="BD25" s="978">
        <v>0.0</v>
      </c>
      <c r="BE25" s="52"/>
      <c r="BF25" s="870">
        <v>0.0</v>
      </c>
      <c r="BG25" s="973"/>
      <c r="BH25" s="977">
        <v>0.0</v>
      </c>
      <c r="BI25" s="52"/>
      <c r="BJ25" s="978">
        <v>0.0</v>
      </c>
      <c r="BK25" s="52"/>
      <c r="BL25" s="870">
        <v>0.0</v>
      </c>
      <c r="BM25" s="973"/>
      <c r="BN25" s="977">
        <v>0.0</v>
      </c>
      <c r="BO25" s="52"/>
      <c r="BP25" s="978">
        <v>0.0</v>
      </c>
      <c r="BQ25" s="52"/>
      <c r="BR25" s="870">
        <v>0.0</v>
      </c>
    </row>
    <row r="26" ht="15.75" customHeight="1">
      <c r="A26" s="439"/>
      <c r="B26" s="469" t="s">
        <v>23</v>
      </c>
      <c r="C26" s="465" t="s">
        <v>177</v>
      </c>
      <c r="D26" s="576">
        <f>SUM(D16:D22)</f>
        <v>510529.82</v>
      </c>
      <c r="E26" s="979"/>
      <c r="F26" s="980">
        <f>SUM(F16:F21)</f>
        <v>0</v>
      </c>
      <c r="G26" s="981"/>
      <c r="H26" s="982">
        <f>SUM(H16:H21)</f>
        <v>460551</v>
      </c>
      <c r="I26" s="983"/>
      <c r="J26" s="984">
        <f t="shared" ref="J26:P26" si="1">SUM(J16:J22)</f>
        <v>460464</v>
      </c>
      <c r="K26" s="984">
        <f t="shared" si="1"/>
        <v>0</v>
      </c>
      <c r="L26" s="984">
        <f t="shared" si="1"/>
        <v>0</v>
      </c>
      <c r="M26" s="984">
        <f t="shared" si="1"/>
        <v>0</v>
      </c>
      <c r="N26" s="984">
        <f t="shared" si="1"/>
        <v>460464</v>
      </c>
      <c r="O26" s="984">
        <f t="shared" si="1"/>
        <v>0</v>
      </c>
      <c r="P26" s="866">
        <f t="shared" si="1"/>
        <v>326383</v>
      </c>
      <c r="Q26" s="985"/>
      <c r="R26" s="980">
        <f>SUM(R16:R21)</f>
        <v>0</v>
      </c>
      <c r="S26" s="981"/>
      <c r="T26" s="982">
        <f>SUM(T16:T21)</f>
        <v>326383</v>
      </c>
      <c r="U26" s="981"/>
      <c r="V26" s="866">
        <f>SUM(V16:V22)</f>
        <v>0</v>
      </c>
      <c r="W26" s="985"/>
      <c r="X26" s="980">
        <f>SUM(X16:X21)</f>
        <v>0</v>
      </c>
      <c r="Y26" s="981"/>
      <c r="Z26" s="982">
        <f>SUM(Z16:Z21)</f>
        <v>0</v>
      </c>
      <c r="AA26" s="981"/>
      <c r="AB26" s="866">
        <f>SUM(AB16:AB22)</f>
        <v>0</v>
      </c>
      <c r="AC26" s="985"/>
      <c r="AD26" s="980">
        <f>SUM(AD16:AD21)</f>
        <v>0</v>
      </c>
      <c r="AE26" s="981"/>
      <c r="AF26" s="982">
        <f>SUM(AF16:AF21)</f>
        <v>0</v>
      </c>
      <c r="AG26" s="981"/>
      <c r="AH26" s="866">
        <f>SUM(AH16:AH22)</f>
        <v>0</v>
      </c>
      <c r="AI26" s="985"/>
      <c r="AJ26" s="980">
        <f>SUM(AJ16:AJ21)</f>
        <v>0</v>
      </c>
      <c r="AK26" s="981"/>
      <c r="AL26" s="982">
        <f>SUM(AL16:AL21)</f>
        <v>0</v>
      </c>
      <c r="AM26" s="981"/>
      <c r="AN26" s="866">
        <f>SUM(AN16:AN22)</f>
        <v>0</v>
      </c>
      <c r="AO26" s="985"/>
      <c r="AP26" s="980">
        <f>SUM(AP16:AP21)</f>
        <v>0</v>
      </c>
      <c r="AQ26" s="981"/>
      <c r="AR26" s="982">
        <f>SUM(AR16:AR21)</f>
        <v>0</v>
      </c>
      <c r="AS26" s="981"/>
      <c r="AT26" s="866">
        <f>SUM(AT16:AT22)</f>
        <v>0</v>
      </c>
      <c r="AU26" s="985"/>
      <c r="AV26" s="980">
        <f>SUM(AV16:AV21)</f>
        <v>0</v>
      </c>
      <c r="AW26" s="981"/>
      <c r="AX26" s="982">
        <f>SUM(AX16:AX21)</f>
        <v>0</v>
      </c>
      <c r="AY26" s="981"/>
      <c r="AZ26" s="866">
        <f>SUM(AZ16:AZ22)</f>
        <v>0</v>
      </c>
      <c r="BA26" s="985"/>
      <c r="BB26" s="980">
        <f>SUM(BB16:BB21)</f>
        <v>0</v>
      </c>
      <c r="BC26" s="981"/>
      <c r="BD26" s="982">
        <f>SUM(BD16:BD21)</f>
        <v>0</v>
      </c>
      <c r="BE26" s="981"/>
      <c r="BF26" s="866">
        <f>SUM(BF16:BF22)</f>
        <v>0</v>
      </c>
      <c r="BG26" s="985"/>
      <c r="BH26" s="980">
        <f>SUM(BH16:BH21)</f>
        <v>0</v>
      </c>
      <c r="BI26" s="981"/>
      <c r="BJ26" s="982">
        <f>SUM(BJ16:BJ21)</f>
        <v>0</v>
      </c>
      <c r="BK26" s="981"/>
      <c r="BL26" s="866">
        <f>SUM(BL16:BL22)</f>
        <v>0</v>
      </c>
      <c r="BM26" s="985"/>
      <c r="BN26" s="980">
        <f>SUM(BN16:BN21)</f>
        <v>0</v>
      </c>
      <c r="BO26" s="981"/>
      <c r="BP26" s="982">
        <f>SUM(BP16:BP21)</f>
        <v>0</v>
      </c>
      <c r="BQ26" s="981"/>
      <c r="BR26" s="866">
        <f>SUM(BR16:BR22)</f>
        <v>0</v>
      </c>
    </row>
    <row r="27" ht="15.75" customHeight="1">
      <c r="A27" s="439"/>
      <c r="B27" s="465"/>
      <c r="C27" s="465"/>
      <c r="D27" s="955"/>
      <c r="E27" s="962"/>
      <c r="F27" s="957"/>
      <c r="G27" s="52"/>
      <c r="H27" s="52"/>
      <c r="I27" s="46"/>
      <c r="J27" s="961"/>
      <c r="K27" s="962"/>
      <c r="L27" s="957"/>
      <c r="M27" s="52"/>
      <c r="N27" s="52"/>
      <c r="O27" s="52"/>
      <c r="P27" s="847"/>
      <c r="Q27" s="973"/>
      <c r="R27" s="957"/>
      <c r="S27" s="52"/>
      <c r="T27" s="52"/>
      <c r="U27" s="52"/>
      <c r="V27" s="847"/>
      <c r="W27" s="973"/>
      <c r="X27" s="957"/>
      <c r="Y27" s="52"/>
      <c r="Z27" s="52"/>
      <c r="AA27" s="52"/>
      <c r="AB27" s="847"/>
      <c r="AC27" s="973"/>
      <c r="AD27" s="957"/>
      <c r="AE27" s="52"/>
      <c r="AF27" s="52"/>
      <c r="AG27" s="52"/>
      <c r="AH27" s="847"/>
      <c r="AI27" s="973"/>
      <c r="AJ27" s="957"/>
      <c r="AK27" s="52"/>
      <c r="AL27" s="52"/>
      <c r="AM27" s="52"/>
      <c r="AN27" s="847"/>
      <c r="AO27" s="973"/>
      <c r="AP27" s="957"/>
      <c r="AQ27" s="52"/>
      <c r="AR27" s="52"/>
      <c r="AS27" s="52"/>
      <c r="AT27" s="847"/>
      <c r="AU27" s="973"/>
      <c r="AV27" s="957"/>
      <c r="AW27" s="52"/>
      <c r="AX27" s="52"/>
      <c r="AY27" s="52"/>
      <c r="AZ27" s="847"/>
      <c r="BA27" s="973"/>
      <c r="BB27" s="957"/>
      <c r="BC27" s="52"/>
      <c r="BD27" s="52"/>
      <c r="BE27" s="52"/>
      <c r="BF27" s="847"/>
      <c r="BG27" s="973"/>
      <c r="BH27" s="957"/>
      <c r="BI27" s="52"/>
      <c r="BJ27" s="52"/>
      <c r="BK27" s="52"/>
      <c r="BL27" s="847"/>
      <c r="BM27" s="973"/>
      <c r="BN27" s="957"/>
      <c r="BO27" s="52"/>
      <c r="BP27" s="52"/>
      <c r="BQ27" s="52"/>
      <c r="BR27" s="847"/>
    </row>
    <row r="28" ht="15.75" customHeight="1">
      <c r="A28" s="439"/>
      <c r="B28" s="483"/>
      <c r="C28" s="483" t="s">
        <v>178</v>
      </c>
      <c r="D28" s="986"/>
      <c r="E28" s="987"/>
      <c r="F28" s="988"/>
      <c r="G28" s="989"/>
      <c r="H28" s="990"/>
      <c r="I28" s="991"/>
      <c r="J28" s="961"/>
      <c r="K28" s="987"/>
      <c r="L28" s="988"/>
      <c r="M28" s="989"/>
      <c r="N28" s="990"/>
      <c r="O28" s="989"/>
      <c r="P28" s="847"/>
      <c r="Q28" s="992"/>
      <c r="R28" s="988"/>
      <c r="S28" s="989"/>
      <c r="T28" s="990"/>
      <c r="U28" s="989"/>
      <c r="V28" s="847"/>
      <c r="W28" s="992"/>
      <c r="X28" s="988"/>
      <c r="Y28" s="989"/>
      <c r="Z28" s="990"/>
      <c r="AA28" s="989"/>
      <c r="AB28" s="847"/>
      <c r="AC28" s="992"/>
      <c r="AD28" s="988"/>
      <c r="AE28" s="989"/>
      <c r="AF28" s="990"/>
      <c r="AG28" s="989"/>
      <c r="AH28" s="847"/>
      <c r="AI28" s="992"/>
      <c r="AJ28" s="988"/>
      <c r="AK28" s="989"/>
      <c r="AL28" s="990"/>
      <c r="AM28" s="989"/>
      <c r="AN28" s="847"/>
      <c r="AO28" s="992"/>
      <c r="AP28" s="988"/>
      <c r="AQ28" s="989"/>
      <c r="AR28" s="990"/>
      <c r="AS28" s="989"/>
      <c r="AT28" s="847"/>
      <c r="AU28" s="992"/>
      <c r="AV28" s="988"/>
      <c r="AW28" s="989"/>
      <c r="AX28" s="990"/>
      <c r="AY28" s="989"/>
      <c r="AZ28" s="847"/>
      <c r="BA28" s="992"/>
      <c r="BB28" s="988"/>
      <c r="BC28" s="989"/>
      <c r="BD28" s="990"/>
      <c r="BE28" s="989"/>
      <c r="BF28" s="847"/>
      <c r="BG28" s="992"/>
      <c r="BH28" s="988"/>
      <c r="BI28" s="989"/>
      <c r="BJ28" s="990"/>
      <c r="BK28" s="989"/>
      <c r="BL28" s="847"/>
      <c r="BM28" s="992"/>
      <c r="BN28" s="988"/>
      <c r="BO28" s="989"/>
      <c r="BP28" s="990"/>
      <c r="BQ28" s="989"/>
      <c r="BR28" s="847"/>
    </row>
    <row r="29" ht="15.75" customHeight="1">
      <c r="A29" s="439"/>
      <c r="B29" s="490"/>
      <c r="C29" s="458" t="s">
        <v>179</v>
      </c>
      <c r="D29" s="993">
        <f>D24+D25+D26+D28</f>
        <v>510529.82</v>
      </c>
      <c r="E29" s="994"/>
      <c r="F29" s="995">
        <f>F24+F25+F26+F28</f>
        <v>0</v>
      </c>
      <c r="G29" s="996"/>
      <c r="H29" s="997">
        <f>H24+H25+H26+H28</f>
        <v>460551</v>
      </c>
      <c r="I29" s="998"/>
      <c r="J29" s="993">
        <f>J24+J25+J26+J28</f>
        <v>460464</v>
      </c>
      <c r="K29" s="994"/>
      <c r="L29" s="995">
        <f>L24+L25+L26+L28</f>
        <v>0</v>
      </c>
      <c r="M29" s="996"/>
      <c r="N29" s="997">
        <f>N24+N25+N26+N28</f>
        <v>460464</v>
      </c>
      <c r="O29" s="996"/>
      <c r="P29" s="858">
        <f>P24+P25+P26+P28</f>
        <v>326383</v>
      </c>
      <c r="Q29" s="999"/>
      <c r="R29" s="995">
        <f>R24+R25+R26+R28</f>
        <v>0</v>
      </c>
      <c r="S29" s="996"/>
      <c r="T29" s="997">
        <f>T24+T25+T26+T28</f>
        <v>326383</v>
      </c>
      <c r="U29" s="996"/>
      <c r="V29" s="858">
        <f>V24+V25+V26+V28</f>
        <v>0</v>
      </c>
      <c r="W29" s="999"/>
      <c r="X29" s="995">
        <f>X24+X25+X26+X28</f>
        <v>0</v>
      </c>
      <c r="Y29" s="996"/>
      <c r="Z29" s="997">
        <f>Z24+Z25+Z26+Z28</f>
        <v>0</v>
      </c>
      <c r="AA29" s="996"/>
      <c r="AB29" s="858">
        <f>AB24+AB25+AB26+AB28</f>
        <v>0</v>
      </c>
      <c r="AC29" s="999"/>
      <c r="AD29" s="995">
        <f>AD24+AD25+AD26+AD28</f>
        <v>0</v>
      </c>
      <c r="AE29" s="996"/>
      <c r="AF29" s="997">
        <f>AF24+AF25+AF26+AF28</f>
        <v>0</v>
      </c>
      <c r="AG29" s="996"/>
      <c r="AH29" s="858">
        <f>AH24+AH25+AH26+AH28</f>
        <v>0</v>
      </c>
      <c r="AI29" s="999"/>
      <c r="AJ29" s="995">
        <f>AJ24+AJ25+AJ26+AJ28</f>
        <v>0</v>
      </c>
      <c r="AK29" s="996"/>
      <c r="AL29" s="997">
        <f>AL24+AL25+AL26+AL28</f>
        <v>0</v>
      </c>
      <c r="AM29" s="996"/>
      <c r="AN29" s="858">
        <f>AN24+AN25+AN26+AN28</f>
        <v>0</v>
      </c>
      <c r="AO29" s="999"/>
      <c r="AP29" s="995">
        <f>AP24+AP25+AP26+AP28</f>
        <v>0</v>
      </c>
      <c r="AQ29" s="996"/>
      <c r="AR29" s="997">
        <f>AR24+AR25+AR26+AR28</f>
        <v>0</v>
      </c>
      <c r="AS29" s="996"/>
      <c r="AT29" s="858">
        <f>AT24+AT25+AT26+AT28</f>
        <v>0</v>
      </c>
      <c r="AU29" s="999"/>
      <c r="AV29" s="995">
        <f>AV24+AV25+AV26+AV28</f>
        <v>0</v>
      </c>
      <c r="AW29" s="996"/>
      <c r="AX29" s="997">
        <f>AX24+AX25+AX26+AX28</f>
        <v>0</v>
      </c>
      <c r="AY29" s="996"/>
      <c r="AZ29" s="858">
        <f>AZ24+AZ25+AZ26+AZ28</f>
        <v>0</v>
      </c>
      <c r="BA29" s="999"/>
      <c r="BB29" s="995">
        <f>BB24+BB25+BB26+BB28</f>
        <v>0</v>
      </c>
      <c r="BC29" s="996"/>
      <c r="BD29" s="997">
        <f>BD24+BD25+BD26+BD28</f>
        <v>0</v>
      </c>
      <c r="BE29" s="996"/>
      <c r="BF29" s="858">
        <f>BF24+BF25+BF26+BF28</f>
        <v>0</v>
      </c>
      <c r="BG29" s="999"/>
      <c r="BH29" s="995">
        <f>BH24+BH25+BH26+BH28</f>
        <v>0</v>
      </c>
      <c r="BI29" s="996"/>
      <c r="BJ29" s="997">
        <f>BJ24+BJ25+BJ26+BJ28</f>
        <v>0</v>
      </c>
      <c r="BK29" s="996"/>
      <c r="BL29" s="858">
        <f>BL24+BL25+BL26+BL28</f>
        <v>0</v>
      </c>
      <c r="BM29" s="999"/>
      <c r="BN29" s="995">
        <f>BN24+BN25+BN26+BN28</f>
        <v>0</v>
      </c>
      <c r="BO29" s="996"/>
      <c r="BP29" s="997">
        <f>BP24+BP25+BP26+BP28</f>
        <v>0</v>
      </c>
      <c r="BQ29" s="996"/>
      <c r="BR29" s="858">
        <f>BR24+BR25+BR26+BR28</f>
        <v>0</v>
      </c>
    </row>
    <row r="30" ht="15.75" hidden="1" customHeight="1">
      <c r="A30" s="439"/>
      <c r="B30" s="461"/>
      <c r="C30" s="497"/>
      <c r="D30" s="946"/>
      <c r="E30" s="947"/>
      <c r="F30" s="948"/>
      <c r="G30" s="950"/>
      <c r="H30" s="950"/>
      <c r="I30" s="1000"/>
      <c r="J30" s="952"/>
      <c r="K30" s="947"/>
      <c r="L30" s="948"/>
      <c r="M30" s="950"/>
      <c r="N30" s="950"/>
      <c r="O30" s="950"/>
      <c r="P30" s="841"/>
      <c r="Q30" s="1001"/>
      <c r="R30" s="948"/>
      <c r="S30" s="950"/>
      <c r="T30" s="950"/>
      <c r="U30" s="950"/>
      <c r="V30" s="841"/>
      <c r="W30" s="1001"/>
      <c r="X30" s="948"/>
      <c r="Y30" s="950"/>
      <c r="Z30" s="950"/>
      <c r="AA30" s="950"/>
      <c r="AB30" s="841"/>
      <c r="AC30" s="1001"/>
      <c r="AD30" s="948"/>
      <c r="AE30" s="950"/>
      <c r="AF30" s="950"/>
      <c r="AG30" s="950"/>
      <c r="AH30" s="841"/>
      <c r="AI30" s="1001"/>
      <c r="AJ30" s="948"/>
      <c r="AK30" s="950"/>
      <c r="AL30" s="950"/>
      <c r="AM30" s="950"/>
      <c r="AN30" s="841"/>
      <c r="AO30" s="1001"/>
      <c r="AP30" s="948"/>
      <c r="AQ30" s="950"/>
      <c r="AR30" s="950"/>
      <c r="AS30" s="950"/>
      <c r="AT30" s="841"/>
      <c r="AU30" s="1001"/>
      <c r="AV30" s="948"/>
      <c r="AW30" s="950"/>
      <c r="AX30" s="950"/>
      <c r="AY30" s="950"/>
      <c r="AZ30" s="841"/>
      <c r="BA30" s="1001"/>
      <c r="BB30" s="948"/>
      <c r="BC30" s="950"/>
      <c r="BD30" s="950"/>
      <c r="BE30" s="950"/>
      <c r="BF30" s="841"/>
      <c r="BG30" s="1001"/>
      <c r="BH30" s="948"/>
      <c r="BI30" s="950"/>
      <c r="BJ30" s="950"/>
      <c r="BK30" s="950"/>
      <c r="BL30" s="841"/>
      <c r="BM30" s="1001"/>
      <c r="BN30" s="948"/>
      <c r="BO30" s="950"/>
      <c r="BP30" s="950"/>
      <c r="BQ30" s="950"/>
      <c r="BR30" s="841"/>
    </row>
    <row r="31" ht="15.75" hidden="1" customHeight="1">
      <c r="A31" s="439"/>
      <c r="B31" s="465"/>
      <c r="C31" s="465"/>
      <c r="D31" s="955"/>
      <c r="E31" s="956"/>
      <c r="F31" s="957"/>
      <c r="G31" s="959"/>
      <c r="H31" s="959"/>
      <c r="I31" s="1002"/>
      <c r="J31" s="961"/>
      <c r="K31" s="956"/>
      <c r="L31" s="957"/>
      <c r="M31" s="959"/>
      <c r="N31" s="959"/>
      <c r="O31" s="959"/>
      <c r="P31" s="847"/>
      <c r="Q31" s="1003"/>
      <c r="R31" s="957"/>
      <c r="S31" s="959"/>
      <c r="T31" s="959"/>
      <c r="U31" s="959"/>
      <c r="V31" s="847"/>
      <c r="W31" s="1003"/>
      <c r="X31" s="957"/>
      <c r="Y31" s="959"/>
      <c r="Z31" s="959"/>
      <c r="AA31" s="959"/>
      <c r="AB31" s="847"/>
      <c r="AC31" s="1003"/>
      <c r="AD31" s="957"/>
      <c r="AE31" s="959"/>
      <c r="AF31" s="959"/>
      <c r="AG31" s="959"/>
      <c r="AH31" s="847"/>
      <c r="AI31" s="1003"/>
      <c r="AJ31" s="957"/>
      <c r="AK31" s="959"/>
      <c r="AL31" s="959"/>
      <c r="AM31" s="959"/>
      <c r="AN31" s="847"/>
      <c r="AO31" s="1003"/>
      <c r="AP31" s="957"/>
      <c r="AQ31" s="959"/>
      <c r="AR31" s="959"/>
      <c r="AS31" s="959"/>
      <c r="AT31" s="847"/>
      <c r="AU31" s="1003"/>
      <c r="AV31" s="957"/>
      <c r="AW31" s="959"/>
      <c r="AX31" s="959"/>
      <c r="AY31" s="959"/>
      <c r="AZ31" s="847"/>
      <c r="BA31" s="1003"/>
      <c r="BB31" s="957"/>
      <c r="BC31" s="959"/>
      <c r="BD31" s="959"/>
      <c r="BE31" s="959"/>
      <c r="BF31" s="847"/>
      <c r="BG31" s="1003"/>
      <c r="BH31" s="957"/>
      <c r="BI31" s="959"/>
      <c r="BJ31" s="959"/>
      <c r="BK31" s="959"/>
      <c r="BL31" s="847"/>
      <c r="BM31" s="1003"/>
      <c r="BN31" s="957"/>
      <c r="BO31" s="959"/>
      <c r="BP31" s="959"/>
      <c r="BQ31" s="959"/>
      <c r="BR31" s="847"/>
    </row>
    <row r="32" ht="15.75" hidden="1" customHeight="1">
      <c r="A32" s="439"/>
      <c r="B32" s="465"/>
      <c r="C32" s="465"/>
      <c r="D32" s="955"/>
      <c r="E32" s="956"/>
      <c r="F32" s="957"/>
      <c r="G32" s="959"/>
      <c r="H32" s="959"/>
      <c r="I32" s="1002"/>
      <c r="J32" s="961"/>
      <c r="K32" s="956"/>
      <c r="L32" s="957"/>
      <c r="M32" s="959"/>
      <c r="N32" s="959"/>
      <c r="O32" s="959"/>
      <c r="P32" s="847"/>
      <c r="Q32" s="1003"/>
      <c r="R32" s="957"/>
      <c r="S32" s="959"/>
      <c r="T32" s="959"/>
      <c r="U32" s="959"/>
      <c r="V32" s="847"/>
      <c r="W32" s="1003"/>
      <c r="X32" s="957"/>
      <c r="Y32" s="959"/>
      <c r="Z32" s="959"/>
      <c r="AA32" s="959"/>
      <c r="AB32" s="847"/>
      <c r="AC32" s="1003"/>
      <c r="AD32" s="957"/>
      <c r="AE32" s="959"/>
      <c r="AF32" s="959"/>
      <c r="AG32" s="959"/>
      <c r="AH32" s="847"/>
      <c r="AI32" s="1003"/>
      <c r="AJ32" s="957"/>
      <c r="AK32" s="959"/>
      <c r="AL32" s="959"/>
      <c r="AM32" s="959"/>
      <c r="AN32" s="847"/>
      <c r="AO32" s="1003"/>
      <c r="AP32" s="957"/>
      <c r="AQ32" s="959"/>
      <c r="AR32" s="959"/>
      <c r="AS32" s="959"/>
      <c r="AT32" s="847"/>
      <c r="AU32" s="1003"/>
      <c r="AV32" s="957"/>
      <c r="AW32" s="959"/>
      <c r="AX32" s="959"/>
      <c r="AY32" s="959"/>
      <c r="AZ32" s="847"/>
      <c r="BA32" s="1003"/>
      <c r="BB32" s="957"/>
      <c r="BC32" s="959"/>
      <c r="BD32" s="959"/>
      <c r="BE32" s="959"/>
      <c r="BF32" s="847"/>
      <c r="BG32" s="1003"/>
      <c r="BH32" s="957"/>
      <c r="BI32" s="959"/>
      <c r="BJ32" s="959"/>
      <c r="BK32" s="959"/>
      <c r="BL32" s="847"/>
      <c r="BM32" s="1003"/>
      <c r="BN32" s="957"/>
      <c r="BO32" s="959"/>
      <c r="BP32" s="959"/>
      <c r="BQ32" s="959"/>
      <c r="BR32" s="847"/>
    </row>
    <row r="33" ht="15.75" hidden="1" customHeight="1">
      <c r="A33" s="439"/>
      <c r="B33" s="465"/>
      <c r="C33" s="465"/>
      <c r="D33" s="955"/>
      <c r="E33" s="956"/>
      <c r="F33" s="957"/>
      <c r="G33" s="959"/>
      <c r="H33" s="959"/>
      <c r="I33" s="1002"/>
      <c r="J33" s="961"/>
      <c r="K33" s="956"/>
      <c r="L33" s="957"/>
      <c r="M33" s="959"/>
      <c r="N33" s="959"/>
      <c r="O33" s="959"/>
      <c r="P33" s="847"/>
      <c r="Q33" s="1003"/>
      <c r="R33" s="957"/>
      <c r="S33" s="959"/>
      <c r="T33" s="959"/>
      <c r="U33" s="959"/>
      <c r="V33" s="847"/>
      <c r="W33" s="1003"/>
      <c r="X33" s="957"/>
      <c r="Y33" s="959"/>
      <c r="Z33" s="959"/>
      <c r="AA33" s="959"/>
      <c r="AB33" s="847"/>
      <c r="AC33" s="1003"/>
      <c r="AD33" s="957"/>
      <c r="AE33" s="959"/>
      <c r="AF33" s="959"/>
      <c r="AG33" s="959"/>
      <c r="AH33" s="847"/>
      <c r="AI33" s="1003"/>
      <c r="AJ33" s="957"/>
      <c r="AK33" s="959"/>
      <c r="AL33" s="959"/>
      <c r="AM33" s="959"/>
      <c r="AN33" s="847"/>
      <c r="AO33" s="1003"/>
      <c r="AP33" s="957"/>
      <c r="AQ33" s="959"/>
      <c r="AR33" s="959"/>
      <c r="AS33" s="959"/>
      <c r="AT33" s="847"/>
      <c r="AU33" s="1003"/>
      <c r="AV33" s="957"/>
      <c r="AW33" s="959"/>
      <c r="AX33" s="959"/>
      <c r="AY33" s="959"/>
      <c r="AZ33" s="847"/>
      <c r="BA33" s="1003"/>
      <c r="BB33" s="957"/>
      <c r="BC33" s="959"/>
      <c r="BD33" s="959"/>
      <c r="BE33" s="959"/>
      <c r="BF33" s="847"/>
      <c r="BG33" s="1003"/>
      <c r="BH33" s="957"/>
      <c r="BI33" s="959"/>
      <c r="BJ33" s="959"/>
      <c r="BK33" s="959"/>
      <c r="BL33" s="847"/>
      <c r="BM33" s="1003"/>
      <c r="BN33" s="957"/>
      <c r="BO33" s="959"/>
      <c r="BP33" s="959"/>
      <c r="BQ33" s="959"/>
      <c r="BR33" s="847"/>
    </row>
    <row r="34" ht="15.75" hidden="1" customHeight="1">
      <c r="A34" s="439"/>
      <c r="B34" s="465"/>
      <c r="C34" s="465"/>
      <c r="D34" s="955"/>
      <c r="E34" s="956"/>
      <c r="F34" s="957"/>
      <c r="G34" s="959"/>
      <c r="H34" s="959"/>
      <c r="I34" s="1002"/>
      <c r="J34" s="961"/>
      <c r="K34" s="956"/>
      <c r="L34" s="957"/>
      <c r="M34" s="959"/>
      <c r="N34" s="959"/>
      <c r="O34" s="959"/>
      <c r="P34" s="847"/>
      <c r="Q34" s="1003"/>
      <c r="R34" s="957"/>
      <c r="S34" s="959"/>
      <c r="T34" s="959"/>
      <c r="U34" s="959"/>
      <c r="V34" s="847"/>
      <c r="W34" s="1003"/>
      <c r="X34" s="957"/>
      <c r="Y34" s="959"/>
      <c r="Z34" s="959"/>
      <c r="AA34" s="959"/>
      <c r="AB34" s="847"/>
      <c r="AC34" s="1003"/>
      <c r="AD34" s="957"/>
      <c r="AE34" s="959"/>
      <c r="AF34" s="959"/>
      <c r="AG34" s="959"/>
      <c r="AH34" s="847"/>
      <c r="AI34" s="1003"/>
      <c r="AJ34" s="957"/>
      <c r="AK34" s="959"/>
      <c r="AL34" s="959"/>
      <c r="AM34" s="959"/>
      <c r="AN34" s="847"/>
      <c r="AO34" s="1003"/>
      <c r="AP34" s="957"/>
      <c r="AQ34" s="959"/>
      <c r="AR34" s="959"/>
      <c r="AS34" s="959"/>
      <c r="AT34" s="847"/>
      <c r="AU34" s="1003"/>
      <c r="AV34" s="957"/>
      <c r="AW34" s="959"/>
      <c r="AX34" s="959"/>
      <c r="AY34" s="959"/>
      <c r="AZ34" s="847"/>
      <c r="BA34" s="1003"/>
      <c r="BB34" s="957"/>
      <c r="BC34" s="959"/>
      <c r="BD34" s="959"/>
      <c r="BE34" s="959"/>
      <c r="BF34" s="847"/>
      <c r="BG34" s="1003"/>
      <c r="BH34" s="957"/>
      <c r="BI34" s="959"/>
      <c r="BJ34" s="959"/>
      <c r="BK34" s="959"/>
      <c r="BL34" s="847"/>
      <c r="BM34" s="1003"/>
      <c r="BN34" s="957"/>
      <c r="BO34" s="959"/>
      <c r="BP34" s="959"/>
      <c r="BQ34" s="959"/>
      <c r="BR34" s="847"/>
    </row>
    <row r="35" ht="15.75" hidden="1" customHeight="1">
      <c r="A35" s="439"/>
      <c r="B35" s="465"/>
      <c r="C35" s="465"/>
      <c r="D35" s="955"/>
      <c r="E35" s="956"/>
      <c r="F35" s="957"/>
      <c r="G35" s="959"/>
      <c r="H35" s="959"/>
      <c r="I35" s="1002"/>
      <c r="J35" s="961"/>
      <c r="K35" s="956"/>
      <c r="L35" s="957"/>
      <c r="M35" s="959"/>
      <c r="N35" s="959"/>
      <c r="O35" s="959"/>
      <c r="P35" s="847"/>
      <c r="Q35" s="1003"/>
      <c r="R35" s="957"/>
      <c r="S35" s="959"/>
      <c r="T35" s="959"/>
      <c r="U35" s="959"/>
      <c r="V35" s="847"/>
      <c r="W35" s="1003"/>
      <c r="X35" s="957"/>
      <c r="Y35" s="959"/>
      <c r="Z35" s="959"/>
      <c r="AA35" s="959"/>
      <c r="AB35" s="847"/>
      <c r="AC35" s="1003"/>
      <c r="AD35" s="957"/>
      <c r="AE35" s="959"/>
      <c r="AF35" s="959"/>
      <c r="AG35" s="959"/>
      <c r="AH35" s="847"/>
      <c r="AI35" s="1003"/>
      <c r="AJ35" s="957"/>
      <c r="AK35" s="959"/>
      <c r="AL35" s="959"/>
      <c r="AM35" s="959"/>
      <c r="AN35" s="847"/>
      <c r="AO35" s="1003"/>
      <c r="AP35" s="957"/>
      <c r="AQ35" s="959"/>
      <c r="AR35" s="959"/>
      <c r="AS35" s="959"/>
      <c r="AT35" s="847"/>
      <c r="AU35" s="1003"/>
      <c r="AV35" s="957"/>
      <c r="AW35" s="959"/>
      <c r="AX35" s="959"/>
      <c r="AY35" s="959"/>
      <c r="AZ35" s="847"/>
      <c r="BA35" s="1003"/>
      <c r="BB35" s="957"/>
      <c r="BC35" s="959"/>
      <c r="BD35" s="959"/>
      <c r="BE35" s="959"/>
      <c r="BF35" s="847"/>
      <c r="BG35" s="1003"/>
      <c r="BH35" s="957"/>
      <c r="BI35" s="959"/>
      <c r="BJ35" s="959"/>
      <c r="BK35" s="959"/>
      <c r="BL35" s="847"/>
      <c r="BM35" s="1003"/>
      <c r="BN35" s="957"/>
      <c r="BO35" s="959"/>
      <c r="BP35" s="959"/>
      <c r="BQ35" s="959"/>
      <c r="BR35" s="847"/>
    </row>
    <row r="36" ht="15.75" hidden="1" customHeight="1">
      <c r="A36" s="439"/>
      <c r="B36" s="465"/>
      <c r="C36" s="465"/>
      <c r="D36" s="1004"/>
      <c r="E36" s="1005"/>
      <c r="F36" s="1006"/>
      <c r="G36" s="1007"/>
      <c r="H36" s="1007"/>
      <c r="I36" s="1008"/>
      <c r="J36" s="1009"/>
      <c r="K36" s="1005"/>
      <c r="L36" s="1006"/>
      <c r="M36" s="1007"/>
      <c r="N36" s="1007"/>
      <c r="O36" s="1007"/>
      <c r="P36" s="882"/>
      <c r="Q36" s="1010"/>
      <c r="R36" s="1006"/>
      <c r="S36" s="1007"/>
      <c r="T36" s="1007"/>
      <c r="U36" s="1007"/>
      <c r="V36" s="882"/>
      <c r="W36" s="1010"/>
      <c r="X36" s="1006"/>
      <c r="Y36" s="1007"/>
      <c r="Z36" s="1007"/>
      <c r="AA36" s="1007"/>
      <c r="AB36" s="882"/>
      <c r="AC36" s="1010"/>
      <c r="AD36" s="1006"/>
      <c r="AE36" s="1007"/>
      <c r="AF36" s="1007"/>
      <c r="AG36" s="1007"/>
      <c r="AH36" s="882"/>
      <c r="AI36" s="1010"/>
      <c r="AJ36" s="1006"/>
      <c r="AK36" s="1007"/>
      <c r="AL36" s="1007"/>
      <c r="AM36" s="1007"/>
      <c r="AN36" s="882"/>
      <c r="AO36" s="1010"/>
      <c r="AP36" s="1006"/>
      <c r="AQ36" s="1007"/>
      <c r="AR36" s="1007"/>
      <c r="AS36" s="1007"/>
      <c r="AT36" s="882"/>
      <c r="AU36" s="1010"/>
      <c r="AV36" s="1006"/>
      <c r="AW36" s="1007"/>
      <c r="AX36" s="1007"/>
      <c r="AY36" s="1007"/>
      <c r="AZ36" s="882"/>
      <c r="BA36" s="1010"/>
      <c r="BB36" s="1006"/>
      <c r="BC36" s="1007"/>
      <c r="BD36" s="1007"/>
      <c r="BE36" s="1007"/>
      <c r="BF36" s="882"/>
      <c r="BG36" s="1010"/>
      <c r="BH36" s="1006"/>
      <c r="BI36" s="1007"/>
      <c r="BJ36" s="1007"/>
      <c r="BK36" s="1007"/>
      <c r="BL36" s="882"/>
      <c r="BM36" s="1010"/>
      <c r="BN36" s="1006"/>
      <c r="BO36" s="1007"/>
      <c r="BP36" s="1007"/>
      <c r="BQ36" s="1007"/>
      <c r="BR36" s="882"/>
    </row>
    <row r="37" ht="15.75" hidden="1" customHeight="1">
      <c r="A37" s="439"/>
      <c r="B37" s="465"/>
      <c r="C37" s="465"/>
      <c r="D37" s="200"/>
      <c r="E37" s="962"/>
      <c r="F37" s="42"/>
      <c r="G37" s="52"/>
      <c r="H37" s="52"/>
      <c r="I37" s="46"/>
      <c r="J37" s="40"/>
      <c r="K37" s="962"/>
      <c r="L37" s="42"/>
      <c r="M37" s="52"/>
      <c r="N37" s="52"/>
      <c r="O37" s="52"/>
      <c r="P37" s="887"/>
      <c r="Q37" s="973"/>
      <c r="R37" s="42"/>
      <c r="S37" s="52"/>
      <c r="T37" s="52"/>
      <c r="U37" s="52"/>
      <c r="V37" s="887"/>
      <c r="W37" s="973"/>
      <c r="X37" s="42"/>
      <c r="Y37" s="52"/>
      <c r="Z37" s="52"/>
      <c r="AA37" s="52"/>
      <c r="AB37" s="887"/>
      <c r="AC37" s="973"/>
      <c r="AD37" s="42"/>
      <c r="AE37" s="52"/>
      <c r="AF37" s="52"/>
      <c r="AG37" s="52"/>
      <c r="AH37" s="887"/>
      <c r="AI37" s="973"/>
      <c r="AJ37" s="42"/>
      <c r="AK37" s="52"/>
      <c r="AL37" s="52"/>
      <c r="AM37" s="52"/>
      <c r="AN37" s="887"/>
      <c r="AO37" s="973"/>
      <c r="AP37" s="42"/>
      <c r="AQ37" s="52"/>
      <c r="AR37" s="52"/>
      <c r="AS37" s="52"/>
      <c r="AT37" s="887"/>
      <c r="AU37" s="973"/>
      <c r="AV37" s="42"/>
      <c r="AW37" s="52"/>
      <c r="AX37" s="52"/>
      <c r="AY37" s="52"/>
      <c r="AZ37" s="887"/>
      <c r="BA37" s="973"/>
      <c r="BB37" s="42"/>
      <c r="BC37" s="52"/>
      <c r="BD37" s="52"/>
      <c r="BE37" s="52"/>
      <c r="BF37" s="887"/>
      <c r="BG37" s="973"/>
      <c r="BH37" s="42"/>
      <c r="BI37" s="52"/>
      <c r="BJ37" s="52"/>
      <c r="BK37" s="52"/>
      <c r="BL37" s="887"/>
      <c r="BM37" s="973"/>
      <c r="BN37" s="42"/>
      <c r="BO37" s="52"/>
      <c r="BP37" s="52"/>
      <c r="BQ37" s="52"/>
      <c r="BR37" s="887"/>
    </row>
    <row r="38" ht="15.75" customHeight="1">
      <c r="A38" s="439"/>
      <c r="B38" s="469"/>
      <c r="C38" s="469"/>
      <c r="D38" s="200"/>
      <c r="E38" s="962"/>
      <c r="F38" s="42"/>
      <c r="G38" s="52"/>
      <c r="H38" s="52"/>
      <c r="I38" s="46"/>
      <c r="J38" s="40"/>
      <c r="K38" s="962"/>
      <c r="L38" s="42"/>
      <c r="M38" s="52"/>
      <c r="N38" s="52"/>
      <c r="O38" s="52"/>
      <c r="P38" s="887"/>
      <c r="Q38" s="973"/>
      <c r="R38" s="42"/>
      <c r="S38" s="52"/>
      <c r="T38" s="52"/>
      <c r="U38" s="52"/>
      <c r="V38" s="887"/>
      <c r="W38" s="973"/>
      <c r="X38" s="42"/>
      <c r="Y38" s="52"/>
      <c r="Z38" s="52"/>
      <c r="AA38" s="52"/>
      <c r="AB38" s="887"/>
      <c r="AC38" s="973"/>
      <c r="AD38" s="42"/>
      <c r="AE38" s="52"/>
      <c r="AF38" s="52"/>
      <c r="AG38" s="52"/>
      <c r="AH38" s="887"/>
      <c r="AI38" s="973"/>
      <c r="AJ38" s="42"/>
      <c r="AK38" s="52"/>
      <c r="AL38" s="52"/>
      <c r="AM38" s="52"/>
      <c r="AN38" s="887"/>
      <c r="AO38" s="973"/>
      <c r="AP38" s="42"/>
      <c r="AQ38" s="52"/>
      <c r="AR38" s="52"/>
      <c r="AS38" s="52"/>
      <c r="AT38" s="887"/>
      <c r="AU38" s="973"/>
      <c r="AV38" s="42"/>
      <c r="AW38" s="52"/>
      <c r="AX38" s="52"/>
      <c r="AY38" s="52"/>
      <c r="AZ38" s="887"/>
      <c r="BA38" s="973"/>
      <c r="BB38" s="42"/>
      <c r="BC38" s="52"/>
      <c r="BD38" s="52"/>
      <c r="BE38" s="52"/>
      <c r="BF38" s="887"/>
      <c r="BG38" s="973"/>
      <c r="BH38" s="42"/>
      <c r="BI38" s="52"/>
      <c r="BJ38" s="52"/>
      <c r="BK38" s="52"/>
      <c r="BL38" s="887"/>
      <c r="BM38" s="973"/>
      <c r="BN38" s="42"/>
      <c r="BO38" s="52"/>
      <c r="BP38" s="52"/>
      <c r="BQ38" s="52"/>
      <c r="BR38" s="887"/>
    </row>
    <row r="39" ht="15.75" customHeight="1">
      <c r="A39" s="439"/>
      <c r="B39" s="481" t="s">
        <v>183</v>
      </c>
      <c r="C39" s="465"/>
      <c r="D39" s="200"/>
      <c r="E39" s="962"/>
      <c r="F39" s="42"/>
      <c r="G39" s="52"/>
      <c r="H39" s="52"/>
      <c r="I39" s="46"/>
      <c r="J39" s="40"/>
      <c r="K39" s="962"/>
      <c r="L39" s="42"/>
      <c r="M39" s="52"/>
      <c r="N39" s="52"/>
      <c r="O39" s="52"/>
      <c r="P39" s="887"/>
      <c r="Q39" s="973"/>
      <c r="R39" s="42"/>
      <c r="S39" s="52"/>
      <c r="T39" s="52"/>
      <c r="U39" s="52"/>
      <c r="V39" s="887"/>
      <c r="W39" s="973"/>
      <c r="X39" s="42"/>
      <c r="Y39" s="52"/>
      <c r="Z39" s="52"/>
      <c r="AA39" s="52"/>
      <c r="AB39" s="887"/>
      <c r="AC39" s="973"/>
      <c r="AD39" s="42"/>
      <c r="AE39" s="52"/>
      <c r="AF39" s="52"/>
      <c r="AG39" s="52"/>
      <c r="AH39" s="887"/>
      <c r="AI39" s="973"/>
      <c r="AJ39" s="42"/>
      <c r="AK39" s="52"/>
      <c r="AL39" s="52"/>
      <c r="AM39" s="52"/>
      <c r="AN39" s="887"/>
      <c r="AO39" s="973"/>
      <c r="AP39" s="42"/>
      <c r="AQ39" s="52"/>
      <c r="AR39" s="52"/>
      <c r="AS39" s="52"/>
      <c r="AT39" s="887"/>
      <c r="AU39" s="973"/>
      <c r="AV39" s="42"/>
      <c r="AW39" s="52"/>
      <c r="AX39" s="52"/>
      <c r="AY39" s="52"/>
      <c r="AZ39" s="887"/>
      <c r="BA39" s="973"/>
      <c r="BB39" s="42"/>
      <c r="BC39" s="52"/>
      <c r="BD39" s="52"/>
      <c r="BE39" s="52"/>
      <c r="BF39" s="887"/>
      <c r="BG39" s="973"/>
      <c r="BH39" s="42"/>
      <c r="BI39" s="52"/>
      <c r="BJ39" s="52"/>
      <c r="BK39" s="52"/>
      <c r="BL39" s="887"/>
      <c r="BM39" s="973"/>
      <c r="BN39" s="42"/>
      <c r="BO39" s="52"/>
      <c r="BP39" s="52"/>
      <c r="BQ39" s="52"/>
      <c r="BR39" s="887"/>
    </row>
    <row r="40" ht="15.75" customHeight="1">
      <c r="A40" s="439"/>
      <c r="B40" s="469" t="s">
        <v>28</v>
      </c>
      <c r="C40" s="465"/>
      <c r="D40" s="200"/>
      <c r="E40" s="962"/>
      <c r="F40" s="42"/>
      <c r="G40" s="52"/>
      <c r="H40" s="52"/>
      <c r="I40" s="46"/>
      <c r="J40" s="40"/>
      <c r="K40" s="962"/>
      <c r="L40" s="42"/>
      <c r="M40" s="52"/>
      <c r="N40" s="52"/>
      <c r="O40" s="52"/>
      <c r="P40" s="887"/>
      <c r="Q40" s="973"/>
      <c r="R40" s="42"/>
      <c r="S40" s="52"/>
      <c r="T40" s="52"/>
      <c r="U40" s="52"/>
      <c r="V40" s="887"/>
      <c r="W40" s="973"/>
      <c r="X40" s="42"/>
      <c r="Y40" s="52"/>
      <c r="Z40" s="52"/>
      <c r="AA40" s="52"/>
      <c r="AB40" s="887"/>
      <c r="AC40" s="973"/>
      <c r="AD40" s="42"/>
      <c r="AE40" s="52"/>
      <c r="AF40" s="52"/>
      <c r="AG40" s="52"/>
      <c r="AH40" s="887"/>
      <c r="AI40" s="973"/>
      <c r="AJ40" s="42"/>
      <c r="AK40" s="52"/>
      <c r="AL40" s="52"/>
      <c r="AM40" s="52"/>
      <c r="AN40" s="887"/>
      <c r="AO40" s="973"/>
      <c r="AP40" s="42"/>
      <c r="AQ40" s="52"/>
      <c r="AR40" s="52"/>
      <c r="AS40" s="52"/>
      <c r="AT40" s="887"/>
      <c r="AU40" s="973"/>
      <c r="AV40" s="42"/>
      <c r="AW40" s="52"/>
      <c r="AX40" s="52"/>
      <c r="AY40" s="52"/>
      <c r="AZ40" s="887"/>
      <c r="BA40" s="973"/>
      <c r="BB40" s="42"/>
      <c r="BC40" s="52"/>
      <c r="BD40" s="52"/>
      <c r="BE40" s="52"/>
      <c r="BF40" s="887"/>
      <c r="BG40" s="973"/>
      <c r="BH40" s="42"/>
      <c r="BI40" s="52"/>
      <c r="BJ40" s="52"/>
      <c r="BK40" s="52"/>
      <c r="BL40" s="887"/>
      <c r="BM40" s="973"/>
      <c r="BN40" s="42"/>
      <c r="BO40" s="52"/>
      <c r="BP40" s="52"/>
      <c r="BQ40" s="52"/>
      <c r="BR40" s="887"/>
    </row>
    <row r="41" ht="15.75" customHeight="1">
      <c r="A41" s="439"/>
      <c r="B41" s="465"/>
      <c r="C41" s="587" t="s">
        <v>184</v>
      </c>
      <c r="D41" s="200"/>
      <c r="E41" s="962"/>
      <c r="F41" s="42"/>
      <c r="G41" s="52"/>
      <c r="H41" s="52"/>
      <c r="I41" s="46"/>
      <c r="J41" s="40"/>
      <c r="K41" s="962"/>
      <c r="L41" s="42"/>
      <c r="M41" s="52"/>
      <c r="N41" s="52"/>
      <c r="O41" s="52"/>
      <c r="P41" s="887"/>
      <c r="Q41" s="973"/>
      <c r="R41" s="42"/>
      <c r="S41" s="52"/>
      <c r="T41" s="52"/>
      <c r="U41" s="52"/>
      <c r="V41" s="887"/>
      <c r="W41" s="973"/>
      <c r="X41" s="42"/>
      <c r="Y41" s="52"/>
      <c r="Z41" s="52"/>
      <c r="AA41" s="52"/>
      <c r="AB41" s="887"/>
      <c r="AC41" s="973"/>
      <c r="AD41" s="42"/>
      <c r="AE41" s="52"/>
      <c r="AF41" s="52"/>
      <c r="AG41" s="52"/>
      <c r="AH41" s="887"/>
      <c r="AI41" s="973"/>
      <c r="AJ41" s="42"/>
      <c r="AK41" s="52"/>
      <c r="AL41" s="52"/>
      <c r="AM41" s="52"/>
      <c r="AN41" s="887"/>
      <c r="AO41" s="973"/>
      <c r="AP41" s="42"/>
      <c r="AQ41" s="52"/>
      <c r="AR41" s="52"/>
      <c r="AS41" s="52"/>
      <c r="AT41" s="887"/>
      <c r="AU41" s="973"/>
      <c r="AV41" s="42"/>
      <c r="AW41" s="52"/>
      <c r="AX41" s="52"/>
      <c r="AY41" s="52"/>
      <c r="AZ41" s="887"/>
      <c r="BA41" s="973"/>
      <c r="BB41" s="42"/>
      <c r="BC41" s="52"/>
      <c r="BD41" s="52"/>
      <c r="BE41" s="52"/>
      <c r="BF41" s="887"/>
      <c r="BG41" s="973"/>
      <c r="BH41" s="42"/>
      <c r="BI41" s="52"/>
      <c r="BJ41" s="52"/>
      <c r="BK41" s="52"/>
      <c r="BL41" s="887"/>
      <c r="BM41" s="973"/>
      <c r="BN41" s="42"/>
      <c r="BO41" s="52"/>
      <c r="BP41" s="52"/>
      <c r="BQ41" s="52"/>
      <c r="BR41" s="887"/>
    </row>
    <row r="42" ht="15.75" customHeight="1">
      <c r="A42" s="439"/>
      <c r="B42" s="465"/>
      <c r="C42" s="465" t="s">
        <v>185</v>
      </c>
      <c r="D42" s="200">
        <f>'MSBC CK Allocation'!B35</f>
        <v>578775.5399</v>
      </c>
      <c r="E42" s="962">
        <f>D42/D$29</f>
        <v>1.133676266</v>
      </c>
      <c r="F42" s="42"/>
      <c r="G42" s="52"/>
      <c r="H42" s="42">
        <f t="shared" ref="H42:H46" si="2">D42-F42</f>
        <v>578775.5399</v>
      </c>
      <c r="I42" s="46"/>
      <c r="J42" s="40">
        <f>'MSBC CK Allocation'!C35</f>
        <v>652105.6616</v>
      </c>
      <c r="K42" s="962">
        <f>J42/J$29</f>
        <v>1.416192496</v>
      </c>
      <c r="L42" s="42"/>
      <c r="M42" s="52"/>
      <c r="N42" s="42">
        <f t="shared" ref="N42:N46" si="3">J42-L42</f>
        <v>652105.6616</v>
      </c>
      <c r="O42" s="52"/>
      <c r="P42" s="887">
        <f>'MSBC CK Allocation'!D35</f>
        <v>172935.2525</v>
      </c>
      <c r="Q42" s="973">
        <f>P42/P$29</f>
        <v>0.5298537379</v>
      </c>
      <c r="R42" s="42"/>
      <c r="S42" s="52"/>
      <c r="T42" s="42">
        <f t="shared" ref="T42:T46" si="4">P42-R42</f>
        <v>172935.2525</v>
      </c>
      <c r="U42" s="52"/>
      <c r="V42" s="887"/>
      <c r="W42" s="973" t="str">
        <f>V42/V$29</f>
        <v>#DIV/0!</v>
      </c>
      <c r="X42" s="42"/>
      <c r="Y42" s="52"/>
      <c r="Z42" s="42">
        <f t="shared" ref="Z42:Z46" si="5">V42-X42</f>
        <v>0</v>
      </c>
      <c r="AA42" s="52"/>
      <c r="AB42" s="887"/>
      <c r="AC42" s="973" t="str">
        <f>AB42/AB$29</f>
        <v>#DIV/0!</v>
      </c>
      <c r="AD42" s="42"/>
      <c r="AE42" s="52"/>
      <c r="AF42" s="42">
        <f t="shared" ref="AF42:AF46" si="6">AB42-AD42</f>
        <v>0</v>
      </c>
      <c r="AG42" s="52"/>
      <c r="AH42" s="887"/>
      <c r="AI42" s="973" t="str">
        <f>AH42/AH$29</f>
        <v>#DIV/0!</v>
      </c>
      <c r="AJ42" s="42"/>
      <c r="AK42" s="52"/>
      <c r="AL42" s="42">
        <f t="shared" ref="AL42:AL46" si="7">AH42-AJ42</f>
        <v>0</v>
      </c>
      <c r="AM42" s="52"/>
      <c r="AN42" s="887"/>
      <c r="AO42" s="973" t="str">
        <f>AN42/AN$29</f>
        <v>#DIV/0!</v>
      </c>
      <c r="AP42" s="42"/>
      <c r="AQ42" s="52"/>
      <c r="AR42" s="42">
        <f t="shared" ref="AR42:AR46" si="8">AN42-AP42</f>
        <v>0</v>
      </c>
      <c r="AS42" s="52"/>
      <c r="AT42" s="887"/>
      <c r="AU42" s="973" t="str">
        <f>AT42/AT$29</f>
        <v>#DIV/0!</v>
      </c>
      <c r="AV42" s="42"/>
      <c r="AW42" s="52"/>
      <c r="AX42" s="42">
        <f t="shared" ref="AX42:AX46" si="9">AT42-AV42</f>
        <v>0</v>
      </c>
      <c r="AY42" s="52"/>
      <c r="AZ42" s="887"/>
      <c r="BA42" s="973" t="str">
        <f>AZ42/AZ$29</f>
        <v>#DIV/0!</v>
      </c>
      <c r="BB42" s="42"/>
      <c r="BC42" s="52"/>
      <c r="BD42" s="42">
        <f t="shared" ref="BD42:BD46" si="10">AZ42-BB42</f>
        <v>0</v>
      </c>
      <c r="BE42" s="52"/>
      <c r="BF42" s="887"/>
      <c r="BG42" s="973" t="str">
        <f>BF42/BF$29</f>
        <v>#DIV/0!</v>
      </c>
      <c r="BH42" s="42"/>
      <c r="BI42" s="52"/>
      <c r="BJ42" s="42">
        <f t="shared" ref="BJ42:BJ46" si="11">BF42-BH42</f>
        <v>0</v>
      </c>
      <c r="BK42" s="52"/>
      <c r="BL42" s="887"/>
      <c r="BM42" s="973" t="str">
        <f>BL42/BL$29</f>
        <v>#DIV/0!</v>
      </c>
      <c r="BN42" s="42"/>
      <c r="BO42" s="52"/>
      <c r="BP42" s="42">
        <f t="shared" ref="BP42:BP46" si="12">BL42-BN42</f>
        <v>0</v>
      </c>
      <c r="BQ42" s="52"/>
      <c r="BR42" s="887"/>
    </row>
    <row r="43" ht="15.75" customHeight="1">
      <c r="A43" s="439"/>
      <c r="B43" s="465"/>
      <c r="C43" s="465" t="s">
        <v>186</v>
      </c>
      <c r="D43" s="1011">
        <v>258286.94697961808</v>
      </c>
      <c r="E43" s="962"/>
      <c r="F43" s="42"/>
      <c r="G43" s="52"/>
      <c r="H43" s="42">
        <f t="shared" si="2"/>
        <v>258286.947</v>
      </c>
      <c r="I43" s="46"/>
      <c r="J43" s="40">
        <v>255013.45</v>
      </c>
      <c r="K43" s="962"/>
      <c r="L43" s="42"/>
      <c r="M43" s="52"/>
      <c r="N43" s="42">
        <f t="shared" si="3"/>
        <v>255013.45</v>
      </c>
      <c r="O43" s="52"/>
      <c r="P43" s="890">
        <v>65633.0</v>
      </c>
      <c r="Q43" s="973"/>
      <c r="R43" s="42"/>
      <c r="S43" s="52"/>
      <c r="T43" s="42">
        <f t="shared" si="4"/>
        <v>65633</v>
      </c>
      <c r="U43" s="52"/>
      <c r="V43" s="887"/>
      <c r="W43" s="973"/>
      <c r="X43" s="42"/>
      <c r="Y43" s="52"/>
      <c r="Z43" s="42">
        <f t="shared" si="5"/>
        <v>0</v>
      </c>
      <c r="AA43" s="52"/>
      <c r="AB43" s="887"/>
      <c r="AC43" s="973"/>
      <c r="AD43" s="42"/>
      <c r="AE43" s="52"/>
      <c r="AF43" s="42">
        <f t="shared" si="6"/>
        <v>0</v>
      </c>
      <c r="AG43" s="52"/>
      <c r="AH43" s="887"/>
      <c r="AI43" s="973"/>
      <c r="AJ43" s="42"/>
      <c r="AK43" s="52"/>
      <c r="AL43" s="42">
        <f t="shared" si="7"/>
        <v>0</v>
      </c>
      <c r="AM43" s="52"/>
      <c r="AN43" s="887"/>
      <c r="AO43" s="973"/>
      <c r="AP43" s="42"/>
      <c r="AQ43" s="52"/>
      <c r="AR43" s="42">
        <f t="shared" si="8"/>
        <v>0</v>
      </c>
      <c r="AS43" s="52"/>
      <c r="AT43" s="887"/>
      <c r="AU43" s="973"/>
      <c r="AV43" s="42"/>
      <c r="AW43" s="52"/>
      <c r="AX43" s="42">
        <f t="shared" si="9"/>
        <v>0</v>
      </c>
      <c r="AY43" s="52"/>
      <c r="AZ43" s="887"/>
      <c r="BA43" s="973"/>
      <c r="BB43" s="42"/>
      <c r="BC43" s="52"/>
      <c r="BD43" s="42">
        <f t="shared" si="10"/>
        <v>0</v>
      </c>
      <c r="BE43" s="52"/>
      <c r="BF43" s="887"/>
      <c r="BG43" s="973"/>
      <c r="BH43" s="42"/>
      <c r="BI43" s="52"/>
      <c r="BJ43" s="42">
        <f t="shared" si="11"/>
        <v>0</v>
      </c>
      <c r="BK43" s="52"/>
      <c r="BL43" s="887"/>
      <c r="BM43" s="973"/>
      <c r="BN43" s="42"/>
      <c r="BO43" s="52"/>
      <c r="BP43" s="42">
        <f t="shared" si="12"/>
        <v>0</v>
      </c>
      <c r="BQ43" s="52"/>
      <c r="BR43" s="887"/>
    </row>
    <row r="44" ht="15.75" customHeight="1">
      <c r="A44" s="439"/>
      <c r="B44" s="465"/>
      <c r="C44" s="465" t="s">
        <v>21</v>
      </c>
      <c r="D44" s="200">
        <v>0.0</v>
      </c>
      <c r="E44" s="962"/>
      <c r="F44" s="42"/>
      <c r="G44" s="52"/>
      <c r="H44" s="42">
        <f t="shared" si="2"/>
        <v>0</v>
      </c>
      <c r="I44" s="46"/>
      <c r="J44" s="40">
        <v>0.0</v>
      </c>
      <c r="K44" s="962"/>
      <c r="L44" s="42"/>
      <c r="M44" s="52"/>
      <c r="N44" s="42">
        <f t="shared" si="3"/>
        <v>0</v>
      </c>
      <c r="O44" s="52"/>
      <c r="P44" s="890">
        <v>0.0</v>
      </c>
      <c r="Q44" s="973"/>
      <c r="R44" s="42"/>
      <c r="S44" s="52"/>
      <c r="T44" s="42">
        <f t="shared" si="4"/>
        <v>0</v>
      </c>
      <c r="U44" s="52"/>
      <c r="V44" s="887"/>
      <c r="W44" s="973"/>
      <c r="X44" s="42"/>
      <c r="Y44" s="52"/>
      <c r="Z44" s="42">
        <f t="shared" si="5"/>
        <v>0</v>
      </c>
      <c r="AA44" s="52"/>
      <c r="AB44" s="887"/>
      <c r="AC44" s="973"/>
      <c r="AD44" s="42"/>
      <c r="AE44" s="52"/>
      <c r="AF44" s="42">
        <f t="shared" si="6"/>
        <v>0</v>
      </c>
      <c r="AG44" s="52"/>
      <c r="AH44" s="887"/>
      <c r="AI44" s="973"/>
      <c r="AJ44" s="42"/>
      <c r="AK44" s="52"/>
      <c r="AL44" s="42">
        <f t="shared" si="7"/>
        <v>0</v>
      </c>
      <c r="AM44" s="52"/>
      <c r="AN44" s="887"/>
      <c r="AO44" s="973"/>
      <c r="AP44" s="42"/>
      <c r="AQ44" s="52"/>
      <c r="AR44" s="42">
        <f t="shared" si="8"/>
        <v>0</v>
      </c>
      <c r="AS44" s="52"/>
      <c r="AT44" s="887"/>
      <c r="AU44" s="973"/>
      <c r="AV44" s="42"/>
      <c r="AW44" s="52"/>
      <c r="AX44" s="42">
        <f t="shared" si="9"/>
        <v>0</v>
      </c>
      <c r="AY44" s="52"/>
      <c r="AZ44" s="887"/>
      <c r="BA44" s="973"/>
      <c r="BB44" s="42"/>
      <c r="BC44" s="52"/>
      <c r="BD44" s="42">
        <f t="shared" si="10"/>
        <v>0</v>
      </c>
      <c r="BE44" s="52"/>
      <c r="BF44" s="887"/>
      <c r="BG44" s="973"/>
      <c r="BH44" s="42"/>
      <c r="BI44" s="52"/>
      <c r="BJ44" s="42">
        <f t="shared" si="11"/>
        <v>0</v>
      </c>
      <c r="BK44" s="52"/>
      <c r="BL44" s="887"/>
      <c r="BM44" s="973"/>
      <c r="BN44" s="42"/>
      <c r="BO44" s="52"/>
      <c r="BP44" s="42">
        <f t="shared" si="12"/>
        <v>0</v>
      </c>
      <c r="BQ44" s="52"/>
      <c r="BR44" s="887"/>
    </row>
    <row r="45" ht="15.75" customHeight="1">
      <c r="A45" s="439"/>
      <c r="B45" s="465"/>
      <c r="C45" s="465" t="s">
        <v>22</v>
      </c>
      <c r="D45" s="200">
        <v>0.0</v>
      </c>
      <c r="E45" s="962"/>
      <c r="F45" s="42"/>
      <c r="G45" s="52"/>
      <c r="H45" s="42">
        <f t="shared" si="2"/>
        <v>0</v>
      </c>
      <c r="I45" s="46"/>
      <c r="J45" s="40">
        <v>0.0</v>
      </c>
      <c r="K45" s="962"/>
      <c r="L45" s="42"/>
      <c r="M45" s="52"/>
      <c r="N45" s="42">
        <f t="shared" si="3"/>
        <v>0</v>
      </c>
      <c r="O45" s="52"/>
      <c r="P45" s="890">
        <v>0.0</v>
      </c>
      <c r="Q45" s="973"/>
      <c r="R45" s="42"/>
      <c r="S45" s="52"/>
      <c r="T45" s="42">
        <f t="shared" si="4"/>
        <v>0</v>
      </c>
      <c r="U45" s="52"/>
      <c r="V45" s="887"/>
      <c r="W45" s="973"/>
      <c r="X45" s="42"/>
      <c r="Y45" s="52"/>
      <c r="Z45" s="42">
        <f t="shared" si="5"/>
        <v>0</v>
      </c>
      <c r="AA45" s="52"/>
      <c r="AB45" s="887"/>
      <c r="AC45" s="973"/>
      <c r="AD45" s="42"/>
      <c r="AE45" s="52"/>
      <c r="AF45" s="42">
        <f t="shared" si="6"/>
        <v>0</v>
      </c>
      <c r="AG45" s="52"/>
      <c r="AH45" s="887"/>
      <c r="AI45" s="973"/>
      <c r="AJ45" s="42"/>
      <c r="AK45" s="52"/>
      <c r="AL45" s="42">
        <f t="shared" si="7"/>
        <v>0</v>
      </c>
      <c r="AM45" s="52"/>
      <c r="AN45" s="887"/>
      <c r="AO45" s="973"/>
      <c r="AP45" s="42"/>
      <c r="AQ45" s="52"/>
      <c r="AR45" s="42">
        <f t="shared" si="8"/>
        <v>0</v>
      </c>
      <c r="AS45" s="52"/>
      <c r="AT45" s="887"/>
      <c r="AU45" s="973"/>
      <c r="AV45" s="42"/>
      <c r="AW45" s="52"/>
      <c r="AX45" s="42">
        <f t="shared" si="9"/>
        <v>0</v>
      </c>
      <c r="AY45" s="52"/>
      <c r="AZ45" s="887"/>
      <c r="BA45" s="973"/>
      <c r="BB45" s="42"/>
      <c r="BC45" s="52"/>
      <c r="BD45" s="42">
        <f t="shared" si="10"/>
        <v>0</v>
      </c>
      <c r="BE45" s="52"/>
      <c r="BF45" s="887"/>
      <c r="BG45" s="973"/>
      <c r="BH45" s="42"/>
      <c r="BI45" s="52"/>
      <c r="BJ45" s="42">
        <f t="shared" si="11"/>
        <v>0</v>
      </c>
      <c r="BK45" s="52"/>
      <c r="BL45" s="887"/>
      <c r="BM45" s="973"/>
      <c r="BN45" s="42"/>
      <c r="BO45" s="52"/>
      <c r="BP45" s="42">
        <f t="shared" si="12"/>
        <v>0</v>
      </c>
      <c r="BQ45" s="52"/>
      <c r="BR45" s="887"/>
    </row>
    <row r="46" ht="15.75" customHeight="1">
      <c r="A46" s="439"/>
      <c r="B46" s="483"/>
      <c r="C46" s="483" t="s">
        <v>187</v>
      </c>
      <c r="D46" s="1012">
        <f>'Calculation Sheet for GST on Pu'!C27</f>
        <v>24312.44203</v>
      </c>
      <c r="E46" s="1013">
        <f t="shared" ref="E46:E47" si="13">D46/D$29</f>
        <v>0.04762198226</v>
      </c>
      <c r="F46" s="892"/>
      <c r="G46" s="852"/>
      <c r="H46" s="892">
        <f t="shared" si="2"/>
        <v>24312.44203</v>
      </c>
      <c r="I46" s="852"/>
      <c r="J46" s="1014">
        <f>'Calculation Sheet for GST on Pu'!D27</f>
        <v>10508.42898</v>
      </c>
      <c r="K46" s="1013">
        <f t="shared" ref="K46:K47" si="14">J46/J$29</f>
        <v>0.02282139099</v>
      </c>
      <c r="L46" s="892"/>
      <c r="M46" s="852"/>
      <c r="N46" s="892">
        <f t="shared" si="3"/>
        <v>10508.42898</v>
      </c>
      <c r="O46" s="852"/>
      <c r="P46" s="1014">
        <f>'Calculation Sheet for GST on Pu'!E27</f>
        <v>12054.01523</v>
      </c>
      <c r="Q46" s="1015">
        <f t="shared" ref="Q46:Q47" si="15">P46/P$29</f>
        <v>0.03693211726</v>
      </c>
      <c r="R46" s="96"/>
      <c r="S46" s="64"/>
      <c r="T46" s="96">
        <f t="shared" si="4"/>
        <v>12054.01523</v>
      </c>
      <c r="U46" s="64"/>
      <c r="V46" s="892"/>
      <c r="W46" s="1015" t="str">
        <f t="shared" ref="W46:W47" si="16">V46/V$29</f>
        <v>#DIV/0!</v>
      </c>
      <c r="X46" s="96"/>
      <c r="Y46" s="64"/>
      <c r="Z46" s="96">
        <f t="shared" si="5"/>
        <v>0</v>
      </c>
      <c r="AA46" s="64"/>
      <c r="AB46" s="892"/>
      <c r="AC46" s="1015" t="str">
        <f t="shared" ref="AC46:AC47" si="17">AB46/AB$29</f>
        <v>#DIV/0!</v>
      </c>
      <c r="AD46" s="96"/>
      <c r="AE46" s="64"/>
      <c r="AF46" s="96">
        <f t="shared" si="6"/>
        <v>0</v>
      </c>
      <c r="AG46" s="64"/>
      <c r="AH46" s="892"/>
      <c r="AI46" s="1015" t="str">
        <f t="shared" ref="AI46:AI47" si="18">AH46/AH$29</f>
        <v>#DIV/0!</v>
      </c>
      <c r="AJ46" s="96"/>
      <c r="AK46" s="64"/>
      <c r="AL46" s="96">
        <f t="shared" si="7"/>
        <v>0</v>
      </c>
      <c r="AM46" s="64"/>
      <c r="AN46" s="892"/>
      <c r="AO46" s="1015" t="str">
        <f t="shared" ref="AO46:AO47" si="19">AN46/AN$29</f>
        <v>#DIV/0!</v>
      </c>
      <c r="AP46" s="96"/>
      <c r="AQ46" s="64"/>
      <c r="AR46" s="96">
        <f t="shared" si="8"/>
        <v>0</v>
      </c>
      <c r="AS46" s="64"/>
      <c r="AT46" s="892"/>
      <c r="AU46" s="1015" t="str">
        <f t="shared" ref="AU46:AU47" si="20">AT46/AT$29</f>
        <v>#DIV/0!</v>
      </c>
      <c r="AV46" s="96"/>
      <c r="AW46" s="64"/>
      <c r="AX46" s="96">
        <f t="shared" si="9"/>
        <v>0</v>
      </c>
      <c r="AY46" s="64"/>
      <c r="AZ46" s="892"/>
      <c r="BA46" s="1015" t="str">
        <f t="shared" ref="BA46:BA47" si="21">AZ46/AZ$29</f>
        <v>#DIV/0!</v>
      </c>
      <c r="BB46" s="96"/>
      <c r="BC46" s="64"/>
      <c r="BD46" s="96">
        <f t="shared" si="10"/>
        <v>0</v>
      </c>
      <c r="BE46" s="64"/>
      <c r="BF46" s="892"/>
      <c r="BG46" s="1015" t="str">
        <f t="shared" ref="BG46:BG47" si="22">BF46/BF$29</f>
        <v>#DIV/0!</v>
      </c>
      <c r="BH46" s="96"/>
      <c r="BI46" s="64"/>
      <c r="BJ46" s="96">
        <f t="shared" si="11"/>
        <v>0</v>
      </c>
      <c r="BK46" s="64"/>
      <c r="BL46" s="892"/>
      <c r="BM46" s="1015" t="str">
        <f t="shared" ref="BM46:BM47" si="23">BL46/BL$29</f>
        <v>#DIV/0!</v>
      </c>
      <c r="BN46" s="96"/>
      <c r="BO46" s="64"/>
      <c r="BP46" s="96">
        <f t="shared" si="12"/>
        <v>0</v>
      </c>
      <c r="BQ46" s="64"/>
      <c r="BR46" s="892"/>
    </row>
    <row r="47" ht="15.75" customHeight="1">
      <c r="A47" s="439"/>
      <c r="B47" s="493"/>
      <c r="C47" s="490" t="s">
        <v>188</v>
      </c>
      <c r="D47" s="1016">
        <f>SUM(D42:D46)</f>
        <v>861374.9289</v>
      </c>
      <c r="E47" s="1017">
        <f t="shared" si="13"/>
        <v>1.687217661</v>
      </c>
      <c r="F47" s="1018">
        <f>SUM(F42:F46)</f>
        <v>0</v>
      </c>
      <c r="G47" s="1019"/>
      <c r="H47" s="1018">
        <f>SUM(H42:H46)</f>
        <v>861374.9289</v>
      </c>
      <c r="I47" s="1020"/>
      <c r="J47" s="142">
        <f>SUM(J42:J46)</f>
        <v>917627.5406</v>
      </c>
      <c r="K47" s="1017">
        <f t="shared" si="14"/>
        <v>1.992832318</v>
      </c>
      <c r="L47" s="1018">
        <f>SUM(L42:L46)</f>
        <v>0</v>
      </c>
      <c r="M47" s="1019"/>
      <c r="N47" s="1018">
        <f>SUM(N42:N46)</f>
        <v>917627.5406</v>
      </c>
      <c r="O47" s="1019"/>
      <c r="P47" s="898">
        <f>SUM(P42:P46)</f>
        <v>250622.2678</v>
      </c>
      <c r="Q47" s="1021">
        <f t="shared" si="15"/>
        <v>0.7678778238</v>
      </c>
      <c r="R47" s="1018">
        <f>SUM(R42:R46)</f>
        <v>0</v>
      </c>
      <c r="S47" s="1019"/>
      <c r="T47" s="1018">
        <f>SUM(T42:T46)</f>
        <v>250622.2678</v>
      </c>
      <c r="U47" s="1019"/>
      <c r="V47" s="898">
        <f>SUM(V42:V46)</f>
        <v>0</v>
      </c>
      <c r="W47" s="1021" t="str">
        <f t="shared" si="16"/>
        <v>#DIV/0!</v>
      </c>
      <c r="X47" s="1018">
        <f>SUM(X42:X46)</f>
        <v>0</v>
      </c>
      <c r="Y47" s="1019"/>
      <c r="Z47" s="1018">
        <f>SUM(Z42:Z46)</f>
        <v>0</v>
      </c>
      <c r="AA47" s="1019"/>
      <c r="AB47" s="898">
        <f>SUM(AB42:AB46)</f>
        <v>0</v>
      </c>
      <c r="AC47" s="1021" t="str">
        <f t="shared" si="17"/>
        <v>#DIV/0!</v>
      </c>
      <c r="AD47" s="1018">
        <f>SUM(AD42:AD46)</f>
        <v>0</v>
      </c>
      <c r="AE47" s="1019"/>
      <c r="AF47" s="1018">
        <f>SUM(AF42:AF46)</f>
        <v>0</v>
      </c>
      <c r="AG47" s="1019"/>
      <c r="AH47" s="898">
        <f>SUM(AH42:AH46)</f>
        <v>0</v>
      </c>
      <c r="AI47" s="1021" t="str">
        <f t="shared" si="18"/>
        <v>#DIV/0!</v>
      </c>
      <c r="AJ47" s="1018">
        <f>SUM(AJ42:AJ46)</f>
        <v>0</v>
      </c>
      <c r="AK47" s="1019"/>
      <c r="AL47" s="1018">
        <f>SUM(AL42:AL46)</f>
        <v>0</v>
      </c>
      <c r="AM47" s="1019"/>
      <c r="AN47" s="898">
        <f>SUM(AN42:AN46)</f>
        <v>0</v>
      </c>
      <c r="AO47" s="1021" t="str">
        <f t="shared" si="19"/>
        <v>#DIV/0!</v>
      </c>
      <c r="AP47" s="1018">
        <f>SUM(AP42:AP46)</f>
        <v>0</v>
      </c>
      <c r="AQ47" s="1019"/>
      <c r="AR47" s="1018">
        <f>SUM(AR42:AR46)</f>
        <v>0</v>
      </c>
      <c r="AS47" s="1019"/>
      <c r="AT47" s="898">
        <f>SUM(AT42:AT46)</f>
        <v>0</v>
      </c>
      <c r="AU47" s="1021" t="str">
        <f t="shared" si="20"/>
        <v>#DIV/0!</v>
      </c>
      <c r="AV47" s="1018">
        <f>SUM(AV42:AV46)</f>
        <v>0</v>
      </c>
      <c r="AW47" s="1019"/>
      <c r="AX47" s="1018">
        <f>SUM(AX42:AX46)</f>
        <v>0</v>
      </c>
      <c r="AY47" s="1019"/>
      <c r="AZ47" s="898">
        <f>SUM(AZ42:AZ46)</f>
        <v>0</v>
      </c>
      <c r="BA47" s="1021" t="str">
        <f t="shared" si="21"/>
        <v>#DIV/0!</v>
      </c>
      <c r="BB47" s="1018">
        <f>SUM(BB42:BB46)</f>
        <v>0</v>
      </c>
      <c r="BC47" s="1019"/>
      <c r="BD47" s="1018">
        <f>SUM(BD42:BD46)</f>
        <v>0</v>
      </c>
      <c r="BE47" s="1019"/>
      <c r="BF47" s="898">
        <f>SUM(BF42:BF46)</f>
        <v>0</v>
      </c>
      <c r="BG47" s="1021" t="str">
        <f t="shared" si="22"/>
        <v>#DIV/0!</v>
      </c>
      <c r="BH47" s="1018">
        <f>SUM(BH42:BH46)</f>
        <v>0</v>
      </c>
      <c r="BI47" s="1019"/>
      <c r="BJ47" s="1018">
        <f>SUM(BJ42:BJ46)</f>
        <v>0</v>
      </c>
      <c r="BK47" s="1019"/>
      <c r="BL47" s="898">
        <f>SUM(BL42:BL46)</f>
        <v>0</v>
      </c>
      <c r="BM47" s="1021" t="str">
        <f t="shared" si="23"/>
        <v>#DIV/0!</v>
      </c>
      <c r="BN47" s="1018">
        <f>SUM(BN42:BN46)</f>
        <v>0</v>
      </c>
      <c r="BO47" s="1019"/>
      <c r="BP47" s="1018">
        <f>SUM(BP42:BP46)</f>
        <v>0</v>
      </c>
      <c r="BQ47" s="1019"/>
      <c r="BR47" s="898">
        <f>SUM(BR42:BR46)</f>
        <v>0</v>
      </c>
    </row>
    <row r="48" ht="15.75" customHeight="1">
      <c r="A48" s="439"/>
      <c r="B48" s="526"/>
      <c r="C48" s="1022" t="s">
        <v>189</v>
      </c>
      <c r="D48" s="1011">
        <v>93423.5</v>
      </c>
      <c r="E48" s="1023">
        <f>D48/D29</f>
        <v>0.1829932285</v>
      </c>
      <c r="F48" s="1024"/>
      <c r="G48" s="1025"/>
      <c r="H48" s="1025"/>
      <c r="I48" s="1026"/>
      <c r="J48" s="1027">
        <f>108073+1580</f>
        <v>109653</v>
      </c>
      <c r="K48" s="1028">
        <f>J48/J29</f>
        <v>0.2381358803</v>
      </c>
      <c r="L48" s="1024"/>
      <c r="M48" s="1025"/>
      <c r="N48" s="1025"/>
      <c r="O48" s="1025"/>
      <c r="P48" s="1029">
        <v>102488.0</v>
      </c>
      <c r="Q48" s="1028">
        <f>P48/P29</f>
        <v>0.3140114528</v>
      </c>
      <c r="R48" s="1024"/>
      <c r="S48" s="1025"/>
      <c r="T48" s="1025"/>
      <c r="U48" s="1025"/>
      <c r="V48" s="1027"/>
      <c r="W48" s="1028" t="str">
        <f>V48/V29</f>
        <v>#DIV/0!</v>
      </c>
      <c r="X48" s="1024"/>
      <c r="Y48" s="1025"/>
      <c r="Z48" s="1025"/>
      <c r="AA48" s="1025"/>
      <c r="AB48" s="1027"/>
      <c r="AC48" s="1028" t="str">
        <f>AB48/AB29</f>
        <v>#DIV/0!</v>
      </c>
      <c r="AD48" s="1024"/>
      <c r="AE48" s="1025"/>
      <c r="AF48" s="1025"/>
      <c r="AG48" s="1025"/>
      <c r="AH48" s="1027"/>
      <c r="AI48" s="1028" t="str">
        <f>AH48/AH29</f>
        <v>#DIV/0!</v>
      </c>
      <c r="AJ48" s="1024"/>
      <c r="AK48" s="1025"/>
      <c r="AL48" s="1025"/>
      <c r="AM48" s="1025"/>
      <c r="AN48" s="1027"/>
      <c r="AO48" s="1028" t="str">
        <f>AN48/AN29</f>
        <v>#DIV/0!</v>
      </c>
      <c r="AP48" s="1024"/>
      <c r="AQ48" s="1025"/>
      <c r="AR48" s="1025"/>
      <c r="AS48" s="1025"/>
      <c r="AT48" s="1027"/>
      <c r="AU48" s="1028" t="str">
        <f>AT48/AT29</f>
        <v>#DIV/0!</v>
      </c>
      <c r="AV48" s="1024"/>
      <c r="AW48" s="1025"/>
      <c r="AX48" s="1025"/>
      <c r="AY48" s="1025"/>
      <c r="AZ48" s="1027"/>
      <c r="BA48" s="1028" t="str">
        <f>AZ48/AZ29</f>
        <v>#DIV/0!</v>
      </c>
      <c r="BB48" s="1024"/>
      <c r="BC48" s="1025"/>
      <c r="BD48" s="1025"/>
      <c r="BE48" s="1025"/>
      <c r="BF48" s="1027"/>
      <c r="BG48" s="1028" t="str">
        <f>BF48/BF29</f>
        <v>#DIV/0!</v>
      </c>
      <c r="BH48" s="1024"/>
      <c r="BI48" s="1025"/>
      <c r="BJ48" s="1025"/>
      <c r="BK48" s="1025"/>
      <c r="BL48" s="1027"/>
      <c r="BM48" s="1028" t="str">
        <f>BL48/BL29</f>
        <v>#DIV/0!</v>
      </c>
      <c r="BN48" s="1024"/>
      <c r="BO48" s="1025"/>
      <c r="BP48" s="1025"/>
      <c r="BQ48" s="1025"/>
      <c r="BR48" s="1027"/>
    </row>
    <row r="49" ht="15.75" customHeight="1">
      <c r="A49" s="439"/>
      <c r="B49" s="490"/>
      <c r="C49" s="458" t="s">
        <v>190</v>
      </c>
      <c r="D49" s="142">
        <f>D47+D48</f>
        <v>954798.4289</v>
      </c>
      <c r="E49" s="1017">
        <f>D49/D$29</f>
        <v>1.87021089</v>
      </c>
      <c r="F49" s="143">
        <f>F47+F48</f>
        <v>0</v>
      </c>
      <c r="G49" s="145"/>
      <c r="H49" s="143">
        <f>H47+H48</f>
        <v>861374.9289</v>
      </c>
      <c r="I49" s="1030"/>
      <c r="J49" s="142">
        <f>J47+J48</f>
        <v>1027280.541</v>
      </c>
      <c r="K49" s="1017">
        <f>J49/J$29</f>
        <v>2.230968199</v>
      </c>
      <c r="L49" s="143">
        <f>L47+L48</f>
        <v>0</v>
      </c>
      <c r="M49" s="145"/>
      <c r="N49" s="143">
        <f>N47+N48</f>
        <v>917627.5406</v>
      </c>
      <c r="O49" s="145"/>
      <c r="P49" s="898">
        <f>P47+P48</f>
        <v>353110.2678</v>
      </c>
      <c r="Q49" s="1021">
        <f>P49/P$29</f>
        <v>1.081889277</v>
      </c>
      <c r="R49" s="143">
        <f>R47+R48</f>
        <v>0</v>
      </c>
      <c r="S49" s="145"/>
      <c r="T49" s="143">
        <f>T47+T48</f>
        <v>250622.2678</v>
      </c>
      <c r="U49" s="145"/>
      <c r="V49" s="898">
        <f>V47+V48</f>
        <v>0</v>
      </c>
      <c r="W49" s="1021" t="str">
        <f>V49/V$29</f>
        <v>#DIV/0!</v>
      </c>
      <c r="X49" s="143">
        <f>X47+X48</f>
        <v>0</v>
      </c>
      <c r="Y49" s="145"/>
      <c r="Z49" s="143">
        <f>Z47+Z48</f>
        <v>0</v>
      </c>
      <c r="AA49" s="145"/>
      <c r="AB49" s="898">
        <f>AB47+AB48</f>
        <v>0</v>
      </c>
      <c r="AC49" s="1021" t="str">
        <f>AB49/AB$29</f>
        <v>#DIV/0!</v>
      </c>
      <c r="AD49" s="143">
        <f>AD47+AD48</f>
        <v>0</v>
      </c>
      <c r="AE49" s="145"/>
      <c r="AF49" s="143">
        <f>AF47+AF48</f>
        <v>0</v>
      </c>
      <c r="AG49" s="145"/>
      <c r="AH49" s="898">
        <f>AH47+AH48</f>
        <v>0</v>
      </c>
      <c r="AI49" s="1021" t="str">
        <f>AH49/AH$29</f>
        <v>#DIV/0!</v>
      </c>
      <c r="AJ49" s="143">
        <f>AJ47+AJ48</f>
        <v>0</v>
      </c>
      <c r="AK49" s="145"/>
      <c r="AL49" s="143">
        <f>AL47+AL48</f>
        <v>0</v>
      </c>
      <c r="AM49" s="145"/>
      <c r="AN49" s="898">
        <f>AN47+AN48</f>
        <v>0</v>
      </c>
      <c r="AO49" s="1021" t="str">
        <f>AN49/AN$29</f>
        <v>#DIV/0!</v>
      </c>
      <c r="AP49" s="143">
        <f>AP47+AP48</f>
        <v>0</v>
      </c>
      <c r="AQ49" s="145"/>
      <c r="AR49" s="143">
        <f>AR47+AR48</f>
        <v>0</v>
      </c>
      <c r="AS49" s="145"/>
      <c r="AT49" s="898">
        <f>AT47+AT48</f>
        <v>0</v>
      </c>
      <c r="AU49" s="1021" t="str">
        <f>AT49/AT$29</f>
        <v>#DIV/0!</v>
      </c>
      <c r="AV49" s="143">
        <f>AV47+AV48</f>
        <v>0</v>
      </c>
      <c r="AW49" s="145"/>
      <c r="AX49" s="143">
        <f>AX47+AX48</f>
        <v>0</v>
      </c>
      <c r="AY49" s="145"/>
      <c r="AZ49" s="898">
        <f>AZ47+AZ48</f>
        <v>0</v>
      </c>
      <c r="BA49" s="1021" t="str">
        <f>AZ49/AZ$29</f>
        <v>#DIV/0!</v>
      </c>
      <c r="BB49" s="143">
        <f>BB47+BB48</f>
        <v>0</v>
      </c>
      <c r="BC49" s="145"/>
      <c r="BD49" s="143">
        <f>BD47+BD48</f>
        <v>0</v>
      </c>
      <c r="BE49" s="145"/>
      <c r="BF49" s="898">
        <f>BF47+BF48</f>
        <v>0</v>
      </c>
      <c r="BG49" s="1021" t="str">
        <f>BF49/BF$29</f>
        <v>#DIV/0!</v>
      </c>
      <c r="BH49" s="143">
        <f>BH47+BH48</f>
        <v>0</v>
      </c>
      <c r="BI49" s="145"/>
      <c r="BJ49" s="143">
        <f>BJ47+BJ48</f>
        <v>0</v>
      </c>
      <c r="BK49" s="145"/>
      <c r="BL49" s="898">
        <f>BL47+BL48</f>
        <v>0</v>
      </c>
      <c r="BM49" s="1021" t="str">
        <f>BL49/BL$29</f>
        <v>#DIV/0!</v>
      </c>
      <c r="BN49" s="143">
        <f>BN47+BN48</f>
        <v>0</v>
      </c>
      <c r="BO49" s="145"/>
      <c r="BP49" s="143">
        <f>BP47+BP48</f>
        <v>0</v>
      </c>
      <c r="BQ49" s="145"/>
      <c r="BR49" s="898">
        <f>BR47+BR48</f>
        <v>0</v>
      </c>
    </row>
    <row r="50" ht="15.75" customHeight="1">
      <c r="A50" s="439"/>
      <c r="B50" s="457"/>
      <c r="C50" s="1031" t="s">
        <v>32</v>
      </c>
      <c r="D50" s="142">
        <f>D29-D49</f>
        <v>-444268.6089</v>
      </c>
      <c r="E50" s="1017">
        <f>D50/D29</f>
        <v>-0.8702108898</v>
      </c>
      <c r="F50" s="1018">
        <f>F29-F49</f>
        <v>0</v>
      </c>
      <c r="G50" s="1019" t="str">
        <f>F49/F$29</f>
        <v>#DIV/0!</v>
      </c>
      <c r="H50" s="1032">
        <f>H29-H49</f>
        <v>-400823.9289</v>
      </c>
      <c r="I50" s="1020">
        <f>H49/H$29</f>
        <v>1.870313883</v>
      </c>
      <c r="J50" s="142">
        <f>J29-J49</f>
        <v>-566816.5406</v>
      </c>
      <c r="K50" s="1017">
        <f>J50/J29</f>
        <v>-1.230968199</v>
      </c>
      <c r="L50" s="1018">
        <f>L29-L49</f>
        <v>0</v>
      </c>
      <c r="M50" s="1019" t="str">
        <f>L49/L$29</f>
        <v>#DIV/0!</v>
      </c>
      <c r="N50" s="1032">
        <f>N29-N49</f>
        <v>-457163.5406</v>
      </c>
      <c r="O50" s="1019">
        <f>N49/N$29</f>
        <v>1.992832318</v>
      </c>
      <c r="P50" s="898">
        <f>P29-P49</f>
        <v>-26727.26776</v>
      </c>
      <c r="Q50" s="1021">
        <f>P50/P29</f>
        <v>-0.0818892766</v>
      </c>
      <c r="R50" s="1018">
        <f>R29-R49</f>
        <v>0</v>
      </c>
      <c r="S50" s="1019" t="str">
        <f>R49/R$29</f>
        <v>#DIV/0!</v>
      </c>
      <c r="T50" s="1032">
        <f>T29-T49</f>
        <v>75760.73224</v>
      </c>
      <c r="U50" s="1019">
        <f>T49/T$29</f>
        <v>0.7678778238</v>
      </c>
      <c r="V50" s="898">
        <f>V29-V49</f>
        <v>0</v>
      </c>
      <c r="W50" s="1021" t="str">
        <f>V50/V29</f>
        <v>#DIV/0!</v>
      </c>
      <c r="X50" s="1018">
        <f>X29-X49</f>
        <v>0</v>
      </c>
      <c r="Y50" s="1019" t="str">
        <f>X49/X$29</f>
        <v>#DIV/0!</v>
      </c>
      <c r="Z50" s="1032">
        <f>Z29-Z49</f>
        <v>0</v>
      </c>
      <c r="AA50" s="1019" t="str">
        <f>Z49/Z$29</f>
        <v>#DIV/0!</v>
      </c>
      <c r="AB50" s="898">
        <f>AB29-AB49</f>
        <v>0</v>
      </c>
      <c r="AC50" s="1021" t="str">
        <f>AB50/AB29</f>
        <v>#DIV/0!</v>
      </c>
      <c r="AD50" s="1018">
        <f>AD29-AD49</f>
        <v>0</v>
      </c>
      <c r="AE50" s="1019" t="str">
        <f>AD49/AD$29</f>
        <v>#DIV/0!</v>
      </c>
      <c r="AF50" s="1032">
        <f>AF29-AF49</f>
        <v>0</v>
      </c>
      <c r="AG50" s="1019" t="str">
        <f>AF49/AF$29</f>
        <v>#DIV/0!</v>
      </c>
      <c r="AH50" s="898">
        <f>AH29-AH49</f>
        <v>0</v>
      </c>
      <c r="AI50" s="1021" t="str">
        <f>AH50/AH29</f>
        <v>#DIV/0!</v>
      </c>
      <c r="AJ50" s="1018">
        <f>AJ29-AJ49</f>
        <v>0</v>
      </c>
      <c r="AK50" s="1019" t="str">
        <f>AJ49/AJ$29</f>
        <v>#DIV/0!</v>
      </c>
      <c r="AL50" s="1032">
        <f>AL29-AL49</f>
        <v>0</v>
      </c>
      <c r="AM50" s="1019" t="str">
        <f>AL49/AL$29</f>
        <v>#DIV/0!</v>
      </c>
      <c r="AN50" s="898">
        <f>AN29-AN49</f>
        <v>0</v>
      </c>
      <c r="AO50" s="1021" t="str">
        <f>AN50/AN29</f>
        <v>#DIV/0!</v>
      </c>
      <c r="AP50" s="1018">
        <f>AP29-AP49</f>
        <v>0</v>
      </c>
      <c r="AQ50" s="1019" t="str">
        <f>AP49/AP$29</f>
        <v>#DIV/0!</v>
      </c>
      <c r="AR50" s="1032">
        <f>AR29-AR49</f>
        <v>0</v>
      </c>
      <c r="AS50" s="1019" t="str">
        <f>AR49/AR$29</f>
        <v>#DIV/0!</v>
      </c>
      <c r="AT50" s="898">
        <f>AT29-AT49</f>
        <v>0</v>
      </c>
      <c r="AU50" s="1021" t="str">
        <f>AT50/AT29</f>
        <v>#DIV/0!</v>
      </c>
      <c r="AV50" s="1018">
        <f>AV29-AV49</f>
        <v>0</v>
      </c>
      <c r="AW50" s="1019" t="str">
        <f>AV49/AV$29</f>
        <v>#DIV/0!</v>
      </c>
      <c r="AX50" s="1032">
        <f>AX29-AX49</f>
        <v>0</v>
      </c>
      <c r="AY50" s="1019" t="str">
        <f>AX49/AX$29</f>
        <v>#DIV/0!</v>
      </c>
      <c r="AZ50" s="898">
        <f>AZ29-AZ49</f>
        <v>0</v>
      </c>
      <c r="BA50" s="1021" t="str">
        <f>AZ50/AZ29</f>
        <v>#DIV/0!</v>
      </c>
      <c r="BB50" s="1018">
        <f>BB29-BB49</f>
        <v>0</v>
      </c>
      <c r="BC50" s="1019" t="str">
        <f>BB49/BB$29</f>
        <v>#DIV/0!</v>
      </c>
      <c r="BD50" s="1032">
        <f>BD29-BD49</f>
        <v>0</v>
      </c>
      <c r="BE50" s="1019" t="str">
        <f>BD49/BD$29</f>
        <v>#DIV/0!</v>
      </c>
      <c r="BF50" s="898">
        <f>BF29-BF49</f>
        <v>0</v>
      </c>
      <c r="BG50" s="1021" t="str">
        <f>BF50/BF29</f>
        <v>#DIV/0!</v>
      </c>
      <c r="BH50" s="1018">
        <f>BH29-BH49</f>
        <v>0</v>
      </c>
      <c r="BI50" s="1019" t="str">
        <f>BH49/BH$29</f>
        <v>#DIV/0!</v>
      </c>
      <c r="BJ50" s="1032">
        <f>BJ29-BJ49</f>
        <v>0</v>
      </c>
      <c r="BK50" s="1019" t="str">
        <f>BJ49/BJ$29</f>
        <v>#DIV/0!</v>
      </c>
      <c r="BL50" s="898">
        <f>BL29-BL49</f>
        <v>0</v>
      </c>
      <c r="BM50" s="1021" t="str">
        <f>BL50/BL29</f>
        <v>#DIV/0!</v>
      </c>
      <c r="BN50" s="1018">
        <f>BN29-BN49</f>
        <v>0</v>
      </c>
      <c r="BO50" s="1019" t="str">
        <f>BN49/BN$29</f>
        <v>#DIV/0!</v>
      </c>
      <c r="BP50" s="1032">
        <f>BP29-BP49</f>
        <v>0</v>
      </c>
      <c r="BQ50" s="1019" t="str">
        <f>BP49/BP$29</f>
        <v>#DIV/0!</v>
      </c>
      <c r="BR50" s="898">
        <f>BR29-BR49</f>
        <v>0</v>
      </c>
    </row>
    <row r="51" ht="15.75" customHeight="1">
      <c r="A51" s="439"/>
      <c r="B51" s="497"/>
      <c r="C51" s="497"/>
      <c r="D51" s="167"/>
      <c r="E51" s="970"/>
      <c r="F51" s="89"/>
      <c r="G51" s="41"/>
      <c r="H51" s="41"/>
      <c r="I51" s="29"/>
      <c r="J51" s="39"/>
      <c r="K51" s="970"/>
      <c r="L51" s="89"/>
      <c r="M51" s="41"/>
      <c r="N51" s="41"/>
      <c r="O51" s="41"/>
      <c r="P51" s="907"/>
      <c r="Q51" s="972"/>
      <c r="R51" s="89"/>
      <c r="S51" s="41"/>
      <c r="T51" s="41"/>
      <c r="U51" s="41"/>
      <c r="V51" s="907"/>
      <c r="W51" s="972"/>
      <c r="X51" s="89"/>
      <c r="Y51" s="41"/>
      <c r="Z51" s="41"/>
      <c r="AA51" s="41"/>
      <c r="AB51" s="907"/>
      <c r="AC51" s="972"/>
      <c r="AD51" s="89"/>
      <c r="AE51" s="41"/>
      <c r="AF51" s="41"/>
      <c r="AG51" s="41"/>
      <c r="AH51" s="907"/>
      <c r="AI51" s="972"/>
      <c r="AJ51" s="89"/>
      <c r="AK51" s="41"/>
      <c r="AL51" s="41"/>
      <c r="AM51" s="41"/>
      <c r="AN51" s="907"/>
      <c r="AO51" s="972"/>
      <c r="AP51" s="89"/>
      <c r="AQ51" s="41"/>
      <c r="AR51" s="41"/>
      <c r="AS51" s="41"/>
      <c r="AT51" s="907"/>
      <c r="AU51" s="972"/>
      <c r="AV51" s="89"/>
      <c r="AW51" s="41"/>
      <c r="AX51" s="41"/>
      <c r="AY51" s="41"/>
      <c r="AZ51" s="907"/>
      <c r="BA51" s="972"/>
      <c r="BB51" s="89"/>
      <c r="BC51" s="41"/>
      <c r="BD51" s="41"/>
      <c r="BE51" s="41"/>
      <c r="BF51" s="907"/>
      <c r="BG51" s="972"/>
      <c r="BH51" s="89"/>
      <c r="BI51" s="41"/>
      <c r="BJ51" s="41"/>
      <c r="BK51" s="41"/>
      <c r="BL51" s="907"/>
      <c r="BM51" s="972"/>
      <c r="BN51" s="89"/>
      <c r="BO51" s="41"/>
      <c r="BP51" s="41"/>
      <c r="BQ51" s="41"/>
      <c r="BR51" s="907"/>
    </row>
    <row r="52" ht="15.75" customHeight="1">
      <c r="A52" s="439"/>
      <c r="B52" s="465"/>
      <c r="C52" s="663" t="s">
        <v>191</v>
      </c>
      <c r="D52" s="200"/>
      <c r="E52" s="962"/>
      <c r="F52" s="42"/>
      <c r="G52" s="52"/>
      <c r="H52" s="42">
        <f t="shared" ref="H52:H58" si="24">D52-F52</f>
        <v>0</v>
      </c>
      <c r="I52" s="46"/>
      <c r="J52" s="40"/>
      <c r="K52" s="962"/>
      <c r="L52" s="42"/>
      <c r="M52" s="52"/>
      <c r="N52" s="42">
        <f t="shared" ref="N52:N58" si="25">J52-L52</f>
        <v>0</v>
      </c>
      <c r="O52" s="52"/>
      <c r="P52" s="887"/>
      <c r="Q52" s="973"/>
      <c r="R52" s="42"/>
      <c r="S52" s="52"/>
      <c r="T52" s="42">
        <f t="shared" ref="T52:T58" si="26">P52-R52</f>
        <v>0</v>
      </c>
      <c r="U52" s="52"/>
      <c r="V52" s="887"/>
      <c r="W52" s="973"/>
      <c r="X52" s="42"/>
      <c r="Y52" s="52"/>
      <c r="Z52" s="42">
        <f t="shared" ref="Z52:Z58" si="27">V52-X52</f>
        <v>0</v>
      </c>
      <c r="AA52" s="52"/>
      <c r="AB52" s="887"/>
      <c r="AC52" s="973"/>
      <c r="AD52" s="42"/>
      <c r="AE52" s="52"/>
      <c r="AF52" s="42">
        <f t="shared" ref="AF52:AF58" si="28">AB52-AD52</f>
        <v>0</v>
      </c>
      <c r="AG52" s="52"/>
      <c r="AH52" s="887"/>
      <c r="AI52" s="973"/>
      <c r="AJ52" s="42"/>
      <c r="AK52" s="52"/>
      <c r="AL52" s="42">
        <f t="shared" ref="AL52:AL58" si="29">AH52-AJ52</f>
        <v>0</v>
      </c>
      <c r="AM52" s="52"/>
      <c r="AN52" s="887"/>
      <c r="AO52" s="973"/>
      <c r="AP52" s="42"/>
      <c r="AQ52" s="52"/>
      <c r="AR52" s="42">
        <f t="shared" ref="AR52:AR58" si="30">AN52-AP52</f>
        <v>0</v>
      </c>
      <c r="AS52" s="52"/>
      <c r="AT52" s="887"/>
      <c r="AU52" s="973"/>
      <c r="AV52" s="42"/>
      <c r="AW52" s="52"/>
      <c r="AX52" s="42">
        <f t="shared" ref="AX52:AX58" si="31">AT52-AV52</f>
        <v>0</v>
      </c>
      <c r="AY52" s="52"/>
      <c r="AZ52" s="887"/>
      <c r="BA52" s="973"/>
      <c r="BB52" s="42"/>
      <c r="BC52" s="52"/>
      <c r="BD52" s="42">
        <f t="shared" ref="BD52:BD58" si="32">AZ52-BB52</f>
        <v>0</v>
      </c>
      <c r="BE52" s="52"/>
      <c r="BF52" s="887"/>
      <c r="BG52" s="973"/>
      <c r="BH52" s="42"/>
      <c r="BI52" s="52"/>
      <c r="BJ52" s="42">
        <f t="shared" ref="BJ52:BJ58" si="33">BF52-BH52</f>
        <v>0</v>
      </c>
      <c r="BK52" s="52"/>
      <c r="BL52" s="887"/>
      <c r="BM52" s="973"/>
      <c r="BN52" s="42"/>
      <c r="BO52" s="52"/>
      <c r="BP52" s="42">
        <f t="shared" ref="BP52:BP58" si="34">BL52-BN52</f>
        <v>0</v>
      </c>
      <c r="BQ52" s="52"/>
      <c r="BR52" s="887"/>
    </row>
    <row r="53" ht="15.75" customHeight="1">
      <c r="A53" s="439"/>
      <c r="B53" s="465"/>
      <c r="C53" s="465" t="s">
        <v>192</v>
      </c>
      <c r="D53" s="200">
        <v>3107.0</v>
      </c>
      <c r="E53" s="962">
        <f t="shared" ref="E53:E59" si="35">D53/D$29</f>
        <v>0.006085834516</v>
      </c>
      <c r="F53" s="42"/>
      <c r="G53" s="52"/>
      <c r="H53" s="42">
        <f t="shared" si="24"/>
        <v>3107</v>
      </c>
      <c r="I53" s="46"/>
      <c r="J53" s="40">
        <v>6000.0</v>
      </c>
      <c r="K53" s="962">
        <f t="shared" ref="K53:K59" si="36">J53/J$29</f>
        <v>0.01303033462</v>
      </c>
      <c r="L53" s="42"/>
      <c r="M53" s="52"/>
      <c r="N53" s="42">
        <f t="shared" si="25"/>
        <v>6000</v>
      </c>
      <c r="O53" s="52"/>
      <c r="P53" s="890">
        <v>3130.0</v>
      </c>
      <c r="Q53" s="973">
        <f t="shared" ref="Q53:Q59" si="37">P53/P$29</f>
        <v>0.009589960261</v>
      </c>
      <c r="R53" s="42"/>
      <c r="S53" s="52"/>
      <c r="T53" s="42">
        <f t="shared" si="26"/>
        <v>3130</v>
      </c>
      <c r="U53" s="52"/>
      <c r="V53" s="887"/>
      <c r="W53" s="973" t="str">
        <f t="shared" ref="W53:W59" si="38">V53/V$29</f>
        <v>#DIV/0!</v>
      </c>
      <c r="X53" s="42"/>
      <c r="Y53" s="52"/>
      <c r="Z53" s="42">
        <f t="shared" si="27"/>
        <v>0</v>
      </c>
      <c r="AA53" s="52"/>
      <c r="AB53" s="887"/>
      <c r="AC53" s="973" t="str">
        <f t="shared" ref="AC53:AC59" si="39">AB53/AB$29</f>
        <v>#DIV/0!</v>
      </c>
      <c r="AD53" s="42"/>
      <c r="AE53" s="52"/>
      <c r="AF53" s="42">
        <f t="shared" si="28"/>
        <v>0</v>
      </c>
      <c r="AG53" s="52"/>
      <c r="AH53" s="887"/>
      <c r="AI53" s="973" t="str">
        <f t="shared" ref="AI53:AI59" si="40">AH53/AH$29</f>
        <v>#DIV/0!</v>
      </c>
      <c r="AJ53" s="42"/>
      <c r="AK53" s="52"/>
      <c r="AL53" s="42">
        <f t="shared" si="29"/>
        <v>0</v>
      </c>
      <c r="AM53" s="52"/>
      <c r="AN53" s="887"/>
      <c r="AO53" s="973" t="str">
        <f t="shared" ref="AO53:AO59" si="41">AN53/AN$29</f>
        <v>#DIV/0!</v>
      </c>
      <c r="AP53" s="42"/>
      <c r="AQ53" s="52"/>
      <c r="AR53" s="42">
        <f t="shared" si="30"/>
        <v>0</v>
      </c>
      <c r="AS53" s="52"/>
      <c r="AT53" s="887"/>
      <c r="AU53" s="973" t="str">
        <f t="shared" ref="AU53:AU59" si="42">AT53/AT$29</f>
        <v>#DIV/0!</v>
      </c>
      <c r="AV53" s="42"/>
      <c r="AW53" s="52"/>
      <c r="AX53" s="42">
        <f t="shared" si="31"/>
        <v>0</v>
      </c>
      <c r="AY53" s="52"/>
      <c r="AZ53" s="887"/>
      <c r="BA53" s="973" t="str">
        <f t="shared" ref="BA53:BA59" si="43">AZ53/AZ$29</f>
        <v>#DIV/0!</v>
      </c>
      <c r="BB53" s="42"/>
      <c r="BC53" s="52"/>
      <c r="BD53" s="42">
        <f t="shared" si="32"/>
        <v>0</v>
      </c>
      <c r="BE53" s="52"/>
      <c r="BF53" s="887"/>
      <c r="BG53" s="973" t="str">
        <f t="shared" ref="BG53:BG59" si="44">BF53/BF$29</f>
        <v>#DIV/0!</v>
      </c>
      <c r="BH53" s="42"/>
      <c r="BI53" s="52"/>
      <c r="BJ53" s="42">
        <f t="shared" si="33"/>
        <v>0</v>
      </c>
      <c r="BK53" s="52"/>
      <c r="BL53" s="887"/>
      <c r="BM53" s="973" t="str">
        <f t="shared" ref="BM53:BM59" si="45">BL53/BL$29</f>
        <v>#DIV/0!</v>
      </c>
      <c r="BN53" s="42"/>
      <c r="BO53" s="52"/>
      <c r="BP53" s="42">
        <f t="shared" si="34"/>
        <v>0</v>
      </c>
      <c r="BQ53" s="52"/>
      <c r="BR53" s="887"/>
    </row>
    <row r="54" ht="15.75" customHeight="1">
      <c r="A54" s="439"/>
      <c r="B54" s="465"/>
      <c r="C54" s="465" t="s">
        <v>193</v>
      </c>
      <c r="D54" s="200">
        <v>1721.19</v>
      </c>
      <c r="E54" s="962">
        <f t="shared" si="35"/>
        <v>0.003371379952</v>
      </c>
      <c r="F54" s="42"/>
      <c r="G54" s="52"/>
      <c r="H54" s="42">
        <f t="shared" si="24"/>
        <v>1721.19</v>
      </c>
      <c r="I54" s="46"/>
      <c r="J54" s="40">
        <v>17939.0</v>
      </c>
      <c r="K54" s="962">
        <f t="shared" si="36"/>
        <v>0.03895852879</v>
      </c>
      <c r="L54" s="42"/>
      <c r="M54" s="52"/>
      <c r="N54" s="42">
        <f t="shared" si="25"/>
        <v>17939</v>
      </c>
      <c r="O54" s="52"/>
      <c r="P54" s="890">
        <v>12998.0</v>
      </c>
      <c r="Q54" s="973">
        <f t="shared" si="37"/>
        <v>0.03982437811</v>
      </c>
      <c r="R54" s="42"/>
      <c r="S54" s="52"/>
      <c r="T54" s="42">
        <f t="shared" si="26"/>
        <v>12998</v>
      </c>
      <c r="U54" s="52"/>
      <c r="V54" s="887"/>
      <c r="W54" s="973" t="str">
        <f t="shared" si="38"/>
        <v>#DIV/0!</v>
      </c>
      <c r="X54" s="42"/>
      <c r="Y54" s="52"/>
      <c r="Z54" s="42">
        <f t="shared" si="27"/>
        <v>0</v>
      </c>
      <c r="AA54" s="52"/>
      <c r="AB54" s="887"/>
      <c r="AC54" s="973" t="str">
        <f t="shared" si="39"/>
        <v>#DIV/0!</v>
      </c>
      <c r="AD54" s="42"/>
      <c r="AE54" s="52"/>
      <c r="AF54" s="42">
        <f t="shared" si="28"/>
        <v>0</v>
      </c>
      <c r="AG54" s="52"/>
      <c r="AH54" s="887"/>
      <c r="AI54" s="973" t="str">
        <f t="shared" si="40"/>
        <v>#DIV/0!</v>
      </c>
      <c r="AJ54" s="42"/>
      <c r="AK54" s="52"/>
      <c r="AL54" s="42">
        <f t="shared" si="29"/>
        <v>0</v>
      </c>
      <c r="AM54" s="52"/>
      <c r="AN54" s="887"/>
      <c r="AO54" s="973" t="str">
        <f t="shared" si="41"/>
        <v>#DIV/0!</v>
      </c>
      <c r="AP54" s="42"/>
      <c r="AQ54" s="52"/>
      <c r="AR54" s="42">
        <f t="shared" si="30"/>
        <v>0</v>
      </c>
      <c r="AS54" s="52"/>
      <c r="AT54" s="887"/>
      <c r="AU54" s="973" t="str">
        <f t="shared" si="42"/>
        <v>#DIV/0!</v>
      </c>
      <c r="AV54" s="42"/>
      <c r="AW54" s="52"/>
      <c r="AX54" s="42">
        <f t="shared" si="31"/>
        <v>0</v>
      </c>
      <c r="AY54" s="52"/>
      <c r="AZ54" s="887"/>
      <c r="BA54" s="973" t="str">
        <f t="shared" si="43"/>
        <v>#DIV/0!</v>
      </c>
      <c r="BB54" s="42"/>
      <c r="BC54" s="52"/>
      <c r="BD54" s="42">
        <f t="shared" si="32"/>
        <v>0</v>
      </c>
      <c r="BE54" s="52"/>
      <c r="BF54" s="887"/>
      <c r="BG54" s="973" t="str">
        <f t="shared" si="44"/>
        <v>#DIV/0!</v>
      </c>
      <c r="BH54" s="42"/>
      <c r="BI54" s="52"/>
      <c r="BJ54" s="42">
        <f t="shared" si="33"/>
        <v>0</v>
      </c>
      <c r="BK54" s="52"/>
      <c r="BL54" s="887"/>
      <c r="BM54" s="973" t="str">
        <f t="shared" si="45"/>
        <v>#DIV/0!</v>
      </c>
      <c r="BN54" s="42"/>
      <c r="BO54" s="52"/>
      <c r="BP54" s="42">
        <f t="shared" si="34"/>
        <v>0</v>
      </c>
      <c r="BQ54" s="52"/>
      <c r="BR54" s="887"/>
    </row>
    <row r="55" ht="15.75" customHeight="1">
      <c r="A55" s="439"/>
      <c r="B55" s="465"/>
      <c r="C55" s="465" t="s">
        <v>266</v>
      </c>
      <c r="D55" s="200">
        <v>0.0</v>
      </c>
      <c r="E55" s="962">
        <f t="shared" si="35"/>
        <v>0</v>
      </c>
      <c r="F55" s="42"/>
      <c r="G55" s="52"/>
      <c r="H55" s="42">
        <f t="shared" si="24"/>
        <v>0</v>
      </c>
      <c r="I55" s="46"/>
      <c r="J55" s="40">
        <v>0.0</v>
      </c>
      <c r="K55" s="962">
        <f t="shared" si="36"/>
        <v>0</v>
      </c>
      <c r="L55" s="42"/>
      <c r="M55" s="52"/>
      <c r="N55" s="42">
        <f t="shared" si="25"/>
        <v>0</v>
      </c>
      <c r="O55" s="52"/>
      <c r="P55" s="890">
        <v>0.0</v>
      </c>
      <c r="Q55" s="973">
        <f t="shared" si="37"/>
        <v>0</v>
      </c>
      <c r="R55" s="42"/>
      <c r="S55" s="52"/>
      <c r="T55" s="42">
        <f t="shared" si="26"/>
        <v>0</v>
      </c>
      <c r="U55" s="52"/>
      <c r="V55" s="887"/>
      <c r="W55" s="973" t="str">
        <f t="shared" si="38"/>
        <v>#DIV/0!</v>
      </c>
      <c r="X55" s="42"/>
      <c r="Y55" s="52"/>
      <c r="Z55" s="42">
        <f t="shared" si="27"/>
        <v>0</v>
      </c>
      <c r="AA55" s="52"/>
      <c r="AB55" s="887"/>
      <c r="AC55" s="973" t="str">
        <f t="shared" si="39"/>
        <v>#DIV/0!</v>
      </c>
      <c r="AD55" s="42"/>
      <c r="AE55" s="52"/>
      <c r="AF55" s="42">
        <f t="shared" si="28"/>
        <v>0</v>
      </c>
      <c r="AG55" s="52"/>
      <c r="AH55" s="887"/>
      <c r="AI55" s="973" t="str">
        <f t="shared" si="40"/>
        <v>#DIV/0!</v>
      </c>
      <c r="AJ55" s="42"/>
      <c r="AK55" s="52"/>
      <c r="AL55" s="42">
        <f t="shared" si="29"/>
        <v>0</v>
      </c>
      <c r="AM55" s="52"/>
      <c r="AN55" s="887"/>
      <c r="AO55" s="973" t="str">
        <f t="shared" si="41"/>
        <v>#DIV/0!</v>
      </c>
      <c r="AP55" s="42"/>
      <c r="AQ55" s="52"/>
      <c r="AR55" s="42">
        <f t="shared" si="30"/>
        <v>0</v>
      </c>
      <c r="AS55" s="52"/>
      <c r="AT55" s="887"/>
      <c r="AU55" s="973" t="str">
        <f t="shared" si="42"/>
        <v>#DIV/0!</v>
      </c>
      <c r="AV55" s="42"/>
      <c r="AW55" s="52"/>
      <c r="AX55" s="42">
        <f t="shared" si="31"/>
        <v>0</v>
      </c>
      <c r="AY55" s="52"/>
      <c r="AZ55" s="887"/>
      <c r="BA55" s="973" t="str">
        <f t="shared" si="43"/>
        <v>#DIV/0!</v>
      </c>
      <c r="BB55" s="42"/>
      <c r="BC55" s="52"/>
      <c r="BD55" s="42">
        <f t="shared" si="32"/>
        <v>0</v>
      </c>
      <c r="BE55" s="52"/>
      <c r="BF55" s="887"/>
      <c r="BG55" s="973" t="str">
        <f t="shared" si="44"/>
        <v>#DIV/0!</v>
      </c>
      <c r="BH55" s="42"/>
      <c r="BI55" s="52"/>
      <c r="BJ55" s="42">
        <f t="shared" si="33"/>
        <v>0</v>
      </c>
      <c r="BK55" s="52"/>
      <c r="BL55" s="887"/>
      <c r="BM55" s="973" t="str">
        <f t="shared" si="45"/>
        <v>#DIV/0!</v>
      </c>
      <c r="BN55" s="42"/>
      <c r="BO55" s="52"/>
      <c r="BP55" s="42">
        <f t="shared" si="34"/>
        <v>0</v>
      </c>
      <c r="BQ55" s="52"/>
      <c r="BR55" s="887"/>
    </row>
    <row r="56" ht="15.75" customHeight="1">
      <c r="A56" s="439"/>
      <c r="B56" s="465"/>
      <c r="C56" s="465" t="s">
        <v>194</v>
      </c>
      <c r="D56" s="200">
        <v>8134.67</v>
      </c>
      <c r="E56" s="962">
        <f t="shared" si="35"/>
        <v>0.01593378032</v>
      </c>
      <c r="F56" s="42"/>
      <c r="G56" s="52"/>
      <c r="H56" s="42">
        <f t="shared" si="24"/>
        <v>8134.67</v>
      </c>
      <c r="I56" s="46"/>
      <c r="J56" s="40">
        <v>2902.0</v>
      </c>
      <c r="K56" s="962">
        <f t="shared" si="36"/>
        <v>0.006302338511</v>
      </c>
      <c r="L56" s="42"/>
      <c r="M56" s="52"/>
      <c r="N56" s="42">
        <f t="shared" si="25"/>
        <v>2902</v>
      </c>
      <c r="O56" s="52"/>
      <c r="P56" s="890">
        <v>2039.0</v>
      </c>
      <c r="Q56" s="973">
        <f t="shared" si="37"/>
        <v>0.006247261653</v>
      </c>
      <c r="R56" s="42"/>
      <c r="S56" s="52"/>
      <c r="T56" s="42">
        <f t="shared" si="26"/>
        <v>2039</v>
      </c>
      <c r="U56" s="52"/>
      <c r="V56" s="887"/>
      <c r="W56" s="973" t="str">
        <f t="shared" si="38"/>
        <v>#DIV/0!</v>
      </c>
      <c r="X56" s="42"/>
      <c r="Y56" s="52"/>
      <c r="Z56" s="42">
        <f t="shared" si="27"/>
        <v>0</v>
      </c>
      <c r="AA56" s="52"/>
      <c r="AB56" s="887"/>
      <c r="AC56" s="973" t="str">
        <f t="shared" si="39"/>
        <v>#DIV/0!</v>
      </c>
      <c r="AD56" s="42"/>
      <c r="AE56" s="52"/>
      <c r="AF56" s="42">
        <f t="shared" si="28"/>
        <v>0</v>
      </c>
      <c r="AG56" s="52"/>
      <c r="AH56" s="887"/>
      <c r="AI56" s="973" t="str">
        <f t="shared" si="40"/>
        <v>#DIV/0!</v>
      </c>
      <c r="AJ56" s="42"/>
      <c r="AK56" s="52"/>
      <c r="AL56" s="42">
        <f t="shared" si="29"/>
        <v>0</v>
      </c>
      <c r="AM56" s="52"/>
      <c r="AN56" s="887"/>
      <c r="AO56" s="973" t="str">
        <f t="shared" si="41"/>
        <v>#DIV/0!</v>
      </c>
      <c r="AP56" s="42"/>
      <c r="AQ56" s="52"/>
      <c r="AR56" s="42">
        <f t="shared" si="30"/>
        <v>0</v>
      </c>
      <c r="AS56" s="52"/>
      <c r="AT56" s="887"/>
      <c r="AU56" s="973" t="str">
        <f t="shared" si="42"/>
        <v>#DIV/0!</v>
      </c>
      <c r="AV56" s="42"/>
      <c r="AW56" s="52"/>
      <c r="AX56" s="42">
        <f t="shared" si="31"/>
        <v>0</v>
      </c>
      <c r="AY56" s="52"/>
      <c r="AZ56" s="887"/>
      <c r="BA56" s="973" t="str">
        <f t="shared" si="43"/>
        <v>#DIV/0!</v>
      </c>
      <c r="BB56" s="42"/>
      <c r="BC56" s="52"/>
      <c r="BD56" s="42">
        <f t="shared" si="32"/>
        <v>0</v>
      </c>
      <c r="BE56" s="52"/>
      <c r="BF56" s="887"/>
      <c r="BG56" s="973" t="str">
        <f t="shared" si="44"/>
        <v>#DIV/0!</v>
      </c>
      <c r="BH56" s="42"/>
      <c r="BI56" s="52"/>
      <c r="BJ56" s="42">
        <f t="shared" si="33"/>
        <v>0</v>
      </c>
      <c r="BK56" s="52"/>
      <c r="BL56" s="887"/>
      <c r="BM56" s="973" t="str">
        <f t="shared" si="45"/>
        <v>#DIV/0!</v>
      </c>
      <c r="BN56" s="42"/>
      <c r="BO56" s="52"/>
      <c r="BP56" s="42">
        <f t="shared" si="34"/>
        <v>0</v>
      </c>
      <c r="BQ56" s="52"/>
      <c r="BR56" s="887"/>
    </row>
    <row r="57" ht="15.75" customHeight="1">
      <c r="A57" s="439"/>
      <c r="B57" s="465"/>
      <c r="C57" s="465" t="s">
        <v>195</v>
      </c>
      <c r="D57" s="200">
        <v>15721.0</v>
      </c>
      <c r="E57" s="962">
        <f t="shared" si="35"/>
        <v>0.03079349998</v>
      </c>
      <c r="F57" s="42"/>
      <c r="G57" s="52"/>
      <c r="H57" s="42">
        <f t="shared" si="24"/>
        <v>15721</v>
      </c>
      <c r="I57" s="46"/>
      <c r="J57" s="40">
        <v>15674.0</v>
      </c>
      <c r="K57" s="962">
        <f t="shared" si="36"/>
        <v>0.03403957747</v>
      </c>
      <c r="L57" s="42"/>
      <c r="M57" s="52"/>
      <c r="N57" s="42">
        <f t="shared" si="25"/>
        <v>15674</v>
      </c>
      <c r="O57" s="52"/>
      <c r="P57" s="890">
        <v>21240.0</v>
      </c>
      <c r="Q57" s="973">
        <f t="shared" si="37"/>
        <v>0.06507691883</v>
      </c>
      <c r="R57" s="42"/>
      <c r="S57" s="52"/>
      <c r="T57" s="42">
        <f t="shared" si="26"/>
        <v>21240</v>
      </c>
      <c r="U57" s="52"/>
      <c r="V57" s="887"/>
      <c r="W57" s="973" t="str">
        <f t="shared" si="38"/>
        <v>#DIV/0!</v>
      </c>
      <c r="X57" s="42"/>
      <c r="Y57" s="52"/>
      <c r="Z57" s="42">
        <f t="shared" si="27"/>
        <v>0</v>
      </c>
      <c r="AA57" s="52"/>
      <c r="AB57" s="887"/>
      <c r="AC57" s="973" t="str">
        <f t="shared" si="39"/>
        <v>#DIV/0!</v>
      </c>
      <c r="AD57" s="42"/>
      <c r="AE57" s="52"/>
      <c r="AF57" s="42">
        <f t="shared" si="28"/>
        <v>0</v>
      </c>
      <c r="AG57" s="52"/>
      <c r="AH57" s="887"/>
      <c r="AI57" s="973" t="str">
        <f t="shared" si="40"/>
        <v>#DIV/0!</v>
      </c>
      <c r="AJ57" s="42"/>
      <c r="AK57" s="52"/>
      <c r="AL57" s="42">
        <f t="shared" si="29"/>
        <v>0</v>
      </c>
      <c r="AM57" s="52"/>
      <c r="AN57" s="887"/>
      <c r="AO57" s="973" t="str">
        <f t="shared" si="41"/>
        <v>#DIV/0!</v>
      </c>
      <c r="AP57" s="42"/>
      <c r="AQ57" s="52"/>
      <c r="AR57" s="42">
        <f t="shared" si="30"/>
        <v>0</v>
      </c>
      <c r="AS57" s="52"/>
      <c r="AT57" s="887"/>
      <c r="AU57" s="973" t="str">
        <f t="shared" si="42"/>
        <v>#DIV/0!</v>
      </c>
      <c r="AV57" s="42"/>
      <c r="AW57" s="52"/>
      <c r="AX57" s="42">
        <f t="shared" si="31"/>
        <v>0</v>
      </c>
      <c r="AY57" s="52"/>
      <c r="AZ57" s="887"/>
      <c r="BA57" s="973" t="str">
        <f t="shared" si="43"/>
        <v>#DIV/0!</v>
      </c>
      <c r="BB57" s="42"/>
      <c r="BC57" s="52"/>
      <c r="BD57" s="42">
        <f t="shared" si="32"/>
        <v>0</v>
      </c>
      <c r="BE57" s="52"/>
      <c r="BF57" s="887"/>
      <c r="BG57" s="973" t="str">
        <f t="shared" si="44"/>
        <v>#DIV/0!</v>
      </c>
      <c r="BH57" s="42"/>
      <c r="BI57" s="52"/>
      <c r="BJ57" s="42">
        <f t="shared" si="33"/>
        <v>0</v>
      </c>
      <c r="BK57" s="52"/>
      <c r="BL57" s="887"/>
      <c r="BM57" s="973" t="str">
        <f t="shared" si="45"/>
        <v>#DIV/0!</v>
      </c>
      <c r="BN57" s="42"/>
      <c r="BO57" s="52"/>
      <c r="BP57" s="42">
        <f t="shared" si="34"/>
        <v>0</v>
      </c>
      <c r="BQ57" s="52"/>
      <c r="BR57" s="887"/>
    </row>
    <row r="58" ht="15.75" customHeight="1">
      <c r="A58" s="439"/>
      <c r="B58" s="483"/>
      <c r="C58" s="483" t="s">
        <v>196</v>
      </c>
      <c r="D58" s="1033">
        <v>0.0</v>
      </c>
      <c r="E58" s="987">
        <f t="shared" si="35"/>
        <v>0</v>
      </c>
      <c r="F58" s="1034"/>
      <c r="G58" s="1034"/>
      <c r="H58" s="1034">
        <f t="shared" si="24"/>
        <v>0</v>
      </c>
      <c r="I58" s="1035"/>
      <c r="J58" s="1036">
        <v>0.0</v>
      </c>
      <c r="K58" s="987">
        <f t="shared" si="36"/>
        <v>0</v>
      </c>
      <c r="L58" s="1034"/>
      <c r="M58" s="1034"/>
      <c r="N58" s="1034">
        <f t="shared" si="25"/>
        <v>0</v>
      </c>
      <c r="O58" s="1034"/>
      <c r="P58" s="1037">
        <v>0.0</v>
      </c>
      <c r="Q58" s="992">
        <f t="shared" si="37"/>
        <v>0</v>
      </c>
      <c r="R58" s="1034"/>
      <c r="S58" s="1034"/>
      <c r="T58" s="1034">
        <f t="shared" si="26"/>
        <v>0</v>
      </c>
      <c r="U58" s="1034"/>
      <c r="V58" s="1038"/>
      <c r="W58" s="992" t="str">
        <f t="shared" si="38"/>
        <v>#DIV/0!</v>
      </c>
      <c r="X58" s="1034"/>
      <c r="Y58" s="1034"/>
      <c r="Z58" s="1034">
        <f t="shared" si="27"/>
        <v>0</v>
      </c>
      <c r="AA58" s="1034"/>
      <c r="AB58" s="1038"/>
      <c r="AC58" s="992" t="str">
        <f t="shared" si="39"/>
        <v>#DIV/0!</v>
      </c>
      <c r="AD58" s="1034"/>
      <c r="AE58" s="1034"/>
      <c r="AF58" s="1034">
        <f t="shared" si="28"/>
        <v>0</v>
      </c>
      <c r="AG58" s="1034"/>
      <c r="AH58" s="1038"/>
      <c r="AI58" s="992" t="str">
        <f t="shared" si="40"/>
        <v>#DIV/0!</v>
      </c>
      <c r="AJ58" s="1034"/>
      <c r="AK58" s="1034"/>
      <c r="AL58" s="1034">
        <f t="shared" si="29"/>
        <v>0</v>
      </c>
      <c r="AM58" s="1034"/>
      <c r="AN58" s="1038"/>
      <c r="AO58" s="992" t="str">
        <f t="shared" si="41"/>
        <v>#DIV/0!</v>
      </c>
      <c r="AP58" s="1034"/>
      <c r="AQ58" s="1034"/>
      <c r="AR58" s="1034">
        <f t="shared" si="30"/>
        <v>0</v>
      </c>
      <c r="AS58" s="1034"/>
      <c r="AT58" s="1038"/>
      <c r="AU58" s="992" t="str">
        <f t="shared" si="42"/>
        <v>#DIV/0!</v>
      </c>
      <c r="AV58" s="1034"/>
      <c r="AW58" s="1034"/>
      <c r="AX58" s="1034">
        <f t="shared" si="31"/>
        <v>0</v>
      </c>
      <c r="AY58" s="1034"/>
      <c r="AZ58" s="1038"/>
      <c r="BA58" s="992" t="str">
        <f t="shared" si="43"/>
        <v>#DIV/0!</v>
      </c>
      <c r="BB58" s="1034"/>
      <c r="BC58" s="1034"/>
      <c r="BD58" s="1034">
        <f t="shared" si="32"/>
        <v>0</v>
      </c>
      <c r="BE58" s="1034"/>
      <c r="BF58" s="1038"/>
      <c r="BG58" s="992" t="str">
        <f t="shared" si="44"/>
        <v>#DIV/0!</v>
      </c>
      <c r="BH58" s="1034"/>
      <c r="BI58" s="1034"/>
      <c r="BJ58" s="1034">
        <f t="shared" si="33"/>
        <v>0</v>
      </c>
      <c r="BK58" s="1034"/>
      <c r="BL58" s="1038"/>
      <c r="BM58" s="992" t="str">
        <f t="shared" si="45"/>
        <v>#DIV/0!</v>
      </c>
      <c r="BN58" s="1034"/>
      <c r="BO58" s="1034"/>
      <c r="BP58" s="1034">
        <f t="shared" si="34"/>
        <v>0</v>
      </c>
      <c r="BQ58" s="1034"/>
      <c r="BR58" s="1038"/>
    </row>
    <row r="59" ht="15.75" customHeight="1">
      <c r="A59" s="439"/>
      <c r="B59" s="490"/>
      <c r="C59" s="490" t="s">
        <v>197</v>
      </c>
      <c r="D59" s="1016">
        <f>SUM(D53:D58)</f>
        <v>28683.86</v>
      </c>
      <c r="E59" s="1017">
        <f t="shared" si="35"/>
        <v>0.05618449477</v>
      </c>
      <c r="F59" s="1018">
        <f>SUM(F53:F58)</f>
        <v>0</v>
      </c>
      <c r="G59" s="1019"/>
      <c r="H59" s="1018">
        <f>SUM(H53:H58)</f>
        <v>28683.86</v>
      </c>
      <c r="I59" s="1020"/>
      <c r="J59" s="142">
        <f>SUM(J53:J58)</f>
        <v>42515</v>
      </c>
      <c r="K59" s="1017">
        <f t="shared" si="36"/>
        <v>0.09233077939</v>
      </c>
      <c r="L59" s="1018">
        <f>SUM(L53:L58)</f>
        <v>0</v>
      </c>
      <c r="M59" s="1019"/>
      <c r="N59" s="1018">
        <f>SUM(N53:N58)</f>
        <v>42515</v>
      </c>
      <c r="O59" s="1019"/>
      <c r="P59" s="898">
        <f>SUM(P53:P58)</f>
        <v>39407</v>
      </c>
      <c r="Q59" s="1021">
        <f t="shared" si="37"/>
        <v>0.1207385189</v>
      </c>
      <c r="R59" s="1018">
        <f>SUM(R53:R58)</f>
        <v>0</v>
      </c>
      <c r="S59" s="1019"/>
      <c r="T59" s="1018">
        <f>SUM(T53:T58)</f>
        <v>39407</v>
      </c>
      <c r="U59" s="1019"/>
      <c r="V59" s="898">
        <f>SUM(V53:V58)</f>
        <v>0</v>
      </c>
      <c r="W59" s="1021" t="str">
        <f t="shared" si="38"/>
        <v>#DIV/0!</v>
      </c>
      <c r="X59" s="1018">
        <f>SUM(X53:X58)</f>
        <v>0</v>
      </c>
      <c r="Y59" s="1019"/>
      <c r="Z59" s="1018">
        <f>SUM(Z53:Z58)</f>
        <v>0</v>
      </c>
      <c r="AA59" s="1019"/>
      <c r="AB59" s="898">
        <f>SUM(AB53:AB58)</f>
        <v>0</v>
      </c>
      <c r="AC59" s="1021" t="str">
        <f t="shared" si="39"/>
        <v>#DIV/0!</v>
      </c>
      <c r="AD59" s="1018">
        <f>SUM(AD53:AD58)</f>
        <v>0</v>
      </c>
      <c r="AE59" s="1019"/>
      <c r="AF59" s="1018">
        <f>SUM(AF53:AF58)</f>
        <v>0</v>
      </c>
      <c r="AG59" s="1019"/>
      <c r="AH59" s="898">
        <f>SUM(AH53:AH58)</f>
        <v>0</v>
      </c>
      <c r="AI59" s="1021" t="str">
        <f t="shared" si="40"/>
        <v>#DIV/0!</v>
      </c>
      <c r="AJ59" s="1018">
        <f>SUM(AJ53:AJ58)</f>
        <v>0</v>
      </c>
      <c r="AK59" s="1019"/>
      <c r="AL59" s="1018">
        <f>SUM(AL53:AL58)</f>
        <v>0</v>
      </c>
      <c r="AM59" s="1019"/>
      <c r="AN59" s="898">
        <f>SUM(AN53:AN58)</f>
        <v>0</v>
      </c>
      <c r="AO59" s="1021" t="str">
        <f t="shared" si="41"/>
        <v>#DIV/0!</v>
      </c>
      <c r="AP59" s="1018">
        <f>SUM(AP53:AP58)</f>
        <v>0</v>
      </c>
      <c r="AQ59" s="1019"/>
      <c r="AR59" s="1018">
        <f>SUM(AR53:AR58)</f>
        <v>0</v>
      </c>
      <c r="AS59" s="1019"/>
      <c r="AT59" s="898">
        <f>SUM(AT53:AT58)</f>
        <v>0</v>
      </c>
      <c r="AU59" s="1021" t="str">
        <f t="shared" si="42"/>
        <v>#DIV/0!</v>
      </c>
      <c r="AV59" s="1018">
        <f>SUM(AV53:AV58)</f>
        <v>0</v>
      </c>
      <c r="AW59" s="1019"/>
      <c r="AX59" s="1018">
        <f>SUM(AX53:AX58)</f>
        <v>0</v>
      </c>
      <c r="AY59" s="1019"/>
      <c r="AZ59" s="898">
        <f>SUM(AZ53:AZ58)</f>
        <v>0</v>
      </c>
      <c r="BA59" s="1021" t="str">
        <f t="shared" si="43"/>
        <v>#DIV/0!</v>
      </c>
      <c r="BB59" s="1018">
        <f>SUM(BB53:BB58)</f>
        <v>0</v>
      </c>
      <c r="BC59" s="1019"/>
      <c r="BD59" s="1018">
        <f>SUM(BD53:BD58)</f>
        <v>0</v>
      </c>
      <c r="BE59" s="1019"/>
      <c r="BF59" s="898">
        <f>SUM(BF53:BF58)</f>
        <v>0</v>
      </c>
      <c r="BG59" s="1021" t="str">
        <f t="shared" si="44"/>
        <v>#DIV/0!</v>
      </c>
      <c r="BH59" s="1018">
        <f>SUM(BH53:BH58)</f>
        <v>0</v>
      </c>
      <c r="BI59" s="1019"/>
      <c r="BJ59" s="1018">
        <f>SUM(BJ53:BJ58)</f>
        <v>0</v>
      </c>
      <c r="BK59" s="1019"/>
      <c r="BL59" s="898">
        <f>SUM(BL53:BL58)</f>
        <v>0</v>
      </c>
      <c r="BM59" s="1021" t="str">
        <f t="shared" si="45"/>
        <v>#DIV/0!</v>
      </c>
      <c r="BN59" s="1018">
        <f>SUM(BN53:BN58)</f>
        <v>0</v>
      </c>
      <c r="BO59" s="1019"/>
      <c r="BP59" s="1018">
        <f>SUM(BP53:BP58)</f>
        <v>0</v>
      </c>
      <c r="BQ59" s="1019"/>
      <c r="BR59" s="898">
        <f>SUM(BR53:BR58)</f>
        <v>0</v>
      </c>
    </row>
    <row r="60" ht="15.75" customHeight="1">
      <c r="A60" s="439"/>
      <c r="B60" s="1039" t="s">
        <v>201</v>
      </c>
      <c r="C60" s="1040"/>
      <c r="D60" s="1041"/>
      <c r="E60" s="1042"/>
      <c r="F60" s="1043"/>
      <c r="G60" s="1044"/>
      <c r="H60" s="1044"/>
      <c r="I60" s="1045"/>
      <c r="J60" s="1046"/>
      <c r="K60" s="1042"/>
      <c r="L60" s="1043"/>
      <c r="M60" s="1044"/>
      <c r="N60" s="1044"/>
      <c r="O60" s="1044"/>
      <c r="P60" s="1047"/>
      <c r="Q60" s="1048"/>
      <c r="R60" s="1043"/>
      <c r="S60" s="1044"/>
      <c r="T60" s="1044"/>
      <c r="U60" s="1044"/>
      <c r="V60" s="1047"/>
      <c r="W60" s="1048"/>
      <c r="X60" s="1043"/>
      <c r="Y60" s="1044"/>
      <c r="Z60" s="1044"/>
      <c r="AA60" s="1044"/>
      <c r="AB60" s="1047"/>
      <c r="AC60" s="1048"/>
      <c r="AD60" s="1043"/>
      <c r="AE60" s="1044"/>
      <c r="AF60" s="1044"/>
      <c r="AG60" s="1044"/>
      <c r="AH60" s="1047"/>
      <c r="AI60" s="1048"/>
      <c r="AJ60" s="1043"/>
      <c r="AK60" s="1044"/>
      <c r="AL60" s="1044"/>
      <c r="AM60" s="1044"/>
      <c r="AN60" s="1047"/>
      <c r="AO60" s="1048"/>
      <c r="AP60" s="1043"/>
      <c r="AQ60" s="1044"/>
      <c r="AR60" s="1044"/>
      <c r="AS60" s="1044"/>
      <c r="AT60" s="1047"/>
      <c r="AU60" s="1048"/>
      <c r="AV60" s="1043"/>
      <c r="AW60" s="1044"/>
      <c r="AX60" s="1044"/>
      <c r="AY60" s="1044"/>
      <c r="AZ60" s="1047"/>
      <c r="BA60" s="1048"/>
      <c r="BB60" s="1043"/>
      <c r="BC60" s="1044"/>
      <c r="BD60" s="1044"/>
      <c r="BE60" s="1044"/>
      <c r="BF60" s="1047"/>
      <c r="BG60" s="1048"/>
      <c r="BH60" s="1043"/>
      <c r="BI60" s="1044"/>
      <c r="BJ60" s="1044"/>
      <c r="BK60" s="1044"/>
      <c r="BL60" s="1047"/>
      <c r="BM60" s="1048"/>
      <c r="BN60" s="1043"/>
      <c r="BO60" s="1044"/>
      <c r="BP60" s="1044"/>
      <c r="BQ60" s="1044"/>
      <c r="BR60" s="1047"/>
    </row>
    <row r="61" ht="15.75" customHeight="1">
      <c r="A61" s="439"/>
      <c r="B61" s="1049" t="s">
        <v>202</v>
      </c>
      <c r="C61" s="13"/>
      <c r="D61" s="1050">
        <f>SUM(D62:D67)</f>
        <v>77809.78</v>
      </c>
      <c r="E61" s="994">
        <f t="shared" ref="E61:E67" si="46">D61/D$29</f>
        <v>0.1524098631</v>
      </c>
      <c r="F61" s="995">
        <f>SUM(F62:F67)</f>
        <v>0</v>
      </c>
      <c r="G61" s="996" t="str">
        <f t="shared" ref="G61:G65" si="47">F61/F$29</f>
        <v>#DIV/0!</v>
      </c>
      <c r="H61" s="995">
        <f>SUM(H62:H67)</f>
        <v>21534</v>
      </c>
      <c r="I61" s="998">
        <f t="shared" ref="I61:I65" si="48">H61/H$29</f>
        <v>0.04675703668</v>
      </c>
      <c r="J61" s="993">
        <f>SUM(J62:J67)</f>
        <v>48603</v>
      </c>
      <c r="K61" s="994">
        <f t="shared" ref="K61:K67" si="49">J61/J$29</f>
        <v>0.1055522256</v>
      </c>
      <c r="L61" s="995">
        <f>SUM(L62:L67)</f>
        <v>0</v>
      </c>
      <c r="M61" s="996" t="str">
        <f t="shared" ref="M61:M65" si="50">L61/L$29</f>
        <v>#DIV/0!</v>
      </c>
      <c r="N61" s="995">
        <f>SUM(N62:N67)</f>
        <v>0</v>
      </c>
      <c r="O61" s="996">
        <f t="shared" ref="O61:O65" si="51">N61/N$29</f>
        <v>0</v>
      </c>
      <c r="P61" s="858">
        <f>SUM(P62:P67)</f>
        <v>42165</v>
      </c>
      <c r="Q61" s="999">
        <f t="shared" ref="Q61:Q67" si="52">P61/P$29</f>
        <v>0.1291887139</v>
      </c>
      <c r="R61" s="995">
        <f>SUM(R62:R67)</f>
        <v>0</v>
      </c>
      <c r="S61" s="996" t="str">
        <f t="shared" ref="S61:S65" si="53">R61/R$29</f>
        <v>#DIV/0!</v>
      </c>
      <c r="T61" s="995">
        <f>SUM(T62:T67)</f>
        <v>0</v>
      </c>
      <c r="U61" s="996">
        <f t="shared" ref="U61:U65" si="54">T61/T$29</f>
        <v>0</v>
      </c>
      <c r="V61" s="858">
        <f>SUM(V62:V67)</f>
        <v>0</v>
      </c>
      <c r="W61" s="999" t="str">
        <f t="shared" ref="W61:W67" si="55">V61/V$29</f>
        <v>#DIV/0!</v>
      </c>
      <c r="X61" s="995">
        <f>SUM(X62:X67)</f>
        <v>0</v>
      </c>
      <c r="Y61" s="996" t="str">
        <f t="shared" ref="Y61:Y65" si="56">X61/X$29</f>
        <v>#DIV/0!</v>
      </c>
      <c r="Z61" s="995">
        <f>SUM(Z62:Z67)</f>
        <v>0</v>
      </c>
      <c r="AA61" s="996" t="str">
        <f t="shared" ref="AA61:AA65" si="57">Z61/Z$29</f>
        <v>#DIV/0!</v>
      </c>
      <c r="AB61" s="858">
        <f>SUM(AB62:AB67)</f>
        <v>0</v>
      </c>
      <c r="AC61" s="999" t="str">
        <f t="shared" ref="AC61:AC67" si="58">AB61/AB$29</f>
        <v>#DIV/0!</v>
      </c>
      <c r="AD61" s="995">
        <f>SUM(AD62:AD67)</f>
        <v>0</v>
      </c>
      <c r="AE61" s="996" t="str">
        <f t="shared" ref="AE61:AE65" si="59">AD61/AD$29</f>
        <v>#DIV/0!</v>
      </c>
      <c r="AF61" s="995">
        <f>SUM(AF62:AF67)</f>
        <v>0</v>
      </c>
      <c r="AG61" s="996" t="str">
        <f t="shared" ref="AG61:AG65" si="60">AF61/AF$29</f>
        <v>#DIV/0!</v>
      </c>
      <c r="AH61" s="858">
        <f>SUM(AH62:AH67)</f>
        <v>0</v>
      </c>
      <c r="AI61" s="999" t="str">
        <f t="shared" ref="AI61:AI67" si="61">AH61/AH$29</f>
        <v>#DIV/0!</v>
      </c>
      <c r="AJ61" s="995">
        <f>SUM(AJ62:AJ67)</f>
        <v>0</v>
      </c>
      <c r="AK61" s="996" t="str">
        <f t="shared" ref="AK61:AK65" si="62">AJ61/AJ$29</f>
        <v>#DIV/0!</v>
      </c>
      <c r="AL61" s="995">
        <f>SUM(AL62:AL67)</f>
        <v>0</v>
      </c>
      <c r="AM61" s="996" t="str">
        <f t="shared" ref="AM61:AM65" si="63">AL61/AL$29</f>
        <v>#DIV/0!</v>
      </c>
      <c r="AN61" s="858">
        <f>SUM(AN62:AN67)</f>
        <v>0</v>
      </c>
      <c r="AO61" s="999" t="str">
        <f t="shared" ref="AO61:AO67" si="64">AN61/AN$29</f>
        <v>#DIV/0!</v>
      </c>
      <c r="AP61" s="995">
        <f>SUM(AP62:AP67)</f>
        <v>0</v>
      </c>
      <c r="AQ61" s="996" t="str">
        <f t="shared" ref="AQ61:AQ65" si="65">AP61/AP$29</f>
        <v>#DIV/0!</v>
      </c>
      <c r="AR61" s="995">
        <f>SUM(AR62:AR67)</f>
        <v>0</v>
      </c>
      <c r="AS61" s="996" t="str">
        <f t="shared" ref="AS61:AS65" si="66">AR61/AR$29</f>
        <v>#DIV/0!</v>
      </c>
      <c r="AT61" s="858">
        <f>SUM(AT62:AT67)</f>
        <v>0</v>
      </c>
      <c r="AU61" s="999" t="str">
        <f t="shared" ref="AU61:AU67" si="67">AT61/AT$29</f>
        <v>#DIV/0!</v>
      </c>
      <c r="AV61" s="995">
        <f>SUM(AV62:AV67)</f>
        <v>0</v>
      </c>
      <c r="AW61" s="996" t="str">
        <f t="shared" ref="AW61:AW65" si="68">AV61/AV$29</f>
        <v>#DIV/0!</v>
      </c>
      <c r="AX61" s="995">
        <f>SUM(AX62:AX67)</f>
        <v>0</v>
      </c>
      <c r="AY61" s="996" t="str">
        <f t="shared" ref="AY61:AY65" si="69">AX61/AX$29</f>
        <v>#DIV/0!</v>
      </c>
      <c r="AZ61" s="858">
        <f>SUM(AZ62:AZ67)</f>
        <v>0</v>
      </c>
      <c r="BA61" s="999" t="str">
        <f t="shared" ref="BA61:BA67" si="70">AZ61/AZ$29</f>
        <v>#DIV/0!</v>
      </c>
      <c r="BB61" s="995">
        <f>SUM(BB62:BB67)</f>
        <v>0</v>
      </c>
      <c r="BC61" s="996" t="str">
        <f t="shared" ref="BC61:BC65" si="71">BB61/BB$29</f>
        <v>#DIV/0!</v>
      </c>
      <c r="BD61" s="995">
        <f>SUM(BD62:BD67)</f>
        <v>0</v>
      </c>
      <c r="BE61" s="996" t="str">
        <f t="shared" ref="BE61:BE65" si="72">BD61/BD$29</f>
        <v>#DIV/0!</v>
      </c>
      <c r="BF61" s="858">
        <f>SUM(BF62:BF67)</f>
        <v>0</v>
      </c>
      <c r="BG61" s="999" t="str">
        <f t="shared" ref="BG61:BG67" si="73">BF61/BF$29</f>
        <v>#DIV/0!</v>
      </c>
      <c r="BH61" s="995">
        <f>SUM(BH62:BH67)</f>
        <v>0</v>
      </c>
      <c r="BI61" s="996" t="str">
        <f t="shared" ref="BI61:BI65" si="74">BH61/BH$29</f>
        <v>#DIV/0!</v>
      </c>
      <c r="BJ61" s="995">
        <f>SUM(BJ62:BJ67)</f>
        <v>0</v>
      </c>
      <c r="BK61" s="996" t="str">
        <f t="shared" ref="BK61:BK65" si="75">BJ61/BJ$29</f>
        <v>#DIV/0!</v>
      </c>
      <c r="BL61" s="858">
        <f>SUM(BL62:BL67)</f>
        <v>0</v>
      </c>
      <c r="BM61" s="999" t="str">
        <f t="shared" ref="BM61:BM67" si="76">BL61/BL$29</f>
        <v>#DIV/0!</v>
      </c>
      <c r="BN61" s="995">
        <f>SUM(BN62:BN67)</f>
        <v>0</v>
      </c>
      <c r="BO61" s="996" t="str">
        <f t="shared" ref="BO61:BO65" si="77">BN61/BN$29</f>
        <v>#DIV/0!</v>
      </c>
      <c r="BP61" s="995">
        <f>SUM(BP62:BP67)</f>
        <v>0</v>
      </c>
      <c r="BQ61" s="996" t="str">
        <f t="shared" ref="BQ61:BQ65" si="78">BP61/BP$29</f>
        <v>#DIV/0!</v>
      </c>
      <c r="BR61" s="858">
        <f>SUM(BR62:BR67)</f>
        <v>0</v>
      </c>
    </row>
    <row r="62" ht="15.75" customHeight="1">
      <c r="A62" s="439"/>
      <c r="B62" s="497"/>
      <c r="C62" s="497" t="s">
        <v>268</v>
      </c>
      <c r="D62" s="946">
        <v>21534.0</v>
      </c>
      <c r="E62" s="947">
        <f t="shared" si="46"/>
        <v>0.04217971048</v>
      </c>
      <c r="F62" s="948">
        <v>0.0</v>
      </c>
      <c r="G62" s="949" t="str">
        <f t="shared" si="47"/>
        <v>#DIV/0!</v>
      </c>
      <c r="H62" s="948">
        <f>D62-F62</f>
        <v>21534</v>
      </c>
      <c r="I62" s="951">
        <f t="shared" si="48"/>
        <v>0.04675703668</v>
      </c>
      <c r="J62" s="1051">
        <v>0.0</v>
      </c>
      <c r="K62" s="947">
        <f t="shared" si="49"/>
        <v>0</v>
      </c>
      <c r="L62" s="948">
        <v>0.0</v>
      </c>
      <c r="M62" s="949" t="str">
        <f t="shared" si="50"/>
        <v>#DIV/0!</v>
      </c>
      <c r="N62" s="948">
        <f>J62-L62</f>
        <v>0</v>
      </c>
      <c r="O62" s="949">
        <f t="shared" si="51"/>
        <v>0</v>
      </c>
      <c r="P62" s="971">
        <v>0.0</v>
      </c>
      <c r="Q62" s="1001">
        <f t="shared" si="52"/>
        <v>0</v>
      </c>
      <c r="R62" s="948">
        <v>0.0</v>
      </c>
      <c r="S62" s="949" t="str">
        <f t="shared" si="53"/>
        <v>#DIV/0!</v>
      </c>
      <c r="T62" s="948">
        <f>P62-R62</f>
        <v>0</v>
      </c>
      <c r="U62" s="949">
        <f t="shared" si="54"/>
        <v>0</v>
      </c>
      <c r="V62" s="841"/>
      <c r="W62" s="1001" t="str">
        <f t="shared" si="55"/>
        <v>#DIV/0!</v>
      </c>
      <c r="X62" s="948">
        <v>0.0</v>
      </c>
      <c r="Y62" s="949" t="str">
        <f t="shared" si="56"/>
        <v>#DIV/0!</v>
      </c>
      <c r="Z62" s="948">
        <f>V62-X62</f>
        <v>0</v>
      </c>
      <c r="AA62" s="949" t="str">
        <f t="shared" si="57"/>
        <v>#DIV/0!</v>
      </c>
      <c r="AB62" s="841"/>
      <c r="AC62" s="1001" t="str">
        <f t="shared" si="58"/>
        <v>#DIV/0!</v>
      </c>
      <c r="AD62" s="948">
        <v>0.0</v>
      </c>
      <c r="AE62" s="949" t="str">
        <f t="shared" si="59"/>
        <v>#DIV/0!</v>
      </c>
      <c r="AF62" s="948">
        <f>AB62-AD62</f>
        <v>0</v>
      </c>
      <c r="AG62" s="949" t="str">
        <f t="shared" si="60"/>
        <v>#DIV/0!</v>
      </c>
      <c r="AH62" s="841"/>
      <c r="AI62" s="1001" t="str">
        <f t="shared" si="61"/>
        <v>#DIV/0!</v>
      </c>
      <c r="AJ62" s="948">
        <v>0.0</v>
      </c>
      <c r="AK62" s="949" t="str">
        <f t="shared" si="62"/>
        <v>#DIV/0!</v>
      </c>
      <c r="AL62" s="948">
        <f>AH62-AJ62</f>
        <v>0</v>
      </c>
      <c r="AM62" s="949" t="str">
        <f t="shared" si="63"/>
        <v>#DIV/0!</v>
      </c>
      <c r="AN62" s="841"/>
      <c r="AO62" s="1001" t="str">
        <f t="shared" si="64"/>
        <v>#DIV/0!</v>
      </c>
      <c r="AP62" s="948">
        <v>0.0</v>
      </c>
      <c r="AQ62" s="949" t="str">
        <f t="shared" si="65"/>
        <v>#DIV/0!</v>
      </c>
      <c r="AR62" s="948">
        <f>AN62-AP62</f>
        <v>0</v>
      </c>
      <c r="AS62" s="949" t="str">
        <f t="shared" si="66"/>
        <v>#DIV/0!</v>
      </c>
      <c r="AT62" s="841"/>
      <c r="AU62" s="1001" t="str">
        <f t="shared" si="67"/>
        <v>#DIV/0!</v>
      </c>
      <c r="AV62" s="948">
        <v>0.0</v>
      </c>
      <c r="AW62" s="949" t="str">
        <f t="shared" si="68"/>
        <v>#DIV/0!</v>
      </c>
      <c r="AX62" s="948">
        <f>AT62-AV62</f>
        <v>0</v>
      </c>
      <c r="AY62" s="949" t="str">
        <f t="shared" si="69"/>
        <v>#DIV/0!</v>
      </c>
      <c r="AZ62" s="841"/>
      <c r="BA62" s="1001" t="str">
        <f t="shared" si="70"/>
        <v>#DIV/0!</v>
      </c>
      <c r="BB62" s="948">
        <v>0.0</v>
      </c>
      <c r="BC62" s="949" t="str">
        <f t="shared" si="71"/>
        <v>#DIV/0!</v>
      </c>
      <c r="BD62" s="948">
        <f>AZ62-BB62</f>
        <v>0</v>
      </c>
      <c r="BE62" s="949" t="str">
        <f t="shared" si="72"/>
        <v>#DIV/0!</v>
      </c>
      <c r="BF62" s="841"/>
      <c r="BG62" s="1001" t="str">
        <f t="shared" si="73"/>
        <v>#DIV/0!</v>
      </c>
      <c r="BH62" s="948">
        <v>0.0</v>
      </c>
      <c r="BI62" s="949" t="str">
        <f t="shared" si="74"/>
        <v>#DIV/0!</v>
      </c>
      <c r="BJ62" s="948">
        <f>BF62-BH62</f>
        <v>0</v>
      </c>
      <c r="BK62" s="949" t="str">
        <f t="shared" si="75"/>
        <v>#DIV/0!</v>
      </c>
      <c r="BL62" s="841"/>
      <c r="BM62" s="1001" t="str">
        <f t="shared" si="76"/>
        <v>#DIV/0!</v>
      </c>
      <c r="BN62" s="948">
        <v>0.0</v>
      </c>
      <c r="BO62" s="949" t="str">
        <f t="shared" si="77"/>
        <v>#DIV/0!</v>
      </c>
      <c r="BP62" s="948">
        <f>BL62-BN62</f>
        <v>0</v>
      </c>
      <c r="BQ62" s="949" t="str">
        <f t="shared" si="78"/>
        <v>#DIV/0!</v>
      </c>
      <c r="BR62" s="841"/>
    </row>
    <row r="63" ht="15.75" customHeight="1">
      <c r="A63" s="439"/>
      <c r="B63" s="465"/>
      <c r="C63" s="526" t="s">
        <v>269</v>
      </c>
      <c r="D63" s="955">
        <v>17370.78</v>
      </c>
      <c r="E63" s="956">
        <f t="shared" si="46"/>
        <v>0.03402500563</v>
      </c>
      <c r="F63" s="957"/>
      <c r="G63" s="958" t="str">
        <f t="shared" si="47"/>
        <v>#DIV/0!</v>
      </c>
      <c r="H63" s="958">
        <v>0.0</v>
      </c>
      <c r="I63" s="960">
        <f t="shared" si="48"/>
        <v>0</v>
      </c>
      <c r="J63" s="974">
        <v>22622.0</v>
      </c>
      <c r="K63" s="956">
        <f t="shared" si="49"/>
        <v>0.04912870496</v>
      </c>
      <c r="L63" s="957"/>
      <c r="M63" s="958" t="str">
        <f t="shared" si="50"/>
        <v>#DIV/0!</v>
      </c>
      <c r="N63" s="958">
        <v>0.0</v>
      </c>
      <c r="O63" s="958">
        <f t="shared" si="51"/>
        <v>0</v>
      </c>
      <c r="P63" s="870">
        <v>13536.0</v>
      </c>
      <c r="Q63" s="1003">
        <f t="shared" si="52"/>
        <v>0.04147274827</v>
      </c>
      <c r="R63" s="957"/>
      <c r="S63" s="958" t="str">
        <f t="shared" si="53"/>
        <v>#DIV/0!</v>
      </c>
      <c r="T63" s="958">
        <v>0.0</v>
      </c>
      <c r="U63" s="958">
        <f t="shared" si="54"/>
        <v>0</v>
      </c>
      <c r="V63" s="847"/>
      <c r="W63" s="1003" t="str">
        <f t="shared" si="55"/>
        <v>#DIV/0!</v>
      </c>
      <c r="X63" s="957"/>
      <c r="Y63" s="958" t="str">
        <f t="shared" si="56"/>
        <v>#DIV/0!</v>
      </c>
      <c r="Z63" s="958">
        <v>0.0</v>
      </c>
      <c r="AA63" s="958" t="str">
        <f t="shared" si="57"/>
        <v>#DIV/0!</v>
      </c>
      <c r="AB63" s="847"/>
      <c r="AC63" s="1003" t="str">
        <f t="shared" si="58"/>
        <v>#DIV/0!</v>
      </c>
      <c r="AD63" s="957"/>
      <c r="AE63" s="958" t="str">
        <f t="shared" si="59"/>
        <v>#DIV/0!</v>
      </c>
      <c r="AF63" s="958">
        <v>0.0</v>
      </c>
      <c r="AG63" s="958" t="str">
        <f t="shared" si="60"/>
        <v>#DIV/0!</v>
      </c>
      <c r="AH63" s="847"/>
      <c r="AI63" s="1003" t="str">
        <f t="shared" si="61"/>
        <v>#DIV/0!</v>
      </c>
      <c r="AJ63" s="957"/>
      <c r="AK63" s="958" t="str">
        <f t="shared" si="62"/>
        <v>#DIV/0!</v>
      </c>
      <c r="AL63" s="958">
        <v>0.0</v>
      </c>
      <c r="AM63" s="958" t="str">
        <f t="shared" si="63"/>
        <v>#DIV/0!</v>
      </c>
      <c r="AN63" s="847"/>
      <c r="AO63" s="1003" t="str">
        <f t="shared" si="64"/>
        <v>#DIV/0!</v>
      </c>
      <c r="AP63" s="957"/>
      <c r="AQ63" s="958" t="str">
        <f t="shared" si="65"/>
        <v>#DIV/0!</v>
      </c>
      <c r="AR63" s="958">
        <v>0.0</v>
      </c>
      <c r="AS63" s="958" t="str">
        <f t="shared" si="66"/>
        <v>#DIV/0!</v>
      </c>
      <c r="AT63" s="847"/>
      <c r="AU63" s="1003" t="str">
        <f t="shared" si="67"/>
        <v>#DIV/0!</v>
      </c>
      <c r="AV63" s="957"/>
      <c r="AW63" s="958" t="str">
        <f t="shared" si="68"/>
        <v>#DIV/0!</v>
      </c>
      <c r="AX63" s="958">
        <v>0.0</v>
      </c>
      <c r="AY63" s="958" t="str">
        <f t="shared" si="69"/>
        <v>#DIV/0!</v>
      </c>
      <c r="AZ63" s="847"/>
      <c r="BA63" s="1003" t="str">
        <f t="shared" si="70"/>
        <v>#DIV/0!</v>
      </c>
      <c r="BB63" s="957"/>
      <c r="BC63" s="958" t="str">
        <f t="shared" si="71"/>
        <v>#DIV/0!</v>
      </c>
      <c r="BD63" s="958">
        <v>0.0</v>
      </c>
      <c r="BE63" s="958" t="str">
        <f t="shared" si="72"/>
        <v>#DIV/0!</v>
      </c>
      <c r="BF63" s="847"/>
      <c r="BG63" s="1003" t="str">
        <f t="shared" si="73"/>
        <v>#DIV/0!</v>
      </c>
      <c r="BH63" s="957"/>
      <c r="BI63" s="958" t="str">
        <f t="shared" si="74"/>
        <v>#DIV/0!</v>
      </c>
      <c r="BJ63" s="958">
        <v>0.0</v>
      </c>
      <c r="BK63" s="958" t="str">
        <f t="shared" si="75"/>
        <v>#DIV/0!</v>
      </c>
      <c r="BL63" s="847"/>
      <c r="BM63" s="1003" t="str">
        <f t="shared" si="76"/>
        <v>#DIV/0!</v>
      </c>
      <c r="BN63" s="957"/>
      <c r="BO63" s="958" t="str">
        <f t="shared" si="77"/>
        <v>#DIV/0!</v>
      </c>
      <c r="BP63" s="958">
        <v>0.0</v>
      </c>
      <c r="BQ63" s="958" t="str">
        <f t="shared" si="78"/>
        <v>#DIV/0!</v>
      </c>
      <c r="BR63" s="847"/>
    </row>
    <row r="64" ht="15.75" customHeight="1">
      <c r="A64" s="439"/>
      <c r="B64" s="465"/>
      <c r="C64" s="465" t="s">
        <v>209</v>
      </c>
      <c r="D64" s="955">
        <v>0.0</v>
      </c>
      <c r="E64" s="956">
        <f t="shared" si="46"/>
        <v>0</v>
      </c>
      <c r="F64" s="957">
        <v>0.0</v>
      </c>
      <c r="G64" s="958" t="str">
        <f t="shared" si="47"/>
        <v>#DIV/0!</v>
      </c>
      <c r="H64" s="957">
        <f t="shared" ref="H64:H65" si="79">D64-F64</f>
        <v>0</v>
      </c>
      <c r="I64" s="960">
        <f t="shared" si="48"/>
        <v>0</v>
      </c>
      <c r="J64" s="961">
        <v>0.0</v>
      </c>
      <c r="K64" s="956">
        <f t="shared" si="49"/>
        <v>0</v>
      </c>
      <c r="L64" s="957">
        <v>0.0</v>
      </c>
      <c r="M64" s="958" t="str">
        <f t="shared" si="50"/>
        <v>#DIV/0!</v>
      </c>
      <c r="N64" s="957">
        <f t="shared" ref="N64:N65" si="80">J64-L64</f>
        <v>0</v>
      </c>
      <c r="O64" s="958">
        <f t="shared" si="51"/>
        <v>0</v>
      </c>
      <c r="P64" s="870">
        <v>0.0</v>
      </c>
      <c r="Q64" s="1003">
        <f t="shared" si="52"/>
        <v>0</v>
      </c>
      <c r="R64" s="957">
        <v>0.0</v>
      </c>
      <c r="S64" s="958" t="str">
        <f t="shared" si="53"/>
        <v>#DIV/0!</v>
      </c>
      <c r="T64" s="957">
        <f t="shared" ref="T64:T65" si="81">P64-R64</f>
        <v>0</v>
      </c>
      <c r="U64" s="958">
        <f t="shared" si="54"/>
        <v>0</v>
      </c>
      <c r="V64" s="847"/>
      <c r="W64" s="1003" t="str">
        <f t="shared" si="55"/>
        <v>#DIV/0!</v>
      </c>
      <c r="X64" s="957">
        <v>0.0</v>
      </c>
      <c r="Y64" s="958" t="str">
        <f t="shared" si="56"/>
        <v>#DIV/0!</v>
      </c>
      <c r="Z64" s="957">
        <f t="shared" ref="Z64:Z65" si="82">V64-X64</f>
        <v>0</v>
      </c>
      <c r="AA64" s="958" t="str">
        <f t="shared" si="57"/>
        <v>#DIV/0!</v>
      </c>
      <c r="AB64" s="847"/>
      <c r="AC64" s="1003" t="str">
        <f t="shared" si="58"/>
        <v>#DIV/0!</v>
      </c>
      <c r="AD64" s="957">
        <v>0.0</v>
      </c>
      <c r="AE64" s="958" t="str">
        <f t="shared" si="59"/>
        <v>#DIV/0!</v>
      </c>
      <c r="AF64" s="957">
        <f t="shared" ref="AF64:AF65" si="83">AB64-AD64</f>
        <v>0</v>
      </c>
      <c r="AG64" s="958" t="str">
        <f t="shared" si="60"/>
        <v>#DIV/0!</v>
      </c>
      <c r="AH64" s="847"/>
      <c r="AI64" s="1003" t="str">
        <f t="shared" si="61"/>
        <v>#DIV/0!</v>
      </c>
      <c r="AJ64" s="957">
        <v>0.0</v>
      </c>
      <c r="AK64" s="958" t="str">
        <f t="shared" si="62"/>
        <v>#DIV/0!</v>
      </c>
      <c r="AL64" s="957">
        <f t="shared" ref="AL64:AL65" si="84">AH64-AJ64</f>
        <v>0</v>
      </c>
      <c r="AM64" s="958" t="str">
        <f t="shared" si="63"/>
        <v>#DIV/0!</v>
      </c>
      <c r="AN64" s="847"/>
      <c r="AO64" s="1003" t="str">
        <f t="shared" si="64"/>
        <v>#DIV/0!</v>
      </c>
      <c r="AP64" s="957">
        <v>0.0</v>
      </c>
      <c r="AQ64" s="958" t="str">
        <f t="shared" si="65"/>
        <v>#DIV/0!</v>
      </c>
      <c r="AR64" s="957">
        <f t="shared" ref="AR64:AR65" si="85">AN64-AP64</f>
        <v>0</v>
      </c>
      <c r="AS64" s="958" t="str">
        <f t="shared" si="66"/>
        <v>#DIV/0!</v>
      </c>
      <c r="AT64" s="847"/>
      <c r="AU64" s="1003" t="str">
        <f t="shared" si="67"/>
        <v>#DIV/0!</v>
      </c>
      <c r="AV64" s="957">
        <v>0.0</v>
      </c>
      <c r="AW64" s="958" t="str">
        <f t="shared" si="68"/>
        <v>#DIV/0!</v>
      </c>
      <c r="AX64" s="957">
        <f t="shared" ref="AX64:AX65" si="86">AT64-AV64</f>
        <v>0</v>
      </c>
      <c r="AY64" s="958" t="str">
        <f t="shared" si="69"/>
        <v>#DIV/0!</v>
      </c>
      <c r="AZ64" s="847"/>
      <c r="BA64" s="1003" t="str">
        <f t="shared" si="70"/>
        <v>#DIV/0!</v>
      </c>
      <c r="BB64" s="957">
        <v>0.0</v>
      </c>
      <c r="BC64" s="958" t="str">
        <f t="shared" si="71"/>
        <v>#DIV/0!</v>
      </c>
      <c r="BD64" s="957">
        <f t="shared" ref="BD64:BD65" si="87">AZ64-BB64</f>
        <v>0</v>
      </c>
      <c r="BE64" s="958" t="str">
        <f t="shared" si="72"/>
        <v>#DIV/0!</v>
      </c>
      <c r="BF64" s="847"/>
      <c r="BG64" s="1003" t="str">
        <f t="shared" si="73"/>
        <v>#DIV/0!</v>
      </c>
      <c r="BH64" s="957">
        <v>0.0</v>
      </c>
      <c r="BI64" s="958" t="str">
        <f t="shared" si="74"/>
        <v>#DIV/0!</v>
      </c>
      <c r="BJ64" s="957">
        <f t="shared" ref="BJ64:BJ65" si="88">BF64-BH64</f>
        <v>0</v>
      </c>
      <c r="BK64" s="958" t="str">
        <f t="shared" si="75"/>
        <v>#DIV/0!</v>
      </c>
      <c r="BL64" s="847"/>
      <c r="BM64" s="1003" t="str">
        <f t="shared" si="76"/>
        <v>#DIV/0!</v>
      </c>
      <c r="BN64" s="957">
        <v>0.0</v>
      </c>
      <c r="BO64" s="958" t="str">
        <f t="shared" si="77"/>
        <v>#DIV/0!</v>
      </c>
      <c r="BP64" s="957">
        <f t="shared" ref="BP64:BP65" si="89">BL64-BN64</f>
        <v>0</v>
      </c>
      <c r="BQ64" s="958" t="str">
        <f t="shared" si="78"/>
        <v>#DIV/0!</v>
      </c>
      <c r="BR64" s="847"/>
    </row>
    <row r="65" ht="15.75" customHeight="1">
      <c r="A65" s="439"/>
      <c r="B65" s="465"/>
      <c r="C65" s="465" t="s">
        <v>310</v>
      </c>
      <c r="D65" s="955">
        <v>0.0</v>
      </c>
      <c r="E65" s="956">
        <f t="shared" si="46"/>
        <v>0</v>
      </c>
      <c r="F65" s="957">
        <v>0.0</v>
      </c>
      <c r="G65" s="958" t="str">
        <f t="shared" si="47"/>
        <v>#DIV/0!</v>
      </c>
      <c r="H65" s="957">
        <f t="shared" si="79"/>
        <v>0</v>
      </c>
      <c r="I65" s="960">
        <f t="shared" si="48"/>
        <v>0</v>
      </c>
      <c r="J65" s="961">
        <v>0.0</v>
      </c>
      <c r="K65" s="956">
        <f t="shared" si="49"/>
        <v>0</v>
      </c>
      <c r="L65" s="957">
        <v>0.0</v>
      </c>
      <c r="M65" s="958" t="str">
        <f t="shared" si="50"/>
        <v>#DIV/0!</v>
      </c>
      <c r="N65" s="957">
        <f t="shared" si="80"/>
        <v>0</v>
      </c>
      <c r="O65" s="958">
        <f t="shared" si="51"/>
        <v>0</v>
      </c>
      <c r="P65" s="870">
        <v>0.0</v>
      </c>
      <c r="Q65" s="1003">
        <f t="shared" si="52"/>
        <v>0</v>
      </c>
      <c r="R65" s="957">
        <v>0.0</v>
      </c>
      <c r="S65" s="958" t="str">
        <f t="shared" si="53"/>
        <v>#DIV/0!</v>
      </c>
      <c r="T65" s="957">
        <f t="shared" si="81"/>
        <v>0</v>
      </c>
      <c r="U65" s="958">
        <f t="shared" si="54"/>
        <v>0</v>
      </c>
      <c r="V65" s="847"/>
      <c r="W65" s="1003" t="str">
        <f t="shared" si="55"/>
        <v>#DIV/0!</v>
      </c>
      <c r="X65" s="957">
        <v>0.0</v>
      </c>
      <c r="Y65" s="958" t="str">
        <f t="shared" si="56"/>
        <v>#DIV/0!</v>
      </c>
      <c r="Z65" s="957">
        <f t="shared" si="82"/>
        <v>0</v>
      </c>
      <c r="AA65" s="958" t="str">
        <f t="shared" si="57"/>
        <v>#DIV/0!</v>
      </c>
      <c r="AB65" s="847"/>
      <c r="AC65" s="1003" t="str">
        <f t="shared" si="58"/>
        <v>#DIV/0!</v>
      </c>
      <c r="AD65" s="957">
        <v>0.0</v>
      </c>
      <c r="AE65" s="958" t="str">
        <f t="shared" si="59"/>
        <v>#DIV/0!</v>
      </c>
      <c r="AF65" s="957">
        <f t="shared" si="83"/>
        <v>0</v>
      </c>
      <c r="AG65" s="958" t="str">
        <f t="shared" si="60"/>
        <v>#DIV/0!</v>
      </c>
      <c r="AH65" s="847"/>
      <c r="AI65" s="1003" t="str">
        <f t="shared" si="61"/>
        <v>#DIV/0!</v>
      </c>
      <c r="AJ65" s="957">
        <v>0.0</v>
      </c>
      <c r="AK65" s="958" t="str">
        <f t="shared" si="62"/>
        <v>#DIV/0!</v>
      </c>
      <c r="AL65" s="957">
        <f t="shared" si="84"/>
        <v>0</v>
      </c>
      <c r="AM65" s="958" t="str">
        <f t="shared" si="63"/>
        <v>#DIV/0!</v>
      </c>
      <c r="AN65" s="847"/>
      <c r="AO65" s="1003" t="str">
        <f t="shared" si="64"/>
        <v>#DIV/0!</v>
      </c>
      <c r="AP65" s="957">
        <v>0.0</v>
      </c>
      <c r="AQ65" s="958" t="str">
        <f t="shared" si="65"/>
        <v>#DIV/0!</v>
      </c>
      <c r="AR65" s="957">
        <f t="shared" si="85"/>
        <v>0</v>
      </c>
      <c r="AS65" s="958" t="str">
        <f t="shared" si="66"/>
        <v>#DIV/0!</v>
      </c>
      <c r="AT65" s="847"/>
      <c r="AU65" s="1003" t="str">
        <f t="shared" si="67"/>
        <v>#DIV/0!</v>
      </c>
      <c r="AV65" s="957">
        <v>0.0</v>
      </c>
      <c r="AW65" s="958" t="str">
        <f t="shared" si="68"/>
        <v>#DIV/0!</v>
      </c>
      <c r="AX65" s="957">
        <f t="shared" si="86"/>
        <v>0</v>
      </c>
      <c r="AY65" s="958" t="str">
        <f t="shared" si="69"/>
        <v>#DIV/0!</v>
      </c>
      <c r="AZ65" s="847"/>
      <c r="BA65" s="1003" t="str">
        <f t="shared" si="70"/>
        <v>#DIV/0!</v>
      </c>
      <c r="BB65" s="957">
        <v>0.0</v>
      </c>
      <c r="BC65" s="958" t="str">
        <f t="shared" si="71"/>
        <v>#DIV/0!</v>
      </c>
      <c r="BD65" s="957">
        <f t="shared" si="87"/>
        <v>0</v>
      </c>
      <c r="BE65" s="958" t="str">
        <f t="shared" si="72"/>
        <v>#DIV/0!</v>
      </c>
      <c r="BF65" s="847"/>
      <c r="BG65" s="1003" t="str">
        <f t="shared" si="73"/>
        <v>#DIV/0!</v>
      </c>
      <c r="BH65" s="957">
        <v>0.0</v>
      </c>
      <c r="BI65" s="958" t="str">
        <f t="shared" si="74"/>
        <v>#DIV/0!</v>
      </c>
      <c r="BJ65" s="957">
        <f t="shared" si="88"/>
        <v>0</v>
      </c>
      <c r="BK65" s="958" t="str">
        <f t="shared" si="75"/>
        <v>#DIV/0!</v>
      </c>
      <c r="BL65" s="847"/>
      <c r="BM65" s="1003" t="str">
        <f t="shared" si="76"/>
        <v>#DIV/0!</v>
      </c>
      <c r="BN65" s="957">
        <v>0.0</v>
      </c>
      <c r="BO65" s="958" t="str">
        <f t="shared" si="77"/>
        <v>#DIV/0!</v>
      </c>
      <c r="BP65" s="957">
        <f t="shared" si="89"/>
        <v>0</v>
      </c>
      <c r="BQ65" s="958" t="str">
        <f t="shared" si="78"/>
        <v>#DIV/0!</v>
      </c>
      <c r="BR65" s="847"/>
    </row>
    <row r="66" ht="15.75" customHeight="1">
      <c r="A66" s="439"/>
      <c r="B66" s="465"/>
      <c r="C66" s="465" t="s">
        <v>288</v>
      </c>
      <c r="D66" s="955">
        <v>0.0</v>
      </c>
      <c r="E66" s="956">
        <f t="shared" si="46"/>
        <v>0</v>
      </c>
      <c r="F66" s="957"/>
      <c r="G66" s="958" t="str">
        <f>F66/F$30</f>
        <v>#DIV/0!</v>
      </c>
      <c r="H66" s="958"/>
      <c r="I66" s="960"/>
      <c r="J66" s="961">
        <v>0.0</v>
      </c>
      <c r="K66" s="956">
        <f t="shared" si="49"/>
        <v>0</v>
      </c>
      <c r="L66" s="957"/>
      <c r="M66" s="958" t="str">
        <f>L66/L$30</f>
        <v>#DIV/0!</v>
      </c>
      <c r="N66" s="958"/>
      <c r="O66" s="958"/>
      <c r="P66" s="870">
        <v>0.0</v>
      </c>
      <c r="Q66" s="1003">
        <f t="shared" si="52"/>
        <v>0</v>
      </c>
      <c r="R66" s="957"/>
      <c r="S66" s="958" t="str">
        <f>R66/R$30</f>
        <v>#DIV/0!</v>
      </c>
      <c r="T66" s="958"/>
      <c r="U66" s="958"/>
      <c r="V66" s="847"/>
      <c r="W66" s="1003" t="str">
        <f t="shared" si="55"/>
        <v>#DIV/0!</v>
      </c>
      <c r="X66" s="957"/>
      <c r="Y66" s="958" t="str">
        <f>X66/X$30</f>
        <v>#DIV/0!</v>
      </c>
      <c r="Z66" s="958"/>
      <c r="AA66" s="958"/>
      <c r="AB66" s="847"/>
      <c r="AC66" s="1003" t="str">
        <f t="shared" si="58"/>
        <v>#DIV/0!</v>
      </c>
      <c r="AD66" s="957"/>
      <c r="AE66" s="958" t="str">
        <f>AD66/AD$30</f>
        <v>#DIV/0!</v>
      </c>
      <c r="AF66" s="958"/>
      <c r="AG66" s="958"/>
      <c r="AH66" s="847"/>
      <c r="AI66" s="1003" t="str">
        <f t="shared" si="61"/>
        <v>#DIV/0!</v>
      </c>
      <c r="AJ66" s="957"/>
      <c r="AK66" s="958" t="str">
        <f>AJ66/AJ$30</f>
        <v>#DIV/0!</v>
      </c>
      <c r="AL66" s="958"/>
      <c r="AM66" s="958"/>
      <c r="AN66" s="847"/>
      <c r="AO66" s="1003" t="str">
        <f t="shared" si="64"/>
        <v>#DIV/0!</v>
      </c>
      <c r="AP66" s="957"/>
      <c r="AQ66" s="958" t="str">
        <f>AP66/AP$30</f>
        <v>#DIV/0!</v>
      </c>
      <c r="AR66" s="958"/>
      <c r="AS66" s="958"/>
      <c r="AT66" s="847"/>
      <c r="AU66" s="1003" t="str">
        <f t="shared" si="67"/>
        <v>#DIV/0!</v>
      </c>
      <c r="AV66" s="957"/>
      <c r="AW66" s="958" t="str">
        <f>AV66/AV$30</f>
        <v>#DIV/0!</v>
      </c>
      <c r="AX66" s="958"/>
      <c r="AY66" s="958"/>
      <c r="AZ66" s="847"/>
      <c r="BA66" s="1003" t="str">
        <f t="shared" si="70"/>
        <v>#DIV/0!</v>
      </c>
      <c r="BB66" s="957"/>
      <c r="BC66" s="958" t="str">
        <f>BB66/BB$30</f>
        <v>#DIV/0!</v>
      </c>
      <c r="BD66" s="958"/>
      <c r="BE66" s="958"/>
      <c r="BF66" s="847"/>
      <c r="BG66" s="1003" t="str">
        <f t="shared" si="73"/>
        <v>#DIV/0!</v>
      </c>
      <c r="BH66" s="957"/>
      <c r="BI66" s="958" t="str">
        <f>BH66/BH$30</f>
        <v>#DIV/0!</v>
      </c>
      <c r="BJ66" s="958"/>
      <c r="BK66" s="958"/>
      <c r="BL66" s="847"/>
      <c r="BM66" s="1003" t="str">
        <f t="shared" si="76"/>
        <v>#DIV/0!</v>
      </c>
      <c r="BN66" s="957"/>
      <c r="BO66" s="958" t="str">
        <f>BN66/BN$30</f>
        <v>#DIV/0!</v>
      </c>
      <c r="BP66" s="958"/>
      <c r="BQ66" s="958"/>
      <c r="BR66" s="847"/>
    </row>
    <row r="67" ht="15.75" customHeight="1">
      <c r="A67" s="439"/>
      <c r="B67" s="465"/>
      <c r="C67" s="465" t="s">
        <v>271</v>
      </c>
      <c r="D67" s="955">
        <v>38905.0</v>
      </c>
      <c r="E67" s="956">
        <f t="shared" si="46"/>
        <v>0.07620514704</v>
      </c>
      <c r="F67" s="957"/>
      <c r="G67" s="956"/>
      <c r="H67" s="958"/>
      <c r="I67" s="1052"/>
      <c r="J67" s="961">
        <v>25981.0</v>
      </c>
      <c r="K67" s="956">
        <f t="shared" si="49"/>
        <v>0.05642352062</v>
      </c>
      <c r="L67" s="957"/>
      <c r="M67" s="956"/>
      <c r="N67" s="958"/>
      <c r="O67" s="956"/>
      <c r="P67" s="870">
        <v>28629.0</v>
      </c>
      <c r="Q67" s="1003">
        <f t="shared" si="52"/>
        <v>0.0877159656</v>
      </c>
      <c r="R67" s="957"/>
      <c r="S67" s="956"/>
      <c r="T67" s="958"/>
      <c r="U67" s="956"/>
      <c r="V67" s="847"/>
      <c r="W67" s="1003" t="str">
        <f t="shared" si="55"/>
        <v>#DIV/0!</v>
      </c>
      <c r="X67" s="957"/>
      <c r="Y67" s="956"/>
      <c r="Z67" s="958"/>
      <c r="AA67" s="956"/>
      <c r="AB67" s="847"/>
      <c r="AC67" s="1003" t="str">
        <f t="shared" si="58"/>
        <v>#DIV/0!</v>
      </c>
      <c r="AD67" s="957"/>
      <c r="AE67" s="956"/>
      <c r="AF67" s="958"/>
      <c r="AG67" s="956"/>
      <c r="AH67" s="847"/>
      <c r="AI67" s="1003" t="str">
        <f t="shared" si="61"/>
        <v>#DIV/0!</v>
      </c>
      <c r="AJ67" s="957"/>
      <c r="AK67" s="956"/>
      <c r="AL67" s="958"/>
      <c r="AM67" s="956"/>
      <c r="AN67" s="847"/>
      <c r="AO67" s="1003" t="str">
        <f t="shared" si="64"/>
        <v>#DIV/0!</v>
      </c>
      <c r="AP67" s="957"/>
      <c r="AQ67" s="956"/>
      <c r="AR67" s="958"/>
      <c r="AS67" s="956"/>
      <c r="AT67" s="847"/>
      <c r="AU67" s="1003" t="str">
        <f t="shared" si="67"/>
        <v>#DIV/0!</v>
      </c>
      <c r="AV67" s="957"/>
      <c r="AW67" s="956"/>
      <c r="AX67" s="958"/>
      <c r="AY67" s="956"/>
      <c r="AZ67" s="847"/>
      <c r="BA67" s="1003" t="str">
        <f t="shared" si="70"/>
        <v>#DIV/0!</v>
      </c>
      <c r="BB67" s="957"/>
      <c r="BC67" s="956"/>
      <c r="BD67" s="958"/>
      <c r="BE67" s="956"/>
      <c r="BF67" s="847"/>
      <c r="BG67" s="1003" t="str">
        <f t="shared" si="73"/>
        <v>#DIV/0!</v>
      </c>
      <c r="BH67" s="957"/>
      <c r="BI67" s="956"/>
      <c r="BJ67" s="958"/>
      <c r="BK67" s="956"/>
      <c r="BL67" s="847"/>
      <c r="BM67" s="1003" t="str">
        <f t="shared" si="76"/>
        <v>#DIV/0!</v>
      </c>
      <c r="BN67" s="957"/>
      <c r="BO67" s="956"/>
      <c r="BP67" s="958"/>
      <c r="BQ67" s="956"/>
      <c r="BR67" s="847"/>
    </row>
    <row r="68" ht="15.75" customHeight="1">
      <c r="A68" s="439"/>
      <c r="B68" s="483"/>
      <c r="C68" s="610"/>
      <c r="D68" s="1053"/>
      <c r="E68" s="964"/>
      <c r="F68" s="96"/>
      <c r="G68" s="64"/>
      <c r="H68" s="64"/>
      <c r="I68" s="58"/>
      <c r="J68" s="63"/>
      <c r="K68" s="964"/>
      <c r="L68" s="96"/>
      <c r="M68" s="64"/>
      <c r="N68" s="64"/>
      <c r="O68" s="64"/>
      <c r="P68" s="892"/>
      <c r="Q68" s="1015"/>
      <c r="R68" s="96"/>
      <c r="S68" s="64"/>
      <c r="T68" s="64"/>
      <c r="U68" s="64"/>
      <c r="V68" s="892"/>
      <c r="W68" s="1015"/>
      <c r="X68" s="96"/>
      <c r="Y68" s="64"/>
      <c r="Z68" s="64"/>
      <c r="AA68" s="64"/>
      <c r="AB68" s="892"/>
      <c r="AC68" s="1015"/>
      <c r="AD68" s="96"/>
      <c r="AE68" s="64"/>
      <c r="AF68" s="64"/>
      <c r="AG68" s="64"/>
      <c r="AH68" s="892"/>
      <c r="AI68" s="1015"/>
      <c r="AJ68" s="96"/>
      <c r="AK68" s="64"/>
      <c r="AL68" s="64"/>
      <c r="AM68" s="64"/>
      <c r="AN68" s="892"/>
      <c r="AO68" s="1015"/>
      <c r="AP68" s="96"/>
      <c r="AQ68" s="64"/>
      <c r="AR68" s="64"/>
      <c r="AS68" s="64"/>
      <c r="AT68" s="892"/>
      <c r="AU68" s="1015"/>
      <c r="AV68" s="96"/>
      <c r="AW68" s="64"/>
      <c r="AX68" s="64"/>
      <c r="AY68" s="64"/>
      <c r="AZ68" s="892"/>
      <c r="BA68" s="1015"/>
      <c r="BB68" s="96"/>
      <c r="BC68" s="64"/>
      <c r="BD68" s="64"/>
      <c r="BE68" s="64"/>
      <c r="BF68" s="892"/>
      <c r="BG68" s="1015"/>
      <c r="BH68" s="96"/>
      <c r="BI68" s="64"/>
      <c r="BJ68" s="64"/>
      <c r="BK68" s="64"/>
      <c r="BL68" s="892"/>
      <c r="BM68" s="1015"/>
      <c r="BN68" s="96"/>
      <c r="BO68" s="64"/>
      <c r="BP68" s="64"/>
      <c r="BQ68" s="64"/>
      <c r="BR68" s="892"/>
    </row>
    <row r="69" ht="15.75" customHeight="1">
      <c r="A69" s="439"/>
      <c r="B69" s="493"/>
      <c r="C69" s="511" t="s">
        <v>35</v>
      </c>
      <c r="D69" s="1016">
        <f>SUM(D70:D73)</f>
        <v>39923.37</v>
      </c>
      <c r="E69" s="1017">
        <f>D69/D$29</f>
        <v>0.07819987871</v>
      </c>
      <c r="F69" s="1018">
        <f>SUM(F70:F73)</f>
        <v>0</v>
      </c>
      <c r="G69" s="1019" t="str">
        <f>F69/F$29</f>
        <v>#DIV/0!</v>
      </c>
      <c r="H69" s="1018">
        <f>SUM(H70:H73)</f>
        <v>39923.37</v>
      </c>
      <c r="I69" s="1020"/>
      <c r="J69" s="898">
        <f>SUM(J70:J73)</f>
        <v>38464</v>
      </c>
      <c r="K69" s="1021">
        <f>J69/J$29</f>
        <v>0.0835331318</v>
      </c>
      <c r="L69" s="1018">
        <f>SUM(L70:L73)</f>
        <v>0</v>
      </c>
      <c r="M69" s="1019" t="str">
        <f>L69/L$29</f>
        <v>#DIV/0!</v>
      </c>
      <c r="N69" s="1018">
        <f>SUM(N70:N73)</f>
        <v>38464</v>
      </c>
      <c r="O69" s="1019"/>
      <c r="P69" s="898">
        <f>SUM(P70:P73)</f>
        <v>25860</v>
      </c>
      <c r="Q69" s="1021">
        <f>P69/P$29</f>
        <v>0.07923206785</v>
      </c>
      <c r="R69" s="1018">
        <f>SUM(R70:R73)</f>
        <v>0</v>
      </c>
      <c r="S69" s="1019" t="str">
        <f>R69/R$29</f>
        <v>#DIV/0!</v>
      </c>
      <c r="T69" s="1018">
        <f>SUM(T70:T73)</f>
        <v>25860</v>
      </c>
      <c r="U69" s="1019"/>
      <c r="V69" s="898">
        <f>SUM(V70:V73)</f>
        <v>0</v>
      </c>
      <c r="W69" s="1021" t="str">
        <f>V69/V$29</f>
        <v>#DIV/0!</v>
      </c>
      <c r="X69" s="1018">
        <f>SUM(X70:X73)</f>
        <v>0</v>
      </c>
      <c r="Y69" s="1019" t="str">
        <f>X69/X$29</f>
        <v>#DIV/0!</v>
      </c>
      <c r="Z69" s="1018">
        <f>SUM(Z70:Z73)</f>
        <v>0</v>
      </c>
      <c r="AA69" s="1019"/>
      <c r="AB69" s="898">
        <f>SUM(AB70:AB73)</f>
        <v>0</v>
      </c>
      <c r="AC69" s="1021" t="str">
        <f>AB69/AB$29</f>
        <v>#DIV/0!</v>
      </c>
      <c r="AD69" s="1018">
        <f>SUM(AD70:AD73)</f>
        <v>0</v>
      </c>
      <c r="AE69" s="1019" t="str">
        <f>AD69/AD$29</f>
        <v>#DIV/0!</v>
      </c>
      <c r="AF69" s="1018">
        <f>SUM(AF70:AF73)</f>
        <v>0</v>
      </c>
      <c r="AG69" s="1019"/>
      <c r="AH69" s="898">
        <f>SUM(AH70:AH73)</f>
        <v>0</v>
      </c>
      <c r="AI69" s="1021" t="str">
        <f>AH69/AH$29</f>
        <v>#DIV/0!</v>
      </c>
      <c r="AJ69" s="1018">
        <f>SUM(AJ70:AJ73)</f>
        <v>0</v>
      </c>
      <c r="AK69" s="1019" t="str">
        <f>AJ69/AJ$29</f>
        <v>#DIV/0!</v>
      </c>
      <c r="AL69" s="1018">
        <f>SUM(AL70:AL73)</f>
        <v>0</v>
      </c>
      <c r="AM69" s="1019"/>
      <c r="AN69" s="898">
        <f>SUM(AN70:AN73)</f>
        <v>0</v>
      </c>
      <c r="AO69" s="1021" t="str">
        <f>AN69/AN$29</f>
        <v>#DIV/0!</v>
      </c>
      <c r="AP69" s="1018">
        <f>SUM(AP70:AP73)</f>
        <v>0</v>
      </c>
      <c r="AQ69" s="1019" t="str">
        <f>AP69/AP$29</f>
        <v>#DIV/0!</v>
      </c>
      <c r="AR69" s="1018">
        <f>SUM(AR70:AR73)</f>
        <v>0</v>
      </c>
      <c r="AS69" s="1019"/>
      <c r="AT69" s="898">
        <f>SUM(AT70:AT73)</f>
        <v>0</v>
      </c>
      <c r="AU69" s="1021" t="str">
        <f>AT69/AT$29</f>
        <v>#DIV/0!</v>
      </c>
      <c r="AV69" s="1018">
        <f>SUM(AV70:AV73)</f>
        <v>0</v>
      </c>
      <c r="AW69" s="1019" t="str">
        <f>AV69/AV$29</f>
        <v>#DIV/0!</v>
      </c>
      <c r="AX69" s="1018">
        <f>SUM(AX70:AX73)</f>
        <v>0</v>
      </c>
      <c r="AY69" s="1019"/>
      <c r="AZ69" s="898">
        <f>SUM(AZ70:AZ73)</f>
        <v>0</v>
      </c>
      <c r="BA69" s="1021" t="str">
        <f>AZ69/AZ$29</f>
        <v>#DIV/0!</v>
      </c>
      <c r="BB69" s="1018">
        <f>SUM(BB70:BB73)</f>
        <v>0</v>
      </c>
      <c r="BC69" s="1019" t="str">
        <f>BB69/BB$29</f>
        <v>#DIV/0!</v>
      </c>
      <c r="BD69" s="1018">
        <f>SUM(BD70:BD73)</f>
        <v>0</v>
      </c>
      <c r="BE69" s="1019"/>
      <c r="BF69" s="898">
        <f>SUM(BF70:BF73)</f>
        <v>0</v>
      </c>
      <c r="BG69" s="1021" t="str">
        <f>BF69/BF$29</f>
        <v>#DIV/0!</v>
      </c>
      <c r="BH69" s="1018">
        <f>SUM(BH70:BH73)</f>
        <v>0</v>
      </c>
      <c r="BI69" s="1019" t="str">
        <f>BH69/BH$29</f>
        <v>#DIV/0!</v>
      </c>
      <c r="BJ69" s="1018">
        <f>SUM(BJ70:BJ73)</f>
        <v>0</v>
      </c>
      <c r="BK69" s="1019"/>
      <c r="BL69" s="898">
        <f>SUM(BL70:BL73)</f>
        <v>0</v>
      </c>
      <c r="BM69" s="1021" t="str">
        <f>BL69/BL$29</f>
        <v>#DIV/0!</v>
      </c>
      <c r="BN69" s="1018">
        <f>SUM(BN70:BN73)</f>
        <v>0</v>
      </c>
      <c r="BO69" s="1019" t="str">
        <f>BN69/BN$29</f>
        <v>#DIV/0!</v>
      </c>
      <c r="BP69" s="1018">
        <f>SUM(BP70:BP73)</f>
        <v>0</v>
      </c>
      <c r="BQ69" s="1019"/>
      <c r="BR69" s="898">
        <f>SUM(BR70:BR73)</f>
        <v>0</v>
      </c>
    </row>
    <row r="70" ht="15.75" customHeight="1">
      <c r="A70" s="439"/>
      <c r="B70" s="497"/>
      <c r="C70" s="497" t="s">
        <v>212</v>
      </c>
      <c r="D70" s="200">
        <v>0.0</v>
      </c>
      <c r="E70" s="962"/>
      <c r="F70" s="42"/>
      <c r="G70" s="52"/>
      <c r="H70" s="42">
        <f t="shared" ref="H70:H73" si="90">D70-F70</f>
        <v>0</v>
      </c>
      <c r="I70" s="46"/>
      <c r="J70" s="39">
        <v>0.0</v>
      </c>
      <c r="K70" s="962"/>
      <c r="L70" s="42"/>
      <c r="M70" s="52"/>
      <c r="N70" s="42">
        <f t="shared" ref="N70:N73" si="91">J70-L70</f>
        <v>0</v>
      </c>
      <c r="O70" s="52"/>
      <c r="P70" s="923">
        <v>0.0</v>
      </c>
      <c r="Q70" s="973"/>
      <c r="R70" s="42"/>
      <c r="S70" s="52"/>
      <c r="T70" s="42">
        <f t="shared" ref="T70:T73" si="92">P70-R70</f>
        <v>0</v>
      </c>
      <c r="U70" s="52"/>
      <c r="V70" s="907"/>
      <c r="W70" s="973"/>
      <c r="X70" s="42"/>
      <c r="Y70" s="52"/>
      <c r="Z70" s="42">
        <f t="shared" ref="Z70:Z73" si="93">V70-X70</f>
        <v>0</v>
      </c>
      <c r="AA70" s="52"/>
      <c r="AB70" s="907"/>
      <c r="AC70" s="973"/>
      <c r="AD70" s="42"/>
      <c r="AE70" s="52"/>
      <c r="AF70" s="42">
        <f t="shared" ref="AF70:AF73" si="94">AB70-AD70</f>
        <v>0</v>
      </c>
      <c r="AG70" s="52"/>
      <c r="AH70" s="907"/>
      <c r="AI70" s="973"/>
      <c r="AJ70" s="42"/>
      <c r="AK70" s="52"/>
      <c r="AL70" s="42">
        <f t="shared" ref="AL70:AL73" si="95">AH70-AJ70</f>
        <v>0</v>
      </c>
      <c r="AM70" s="52"/>
      <c r="AN70" s="907"/>
      <c r="AO70" s="973"/>
      <c r="AP70" s="42"/>
      <c r="AQ70" s="52"/>
      <c r="AR70" s="42">
        <f t="shared" ref="AR70:AR73" si="96">AN70-AP70</f>
        <v>0</v>
      </c>
      <c r="AS70" s="52"/>
      <c r="AT70" s="907"/>
      <c r="AU70" s="973"/>
      <c r="AV70" s="42"/>
      <c r="AW70" s="52"/>
      <c r="AX70" s="42">
        <f t="shared" ref="AX70:AX73" si="97">AT70-AV70</f>
        <v>0</v>
      </c>
      <c r="AY70" s="52"/>
      <c r="AZ70" s="907"/>
      <c r="BA70" s="973"/>
      <c r="BB70" s="42"/>
      <c r="BC70" s="52"/>
      <c r="BD70" s="42">
        <f t="shared" ref="BD70:BD73" si="98">AZ70-BB70</f>
        <v>0</v>
      </c>
      <c r="BE70" s="52"/>
      <c r="BF70" s="907"/>
      <c r="BG70" s="973"/>
      <c r="BH70" s="42"/>
      <c r="BI70" s="52"/>
      <c r="BJ70" s="42">
        <f t="shared" ref="BJ70:BJ73" si="99">BF70-BH70</f>
        <v>0</v>
      </c>
      <c r="BK70" s="52"/>
      <c r="BL70" s="907"/>
      <c r="BM70" s="973"/>
      <c r="BN70" s="42"/>
      <c r="BO70" s="52"/>
      <c r="BP70" s="42">
        <f t="shared" ref="BP70:BP73" si="100">BL70-BN70</f>
        <v>0</v>
      </c>
      <c r="BQ70" s="52"/>
      <c r="BR70" s="907"/>
    </row>
    <row r="71" ht="15.75" customHeight="1">
      <c r="A71" s="439"/>
      <c r="B71" s="465"/>
      <c r="C71" s="465" t="s">
        <v>213</v>
      </c>
      <c r="D71" s="167">
        <v>0.0</v>
      </c>
      <c r="E71" s="970"/>
      <c r="F71" s="89"/>
      <c r="G71" s="41"/>
      <c r="H71" s="89">
        <f t="shared" si="90"/>
        <v>0</v>
      </c>
      <c r="I71" s="29"/>
      <c r="J71" s="40">
        <v>0.0</v>
      </c>
      <c r="K71" s="970"/>
      <c r="L71" s="89"/>
      <c r="M71" s="41"/>
      <c r="N71" s="89">
        <f t="shared" si="91"/>
        <v>0</v>
      </c>
      <c r="O71" s="41"/>
      <c r="P71" s="890">
        <v>0.0</v>
      </c>
      <c r="Q71" s="972"/>
      <c r="R71" s="89"/>
      <c r="S71" s="41"/>
      <c r="T71" s="89">
        <f t="shared" si="92"/>
        <v>0</v>
      </c>
      <c r="U71" s="41"/>
      <c r="V71" s="887"/>
      <c r="W71" s="972"/>
      <c r="X71" s="89"/>
      <c r="Y71" s="41"/>
      <c r="Z71" s="89">
        <f t="shared" si="93"/>
        <v>0</v>
      </c>
      <c r="AA71" s="41"/>
      <c r="AB71" s="887"/>
      <c r="AC71" s="972"/>
      <c r="AD71" s="89"/>
      <c r="AE71" s="41"/>
      <c r="AF71" s="89">
        <f t="shared" si="94"/>
        <v>0</v>
      </c>
      <c r="AG71" s="41"/>
      <c r="AH71" s="887"/>
      <c r="AI71" s="972"/>
      <c r="AJ71" s="89"/>
      <c r="AK71" s="41"/>
      <c r="AL71" s="89">
        <f t="shared" si="95"/>
        <v>0</v>
      </c>
      <c r="AM71" s="41"/>
      <c r="AN71" s="887"/>
      <c r="AO71" s="972"/>
      <c r="AP71" s="89"/>
      <c r="AQ71" s="41"/>
      <c r="AR71" s="89">
        <f t="shared" si="96"/>
        <v>0</v>
      </c>
      <c r="AS71" s="41"/>
      <c r="AT71" s="887"/>
      <c r="AU71" s="972"/>
      <c r="AV71" s="89"/>
      <c r="AW71" s="41"/>
      <c r="AX71" s="89">
        <f t="shared" si="97"/>
        <v>0</v>
      </c>
      <c r="AY71" s="41"/>
      <c r="AZ71" s="887"/>
      <c r="BA71" s="972"/>
      <c r="BB71" s="89"/>
      <c r="BC71" s="41"/>
      <c r="BD71" s="89">
        <f t="shared" si="98"/>
        <v>0</v>
      </c>
      <c r="BE71" s="41"/>
      <c r="BF71" s="887"/>
      <c r="BG71" s="972"/>
      <c r="BH71" s="89"/>
      <c r="BI71" s="41"/>
      <c r="BJ71" s="89">
        <f t="shared" si="99"/>
        <v>0</v>
      </c>
      <c r="BK71" s="41"/>
      <c r="BL71" s="887"/>
      <c r="BM71" s="972"/>
      <c r="BN71" s="89"/>
      <c r="BO71" s="41"/>
      <c r="BP71" s="89">
        <f t="shared" si="100"/>
        <v>0</v>
      </c>
      <c r="BQ71" s="41"/>
      <c r="BR71" s="887"/>
    </row>
    <row r="72" ht="15.75" customHeight="1">
      <c r="A72" s="439"/>
      <c r="B72" s="465"/>
      <c r="C72" s="465" t="s">
        <v>272</v>
      </c>
      <c r="D72" s="200">
        <v>33758.17</v>
      </c>
      <c r="E72" s="962">
        <f t="shared" ref="E72:E73" si="101">IFERROR((D72/D$29),"")</f>
        <v>0.06612379665</v>
      </c>
      <c r="F72" s="42">
        <f>75%*(F$17+F$18)*17.8%</f>
        <v>0</v>
      </c>
      <c r="G72" s="52" t="str">
        <f t="shared" ref="G72:G73" si="102">IFERROR((F72/F$29),"")</f>
        <v/>
      </c>
      <c r="H72" s="42">
        <f t="shared" si="90"/>
        <v>33758.17</v>
      </c>
      <c r="I72" s="46"/>
      <c r="J72" s="650">
        <v>33274.0</v>
      </c>
      <c r="K72" s="962">
        <f t="shared" ref="K72:K73" si="103">IFERROR((J72/J$29),"")</f>
        <v>0.07226189235</v>
      </c>
      <c r="L72" s="42">
        <f>75%*(L$17+L$18)*17.8%</f>
        <v>0</v>
      </c>
      <c r="M72" s="52" t="str">
        <f t="shared" ref="M72:M73" si="104">IFERROR((L72/L$29),"")</f>
        <v/>
      </c>
      <c r="N72" s="42">
        <f t="shared" si="91"/>
        <v>33274</v>
      </c>
      <c r="O72" s="52"/>
      <c r="P72" s="890">
        <v>20951.0</v>
      </c>
      <c r="Q72" s="973">
        <f t="shared" ref="Q72:Q73" si="105">IFERROR((P72/P$29),"")</f>
        <v>0.06419145605</v>
      </c>
      <c r="R72" s="42">
        <f>75%*(R$17+R$18)*17.8%</f>
        <v>0</v>
      </c>
      <c r="S72" s="52" t="str">
        <f t="shared" ref="S72:S73" si="106">IFERROR((R72/R$29),"")</f>
        <v/>
      </c>
      <c r="T72" s="42">
        <f t="shared" si="92"/>
        <v>20951</v>
      </c>
      <c r="U72" s="52"/>
      <c r="V72" s="928"/>
      <c r="W72" s="973" t="str">
        <f t="shared" ref="W72:W73" si="107">IFERROR((V72/V$29),"")</f>
        <v/>
      </c>
      <c r="X72" s="42">
        <f>75%*(X$17+X$18)*17.8%</f>
        <v>0</v>
      </c>
      <c r="Y72" s="52" t="str">
        <f t="shared" ref="Y72:Y73" si="108">IFERROR((X72/X$29),"")</f>
        <v/>
      </c>
      <c r="Z72" s="42">
        <f t="shared" si="93"/>
        <v>0</v>
      </c>
      <c r="AA72" s="52"/>
      <c r="AB72" s="928"/>
      <c r="AC72" s="973" t="str">
        <f t="shared" ref="AC72:AC73" si="109">IFERROR((AB72/AB$29),"")</f>
        <v/>
      </c>
      <c r="AD72" s="42">
        <f>75%*(AD$17+AD$18)*17.8%</f>
        <v>0</v>
      </c>
      <c r="AE72" s="52" t="str">
        <f t="shared" ref="AE72:AE73" si="110">IFERROR((AD72/AD$29),"")</f>
        <v/>
      </c>
      <c r="AF72" s="42">
        <f t="shared" si="94"/>
        <v>0</v>
      </c>
      <c r="AG72" s="52"/>
      <c r="AH72" s="928"/>
      <c r="AI72" s="973" t="str">
        <f t="shared" ref="AI72:AI73" si="111">IFERROR((AH72/AH$29),"")</f>
        <v/>
      </c>
      <c r="AJ72" s="42">
        <f>75%*(AJ$17+AJ$18)*17.8%</f>
        <v>0</v>
      </c>
      <c r="AK72" s="52" t="str">
        <f t="shared" ref="AK72:AK73" si="112">IFERROR((AJ72/AJ$29),"")</f>
        <v/>
      </c>
      <c r="AL72" s="42">
        <f t="shared" si="95"/>
        <v>0</v>
      </c>
      <c r="AM72" s="52"/>
      <c r="AN72" s="928"/>
      <c r="AO72" s="973" t="str">
        <f t="shared" ref="AO72:AO73" si="113">IFERROR((AN72/AN$29),"")</f>
        <v/>
      </c>
      <c r="AP72" s="42">
        <f>75%*(AP$17+AP$18)*17.8%</f>
        <v>0</v>
      </c>
      <c r="AQ72" s="52" t="str">
        <f t="shared" ref="AQ72:AQ73" si="114">IFERROR((AP72/AP$29),"")</f>
        <v/>
      </c>
      <c r="AR72" s="42">
        <f t="shared" si="96"/>
        <v>0</v>
      </c>
      <c r="AS72" s="52"/>
      <c r="AT72" s="928"/>
      <c r="AU72" s="973" t="str">
        <f t="shared" ref="AU72:AU73" si="115">IFERROR((AT72/AT$29),"")</f>
        <v/>
      </c>
      <c r="AV72" s="42">
        <f>75%*(AV$17+AV$18)*17.8%</f>
        <v>0</v>
      </c>
      <c r="AW72" s="52" t="str">
        <f t="shared" ref="AW72:AW73" si="116">IFERROR((AV72/AV$29),"")</f>
        <v/>
      </c>
      <c r="AX72" s="42">
        <f t="shared" si="97"/>
        <v>0</v>
      </c>
      <c r="AY72" s="52"/>
      <c r="AZ72" s="928"/>
      <c r="BA72" s="973" t="str">
        <f t="shared" ref="BA72:BA73" si="117">IFERROR((AZ72/AZ$29),"")</f>
        <v/>
      </c>
      <c r="BB72" s="42">
        <f>75%*(BB$17+BB$18)*17.8%</f>
        <v>0</v>
      </c>
      <c r="BC72" s="52" t="str">
        <f t="shared" ref="BC72:BC73" si="118">IFERROR((BB72/BB$29),"")</f>
        <v/>
      </c>
      <c r="BD72" s="42">
        <f t="shared" si="98"/>
        <v>0</v>
      </c>
      <c r="BE72" s="52"/>
      <c r="BF72" s="928"/>
      <c r="BG72" s="973" t="str">
        <f t="shared" ref="BG72:BG73" si="119">IFERROR((BF72/BF$29),"")</f>
        <v/>
      </c>
      <c r="BH72" s="42">
        <f>75%*(BH$17+BH$18)*17.8%</f>
        <v>0</v>
      </c>
      <c r="BI72" s="52" t="str">
        <f t="shared" ref="BI72:BI73" si="120">IFERROR((BH72/BH$29),"")</f>
        <v/>
      </c>
      <c r="BJ72" s="42">
        <f t="shared" si="99"/>
        <v>0</v>
      </c>
      <c r="BK72" s="52"/>
      <c r="BL72" s="928"/>
      <c r="BM72" s="973" t="str">
        <f t="shared" ref="BM72:BM73" si="121">IFERROR((BL72/BL$29),"")</f>
        <v/>
      </c>
      <c r="BN72" s="42">
        <f>75%*(BN$17+BN$18)*17.8%</f>
        <v>0</v>
      </c>
      <c r="BO72" s="52" t="str">
        <f t="shared" ref="BO72:BO73" si="122">IFERROR((BN72/BN$29),"")</f>
        <v/>
      </c>
      <c r="BP72" s="42">
        <f t="shared" si="100"/>
        <v>0</v>
      </c>
      <c r="BQ72" s="52"/>
      <c r="BR72" s="928"/>
    </row>
    <row r="73" ht="15.75" customHeight="1">
      <c r="A73" s="439"/>
      <c r="B73" s="465"/>
      <c r="C73" s="465" t="s">
        <v>311</v>
      </c>
      <c r="D73" s="200">
        <v>6165.2</v>
      </c>
      <c r="E73" s="962">
        <f t="shared" si="101"/>
        <v>0.01207608206</v>
      </c>
      <c r="F73" s="42">
        <f>25%*(F$17+F$18)*14%</f>
        <v>0</v>
      </c>
      <c r="G73" s="52" t="str">
        <f t="shared" si="102"/>
        <v/>
      </c>
      <c r="H73" s="42">
        <f t="shared" si="90"/>
        <v>6165.2</v>
      </c>
      <c r="I73" s="46"/>
      <c r="J73" s="650">
        <v>5190.0</v>
      </c>
      <c r="K73" s="962">
        <f t="shared" si="103"/>
        <v>0.01127123945</v>
      </c>
      <c r="L73" s="42">
        <f>25%*(L$17+L$18)*14%</f>
        <v>0</v>
      </c>
      <c r="M73" s="52" t="str">
        <f t="shared" si="104"/>
        <v/>
      </c>
      <c r="N73" s="42">
        <f t="shared" si="91"/>
        <v>5190</v>
      </c>
      <c r="O73" s="52"/>
      <c r="P73" s="890">
        <v>4909.0</v>
      </c>
      <c r="Q73" s="973">
        <f t="shared" si="105"/>
        <v>0.0150406118</v>
      </c>
      <c r="R73" s="42">
        <f>25%*(R$17+R$18)*14%</f>
        <v>0</v>
      </c>
      <c r="S73" s="52" t="str">
        <f t="shared" si="106"/>
        <v/>
      </c>
      <c r="T73" s="42">
        <f t="shared" si="92"/>
        <v>4909</v>
      </c>
      <c r="U73" s="52"/>
      <c r="V73" s="928"/>
      <c r="W73" s="973" t="str">
        <f t="shared" si="107"/>
        <v/>
      </c>
      <c r="X73" s="42">
        <f>25%*(X$17+X$18)*14%</f>
        <v>0</v>
      </c>
      <c r="Y73" s="52" t="str">
        <f t="shared" si="108"/>
        <v/>
      </c>
      <c r="Z73" s="42">
        <f t="shared" si="93"/>
        <v>0</v>
      </c>
      <c r="AA73" s="52"/>
      <c r="AB73" s="928"/>
      <c r="AC73" s="973" t="str">
        <f t="shared" si="109"/>
        <v/>
      </c>
      <c r="AD73" s="42">
        <f>25%*(AD$17+AD$18)*14%</f>
        <v>0</v>
      </c>
      <c r="AE73" s="52" t="str">
        <f t="shared" si="110"/>
        <v/>
      </c>
      <c r="AF73" s="42">
        <f t="shared" si="94"/>
        <v>0</v>
      </c>
      <c r="AG73" s="52"/>
      <c r="AH73" s="928"/>
      <c r="AI73" s="973" t="str">
        <f t="shared" si="111"/>
        <v/>
      </c>
      <c r="AJ73" s="42">
        <f>25%*(AJ$17+AJ$18)*14%</f>
        <v>0</v>
      </c>
      <c r="AK73" s="52" t="str">
        <f t="shared" si="112"/>
        <v/>
      </c>
      <c r="AL73" s="42">
        <f t="shared" si="95"/>
        <v>0</v>
      </c>
      <c r="AM73" s="52"/>
      <c r="AN73" s="928"/>
      <c r="AO73" s="973" t="str">
        <f t="shared" si="113"/>
        <v/>
      </c>
      <c r="AP73" s="42">
        <f>25%*(AP$17+AP$18)*14%</f>
        <v>0</v>
      </c>
      <c r="AQ73" s="52" t="str">
        <f t="shared" si="114"/>
        <v/>
      </c>
      <c r="AR73" s="42">
        <f t="shared" si="96"/>
        <v>0</v>
      </c>
      <c r="AS73" s="52"/>
      <c r="AT73" s="928"/>
      <c r="AU73" s="973" t="str">
        <f t="shared" si="115"/>
        <v/>
      </c>
      <c r="AV73" s="42">
        <f>25%*(AV$17+AV$18)*14%</f>
        <v>0</v>
      </c>
      <c r="AW73" s="52" t="str">
        <f t="shared" si="116"/>
        <v/>
      </c>
      <c r="AX73" s="42">
        <f t="shared" si="97"/>
        <v>0</v>
      </c>
      <c r="AY73" s="52"/>
      <c r="AZ73" s="928"/>
      <c r="BA73" s="973" t="str">
        <f t="shared" si="117"/>
        <v/>
      </c>
      <c r="BB73" s="42">
        <f>25%*(BB$17+BB$18)*14%</f>
        <v>0</v>
      </c>
      <c r="BC73" s="52" t="str">
        <f t="shared" si="118"/>
        <v/>
      </c>
      <c r="BD73" s="42">
        <f t="shared" si="98"/>
        <v>0</v>
      </c>
      <c r="BE73" s="52"/>
      <c r="BF73" s="928"/>
      <c r="BG73" s="973" t="str">
        <f t="shared" si="119"/>
        <v/>
      </c>
      <c r="BH73" s="42">
        <f>25%*(BH$17+BH$18)*14%</f>
        <v>0</v>
      </c>
      <c r="BI73" s="52" t="str">
        <f t="shared" si="120"/>
        <v/>
      </c>
      <c r="BJ73" s="42">
        <f t="shared" si="99"/>
        <v>0</v>
      </c>
      <c r="BK73" s="52"/>
      <c r="BL73" s="928"/>
      <c r="BM73" s="973" t="str">
        <f t="shared" si="121"/>
        <v/>
      </c>
      <c r="BN73" s="42">
        <f>25%*(BN$17+BN$18)*14%</f>
        <v>0</v>
      </c>
      <c r="BO73" s="52" t="str">
        <f t="shared" si="122"/>
        <v/>
      </c>
      <c r="BP73" s="42">
        <f t="shared" si="100"/>
        <v>0</v>
      </c>
      <c r="BQ73" s="52"/>
      <c r="BR73" s="928"/>
    </row>
    <row r="74" ht="15.75" customHeight="1">
      <c r="A74" s="439"/>
      <c r="B74" s="483"/>
      <c r="C74" s="483"/>
      <c r="D74" s="1053"/>
      <c r="E74" s="964"/>
      <c r="F74" s="96"/>
      <c r="G74" s="64"/>
      <c r="H74" s="64"/>
      <c r="I74" s="58"/>
      <c r="J74" s="63"/>
      <c r="K74" s="964"/>
      <c r="L74" s="96"/>
      <c r="M74" s="64"/>
      <c r="N74" s="64"/>
      <c r="O74" s="64"/>
      <c r="P74" s="892"/>
      <c r="Q74" s="1015"/>
      <c r="R74" s="96"/>
      <c r="S74" s="64"/>
      <c r="T74" s="64"/>
      <c r="U74" s="64"/>
      <c r="V74" s="892"/>
      <c r="W74" s="1015"/>
      <c r="X74" s="96"/>
      <c r="Y74" s="64"/>
      <c r="Z74" s="64"/>
      <c r="AA74" s="64"/>
      <c r="AB74" s="892"/>
      <c r="AC74" s="1015"/>
      <c r="AD74" s="96"/>
      <c r="AE74" s="64"/>
      <c r="AF74" s="64"/>
      <c r="AG74" s="64"/>
      <c r="AH74" s="892"/>
      <c r="AI74" s="1015"/>
      <c r="AJ74" s="96"/>
      <c r="AK74" s="64"/>
      <c r="AL74" s="64"/>
      <c r="AM74" s="64"/>
      <c r="AN74" s="892"/>
      <c r="AO74" s="1015"/>
      <c r="AP74" s="96"/>
      <c r="AQ74" s="64"/>
      <c r="AR74" s="64"/>
      <c r="AS74" s="64"/>
      <c r="AT74" s="892"/>
      <c r="AU74" s="1015"/>
      <c r="AV74" s="96"/>
      <c r="AW74" s="64"/>
      <c r="AX74" s="64"/>
      <c r="AY74" s="64"/>
      <c r="AZ74" s="892"/>
      <c r="BA74" s="1015"/>
      <c r="BB74" s="96"/>
      <c r="BC74" s="64"/>
      <c r="BD74" s="64"/>
      <c r="BE74" s="64"/>
      <c r="BF74" s="892"/>
      <c r="BG74" s="1015"/>
      <c r="BH74" s="96"/>
      <c r="BI74" s="64"/>
      <c r="BJ74" s="64"/>
      <c r="BK74" s="64"/>
      <c r="BL74" s="892"/>
      <c r="BM74" s="1015"/>
      <c r="BN74" s="96"/>
      <c r="BO74" s="64"/>
      <c r="BP74" s="64"/>
      <c r="BQ74" s="64"/>
      <c r="BR74" s="892"/>
    </row>
    <row r="75" ht="15.75" customHeight="1">
      <c r="A75" s="439"/>
      <c r="B75" s="493"/>
      <c r="C75" s="511" t="s">
        <v>216</v>
      </c>
      <c r="D75" s="1016">
        <f>SUM(D76:D79)</f>
        <v>253151</v>
      </c>
      <c r="E75" s="1017">
        <f>D75/D$29</f>
        <v>0.49585938</v>
      </c>
      <c r="F75" s="1018">
        <f>SUM(F76:F79)</f>
        <v>155723</v>
      </c>
      <c r="G75" s="1019" t="str">
        <f>F75/F$29</f>
        <v>#DIV/0!</v>
      </c>
      <c r="H75" s="1018">
        <f>SUM(H76:H79)</f>
        <v>229351</v>
      </c>
      <c r="I75" s="1020"/>
      <c r="J75" s="898">
        <f>SUM(J76:J79)</f>
        <v>226258</v>
      </c>
      <c r="K75" s="1021">
        <f>J75/J$29</f>
        <v>0.491369575</v>
      </c>
      <c r="L75" s="1018">
        <f>SUM(L76:L79)</f>
        <v>0</v>
      </c>
      <c r="M75" s="1019" t="str">
        <f>L75/L$29</f>
        <v>#DIV/0!</v>
      </c>
      <c r="N75" s="1018">
        <f>SUM(N76:N79)</f>
        <v>198058</v>
      </c>
      <c r="O75" s="1019"/>
      <c r="P75" s="898">
        <f>SUM(P76:P79)</f>
        <v>223658</v>
      </c>
      <c r="Q75" s="1021">
        <f>P75/P$29</f>
        <v>0.6852624064</v>
      </c>
      <c r="R75" s="1018">
        <f>SUM(R76:R79)</f>
        <v>0</v>
      </c>
      <c r="S75" s="1019" t="str">
        <f>R75/R$29</f>
        <v>#DIV/0!</v>
      </c>
      <c r="T75" s="1018">
        <f>SUM(T76:T79)</f>
        <v>198058</v>
      </c>
      <c r="U75" s="1019"/>
      <c r="V75" s="898">
        <f>SUM(V76:V79)</f>
        <v>0</v>
      </c>
      <c r="W75" s="1021" t="str">
        <f>V75/V$29</f>
        <v>#DIV/0!</v>
      </c>
      <c r="X75" s="1018">
        <f>SUM(X76:X79)</f>
        <v>0</v>
      </c>
      <c r="Y75" s="1019" t="str">
        <f>X75/X$29</f>
        <v>#DIV/0!</v>
      </c>
      <c r="Z75" s="1018">
        <f>SUM(Z76:Z79)</f>
        <v>0</v>
      </c>
      <c r="AA75" s="1019"/>
      <c r="AB75" s="898">
        <f>SUM(AB76:AB79)</f>
        <v>0</v>
      </c>
      <c r="AC75" s="1021" t="str">
        <f>AB75/AB$29</f>
        <v>#DIV/0!</v>
      </c>
      <c r="AD75" s="1018">
        <f>SUM(AD76:AD79)</f>
        <v>0</v>
      </c>
      <c r="AE75" s="1019" t="str">
        <f>AD75/AD$29</f>
        <v>#DIV/0!</v>
      </c>
      <c r="AF75" s="1018">
        <f>SUM(AF76:AF79)</f>
        <v>0</v>
      </c>
      <c r="AG75" s="1019"/>
      <c r="AH75" s="898">
        <f>SUM(AH76:AH79)</f>
        <v>0</v>
      </c>
      <c r="AI75" s="1021" t="str">
        <f>AH75/AH$29</f>
        <v>#DIV/0!</v>
      </c>
      <c r="AJ75" s="1018">
        <f>SUM(AJ76:AJ79)</f>
        <v>0</v>
      </c>
      <c r="AK75" s="1019" t="str">
        <f>AJ75/AJ$29</f>
        <v>#DIV/0!</v>
      </c>
      <c r="AL75" s="1018">
        <f>SUM(AL76:AL79)</f>
        <v>0</v>
      </c>
      <c r="AM75" s="1019"/>
      <c r="AN75" s="898">
        <f>SUM(AN76:AN79)</f>
        <v>0</v>
      </c>
      <c r="AO75" s="1021" t="str">
        <f>AN75/AN$29</f>
        <v>#DIV/0!</v>
      </c>
      <c r="AP75" s="1018">
        <f>SUM(AP76:AP79)</f>
        <v>0</v>
      </c>
      <c r="AQ75" s="1019" t="str">
        <f>AP75/AP$29</f>
        <v>#DIV/0!</v>
      </c>
      <c r="AR75" s="1018">
        <f>SUM(AR76:AR79)</f>
        <v>0</v>
      </c>
      <c r="AS75" s="1019"/>
      <c r="AT75" s="898">
        <f>SUM(AT76:AT79)</f>
        <v>0</v>
      </c>
      <c r="AU75" s="1021" t="str">
        <f>AT75/AT$29</f>
        <v>#DIV/0!</v>
      </c>
      <c r="AV75" s="1018">
        <f>SUM(AV76:AV79)</f>
        <v>0</v>
      </c>
      <c r="AW75" s="1019" t="str">
        <f>AV75/AV$29</f>
        <v>#DIV/0!</v>
      </c>
      <c r="AX75" s="1018">
        <f>SUM(AX76:AX79)</f>
        <v>0</v>
      </c>
      <c r="AY75" s="1019"/>
      <c r="AZ75" s="898">
        <f>SUM(AZ76:AZ79)</f>
        <v>0</v>
      </c>
      <c r="BA75" s="1021" t="str">
        <f>AZ75/AZ$29</f>
        <v>#DIV/0!</v>
      </c>
      <c r="BB75" s="1018">
        <f>SUM(BB76:BB79)</f>
        <v>0</v>
      </c>
      <c r="BC75" s="1019" t="str">
        <f>BB75/BB$29</f>
        <v>#DIV/0!</v>
      </c>
      <c r="BD75" s="1018">
        <f>SUM(BD76:BD79)</f>
        <v>0</v>
      </c>
      <c r="BE75" s="1019"/>
      <c r="BF75" s="898">
        <f>SUM(BF76:BF79)</f>
        <v>0</v>
      </c>
      <c r="BG75" s="1021" t="str">
        <f>BF75/BF$29</f>
        <v>#DIV/0!</v>
      </c>
      <c r="BH75" s="1018">
        <f>SUM(BH76:BH79)</f>
        <v>0</v>
      </c>
      <c r="BI75" s="1019" t="str">
        <f>BH75/BH$29</f>
        <v>#DIV/0!</v>
      </c>
      <c r="BJ75" s="1018">
        <f>SUM(BJ76:BJ79)</f>
        <v>0</v>
      </c>
      <c r="BK75" s="1019"/>
      <c r="BL75" s="898">
        <f>SUM(BL76:BL79)</f>
        <v>0</v>
      </c>
      <c r="BM75" s="1021" t="str">
        <f>BL75/BL$29</f>
        <v>#DIV/0!</v>
      </c>
      <c r="BN75" s="1018">
        <f>SUM(BN76:BN79)</f>
        <v>0</v>
      </c>
      <c r="BO75" s="1019" t="str">
        <f>BN75/BN$29</f>
        <v>#DIV/0!</v>
      </c>
      <c r="BP75" s="1018">
        <f>SUM(BP76:BP79)</f>
        <v>0</v>
      </c>
      <c r="BQ75" s="1019"/>
      <c r="BR75" s="898">
        <f>SUM(BR76:BR79)</f>
        <v>0</v>
      </c>
    </row>
    <row r="76" ht="15.75" customHeight="1">
      <c r="A76" s="439"/>
      <c r="B76" s="497"/>
      <c r="C76" s="497" t="s">
        <v>217</v>
      </c>
      <c r="D76" s="167">
        <v>155723.0</v>
      </c>
      <c r="E76" s="167">
        <v>155723.0</v>
      </c>
      <c r="F76" s="167">
        <v>155723.0</v>
      </c>
      <c r="G76" s="167">
        <v>155723.0</v>
      </c>
      <c r="H76" s="167">
        <v>155723.0</v>
      </c>
      <c r="I76" s="1054">
        <v>155723.0</v>
      </c>
      <c r="J76" s="39">
        <v>155723.0</v>
      </c>
      <c r="K76" s="970">
        <f t="shared" ref="K76:K78" si="123">IFERROR((J76/J$29),"")</f>
        <v>0.338187133</v>
      </c>
      <c r="L76" s="89"/>
      <c r="M76" s="41" t="str">
        <f t="shared" ref="M76:M77" si="124">IFERROR((L76/L$29),"")</f>
        <v/>
      </c>
      <c r="N76" s="89">
        <f t="shared" ref="N76:N77" si="125">J76-L76</f>
        <v>155723</v>
      </c>
      <c r="O76" s="41"/>
      <c r="P76" s="39">
        <v>155723.0</v>
      </c>
      <c r="Q76" s="972">
        <f t="shared" ref="Q76:Q78" si="126">IFERROR((P76/P$29),"")</f>
        <v>0.4771173744</v>
      </c>
      <c r="R76" s="89"/>
      <c r="S76" s="41" t="str">
        <f t="shared" ref="S76:S77" si="127">IFERROR((R76/R$29),"")</f>
        <v/>
      </c>
      <c r="T76" s="89">
        <f t="shared" ref="T76:T77" si="128">P76-R76</f>
        <v>155723</v>
      </c>
      <c r="U76" s="41"/>
      <c r="V76" s="907"/>
      <c r="W76" s="972" t="str">
        <f t="shared" ref="W76:W78" si="129">IFERROR((V76/V$29),"")</f>
        <v/>
      </c>
      <c r="X76" s="89"/>
      <c r="Y76" s="41" t="str">
        <f t="shared" ref="Y76:Y77" si="130">IFERROR((X76/X$29),"")</f>
        <v/>
      </c>
      <c r="Z76" s="89">
        <f t="shared" ref="Z76:Z77" si="131">V76-X76</f>
        <v>0</v>
      </c>
      <c r="AA76" s="41"/>
      <c r="AB76" s="907"/>
      <c r="AC76" s="972" t="str">
        <f t="shared" ref="AC76:AC78" si="132">IFERROR((AB76/AB$29),"")</f>
        <v/>
      </c>
      <c r="AD76" s="89"/>
      <c r="AE76" s="41" t="str">
        <f t="shared" ref="AE76:AE77" si="133">IFERROR((AD76/AD$29),"")</f>
        <v/>
      </c>
      <c r="AF76" s="89">
        <f t="shared" ref="AF76:AF77" si="134">AB76-AD76</f>
        <v>0</v>
      </c>
      <c r="AG76" s="41"/>
      <c r="AH76" s="907"/>
      <c r="AI76" s="972" t="str">
        <f t="shared" ref="AI76:AI78" si="135">IFERROR((AH76/AH$29),"")</f>
        <v/>
      </c>
      <c r="AJ76" s="89"/>
      <c r="AK76" s="41" t="str">
        <f t="shared" ref="AK76:AK77" si="136">IFERROR((AJ76/AJ$29),"")</f>
        <v/>
      </c>
      <c r="AL76" s="89">
        <f t="shared" ref="AL76:AL77" si="137">AH76-AJ76</f>
        <v>0</v>
      </c>
      <c r="AM76" s="41"/>
      <c r="AN76" s="907"/>
      <c r="AO76" s="972" t="str">
        <f t="shared" ref="AO76:AO78" si="138">IFERROR((AN76/AN$29),"")</f>
        <v/>
      </c>
      <c r="AP76" s="89"/>
      <c r="AQ76" s="41" t="str">
        <f t="shared" ref="AQ76:AQ77" si="139">IFERROR((AP76/AP$29),"")</f>
        <v/>
      </c>
      <c r="AR76" s="89">
        <f t="shared" ref="AR76:AR77" si="140">AN76-AP76</f>
        <v>0</v>
      </c>
      <c r="AS76" s="41"/>
      <c r="AT76" s="907"/>
      <c r="AU76" s="972" t="str">
        <f t="shared" ref="AU76:AU78" si="141">IFERROR((AT76/AT$29),"")</f>
        <v/>
      </c>
      <c r="AV76" s="89"/>
      <c r="AW76" s="41" t="str">
        <f t="shared" ref="AW76:AW77" si="142">IFERROR((AV76/AV$29),"")</f>
        <v/>
      </c>
      <c r="AX76" s="89">
        <f t="shared" ref="AX76:AX77" si="143">AT76-AV76</f>
        <v>0</v>
      </c>
      <c r="AY76" s="41"/>
      <c r="AZ76" s="907"/>
      <c r="BA76" s="972" t="str">
        <f t="shared" ref="BA76:BA78" si="144">IFERROR((AZ76/AZ$29),"")</f>
        <v/>
      </c>
      <c r="BB76" s="89"/>
      <c r="BC76" s="41" t="str">
        <f t="shared" ref="BC76:BC77" si="145">IFERROR((BB76/BB$29),"")</f>
        <v/>
      </c>
      <c r="BD76" s="89">
        <f t="shared" ref="BD76:BD77" si="146">AZ76-BB76</f>
        <v>0</v>
      </c>
      <c r="BE76" s="41"/>
      <c r="BF76" s="907"/>
      <c r="BG76" s="972" t="str">
        <f t="shared" ref="BG76:BG78" si="147">IFERROR((BF76/BF$29),"")</f>
        <v/>
      </c>
      <c r="BH76" s="89"/>
      <c r="BI76" s="41" t="str">
        <f t="shared" ref="BI76:BI77" si="148">IFERROR((BH76/BH$29),"")</f>
        <v/>
      </c>
      <c r="BJ76" s="89">
        <f t="shared" ref="BJ76:BJ77" si="149">BF76-BH76</f>
        <v>0</v>
      </c>
      <c r="BK76" s="41"/>
      <c r="BL76" s="907"/>
      <c r="BM76" s="972" t="str">
        <f t="shared" ref="BM76:BM78" si="150">IFERROR((BL76/BL$29),"")</f>
        <v/>
      </c>
      <c r="BN76" s="89"/>
      <c r="BO76" s="41" t="str">
        <f t="shared" ref="BO76:BO77" si="151">IFERROR((BN76/BN$29),"")</f>
        <v/>
      </c>
      <c r="BP76" s="89">
        <f t="shared" ref="BP76:BP77" si="152">BL76-BN76</f>
        <v>0</v>
      </c>
      <c r="BQ76" s="41"/>
      <c r="BR76" s="907"/>
    </row>
    <row r="77" ht="15.75" customHeight="1">
      <c r="A77" s="439"/>
      <c r="B77" s="465"/>
      <c r="C77" s="465" t="s">
        <v>218</v>
      </c>
      <c r="D77" s="167">
        <v>73628.0</v>
      </c>
      <c r="E77" s="970">
        <f t="shared" ref="E77:E78" si="153">IFERROR((D77/D$29),"")</f>
        <v>0.1442188039</v>
      </c>
      <c r="F77" s="89"/>
      <c r="G77" s="41" t="str">
        <f>IFERROR((F77/F$29),"")</f>
        <v/>
      </c>
      <c r="H77" s="89">
        <f>D77-F77</f>
        <v>73628</v>
      </c>
      <c r="I77" s="29"/>
      <c r="J77" s="1055">
        <v>42335.0</v>
      </c>
      <c r="K77" s="970">
        <f t="shared" si="123"/>
        <v>0.09193986935</v>
      </c>
      <c r="L77" s="89"/>
      <c r="M77" s="41" t="str">
        <f t="shared" si="124"/>
        <v/>
      </c>
      <c r="N77" s="89">
        <f t="shared" si="125"/>
        <v>42335</v>
      </c>
      <c r="O77" s="41"/>
      <c r="P77" s="1055">
        <v>42335.0</v>
      </c>
      <c r="Q77" s="972">
        <f t="shared" si="126"/>
        <v>0.1297095743</v>
      </c>
      <c r="R77" s="89"/>
      <c r="S77" s="41" t="str">
        <f t="shared" si="127"/>
        <v/>
      </c>
      <c r="T77" s="89">
        <f t="shared" si="128"/>
        <v>42335</v>
      </c>
      <c r="U77" s="41"/>
      <c r="V77" s="907"/>
      <c r="W77" s="972" t="str">
        <f t="shared" si="129"/>
        <v/>
      </c>
      <c r="X77" s="89"/>
      <c r="Y77" s="41" t="str">
        <f t="shared" si="130"/>
        <v/>
      </c>
      <c r="Z77" s="89">
        <f t="shared" si="131"/>
        <v>0</v>
      </c>
      <c r="AA77" s="41"/>
      <c r="AB77" s="907"/>
      <c r="AC77" s="972" t="str">
        <f t="shared" si="132"/>
        <v/>
      </c>
      <c r="AD77" s="89"/>
      <c r="AE77" s="41" t="str">
        <f t="shared" si="133"/>
        <v/>
      </c>
      <c r="AF77" s="89">
        <f t="shared" si="134"/>
        <v>0</v>
      </c>
      <c r="AG77" s="41"/>
      <c r="AH77" s="907"/>
      <c r="AI77" s="972" t="str">
        <f t="shared" si="135"/>
        <v/>
      </c>
      <c r="AJ77" s="89"/>
      <c r="AK77" s="41" t="str">
        <f t="shared" si="136"/>
        <v/>
      </c>
      <c r="AL77" s="89">
        <f t="shared" si="137"/>
        <v>0</v>
      </c>
      <c r="AM77" s="41"/>
      <c r="AN77" s="907"/>
      <c r="AO77" s="972" t="str">
        <f t="shared" si="138"/>
        <v/>
      </c>
      <c r="AP77" s="89"/>
      <c r="AQ77" s="41" t="str">
        <f t="shared" si="139"/>
        <v/>
      </c>
      <c r="AR77" s="89">
        <f t="shared" si="140"/>
        <v>0</v>
      </c>
      <c r="AS77" s="41"/>
      <c r="AT77" s="907"/>
      <c r="AU77" s="972" t="str">
        <f t="shared" si="141"/>
        <v/>
      </c>
      <c r="AV77" s="89"/>
      <c r="AW77" s="41" t="str">
        <f t="shared" si="142"/>
        <v/>
      </c>
      <c r="AX77" s="89">
        <f t="shared" si="143"/>
        <v>0</v>
      </c>
      <c r="AY77" s="41"/>
      <c r="AZ77" s="907"/>
      <c r="BA77" s="972" t="str">
        <f t="shared" si="144"/>
        <v/>
      </c>
      <c r="BB77" s="89"/>
      <c r="BC77" s="41" t="str">
        <f t="shared" si="145"/>
        <v/>
      </c>
      <c r="BD77" s="89">
        <f t="shared" si="146"/>
        <v>0</v>
      </c>
      <c r="BE77" s="41"/>
      <c r="BF77" s="907"/>
      <c r="BG77" s="972" t="str">
        <f t="shared" si="147"/>
        <v/>
      </c>
      <c r="BH77" s="89"/>
      <c r="BI77" s="41" t="str">
        <f t="shared" si="148"/>
        <v/>
      </c>
      <c r="BJ77" s="89">
        <f t="shared" si="149"/>
        <v>0</v>
      </c>
      <c r="BK77" s="41"/>
      <c r="BL77" s="907"/>
      <c r="BM77" s="972" t="str">
        <f t="shared" si="150"/>
        <v/>
      </c>
      <c r="BN77" s="89"/>
      <c r="BO77" s="41" t="str">
        <f t="shared" si="151"/>
        <v/>
      </c>
      <c r="BP77" s="89">
        <f t="shared" si="152"/>
        <v>0</v>
      </c>
      <c r="BQ77" s="41"/>
      <c r="BR77" s="907"/>
    </row>
    <row r="78" ht="15.75" customHeight="1">
      <c r="A78" s="439"/>
      <c r="B78" s="465"/>
      <c r="C78" s="465" t="s">
        <v>219</v>
      </c>
      <c r="D78" s="200">
        <v>23800.0</v>
      </c>
      <c r="E78" s="962">
        <f t="shared" si="153"/>
        <v>0.04661823672</v>
      </c>
      <c r="F78" s="42"/>
      <c r="G78" s="52"/>
      <c r="H78" s="52"/>
      <c r="I78" s="46"/>
      <c r="J78" s="40">
        <v>28200.0</v>
      </c>
      <c r="K78" s="962">
        <f t="shared" si="123"/>
        <v>0.06124257271</v>
      </c>
      <c r="L78" s="42"/>
      <c r="M78" s="52"/>
      <c r="N78" s="52"/>
      <c r="O78" s="52"/>
      <c r="P78" s="890">
        <v>24600.0</v>
      </c>
      <c r="Q78" s="973">
        <f t="shared" si="126"/>
        <v>0.07537157266</v>
      </c>
      <c r="R78" s="42"/>
      <c r="S78" s="52"/>
      <c r="T78" s="52"/>
      <c r="U78" s="52"/>
      <c r="V78" s="887"/>
      <c r="W78" s="973" t="str">
        <f t="shared" si="129"/>
        <v/>
      </c>
      <c r="X78" s="42"/>
      <c r="Y78" s="52"/>
      <c r="Z78" s="52"/>
      <c r="AA78" s="52"/>
      <c r="AB78" s="887"/>
      <c r="AC78" s="973" t="str">
        <f t="shared" si="132"/>
        <v/>
      </c>
      <c r="AD78" s="42"/>
      <c r="AE78" s="52"/>
      <c r="AF78" s="52"/>
      <c r="AG78" s="52"/>
      <c r="AH78" s="887"/>
      <c r="AI78" s="973" t="str">
        <f t="shared" si="135"/>
        <v/>
      </c>
      <c r="AJ78" s="42"/>
      <c r="AK78" s="52"/>
      <c r="AL78" s="52"/>
      <c r="AM78" s="52"/>
      <c r="AN78" s="887"/>
      <c r="AO78" s="973" t="str">
        <f t="shared" si="138"/>
        <v/>
      </c>
      <c r="AP78" s="42"/>
      <c r="AQ78" s="52"/>
      <c r="AR78" s="52"/>
      <c r="AS78" s="52"/>
      <c r="AT78" s="887"/>
      <c r="AU78" s="973" t="str">
        <f t="shared" si="141"/>
        <v/>
      </c>
      <c r="AV78" s="42"/>
      <c r="AW78" s="52"/>
      <c r="AX78" s="52"/>
      <c r="AY78" s="52"/>
      <c r="AZ78" s="887"/>
      <c r="BA78" s="973" t="str">
        <f t="shared" si="144"/>
        <v/>
      </c>
      <c r="BB78" s="42"/>
      <c r="BC78" s="52"/>
      <c r="BD78" s="52"/>
      <c r="BE78" s="52"/>
      <c r="BF78" s="887"/>
      <c r="BG78" s="973" t="str">
        <f t="shared" si="147"/>
        <v/>
      </c>
      <c r="BH78" s="42"/>
      <c r="BI78" s="52"/>
      <c r="BJ78" s="52"/>
      <c r="BK78" s="52"/>
      <c r="BL78" s="887"/>
      <c r="BM78" s="973" t="str">
        <f t="shared" si="150"/>
        <v/>
      </c>
      <c r="BN78" s="42"/>
      <c r="BO78" s="52"/>
      <c r="BP78" s="52"/>
      <c r="BQ78" s="52"/>
      <c r="BR78" s="887"/>
    </row>
    <row r="79" ht="15.75" customHeight="1">
      <c r="A79" s="439"/>
      <c r="B79" s="465"/>
      <c r="C79" s="465" t="s">
        <v>220</v>
      </c>
      <c r="D79" s="200">
        <v>0.0</v>
      </c>
      <c r="E79" s="962"/>
      <c r="F79" s="42"/>
      <c r="G79" s="52"/>
      <c r="H79" s="52"/>
      <c r="I79" s="46"/>
      <c r="J79" s="1056">
        <v>0.0</v>
      </c>
      <c r="K79" s="962"/>
      <c r="L79" s="42"/>
      <c r="M79" s="52"/>
      <c r="N79" s="52"/>
      <c r="O79" s="52"/>
      <c r="P79" s="890">
        <v>1000.0</v>
      </c>
      <c r="Q79" s="973"/>
      <c r="R79" s="42"/>
      <c r="S79" s="52"/>
      <c r="T79" s="52"/>
      <c r="U79" s="52"/>
      <c r="V79" s="887"/>
      <c r="W79" s="973"/>
      <c r="X79" s="42"/>
      <c r="Y79" s="52"/>
      <c r="Z79" s="52"/>
      <c r="AA79" s="52"/>
      <c r="AB79" s="887"/>
      <c r="AC79" s="973"/>
      <c r="AD79" s="42"/>
      <c r="AE79" s="52"/>
      <c r="AF79" s="52"/>
      <c r="AG79" s="52"/>
      <c r="AH79" s="887"/>
      <c r="AI79" s="973"/>
      <c r="AJ79" s="42"/>
      <c r="AK79" s="52"/>
      <c r="AL79" s="52"/>
      <c r="AM79" s="52"/>
      <c r="AN79" s="887"/>
      <c r="AO79" s="973"/>
      <c r="AP79" s="42"/>
      <c r="AQ79" s="52"/>
      <c r="AR79" s="52"/>
      <c r="AS79" s="52"/>
      <c r="AT79" s="887"/>
      <c r="AU79" s="973"/>
      <c r="AV79" s="42"/>
      <c r="AW79" s="52"/>
      <c r="AX79" s="52"/>
      <c r="AY79" s="52"/>
      <c r="AZ79" s="887"/>
      <c r="BA79" s="973"/>
      <c r="BB79" s="42"/>
      <c r="BC79" s="52"/>
      <c r="BD79" s="52"/>
      <c r="BE79" s="52"/>
      <c r="BF79" s="887"/>
      <c r="BG79" s="973"/>
      <c r="BH79" s="42"/>
      <c r="BI79" s="52"/>
      <c r="BJ79" s="52"/>
      <c r="BK79" s="52"/>
      <c r="BL79" s="887"/>
      <c r="BM79" s="973"/>
      <c r="BN79" s="42"/>
      <c r="BO79" s="52"/>
      <c r="BP79" s="52"/>
      <c r="BQ79" s="52"/>
      <c r="BR79" s="887"/>
    </row>
    <row r="80" ht="15.75" customHeight="1">
      <c r="A80" s="439"/>
      <c r="B80" s="483"/>
      <c r="C80" s="610"/>
      <c r="D80" s="1053"/>
      <c r="E80" s="964"/>
      <c r="F80" s="96"/>
      <c r="G80" s="64"/>
      <c r="H80" s="64"/>
      <c r="I80" s="58"/>
      <c r="J80" s="63"/>
      <c r="K80" s="964"/>
      <c r="L80" s="96"/>
      <c r="M80" s="64"/>
      <c r="N80" s="64"/>
      <c r="O80" s="64"/>
      <c r="P80" s="892"/>
      <c r="Q80" s="1015"/>
      <c r="R80" s="96"/>
      <c r="S80" s="64"/>
      <c r="T80" s="64"/>
      <c r="U80" s="64"/>
      <c r="V80" s="892"/>
      <c r="W80" s="1015"/>
      <c r="X80" s="96"/>
      <c r="Y80" s="64"/>
      <c r="Z80" s="64"/>
      <c r="AA80" s="64"/>
      <c r="AB80" s="892"/>
      <c r="AC80" s="1015"/>
      <c r="AD80" s="96"/>
      <c r="AE80" s="64"/>
      <c r="AF80" s="64"/>
      <c r="AG80" s="64"/>
      <c r="AH80" s="892"/>
      <c r="AI80" s="1015"/>
      <c r="AJ80" s="96"/>
      <c r="AK80" s="64"/>
      <c r="AL80" s="64"/>
      <c r="AM80" s="64"/>
      <c r="AN80" s="892"/>
      <c r="AO80" s="1015"/>
      <c r="AP80" s="96"/>
      <c r="AQ80" s="64"/>
      <c r="AR80" s="64"/>
      <c r="AS80" s="64"/>
      <c r="AT80" s="892"/>
      <c r="AU80" s="1015"/>
      <c r="AV80" s="96"/>
      <c r="AW80" s="64"/>
      <c r="AX80" s="64"/>
      <c r="AY80" s="64"/>
      <c r="AZ80" s="892"/>
      <c r="BA80" s="1015"/>
      <c r="BB80" s="96"/>
      <c r="BC80" s="64"/>
      <c r="BD80" s="64"/>
      <c r="BE80" s="64"/>
      <c r="BF80" s="892"/>
      <c r="BG80" s="1015"/>
      <c r="BH80" s="96"/>
      <c r="BI80" s="64"/>
      <c r="BJ80" s="64"/>
      <c r="BK80" s="64"/>
      <c r="BL80" s="892"/>
      <c r="BM80" s="1015"/>
      <c r="BN80" s="96"/>
      <c r="BO80" s="64"/>
      <c r="BP80" s="64"/>
      <c r="BQ80" s="64"/>
      <c r="BR80" s="892"/>
    </row>
    <row r="81" ht="15.75" customHeight="1">
      <c r="A81" s="439"/>
      <c r="B81" s="493"/>
      <c r="C81" s="511" t="s">
        <v>37</v>
      </c>
      <c r="D81" s="1016">
        <f>SUM(D82:D90)</f>
        <v>1480962.86</v>
      </c>
      <c r="E81" s="1017">
        <f>D81/D$29</f>
        <v>2.900835176</v>
      </c>
      <c r="F81" s="143">
        <f>SUM(F82:F89)</f>
        <v>94400</v>
      </c>
      <c r="G81" s="145" t="str">
        <f>F81/F$29</f>
        <v>#DIV/0!</v>
      </c>
      <c r="H81" s="145">
        <f>SUM(H82:H89)</f>
        <v>94400</v>
      </c>
      <c r="I81" s="1030"/>
      <c r="J81" s="898">
        <f>SUM(J82:J90)</f>
        <v>1553017.72</v>
      </c>
      <c r="K81" s="1057">
        <f>J81/J$29</f>
        <v>3.372723427</v>
      </c>
      <c r="L81" s="898">
        <f>SUM(L82:L89)</f>
        <v>0</v>
      </c>
      <c r="M81" s="857" t="str">
        <f>L81/L$29</f>
        <v>#DIV/0!</v>
      </c>
      <c r="N81" s="857">
        <f>SUM(N82:N89)</f>
        <v>0</v>
      </c>
      <c r="O81" s="857"/>
      <c r="P81" s="898">
        <f>SUM(P82:P90)</f>
        <v>1364586</v>
      </c>
      <c r="Q81" s="1057">
        <f>P81/P$29</f>
        <v>4.180934669</v>
      </c>
      <c r="R81" s="898">
        <f>SUM(R82:R89)</f>
        <v>0</v>
      </c>
      <c r="S81" s="857" t="str">
        <f>R81/R$29</f>
        <v>#DIV/0!</v>
      </c>
      <c r="T81" s="857">
        <f>SUM(T82:T89)</f>
        <v>0</v>
      </c>
      <c r="U81" s="857"/>
      <c r="V81" s="898">
        <f>SUM(V82:V90)</f>
        <v>0</v>
      </c>
      <c r="W81" s="1057" t="str">
        <f>V81/V$29</f>
        <v>#DIV/0!</v>
      </c>
      <c r="X81" s="898">
        <f>SUM(X82:X89)</f>
        <v>0</v>
      </c>
      <c r="Y81" s="857" t="str">
        <f>X81/X$29</f>
        <v>#DIV/0!</v>
      </c>
      <c r="Z81" s="857">
        <f>SUM(Z82:Z89)</f>
        <v>0</v>
      </c>
      <c r="AA81" s="857"/>
      <c r="AB81" s="898">
        <f>SUM(AB82:AB90)</f>
        <v>0</v>
      </c>
      <c r="AC81" s="1057" t="str">
        <f>AB81/AB$29</f>
        <v>#DIV/0!</v>
      </c>
      <c r="AD81" s="898">
        <f>SUM(AD82:AD89)</f>
        <v>0</v>
      </c>
      <c r="AE81" s="857" t="str">
        <f>AD81/AD$29</f>
        <v>#DIV/0!</v>
      </c>
      <c r="AF81" s="857">
        <f>SUM(AF82:AF89)</f>
        <v>0</v>
      </c>
      <c r="AG81" s="857"/>
      <c r="AH81" s="898">
        <f>SUM(AH82:AH90)</f>
        <v>0</v>
      </c>
      <c r="AI81" s="1057" t="str">
        <f>AH81/AH$29</f>
        <v>#DIV/0!</v>
      </c>
      <c r="AJ81" s="898">
        <f>SUM(AJ82:AJ89)</f>
        <v>0</v>
      </c>
      <c r="AK81" s="857" t="str">
        <f>AJ81/AJ$29</f>
        <v>#DIV/0!</v>
      </c>
      <c r="AL81" s="857">
        <f>SUM(AL82:AL89)</f>
        <v>0</v>
      </c>
      <c r="AM81" s="857"/>
      <c r="AN81" s="898">
        <f>SUM(AN82:AN90)</f>
        <v>0</v>
      </c>
      <c r="AO81" s="1057" t="str">
        <f>AN81/AN$29</f>
        <v>#DIV/0!</v>
      </c>
      <c r="AP81" s="898">
        <f>SUM(AP82:AP89)</f>
        <v>0</v>
      </c>
      <c r="AQ81" s="857" t="str">
        <f>AP81/AP$29</f>
        <v>#DIV/0!</v>
      </c>
      <c r="AR81" s="857">
        <f>SUM(AR82:AR89)</f>
        <v>0</v>
      </c>
      <c r="AS81" s="857"/>
      <c r="AT81" s="898">
        <f>SUM(AT82:AT90)</f>
        <v>0</v>
      </c>
      <c r="AU81" s="1057" t="str">
        <f>AT81/AT$29</f>
        <v>#DIV/0!</v>
      </c>
      <c r="AV81" s="898">
        <f>SUM(AV82:AV89)</f>
        <v>0</v>
      </c>
      <c r="AW81" s="857" t="str">
        <f>AV81/AV$29</f>
        <v>#DIV/0!</v>
      </c>
      <c r="AX81" s="857">
        <f>SUM(AX82:AX89)</f>
        <v>0</v>
      </c>
      <c r="AY81" s="857"/>
      <c r="AZ81" s="898">
        <f>SUM(AZ82:AZ90)</f>
        <v>0</v>
      </c>
      <c r="BA81" s="1057" t="str">
        <f>AZ81/AZ$29</f>
        <v>#DIV/0!</v>
      </c>
      <c r="BB81" s="898">
        <f>SUM(BB82:BB89)</f>
        <v>0</v>
      </c>
      <c r="BC81" s="857" t="str">
        <f>BB81/BB$29</f>
        <v>#DIV/0!</v>
      </c>
      <c r="BD81" s="857">
        <f>SUM(BD82:BD89)</f>
        <v>0</v>
      </c>
      <c r="BE81" s="857"/>
      <c r="BF81" s="898">
        <f>SUM(BF82:BF90)</f>
        <v>0</v>
      </c>
      <c r="BG81" s="1057" t="str">
        <f>BF81/BF$29</f>
        <v>#DIV/0!</v>
      </c>
      <c r="BH81" s="898">
        <f>SUM(BH82:BH89)</f>
        <v>0</v>
      </c>
      <c r="BI81" s="857" t="str">
        <f>BH81/BH$29</f>
        <v>#DIV/0!</v>
      </c>
      <c r="BJ81" s="857">
        <f>SUM(BJ82:BJ89)</f>
        <v>0</v>
      </c>
      <c r="BK81" s="857"/>
      <c r="BL81" s="898">
        <f>SUM(BL82:BL90)</f>
        <v>0</v>
      </c>
      <c r="BM81" s="1057" t="str">
        <f>BL81/BL$29</f>
        <v>#DIV/0!</v>
      </c>
      <c r="BN81" s="898">
        <f>SUM(BN82:BN89)</f>
        <v>0</v>
      </c>
      <c r="BO81" s="857" t="str">
        <f>BN81/BN$29</f>
        <v>#DIV/0!</v>
      </c>
      <c r="BP81" s="857">
        <f>SUM(BP82:BP89)</f>
        <v>0</v>
      </c>
      <c r="BQ81" s="857"/>
      <c r="BR81" s="898">
        <f>SUM(BR82:BR90)</f>
        <v>0</v>
      </c>
    </row>
    <row r="82" ht="15.75" customHeight="1">
      <c r="A82" s="439"/>
      <c r="B82" s="497"/>
      <c r="C82" s="497" t="s">
        <v>221</v>
      </c>
      <c r="D82" s="1058">
        <v>0.0</v>
      </c>
      <c r="E82" s="970"/>
      <c r="F82" s="89"/>
      <c r="G82" s="41"/>
      <c r="H82" s="41"/>
      <c r="I82" s="29"/>
      <c r="J82" s="1055">
        <v>0.0</v>
      </c>
      <c r="K82" s="972"/>
      <c r="L82" s="89"/>
      <c r="M82" s="41"/>
      <c r="N82" s="41"/>
      <c r="O82" s="41"/>
      <c r="P82" s="923">
        <v>0.0</v>
      </c>
      <c r="Q82" s="972"/>
      <c r="R82" s="89"/>
      <c r="S82" s="41"/>
      <c r="T82" s="41"/>
      <c r="U82" s="41"/>
      <c r="V82" s="907"/>
      <c r="W82" s="972"/>
      <c r="X82" s="89"/>
      <c r="Y82" s="41"/>
      <c r="Z82" s="41"/>
      <c r="AA82" s="41"/>
      <c r="AB82" s="907"/>
      <c r="AC82" s="972"/>
      <c r="AD82" s="89"/>
      <c r="AE82" s="41"/>
      <c r="AF82" s="41"/>
      <c r="AG82" s="41"/>
      <c r="AH82" s="907"/>
      <c r="AI82" s="972"/>
      <c r="AJ82" s="89"/>
      <c r="AK82" s="41"/>
      <c r="AL82" s="41"/>
      <c r="AM82" s="41"/>
      <c r="AN82" s="907"/>
      <c r="AO82" s="972"/>
      <c r="AP82" s="89"/>
      <c r="AQ82" s="41"/>
      <c r="AR82" s="41"/>
      <c r="AS82" s="41"/>
      <c r="AT82" s="907"/>
      <c r="AU82" s="972"/>
      <c r="AV82" s="89"/>
      <c r="AW82" s="41"/>
      <c r="AX82" s="41"/>
      <c r="AY82" s="41"/>
      <c r="AZ82" s="907"/>
      <c r="BA82" s="972"/>
      <c r="BB82" s="89"/>
      <c r="BC82" s="41"/>
      <c r="BD82" s="41"/>
      <c r="BE82" s="41"/>
      <c r="BF82" s="907"/>
      <c r="BG82" s="972"/>
      <c r="BH82" s="89"/>
      <c r="BI82" s="41"/>
      <c r="BJ82" s="41"/>
      <c r="BK82" s="41"/>
      <c r="BL82" s="907"/>
      <c r="BM82" s="972"/>
      <c r="BN82" s="89"/>
      <c r="BO82" s="41"/>
      <c r="BP82" s="41"/>
      <c r="BQ82" s="41"/>
      <c r="BR82" s="907"/>
    </row>
    <row r="83" ht="15.75" customHeight="1">
      <c r="A83" s="439"/>
      <c r="B83" s="465"/>
      <c r="C83" s="465" t="s">
        <v>222</v>
      </c>
      <c r="D83" s="200">
        <v>920296.0</v>
      </c>
      <c r="E83" s="962"/>
      <c r="F83" s="42"/>
      <c r="G83" s="52"/>
      <c r="H83" s="52"/>
      <c r="I83" s="46"/>
      <c r="J83" s="887">
        <v>1000862.0</v>
      </c>
      <c r="K83" s="200"/>
      <c r="L83" s="200"/>
      <c r="M83" s="200"/>
      <c r="N83" s="200"/>
      <c r="O83" s="200"/>
      <c r="P83" s="200">
        <v>819063.0</v>
      </c>
      <c r="Q83" s="973"/>
      <c r="R83" s="42"/>
      <c r="S83" s="52"/>
      <c r="T83" s="52"/>
      <c r="U83" s="52"/>
      <c r="V83" s="928"/>
      <c r="W83" s="973"/>
      <c r="X83" s="42"/>
      <c r="Y83" s="52"/>
      <c r="Z83" s="52"/>
      <c r="AA83" s="52"/>
      <c r="AB83" s="928"/>
      <c r="AC83" s="973"/>
      <c r="AD83" s="42"/>
      <c r="AE83" s="52"/>
      <c r="AF83" s="52"/>
      <c r="AG83" s="52"/>
      <c r="AH83" s="928"/>
      <c r="AI83" s="973"/>
      <c r="AJ83" s="42"/>
      <c r="AK83" s="52"/>
      <c r="AL83" s="52"/>
      <c r="AM83" s="52"/>
      <c r="AN83" s="928"/>
      <c r="AO83" s="973"/>
      <c r="AP83" s="42"/>
      <c r="AQ83" s="52"/>
      <c r="AR83" s="52"/>
      <c r="AS83" s="52"/>
      <c r="AT83" s="928"/>
      <c r="AU83" s="973"/>
      <c r="AV83" s="42"/>
      <c r="AW83" s="52"/>
      <c r="AX83" s="52"/>
      <c r="AY83" s="52"/>
      <c r="AZ83" s="928"/>
      <c r="BA83" s="973"/>
      <c r="BB83" s="42"/>
      <c r="BC83" s="52"/>
      <c r="BD83" s="52"/>
      <c r="BE83" s="52"/>
      <c r="BF83" s="928"/>
      <c r="BG83" s="973"/>
      <c r="BH83" s="42"/>
      <c r="BI83" s="52"/>
      <c r="BJ83" s="52"/>
      <c r="BK83" s="52"/>
      <c r="BL83" s="928"/>
      <c r="BM83" s="973"/>
      <c r="BN83" s="42"/>
      <c r="BO83" s="52"/>
      <c r="BP83" s="52"/>
      <c r="BQ83" s="52"/>
      <c r="BR83" s="928"/>
    </row>
    <row r="84" ht="15.75" customHeight="1">
      <c r="A84" s="439"/>
      <c r="B84" s="465"/>
      <c r="C84" s="465" t="s">
        <v>347</v>
      </c>
      <c r="D84" s="167">
        <v>371700.0</v>
      </c>
      <c r="E84" s="970"/>
      <c r="F84" s="89"/>
      <c r="G84" s="41"/>
      <c r="H84" s="41"/>
      <c r="I84" s="29"/>
      <c r="J84" s="887">
        <v>371700.0</v>
      </c>
      <c r="K84" s="200"/>
      <c r="L84" s="200"/>
      <c r="M84" s="200"/>
      <c r="N84" s="200"/>
      <c r="O84" s="200"/>
      <c r="P84" s="200">
        <v>371700.0</v>
      </c>
      <c r="Q84" s="972"/>
      <c r="R84" s="89"/>
      <c r="S84" s="41"/>
      <c r="T84" s="41"/>
      <c r="U84" s="41"/>
      <c r="V84" s="928"/>
      <c r="W84" s="972"/>
      <c r="X84" s="89"/>
      <c r="Y84" s="41"/>
      <c r="Z84" s="41"/>
      <c r="AA84" s="41"/>
      <c r="AB84" s="928"/>
      <c r="AC84" s="972"/>
      <c r="AD84" s="89"/>
      <c r="AE84" s="41"/>
      <c r="AF84" s="41"/>
      <c r="AG84" s="41"/>
      <c r="AH84" s="928"/>
      <c r="AI84" s="972"/>
      <c r="AJ84" s="89"/>
      <c r="AK84" s="41"/>
      <c r="AL84" s="41"/>
      <c r="AM84" s="41"/>
      <c r="AN84" s="928"/>
      <c r="AO84" s="972"/>
      <c r="AP84" s="89"/>
      <c r="AQ84" s="41"/>
      <c r="AR84" s="41"/>
      <c r="AS84" s="41"/>
      <c r="AT84" s="928"/>
      <c r="AU84" s="972"/>
      <c r="AV84" s="89"/>
      <c r="AW84" s="41"/>
      <c r="AX84" s="41"/>
      <c r="AY84" s="41"/>
      <c r="AZ84" s="928"/>
      <c r="BA84" s="972"/>
      <c r="BB84" s="89"/>
      <c r="BC84" s="41"/>
      <c r="BD84" s="41"/>
      <c r="BE84" s="41"/>
      <c r="BF84" s="928"/>
      <c r="BG84" s="972"/>
      <c r="BH84" s="89"/>
      <c r="BI84" s="41"/>
      <c r="BJ84" s="41"/>
      <c r="BK84" s="41"/>
      <c r="BL84" s="928"/>
      <c r="BM84" s="972"/>
      <c r="BN84" s="89"/>
      <c r="BO84" s="41"/>
      <c r="BP84" s="41"/>
      <c r="BQ84" s="41"/>
      <c r="BR84" s="928"/>
    </row>
    <row r="85" ht="15.75" customHeight="1">
      <c r="A85" s="439"/>
      <c r="B85" s="465"/>
      <c r="C85" s="465" t="s">
        <v>223</v>
      </c>
      <c r="D85" s="167">
        <v>4267.0</v>
      </c>
      <c r="E85" s="970"/>
      <c r="F85" s="89"/>
      <c r="G85" s="41"/>
      <c r="H85" s="41"/>
      <c r="I85" s="29"/>
      <c r="J85" s="887">
        <v>8656.0</v>
      </c>
      <c r="K85" s="200"/>
      <c r="L85" s="200"/>
      <c r="M85" s="200"/>
      <c r="N85" s="200"/>
      <c r="O85" s="200"/>
      <c r="P85" s="200">
        <v>4694.0</v>
      </c>
      <c r="Q85" s="972"/>
      <c r="R85" s="89"/>
      <c r="S85" s="41"/>
      <c r="T85" s="41"/>
      <c r="U85" s="41"/>
      <c r="V85" s="928"/>
      <c r="W85" s="972"/>
      <c r="X85" s="89"/>
      <c r="Y85" s="41"/>
      <c r="Z85" s="41"/>
      <c r="AA85" s="41"/>
      <c r="AB85" s="928"/>
      <c r="AC85" s="972"/>
      <c r="AD85" s="89"/>
      <c r="AE85" s="41"/>
      <c r="AF85" s="41"/>
      <c r="AG85" s="41"/>
      <c r="AH85" s="928"/>
      <c r="AI85" s="972"/>
      <c r="AJ85" s="89"/>
      <c r="AK85" s="41"/>
      <c r="AL85" s="41"/>
      <c r="AM85" s="41"/>
      <c r="AN85" s="928"/>
      <c r="AO85" s="972"/>
      <c r="AP85" s="89"/>
      <c r="AQ85" s="41"/>
      <c r="AR85" s="41"/>
      <c r="AS85" s="41"/>
      <c r="AT85" s="928"/>
      <c r="AU85" s="972"/>
      <c r="AV85" s="89"/>
      <c r="AW85" s="41"/>
      <c r="AX85" s="41"/>
      <c r="AY85" s="41"/>
      <c r="AZ85" s="928"/>
      <c r="BA85" s="972"/>
      <c r="BB85" s="89"/>
      <c r="BC85" s="41"/>
      <c r="BD85" s="41"/>
      <c r="BE85" s="41"/>
      <c r="BF85" s="928"/>
      <c r="BG85" s="972"/>
      <c r="BH85" s="89"/>
      <c r="BI85" s="41"/>
      <c r="BJ85" s="41"/>
      <c r="BK85" s="41"/>
      <c r="BL85" s="928"/>
      <c r="BM85" s="972"/>
      <c r="BN85" s="89"/>
      <c r="BO85" s="41"/>
      <c r="BP85" s="41"/>
      <c r="BQ85" s="41"/>
      <c r="BR85" s="928"/>
    </row>
    <row r="86" ht="15.75" customHeight="1">
      <c r="A86" s="439"/>
      <c r="B86" s="465"/>
      <c r="C86" s="465" t="s">
        <v>225</v>
      </c>
      <c r="D86" s="200">
        <v>71463.86</v>
      </c>
      <c r="E86" s="962"/>
      <c r="F86" s="42"/>
      <c r="G86" s="52"/>
      <c r="H86" s="52"/>
      <c r="I86" s="46"/>
      <c r="J86" s="887">
        <v>64359.72</v>
      </c>
      <c r="K86" s="200"/>
      <c r="L86" s="200"/>
      <c r="M86" s="200"/>
      <c r="N86" s="200"/>
      <c r="O86" s="200"/>
      <c r="P86" s="1059">
        <v>57682.0</v>
      </c>
      <c r="Q86" s="973"/>
      <c r="R86" s="42"/>
      <c r="S86" s="52"/>
      <c r="T86" s="52"/>
      <c r="U86" s="52"/>
      <c r="V86" s="1027"/>
      <c r="W86" s="973"/>
      <c r="X86" s="42"/>
      <c r="Y86" s="52"/>
      <c r="Z86" s="52"/>
      <c r="AA86" s="52"/>
      <c r="AB86" s="1027"/>
      <c r="AC86" s="973"/>
      <c r="AD86" s="42"/>
      <c r="AE86" s="52"/>
      <c r="AF86" s="52"/>
      <c r="AG86" s="52"/>
      <c r="AH86" s="1027"/>
      <c r="AI86" s="973"/>
      <c r="AJ86" s="42"/>
      <c r="AK86" s="52"/>
      <c r="AL86" s="52"/>
      <c r="AM86" s="52"/>
      <c r="AN86" s="1027"/>
      <c r="AO86" s="973"/>
      <c r="AP86" s="42"/>
      <c r="AQ86" s="52"/>
      <c r="AR86" s="52"/>
      <c r="AS86" s="52"/>
      <c r="AT86" s="1027"/>
      <c r="AU86" s="973"/>
      <c r="AV86" s="42"/>
      <c r="AW86" s="52"/>
      <c r="AX86" s="52"/>
      <c r="AY86" s="52"/>
      <c r="AZ86" s="1027"/>
      <c r="BA86" s="973"/>
      <c r="BB86" s="42"/>
      <c r="BC86" s="52"/>
      <c r="BD86" s="52"/>
      <c r="BE86" s="52"/>
      <c r="BF86" s="1027"/>
      <c r="BG86" s="973"/>
      <c r="BH86" s="42"/>
      <c r="BI86" s="52"/>
      <c r="BJ86" s="52"/>
      <c r="BK86" s="52"/>
      <c r="BL86" s="1027"/>
      <c r="BM86" s="973"/>
      <c r="BN86" s="42"/>
      <c r="BO86" s="52"/>
      <c r="BP86" s="52"/>
      <c r="BQ86" s="52"/>
      <c r="BR86" s="1027"/>
    </row>
    <row r="87" ht="15.75" customHeight="1">
      <c r="A87" s="439"/>
      <c r="B87" s="465"/>
      <c r="C87" s="465" t="s">
        <v>226</v>
      </c>
      <c r="D87" s="200">
        <v>94400.0</v>
      </c>
      <c r="E87" s="200">
        <v>94400.0</v>
      </c>
      <c r="F87" s="200">
        <v>94400.0</v>
      </c>
      <c r="G87" s="200">
        <v>94400.0</v>
      </c>
      <c r="H87" s="200">
        <v>94400.0</v>
      </c>
      <c r="I87" s="1060">
        <v>94400.0</v>
      </c>
      <c r="J87" s="887">
        <v>94400.0</v>
      </c>
      <c r="K87" s="200"/>
      <c r="L87" s="200"/>
      <c r="M87" s="200"/>
      <c r="N87" s="200"/>
      <c r="O87" s="200"/>
      <c r="P87" s="887">
        <v>94400.0</v>
      </c>
      <c r="Q87" s="973"/>
      <c r="R87" s="42"/>
      <c r="S87" s="52"/>
      <c r="T87" s="52"/>
      <c r="U87" s="52"/>
      <c r="V87" s="887"/>
      <c r="W87" s="973"/>
      <c r="X87" s="42"/>
      <c r="Y87" s="52"/>
      <c r="Z87" s="52"/>
      <c r="AA87" s="52"/>
      <c r="AB87" s="887"/>
      <c r="AC87" s="973"/>
      <c r="AD87" s="42"/>
      <c r="AE87" s="52"/>
      <c r="AF87" s="52"/>
      <c r="AG87" s="52"/>
      <c r="AH87" s="887"/>
      <c r="AI87" s="973"/>
      <c r="AJ87" s="42"/>
      <c r="AK87" s="52"/>
      <c r="AL87" s="52"/>
      <c r="AM87" s="52"/>
      <c r="AN87" s="887"/>
      <c r="AO87" s="973"/>
      <c r="AP87" s="42"/>
      <c r="AQ87" s="52"/>
      <c r="AR87" s="52"/>
      <c r="AS87" s="52"/>
      <c r="AT87" s="887"/>
      <c r="AU87" s="973"/>
      <c r="AV87" s="42"/>
      <c r="AW87" s="52"/>
      <c r="AX87" s="52"/>
      <c r="AY87" s="52"/>
      <c r="AZ87" s="887"/>
      <c r="BA87" s="973"/>
      <c r="BB87" s="42"/>
      <c r="BC87" s="52"/>
      <c r="BD87" s="52"/>
      <c r="BE87" s="52"/>
      <c r="BF87" s="887"/>
      <c r="BG87" s="973"/>
      <c r="BH87" s="42"/>
      <c r="BI87" s="52"/>
      <c r="BJ87" s="52"/>
      <c r="BK87" s="52"/>
      <c r="BL87" s="887"/>
      <c r="BM87" s="973"/>
      <c r="BN87" s="42"/>
      <c r="BO87" s="52"/>
      <c r="BP87" s="52"/>
      <c r="BQ87" s="52"/>
      <c r="BR87" s="887"/>
    </row>
    <row r="88" ht="15.75" customHeight="1">
      <c r="A88" s="439"/>
      <c r="B88" s="465"/>
      <c r="C88" s="465" t="s">
        <v>227</v>
      </c>
      <c r="D88" s="200">
        <v>18836.0</v>
      </c>
      <c r="E88" s="962"/>
      <c r="F88" s="42"/>
      <c r="G88" s="52"/>
      <c r="H88" s="52"/>
      <c r="I88" s="46"/>
      <c r="J88" s="887">
        <v>13040.0</v>
      </c>
      <c r="K88" s="200"/>
      <c r="L88" s="200"/>
      <c r="M88" s="200"/>
      <c r="N88" s="200"/>
      <c r="O88" s="200"/>
      <c r="P88" s="200">
        <v>17047.0</v>
      </c>
      <c r="Q88" s="973"/>
      <c r="R88" s="42"/>
      <c r="S88" s="52"/>
      <c r="T88" s="52"/>
      <c r="U88" s="52"/>
      <c r="V88" s="928"/>
      <c r="W88" s="973"/>
      <c r="X88" s="42"/>
      <c r="Y88" s="52"/>
      <c r="Z88" s="52"/>
      <c r="AA88" s="52"/>
      <c r="AB88" s="928"/>
      <c r="AC88" s="973"/>
      <c r="AD88" s="42"/>
      <c r="AE88" s="52"/>
      <c r="AF88" s="52"/>
      <c r="AG88" s="52"/>
      <c r="AH88" s="928"/>
      <c r="AI88" s="973"/>
      <c r="AJ88" s="42"/>
      <c r="AK88" s="52"/>
      <c r="AL88" s="52"/>
      <c r="AM88" s="52"/>
      <c r="AN88" s="928"/>
      <c r="AO88" s="973"/>
      <c r="AP88" s="42"/>
      <c r="AQ88" s="52"/>
      <c r="AR88" s="52"/>
      <c r="AS88" s="52"/>
      <c r="AT88" s="928"/>
      <c r="AU88" s="973"/>
      <c r="AV88" s="42"/>
      <c r="AW88" s="52"/>
      <c r="AX88" s="52"/>
      <c r="AY88" s="52"/>
      <c r="AZ88" s="928"/>
      <c r="BA88" s="973"/>
      <c r="BB88" s="42"/>
      <c r="BC88" s="52"/>
      <c r="BD88" s="52"/>
      <c r="BE88" s="52"/>
      <c r="BF88" s="928"/>
      <c r="BG88" s="973"/>
      <c r="BH88" s="42"/>
      <c r="BI88" s="52"/>
      <c r="BJ88" s="52"/>
      <c r="BK88" s="52"/>
      <c r="BL88" s="928"/>
      <c r="BM88" s="973"/>
      <c r="BN88" s="42"/>
      <c r="BO88" s="52"/>
      <c r="BP88" s="52"/>
      <c r="BQ88" s="52"/>
      <c r="BR88" s="928"/>
    </row>
    <row r="89" ht="15.75" customHeight="1">
      <c r="A89" s="439"/>
      <c r="B89" s="465"/>
      <c r="C89" s="465" t="s">
        <v>228</v>
      </c>
      <c r="D89" s="1053">
        <v>0.0</v>
      </c>
      <c r="E89" s="964"/>
      <c r="F89" s="96"/>
      <c r="G89" s="64"/>
      <c r="H89" s="64"/>
      <c r="I89" s="58"/>
      <c r="J89" s="108">
        <v>0.0</v>
      </c>
      <c r="K89" s="964"/>
      <c r="L89" s="96"/>
      <c r="M89" s="64"/>
      <c r="N89" s="64"/>
      <c r="O89" s="64"/>
      <c r="P89" s="1061">
        <v>0.0</v>
      </c>
      <c r="Q89" s="1015"/>
      <c r="R89" s="96"/>
      <c r="S89" s="64"/>
      <c r="T89" s="64"/>
      <c r="U89" s="64"/>
      <c r="V89" s="931"/>
      <c r="W89" s="1015"/>
      <c r="X89" s="96"/>
      <c r="Y89" s="64"/>
      <c r="Z89" s="64"/>
      <c r="AA89" s="64"/>
      <c r="AB89" s="931"/>
      <c r="AC89" s="1015"/>
      <c r="AD89" s="96"/>
      <c r="AE89" s="64"/>
      <c r="AF89" s="64"/>
      <c r="AG89" s="64"/>
      <c r="AH89" s="931"/>
      <c r="AI89" s="1015"/>
      <c r="AJ89" s="96"/>
      <c r="AK89" s="64"/>
      <c r="AL89" s="64"/>
      <c r="AM89" s="64"/>
      <c r="AN89" s="931"/>
      <c r="AO89" s="1015"/>
      <c r="AP89" s="96"/>
      <c r="AQ89" s="64"/>
      <c r="AR89" s="64"/>
      <c r="AS89" s="64"/>
      <c r="AT89" s="931"/>
      <c r="AU89" s="1015"/>
      <c r="AV89" s="96"/>
      <c r="AW89" s="64"/>
      <c r="AX89" s="64"/>
      <c r="AY89" s="64"/>
      <c r="AZ89" s="931"/>
      <c r="BA89" s="1015"/>
      <c r="BB89" s="96"/>
      <c r="BC89" s="64"/>
      <c r="BD89" s="64"/>
      <c r="BE89" s="64"/>
      <c r="BF89" s="931"/>
      <c r="BG89" s="1015"/>
      <c r="BH89" s="96"/>
      <c r="BI89" s="64"/>
      <c r="BJ89" s="64"/>
      <c r="BK89" s="64"/>
      <c r="BL89" s="931"/>
      <c r="BM89" s="1015"/>
      <c r="BN89" s="96"/>
      <c r="BO89" s="64"/>
      <c r="BP89" s="64"/>
      <c r="BQ89" s="64"/>
      <c r="BR89" s="931"/>
    </row>
    <row r="90" ht="15.75" customHeight="1">
      <c r="A90" s="439"/>
      <c r="B90" s="465"/>
      <c r="C90" s="616" t="s">
        <v>276</v>
      </c>
      <c r="D90" s="200">
        <v>0.0</v>
      </c>
      <c r="E90" s="962"/>
      <c r="F90" s="42"/>
      <c r="G90" s="52"/>
      <c r="H90" s="52"/>
      <c r="I90" s="46"/>
      <c r="J90" s="40">
        <v>0.0</v>
      </c>
      <c r="K90" s="962"/>
      <c r="L90" s="42"/>
      <c r="M90" s="52"/>
      <c r="N90" s="52"/>
      <c r="O90" s="52"/>
      <c r="P90" s="890">
        <v>0.0</v>
      </c>
      <c r="Q90" s="973"/>
      <c r="R90" s="42"/>
      <c r="S90" s="52"/>
      <c r="T90" s="52"/>
      <c r="U90" s="52"/>
      <c r="V90" s="887"/>
      <c r="W90" s="973"/>
      <c r="X90" s="42"/>
      <c r="Y90" s="52"/>
      <c r="Z90" s="52"/>
      <c r="AA90" s="52"/>
      <c r="AB90" s="887"/>
      <c r="AC90" s="973"/>
      <c r="AD90" s="42"/>
      <c r="AE90" s="52"/>
      <c r="AF90" s="52"/>
      <c r="AG90" s="52"/>
      <c r="AH90" s="887"/>
      <c r="AI90" s="973"/>
      <c r="AJ90" s="42"/>
      <c r="AK90" s="52"/>
      <c r="AL90" s="52"/>
      <c r="AM90" s="52"/>
      <c r="AN90" s="887"/>
      <c r="AO90" s="973"/>
      <c r="AP90" s="42"/>
      <c r="AQ90" s="52"/>
      <c r="AR90" s="52"/>
      <c r="AS90" s="52"/>
      <c r="AT90" s="887"/>
      <c r="AU90" s="973"/>
      <c r="AV90" s="42"/>
      <c r="AW90" s="52"/>
      <c r="AX90" s="52"/>
      <c r="AY90" s="52"/>
      <c r="AZ90" s="887"/>
      <c r="BA90" s="973"/>
      <c r="BB90" s="42"/>
      <c r="BC90" s="52"/>
      <c r="BD90" s="52"/>
      <c r="BE90" s="52"/>
      <c r="BF90" s="887"/>
      <c r="BG90" s="973"/>
      <c r="BH90" s="42"/>
      <c r="BI90" s="52"/>
      <c r="BJ90" s="52"/>
      <c r="BK90" s="52"/>
      <c r="BL90" s="887"/>
      <c r="BM90" s="973"/>
      <c r="BN90" s="42"/>
      <c r="BO90" s="52"/>
      <c r="BP90" s="52"/>
      <c r="BQ90" s="52"/>
      <c r="BR90" s="887"/>
    </row>
    <row r="91" ht="15.75" customHeight="1">
      <c r="A91" s="439"/>
      <c r="B91" s="483"/>
      <c r="C91" s="610"/>
      <c r="D91" s="120"/>
      <c r="E91" s="1062"/>
      <c r="F91" s="119"/>
      <c r="G91" s="114"/>
      <c r="H91" s="114"/>
      <c r="I91" s="117"/>
      <c r="J91" s="108"/>
      <c r="K91" s="1062"/>
      <c r="L91" s="119"/>
      <c r="M91" s="114"/>
      <c r="N91" s="114"/>
      <c r="O91" s="114"/>
      <c r="P91" s="931"/>
      <c r="Q91" s="1063"/>
      <c r="R91" s="119"/>
      <c r="S91" s="114"/>
      <c r="T91" s="114"/>
      <c r="U91" s="114"/>
      <c r="V91" s="931"/>
      <c r="W91" s="1063"/>
      <c r="X91" s="119"/>
      <c r="Y91" s="114"/>
      <c r="Z91" s="114"/>
      <c r="AA91" s="114"/>
      <c r="AB91" s="931"/>
      <c r="AC91" s="1063"/>
      <c r="AD91" s="119"/>
      <c r="AE91" s="114"/>
      <c r="AF91" s="114"/>
      <c r="AG91" s="114"/>
      <c r="AH91" s="931"/>
      <c r="AI91" s="1063"/>
      <c r="AJ91" s="119"/>
      <c r="AK91" s="114"/>
      <c r="AL91" s="114"/>
      <c r="AM91" s="114"/>
      <c r="AN91" s="931"/>
      <c r="AO91" s="1063"/>
      <c r="AP91" s="119"/>
      <c r="AQ91" s="114"/>
      <c r="AR91" s="114"/>
      <c r="AS91" s="114"/>
      <c r="AT91" s="931"/>
      <c r="AU91" s="1063"/>
      <c r="AV91" s="119"/>
      <c r="AW91" s="114"/>
      <c r="AX91" s="114"/>
      <c r="AY91" s="114"/>
      <c r="AZ91" s="931"/>
      <c r="BA91" s="1063"/>
      <c r="BB91" s="119"/>
      <c r="BC91" s="114"/>
      <c r="BD91" s="114"/>
      <c r="BE91" s="114"/>
      <c r="BF91" s="931"/>
      <c r="BG91" s="1063"/>
      <c r="BH91" s="119"/>
      <c r="BI91" s="114"/>
      <c r="BJ91" s="114"/>
      <c r="BK91" s="114"/>
      <c r="BL91" s="931"/>
      <c r="BM91" s="1063"/>
      <c r="BN91" s="119"/>
      <c r="BO91" s="114"/>
      <c r="BP91" s="114"/>
      <c r="BQ91" s="114"/>
      <c r="BR91" s="931"/>
    </row>
    <row r="92" ht="15.75" customHeight="1">
      <c r="A92" s="439"/>
      <c r="B92" s="493"/>
      <c r="C92" s="511" t="s">
        <v>38</v>
      </c>
      <c r="D92" s="1016">
        <f>SUM(D93)</f>
        <v>6930</v>
      </c>
      <c r="E92" s="1017">
        <f>D92/D$29</f>
        <v>0.01357413363</v>
      </c>
      <c r="F92" s="143">
        <f>SUM(F93)</f>
        <v>0</v>
      </c>
      <c r="G92" s="145" t="str">
        <f>F92/F$29</f>
        <v>#DIV/0!</v>
      </c>
      <c r="H92" s="145">
        <f>SUM(H93)</f>
        <v>0</v>
      </c>
      <c r="I92" s="1030"/>
      <c r="J92" s="142">
        <f>SUM(J93)</f>
        <v>5338</v>
      </c>
      <c r="K92" s="1017">
        <f>J92/J$29</f>
        <v>0.01159265437</v>
      </c>
      <c r="L92" s="143">
        <f>SUM(L93)</f>
        <v>0</v>
      </c>
      <c r="M92" s="145" t="str">
        <f>L92/L$29</f>
        <v>#DIV/0!</v>
      </c>
      <c r="N92" s="145">
        <f>SUM(N93)</f>
        <v>0</v>
      </c>
      <c r="O92" s="145"/>
      <c r="P92" s="898">
        <f>SUM(P93)</f>
        <v>3233</v>
      </c>
      <c r="Q92" s="1021">
        <f>P92/P$29</f>
        <v>0.009905540423</v>
      </c>
      <c r="R92" s="143">
        <f>SUM(R93)</f>
        <v>0</v>
      </c>
      <c r="S92" s="145" t="str">
        <f>R92/R$29</f>
        <v>#DIV/0!</v>
      </c>
      <c r="T92" s="145">
        <f>SUM(T93)</f>
        <v>0</v>
      </c>
      <c r="U92" s="145"/>
      <c r="V92" s="898">
        <f>SUM(V93)</f>
        <v>0</v>
      </c>
      <c r="W92" s="1021" t="str">
        <f>V92/V$29</f>
        <v>#DIV/0!</v>
      </c>
      <c r="X92" s="143">
        <f>SUM(X93)</f>
        <v>0</v>
      </c>
      <c r="Y92" s="145" t="str">
        <f>X92/X$29</f>
        <v>#DIV/0!</v>
      </c>
      <c r="Z92" s="145">
        <f>SUM(Z93)</f>
        <v>0</v>
      </c>
      <c r="AA92" s="145"/>
      <c r="AB92" s="898">
        <f>SUM(AB93)</f>
        <v>0</v>
      </c>
      <c r="AC92" s="1021" t="str">
        <f>AB92/AB$29</f>
        <v>#DIV/0!</v>
      </c>
      <c r="AD92" s="143">
        <f>SUM(AD93)</f>
        <v>0</v>
      </c>
      <c r="AE92" s="145" t="str">
        <f>AD92/AD$29</f>
        <v>#DIV/0!</v>
      </c>
      <c r="AF92" s="145">
        <f>SUM(AF93)</f>
        <v>0</v>
      </c>
      <c r="AG92" s="145"/>
      <c r="AH92" s="898">
        <f>SUM(AH93)</f>
        <v>0</v>
      </c>
      <c r="AI92" s="1021" t="str">
        <f>AH92/AH$29</f>
        <v>#DIV/0!</v>
      </c>
      <c r="AJ92" s="143">
        <f>SUM(AJ93)</f>
        <v>0</v>
      </c>
      <c r="AK92" s="145" t="str">
        <f>AJ92/AJ$29</f>
        <v>#DIV/0!</v>
      </c>
      <c r="AL92" s="145">
        <f>SUM(AL93)</f>
        <v>0</v>
      </c>
      <c r="AM92" s="145"/>
      <c r="AN92" s="898">
        <f>SUM(AN93)</f>
        <v>0</v>
      </c>
      <c r="AO92" s="1021" t="str">
        <f>AN92/AN$29</f>
        <v>#DIV/0!</v>
      </c>
      <c r="AP92" s="143">
        <f>SUM(AP93)</f>
        <v>0</v>
      </c>
      <c r="AQ92" s="145" t="str">
        <f>AP92/AP$29</f>
        <v>#DIV/0!</v>
      </c>
      <c r="AR92" s="145">
        <f>SUM(AR93)</f>
        <v>0</v>
      </c>
      <c r="AS92" s="145"/>
      <c r="AT92" s="898">
        <f>SUM(AT93)</f>
        <v>0</v>
      </c>
      <c r="AU92" s="1021" t="str">
        <f>AT92/AT$29</f>
        <v>#DIV/0!</v>
      </c>
      <c r="AV92" s="143">
        <f>SUM(AV93)</f>
        <v>0</v>
      </c>
      <c r="AW92" s="145" t="str">
        <f>AV92/AV$29</f>
        <v>#DIV/0!</v>
      </c>
      <c r="AX92" s="145">
        <f>SUM(AX93)</f>
        <v>0</v>
      </c>
      <c r="AY92" s="145"/>
      <c r="AZ92" s="898">
        <f>SUM(AZ93)</f>
        <v>0</v>
      </c>
      <c r="BA92" s="1021" t="str">
        <f>AZ92/AZ$29</f>
        <v>#DIV/0!</v>
      </c>
      <c r="BB92" s="143">
        <f>SUM(BB93)</f>
        <v>0</v>
      </c>
      <c r="BC92" s="145" t="str">
        <f>BB92/BB$29</f>
        <v>#DIV/0!</v>
      </c>
      <c r="BD92" s="145">
        <f>SUM(BD93)</f>
        <v>0</v>
      </c>
      <c r="BE92" s="145"/>
      <c r="BF92" s="898">
        <f>SUM(BF93)</f>
        <v>0</v>
      </c>
      <c r="BG92" s="1021" t="str">
        <f>BF92/BF$29</f>
        <v>#DIV/0!</v>
      </c>
      <c r="BH92" s="143">
        <f>SUM(BH93)</f>
        <v>0</v>
      </c>
      <c r="BI92" s="145" t="str">
        <f>BH92/BH$29</f>
        <v>#DIV/0!</v>
      </c>
      <c r="BJ92" s="145">
        <f>SUM(BJ93)</f>
        <v>0</v>
      </c>
      <c r="BK92" s="145"/>
      <c r="BL92" s="898">
        <f>SUM(BL93)</f>
        <v>0</v>
      </c>
      <c r="BM92" s="1021" t="str">
        <f>BL92/BL$29</f>
        <v>#DIV/0!</v>
      </c>
      <c r="BN92" s="143">
        <f>SUM(BN93)</f>
        <v>0</v>
      </c>
      <c r="BO92" s="145" t="str">
        <f>BN92/BN$29</f>
        <v>#DIV/0!</v>
      </c>
      <c r="BP92" s="145">
        <f>SUM(BP93)</f>
        <v>0</v>
      </c>
      <c r="BQ92" s="145"/>
      <c r="BR92" s="898">
        <f>SUM(BR93)</f>
        <v>0</v>
      </c>
    </row>
    <row r="93" ht="15.75" customHeight="1">
      <c r="A93" s="439"/>
      <c r="B93" s="497"/>
      <c r="C93" s="497" t="s">
        <v>277</v>
      </c>
      <c r="D93" s="1058">
        <v>6930.0</v>
      </c>
      <c r="E93" s="970"/>
      <c r="F93" s="89"/>
      <c r="G93" s="41"/>
      <c r="H93" s="41"/>
      <c r="I93" s="29"/>
      <c r="J93" s="1055">
        <v>5338.0</v>
      </c>
      <c r="K93" s="970"/>
      <c r="L93" s="89"/>
      <c r="M93" s="41"/>
      <c r="N93" s="41"/>
      <c r="O93" s="41"/>
      <c r="P93" s="923">
        <v>3233.0</v>
      </c>
      <c r="Q93" s="972"/>
      <c r="R93" s="89"/>
      <c r="S93" s="41"/>
      <c r="T93" s="41"/>
      <c r="U93" s="41"/>
      <c r="V93" s="907"/>
      <c r="W93" s="972"/>
      <c r="X93" s="89"/>
      <c r="Y93" s="41"/>
      <c r="Z93" s="41"/>
      <c r="AA93" s="41"/>
      <c r="AB93" s="907"/>
      <c r="AC93" s="972"/>
      <c r="AD93" s="89"/>
      <c r="AE93" s="41"/>
      <c r="AF93" s="41"/>
      <c r="AG93" s="41"/>
      <c r="AH93" s="907"/>
      <c r="AI93" s="972"/>
      <c r="AJ93" s="89"/>
      <c r="AK93" s="41"/>
      <c r="AL93" s="41"/>
      <c r="AM93" s="41"/>
      <c r="AN93" s="907"/>
      <c r="AO93" s="972"/>
      <c r="AP93" s="89"/>
      <c r="AQ93" s="41"/>
      <c r="AR93" s="41"/>
      <c r="AS93" s="41"/>
      <c r="AT93" s="907"/>
      <c r="AU93" s="972"/>
      <c r="AV93" s="89"/>
      <c r="AW93" s="41"/>
      <c r="AX93" s="41"/>
      <c r="AY93" s="41"/>
      <c r="AZ93" s="907"/>
      <c r="BA93" s="972"/>
      <c r="BB93" s="89"/>
      <c r="BC93" s="41"/>
      <c r="BD93" s="41"/>
      <c r="BE93" s="41"/>
      <c r="BF93" s="907"/>
      <c r="BG93" s="972"/>
      <c r="BH93" s="89"/>
      <c r="BI93" s="41"/>
      <c r="BJ93" s="41"/>
      <c r="BK93" s="41"/>
      <c r="BL93" s="907"/>
      <c r="BM93" s="972"/>
      <c r="BN93" s="89"/>
      <c r="BO93" s="41"/>
      <c r="BP93" s="41"/>
      <c r="BQ93" s="41"/>
      <c r="BR93" s="907"/>
    </row>
    <row r="94" ht="15.75" customHeight="1">
      <c r="A94" s="439"/>
      <c r="B94" s="483"/>
      <c r="C94" s="483"/>
      <c r="D94" s="1053"/>
      <c r="E94" s="964"/>
      <c r="F94" s="96"/>
      <c r="G94" s="64"/>
      <c r="H94" s="64"/>
      <c r="I94" s="58"/>
      <c r="J94" s="63"/>
      <c r="K94" s="964"/>
      <c r="L94" s="96"/>
      <c r="M94" s="64"/>
      <c r="N94" s="64"/>
      <c r="O94" s="64"/>
      <c r="P94" s="892"/>
      <c r="Q94" s="1015"/>
      <c r="R94" s="96"/>
      <c r="S94" s="64"/>
      <c r="T94" s="64"/>
      <c r="U94" s="64"/>
      <c r="V94" s="892"/>
      <c r="W94" s="1015"/>
      <c r="X94" s="96"/>
      <c r="Y94" s="64"/>
      <c r="Z94" s="64"/>
      <c r="AA94" s="64"/>
      <c r="AB94" s="892"/>
      <c r="AC94" s="1015"/>
      <c r="AD94" s="96"/>
      <c r="AE94" s="64"/>
      <c r="AF94" s="64"/>
      <c r="AG94" s="64"/>
      <c r="AH94" s="892"/>
      <c r="AI94" s="1015"/>
      <c r="AJ94" s="96"/>
      <c r="AK94" s="64"/>
      <c r="AL94" s="64"/>
      <c r="AM94" s="64"/>
      <c r="AN94" s="892"/>
      <c r="AO94" s="1015"/>
      <c r="AP94" s="96"/>
      <c r="AQ94" s="64"/>
      <c r="AR94" s="64"/>
      <c r="AS94" s="64"/>
      <c r="AT94" s="892"/>
      <c r="AU94" s="1015"/>
      <c r="AV94" s="96"/>
      <c r="AW94" s="64"/>
      <c r="AX94" s="64"/>
      <c r="AY94" s="64"/>
      <c r="AZ94" s="892"/>
      <c r="BA94" s="1015"/>
      <c r="BB94" s="96"/>
      <c r="BC94" s="64"/>
      <c r="BD94" s="64"/>
      <c r="BE94" s="64"/>
      <c r="BF94" s="892"/>
      <c r="BG94" s="1015"/>
      <c r="BH94" s="96"/>
      <c r="BI94" s="64"/>
      <c r="BJ94" s="64"/>
      <c r="BK94" s="64"/>
      <c r="BL94" s="892"/>
      <c r="BM94" s="1015"/>
      <c r="BN94" s="96"/>
      <c r="BO94" s="64"/>
      <c r="BP94" s="64"/>
      <c r="BQ94" s="64"/>
      <c r="BR94" s="892"/>
    </row>
    <row r="95" ht="15.75" customHeight="1">
      <c r="A95" s="439"/>
      <c r="B95" s="493"/>
      <c r="C95" s="509" t="s">
        <v>235</v>
      </c>
      <c r="D95" s="142">
        <f>SUM(D96:D97)</f>
        <v>36280.33333</v>
      </c>
      <c r="E95" s="1017">
        <f>D95/D$29</f>
        <v>0.07106408267</v>
      </c>
      <c r="F95" s="143">
        <f>SUM(F96:F97)</f>
        <v>0</v>
      </c>
      <c r="G95" s="145" t="str">
        <f>F95/F$29</f>
        <v>#DIV/0!</v>
      </c>
      <c r="H95" s="145">
        <f>SUM(H96:H97)</f>
        <v>0</v>
      </c>
      <c r="I95" s="1030"/>
      <c r="J95" s="142">
        <f>SUM(J96:J97)</f>
        <v>59372</v>
      </c>
      <c r="K95" s="1017">
        <f>J95/J$29</f>
        <v>0.1289395045</v>
      </c>
      <c r="L95" s="143">
        <f>SUM(L96:L97)</f>
        <v>0</v>
      </c>
      <c r="M95" s="145" t="str">
        <f>L95/L$29</f>
        <v>#DIV/0!</v>
      </c>
      <c r="N95" s="145">
        <f>SUM(N96:N97)</f>
        <v>0</v>
      </c>
      <c r="O95" s="145"/>
      <c r="P95" s="898">
        <f>SUM(P96:P97)</f>
        <v>73922</v>
      </c>
      <c r="Q95" s="1021">
        <f>P95/P$29</f>
        <v>0.226488512</v>
      </c>
      <c r="R95" s="143">
        <f>SUM(R96:R97)</f>
        <v>0</v>
      </c>
      <c r="S95" s="145" t="str">
        <f>R95/R$29</f>
        <v>#DIV/0!</v>
      </c>
      <c r="T95" s="145">
        <f>SUM(T96:T97)</f>
        <v>0</v>
      </c>
      <c r="U95" s="145"/>
      <c r="V95" s="898">
        <f>SUM(V96:V97)</f>
        <v>0</v>
      </c>
      <c r="W95" s="1021" t="str">
        <f>V95/V$29</f>
        <v>#DIV/0!</v>
      </c>
      <c r="X95" s="143">
        <f>SUM(X96:X97)</f>
        <v>0</v>
      </c>
      <c r="Y95" s="145" t="str">
        <f>X95/X$29</f>
        <v>#DIV/0!</v>
      </c>
      <c r="Z95" s="145">
        <f>SUM(Z96:Z97)</f>
        <v>0</v>
      </c>
      <c r="AA95" s="145"/>
      <c r="AB95" s="898">
        <f>SUM(AB96:AB97)</f>
        <v>0</v>
      </c>
      <c r="AC95" s="1021" t="str">
        <f>AB95/AB$29</f>
        <v>#DIV/0!</v>
      </c>
      <c r="AD95" s="143">
        <f>SUM(AD96:AD97)</f>
        <v>0</v>
      </c>
      <c r="AE95" s="145" t="str">
        <f>AD95/AD$29</f>
        <v>#DIV/0!</v>
      </c>
      <c r="AF95" s="145">
        <f>SUM(AF96:AF97)</f>
        <v>0</v>
      </c>
      <c r="AG95" s="145"/>
      <c r="AH95" s="898">
        <f>SUM(AH96:AH97)</f>
        <v>0</v>
      </c>
      <c r="AI95" s="1021" t="str">
        <f>AH95/AH$29</f>
        <v>#DIV/0!</v>
      </c>
      <c r="AJ95" s="143">
        <f>SUM(AJ96:AJ97)</f>
        <v>0</v>
      </c>
      <c r="AK95" s="145" t="str">
        <f>AJ95/AJ$29</f>
        <v>#DIV/0!</v>
      </c>
      <c r="AL95" s="145">
        <f>SUM(AL96:AL97)</f>
        <v>0</v>
      </c>
      <c r="AM95" s="145"/>
      <c r="AN95" s="898">
        <f>SUM(AN96:AN97)</f>
        <v>0</v>
      </c>
      <c r="AO95" s="1021" t="str">
        <f>AN95/AN$29</f>
        <v>#DIV/0!</v>
      </c>
      <c r="AP95" s="143">
        <f>SUM(AP96:AP97)</f>
        <v>0</v>
      </c>
      <c r="AQ95" s="145" t="str">
        <f>AP95/AP$29</f>
        <v>#DIV/0!</v>
      </c>
      <c r="AR95" s="145">
        <f>SUM(AR96:AR97)</f>
        <v>0</v>
      </c>
      <c r="AS95" s="145"/>
      <c r="AT95" s="898">
        <f>SUM(AT96:AT97)</f>
        <v>0</v>
      </c>
      <c r="AU95" s="1021" t="str">
        <f>AT95/AT$29</f>
        <v>#DIV/0!</v>
      </c>
      <c r="AV95" s="143">
        <f>SUM(AV96:AV97)</f>
        <v>0</v>
      </c>
      <c r="AW95" s="145" t="str">
        <f>AV95/AV$29</f>
        <v>#DIV/0!</v>
      </c>
      <c r="AX95" s="145">
        <f>SUM(AX96:AX97)</f>
        <v>0</v>
      </c>
      <c r="AY95" s="145"/>
      <c r="AZ95" s="898">
        <f>SUM(AZ96:AZ97)</f>
        <v>0</v>
      </c>
      <c r="BA95" s="1021" t="str">
        <f>AZ95/AZ$29</f>
        <v>#DIV/0!</v>
      </c>
      <c r="BB95" s="143">
        <f>SUM(BB96:BB97)</f>
        <v>0</v>
      </c>
      <c r="BC95" s="145" t="str">
        <f>BB95/BB$29</f>
        <v>#DIV/0!</v>
      </c>
      <c r="BD95" s="145">
        <f>SUM(BD96:BD97)</f>
        <v>0</v>
      </c>
      <c r="BE95" s="145"/>
      <c r="BF95" s="898">
        <f>SUM(BF96:BF97)</f>
        <v>0</v>
      </c>
      <c r="BG95" s="1021" t="str">
        <f>BF95/BF$29</f>
        <v>#DIV/0!</v>
      </c>
      <c r="BH95" s="143">
        <f>SUM(BH96:BH97)</f>
        <v>0</v>
      </c>
      <c r="BI95" s="145" t="str">
        <f>BH95/BH$29</f>
        <v>#DIV/0!</v>
      </c>
      <c r="BJ95" s="145">
        <f>SUM(BJ96:BJ97)</f>
        <v>0</v>
      </c>
      <c r="BK95" s="145"/>
      <c r="BL95" s="898">
        <f>SUM(BL96:BL97)</f>
        <v>0</v>
      </c>
      <c r="BM95" s="1021" t="str">
        <f>BL95/BL$29</f>
        <v>#DIV/0!</v>
      </c>
      <c r="BN95" s="143">
        <f>SUM(BN96:BN97)</f>
        <v>0</v>
      </c>
      <c r="BO95" s="145" t="str">
        <f>BN95/BN$29</f>
        <v>#DIV/0!</v>
      </c>
      <c r="BP95" s="145">
        <f>SUM(BP96:BP97)</f>
        <v>0</v>
      </c>
      <c r="BQ95" s="145"/>
      <c r="BR95" s="898">
        <f>SUM(BR96:BR97)</f>
        <v>0</v>
      </c>
    </row>
    <row r="96" ht="15.75" customHeight="1">
      <c r="A96" s="439"/>
      <c r="B96" s="497"/>
      <c r="C96" s="497" t="s">
        <v>236</v>
      </c>
      <c r="D96" s="167"/>
      <c r="E96" s="970"/>
      <c r="F96" s="89"/>
      <c r="G96" s="41"/>
      <c r="H96" s="41"/>
      <c r="I96" s="29"/>
      <c r="J96" s="39"/>
      <c r="K96" s="970"/>
      <c r="L96" s="89"/>
      <c r="M96" s="41"/>
      <c r="N96" s="41"/>
      <c r="O96" s="41"/>
      <c r="P96" s="907"/>
      <c r="Q96" s="972"/>
      <c r="R96" s="89"/>
      <c r="S96" s="41"/>
      <c r="T96" s="41"/>
      <c r="U96" s="41"/>
      <c r="V96" s="907"/>
      <c r="W96" s="972"/>
      <c r="X96" s="89"/>
      <c r="Y96" s="41"/>
      <c r="Z96" s="41"/>
      <c r="AA96" s="41"/>
      <c r="AB96" s="907"/>
      <c r="AC96" s="972"/>
      <c r="AD96" s="89"/>
      <c r="AE96" s="41"/>
      <c r="AF96" s="41"/>
      <c r="AG96" s="41"/>
      <c r="AH96" s="907"/>
      <c r="AI96" s="972"/>
      <c r="AJ96" s="89"/>
      <c r="AK96" s="41"/>
      <c r="AL96" s="41"/>
      <c r="AM96" s="41"/>
      <c r="AN96" s="907"/>
      <c r="AO96" s="972"/>
      <c r="AP96" s="89"/>
      <c r="AQ96" s="41"/>
      <c r="AR96" s="41"/>
      <c r="AS96" s="41"/>
      <c r="AT96" s="907"/>
      <c r="AU96" s="972"/>
      <c r="AV96" s="89"/>
      <c r="AW96" s="41"/>
      <c r="AX96" s="41"/>
      <c r="AY96" s="41"/>
      <c r="AZ96" s="907"/>
      <c r="BA96" s="972"/>
      <c r="BB96" s="89"/>
      <c r="BC96" s="41"/>
      <c r="BD96" s="41"/>
      <c r="BE96" s="41"/>
      <c r="BF96" s="907"/>
      <c r="BG96" s="972"/>
      <c r="BH96" s="89"/>
      <c r="BI96" s="41"/>
      <c r="BJ96" s="41"/>
      <c r="BK96" s="41"/>
      <c r="BL96" s="907"/>
      <c r="BM96" s="972"/>
      <c r="BN96" s="89"/>
      <c r="BO96" s="41"/>
      <c r="BP96" s="41"/>
      <c r="BQ96" s="41"/>
      <c r="BR96" s="907"/>
    </row>
    <row r="97" ht="15.75" customHeight="1">
      <c r="A97" s="439"/>
      <c r="B97" s="497"/>
      <c r="C97" s="465" t="s">
        <v>304</v>
      </c>
      <c r="D97" s="200">
        <v>36280.333333333336</v>
      </c>
      <c r="E97" s="962"/>
      <c r="F97" s="42"/>
      <c r="G97" s="52"/>
      <c r="H97" s="52"/>
      <c r="I97" s="46"/>
      <c r="J97" s="1056">
        <v>59372.0</v>
      </c>
      <c r="K97" s="962"/>
      <c r="L97" s="42"/>
      <c r="M97" s="52"/>
      <c r="N97" s="52"/>
      <c r="O97" s="52"/>
      <c r="P97" s="890">
        <v>73922.0</v>
      </c>
      <c r="Q97" s="973"/>
      <c r="R97" s="42"/>
      <c r="S97" s="52"/>
      <c r="T97" s="52"/>
      <c r="U97" s="52"/>
      <c r="V97" s="887"/>
      <c r="W97" s="973"/>
      <c r="X97" s="42"/>
      <c r="Y97" s="52"/>
      <c r="Z97" s="52"/>
      <c r="AA97" s="52"/>
      <c r="AB97" s="887"/>
      <c r="AC97" s="973"/>
      <c r="AD97" s="42"/>
      <c r="AE97" s="52"/>
      <c r="AF97" s="52"/>
      <c r="AG97" s="52"/>
      <c r="AH97" s="887"/>
      <c r="AI97" s="973"/>
      <c r="AJ97" s="42"/>
      <c r="AK97" s="52"/>
      <c r="AL97" s="52"/>
      <c r="AM97" s="52"/>
      <c r="AN97" s="887"/>
      <c r="AO97" s="973"/>
      <c r="AP97" s="42"/>
      <c r="AQ97" s="52"/>
      <c r="AR97" s="52"/>
      <c r="AS97" s="52"/>
      <c r="AT97" s="887"/>
      <c r="AU97" s="973"/>
      <c r="AV97" s="42"/>
      <c r="AW97" s="52"/>
      <c r="AX97" s="52"/>
      <c r="AY97" s="52"/>
      <c r="AZ97" s="887"/>
      <c r="BA97" s="973"/>
      <c r="BB97" s="42"/>
      <c r="BC97" s="52"/>
      <c r="BD97" s="52"/>
      <c r="BE97" s="52"/>
      <c r="BF97" s="887"/>
      <c r="BG97" s="973"/>
      <c r="BH97" s="42"/>
      <c r="BI97" s="52"/>
      <c r="BJ97" s="52"/>
      <c r="BK97" s="52"/>
      <c r="BL97" s="887"/>
      <c r="BM97" s="973"/>
      <c r="BN97" s="42"/>
      <c r="BO97" s="52"/>
      <c r="BP97" s="52"/>
      <c r="BQ97" s="52"/>
      <c r="BR97" s="887"/>
    </row>
    <row r="98" ht="15.75" customHeight="1">
      <c r="A98" s="439"/>
      <c r="B98" s="483"/>
      <c r="C98" s="483"/>
      <c r="D98" s="1053"/>
      <c r="E98" s="964"/>
      <c r="F98" s="96"/>
      <c r="G98" s="64"/>
      <c r="H98" s="64"/>
      <c r="I98" s="58"/>
      <c r="J98" s="63"/>
      <c r="K98" s="964"/>
      <c r="L98" s="96"/>
      <c r="M98" s="64"/>
      <c r="N98" s="64"/>
      <c r="O98" s="64"/>
      <c r="P98" s="892"/>
      <c r="Q98" s="1015"/>
      <c r="R98" s="96"/>
      <c r="S98" s="64"/>
      <c r="T98" s="64"/>
      <c r="U98" s="64"/>
      <c r="V98" s="892"/>
      <c r="W98" s="1015"/>
      <c r="X98" s="96"/>
      <c r="Y98" s="64"/>
      <c r="Z98" s="64"/>
      <c r="AA98" s="64"/>
      <c r="AB98" s="892"/>
      <c r="AC98" s="1015"/>
      <c r="AD98" s="96"/>
      <c r="AE98" s="64"/>
      <c r="AF98" s="64"/>
      <c r="AG98" s="64"/>
      <c r="AH98" s="892"/>
      <c r="AI98" s="1015"/>
      <c r="AJ98" s="96"/>
      <c r="AK98" s="64"/>
      <c r="AL98" s="64"/>
      <c r="AM98" s="64"/>
      <c r="AN98" s="892"/>
      <c r="AO98" s="1015"/>
      <c r="AP98" s="96"/>
      <c r="AQ98" s="64"/>
      <c r="AR98" s="64"/>
      <c r="AS98" s="64"/>
      <c r="AT98" s="892"/>
      <c r="AU98" s="1015"/>
      <c r="AV98" s="96"/>
      <c r="AW98" s="64"/>
      <c r="AX98" s="64"/>
      <c r="AY98" s="64"/>
      <c r="AZ98" s="892"/>
      <c r="BA98" s="1015"/>
      <c r="BB98" s="96"/>
      <c r="BC98" s="64"/>
      <c r="BD98" s="64"/>
      <c r="BE98" s="64"/>
      <c r="BF98" s="892"/>
      <c r="BG98" s="1015"/>
      <c r="BH98" s="96"/>
      <c r="BI98" s="64"/>
      <c r="BJ98" s="64"/>
      <c r="BK98" s="64"/>
      <c r="BL98" s="892"/>
      <c r="BM98" s="1015"/>
      <c r="BN98" s="96"/>
      <c r="BO98" s="64"/>
      <c r="BP98" s="64"/>
      <c r="BQ98" s="64"/>
      <c r="BR98" s="892"/>
    </row>
    <row r="99" ht="15.75" customHeight="1">
      <c r="A99" s="439"/>
      <c r="B99" s="493"/>
      <c r="C99" s="511" t="s">
        <v>40</v>
      </c>
      <c r="D99" s="142">
        <f>SUM(D100:D114)</f>
        <v>170174.93</v>
      </c>
      <c r="E99" s="1064">
        <f>D99/D$29</f>
        <v>0.3333300492</v>
      </c>
      <c r="F99" s="1018">
        <f>SUM(F100:F111)</f>
        <v>17163.33333</v>
      </c>
      <c r="G99" s="1019" t="str">
        <f>F99/F$29</f>
        <v>#DIV/0!</v>
      </c>
      <c r="H99" s="1018">
        <f>SUM(H100:H111)</f>
        <v>126975.2633</v>
      </c>
      <c r="I99" s="1020"/>
      <c r="J99" s="142">
        <f>SUM(J100:J114)</f>
        <v>233413</v>
      </c>
      <c r="K99" s="1064">
        <f>J99/J$29</f>
        <v>0.5069082491</v>
      </c>
      <c r="L99" s="1018">
        <f>SUM(L100:L111)</f>
        <v>0</v>
      </c>
      <c r="M99" s="1019" t="str">
        <f>L99/L$29</f>
        <v>#DIV/0!</v>
      </c>
      <c r="N99" s="1018">
        <f>SUM(N100:N111)</f>
        <v>170335</v>
      </c>
      <c r="O99" s="1019"/>
      <c r="P99" s="898">
        <f>SUM(P100:P114)</f>
        <v>197888</v>
      </c>
      <c r="Q99" s="1065">
        <f>P99/P$29</f>
        <v>0.6063060882</v>
      </c>
      <c r="R99" s="1018">
        <f>SUM(R100:R111)</f>
        <v>0</v>
      </c>
      <c r="S99" s="1019" t="str">
        <f>R99/R$29</f>
        <v>#DIV/0!</v>
      </c>
      <c r="T99" s="1018">
        <f>SUM(T100:T111)</f>
        <v>140243</v>
      </c>
      <c r="U99" s="1019"/>
      <c r="V99" s="898">
        <f>SUM(V100:V114)</f>
        <v>0</v>
      </c>
      <c r="W99" s="1065" t="str">
        <f>V99/V$29</f>
        <v>#DIV/0!</v>
      </c>
      <c r="X99" s="1018">
        <f>SUM(X100:X111)</f>
        <v>0</v>
      </c>
      <c r="Y99" s="1019" t="str">
        <f>X99/X$29</f>
        <v>#DIV/0!</v>
      </c>
      <c r="Z99" s="1018">
        <f>SUM(Z100:Z111)</f>
        <v>0</v>
      </c>
      <c r="AA99" s="1019"/>
      <c r="AB99" s="898">
        <f>SUM(AB100:AB114)</f>
        <v>0</v>
      </c>
      <c r="AC99" s="1065" t="str">
        <f>AB99/AB$29</f>
        <v>#DIV/0!</v>
      </c>
      <c r="AD99" s="1018">
        <f>SUM(AD100:AD111)</f>
        <v>0</v>
      </c>
      <c r="AE99" s="1019" t="str">
        <f>AD99/AD$29</f>
        <v>#DIV/0!</v>
      </c>
      <c r="AF99" s="1018">
        <f>SUM(AF100:AF111)</f>
        <v>0</v>
      </c>
      <c r="AG99" s="1019"/>
      <c r="AH99" s="898">
        <f>SUM(AH100:AH114)</f>
        <v>0</v>
      </c>
      <c r="AI99" s="1065" t="str">
        <f>AH99/AH$29</f>
        <v>#DIV/0!</v>
      </c>
      <c r="AJ99" s="1018">
        <f>SUM(AJ100:AJ111)</f>
        <v>0</v>
      </c>
      <c r="AK99" s="1019" t="str">
        <f>AJ99/AJ$29</f>
        <v>#DIV/0!</v>
      </c>
      <c r="AL99" s="1018">
        <f>SUM(AL100:AL111)</f>
        <v>0</v>
      </c>
      <c r="AM99" s="1019"/>
      <c r="AN99" s="898">
        <f>SUM(AN100:AN114)</f>
        <v>0</v>
      </c>
      <c r="AO99" s="1065" t="str">
        <f>AN99/AN$29</f>
        <v>#DIV/0!</v>
      </c>
      <c r="AP99" s="1018">
        <f>SUM(AP100:AP111)</f>
        <v>0</v>
      </c>
      <c r="AQ99" s="1019" t="str">
        <f>AP99/AP$29</f>
        <v>#DIV/0!</v>
      </c>
      <c r="AR99" s="1018">
        <f>SUM(AR100:AR111)</f>
        <v>0</v>
      </c>
      <c r="AS99" s="1019"/>
      <c r="AT99" s="898">
        <f>SUM(AT100:AT114)</f>
        <v>0</v>
      </c>
      <c r="AU99" s="1065" t="str">
        <f>AT99/AT$29</f>
        <v>#DIV/0!</v>
      </c>
      <c r="AV99" s="1018">
        <f>SUM(AV100:AV111)</f>
        <v>0</v>
      </c>
      <c r="AW99" s="1019" t="str">
        <f>AV99/AV$29</f>
        <v>#DIV/0!</v>
      </c>
      <c r="AX99" s="1018">
        <f>SUM(AX100:AX111)</f>
        <v>0</v>
      </c>
      <c r="AY99" s="1019"/>
      <c r="AZ99" s="898">
        <f>SUM(AZ100:AZ114)</f>
        <v>0</v>
      </c>
      <c r="BA99" s="1065" t="str">
        <f>AZ99/AZ$29</f>
        <v>#DIV/0!</v>
      </c>
      <c r="BB99" s="1018">
        <f>SUM(BB100:BB111)</f>
        <v>0</v>
      </c>
      <c r="BC99" s="1019" t="str">
        <f>BB99/BB$29</f>
        <v>#DIV/0!</v>
      </c>
      <c r="BD99" s="1018">
        <f>SUM(BD100:BD111)</f>
        <v>0</v>
      </c>
      <c r="BE99" s="1019"/>
      <c r="BF99" s="898">
        <f>SUM(BF100:BF114)</f>
        <v>0</v>
      </c>
      <c r="BG99" s="1065" t="str">
        <f>BF99/BF$29</f>
        <v>#DIV/0!</v>
      </c>
      <c r="BH99" s="1018">
        <f>SUM(BH100:BH111)</f>
        <v>0</v>
      </c>
      <c r="BI99" s="1019" t="str">
        <f>BH99/BH$29</f>
        <v>#DIV/0!</v>
      </c>
      <c r="BJ99" s="1018">
        <f>SUM(BJ100:BJ111)</f>
        <v>0</v>
      </c>
      <c r="BK99" s="1019"/>
      <c r="BL99" s="898">
        <f>SUM(BL100:BL114)</f>
        <v>0</v>
      </c>
      <c r="BM99" s="1065" t="str">
        <f>BL99/BL$29</f>
        <v>#DIV/0!</v>
      </c>
      <c r="BN99" s="1018">
        <f>SUM(BN100:BN111)</f>
        <v>0</v>
      </c>
      <c r="BO99" s="1019" t="str">
        <f>BN99/BN$29</f>
        <v>#DIV/0!</v>
      </c>
      <c r="BP99" s="1018">
        <f>SUM(BP100:BP111)</f>
        <v>0</v>
      </c>
      <c r="BQ99" s="1019"/>
      <c r="BR99" s="898">
        <f>SUM(BR100:BR114)</f>
        <v>0</v>
      </c>
    </row>
    <row r="100" ht="15.75" customHeight="1">
      <c r="A100" s="439"/>
      <c r="B100" s="497"/>
      <c r="C100" s="497" t="s">
        <v>238</v>
      </c>
      <c r="D100" s="167">
        <v>0.0</v>
      </c>
      <c r="E100" s="970">
        <f t="shared" ref="E100:E102" si="154">IFERROR((D100/D$29),"")</f>
        <v>0</v>
      </c>
      <c r="F100" s="89"/>
      <c r="G100" s="41" t="str">
        <f t="shared" ref="G100:G102" si="155">IFERROR((F100/F$29),"")</f>
        <v/>
      </c>
      <c r="H100" s="89">
        <f t="shared" ref="H100:H102" si="156">D100-F100</f>
        <v>0</v>
      </c>
      <c r="I100" s="29"/>
      <c r="J100" s="1066">
        <v>0.0</v>
      </c>
      <c r="K100" s="970">
        <f t="shared" ref="K100:K113" si="157">IFERROR((J100/J$29),"")</f>
        <v>0</v>
      </c>
      <c r="L100" s="89"/>
      <c r="M100" s="41" t="str">
        <f t="shared" ref="M100:M105" si="158">IFERROR((L100/L$29),"")</f>
        <v/>
      </c>
      <c r="N100" s="89">
        <f t="shared" ref="N100:N105" si="159">J100-L100</f>
        <v>0</v>
      </c>
      <c r="O100" s="41"/>
      <c r="P100" s="1061">
        <v>0.0</v>
      </c>
      <c r="Q100" s="972">
        <f t="shared" ref="Q100:Q113" si="160">IFERROR((P100/P$29),"")</f>
        <v>0</v>
      </c>
      <c r="R100" s="89"/>
      <c r="S100" s="41" t="str">
        <f t="shared" ref="S100:S105" si="161">IFERROR((R100/R$29),"")</f>
        <v/>
      </c>
      <c r="T100" s="89">
        <f t="shared" ref="T100:T105" si="162">P100-R100</f>
        <v>0</v>
      </c>
      <c r="U100" s="41"/>
      <c r="V100" s="931"/>
      <c r="W100" s="972" t="str">
        <f t="shared" ref="W100:W113" si="163">IFERROR((V100/V$29),"")</f>
        <v/>
      </c>
      <c r="X100" s="89"/>
      <c r="Y100" s="41" t="str">
        <f t="shared" ref="Y100:Y105" si="164">IFERROR((X100/X$29),"")</f>
        <v/>
      </c>
      <c r="Z100" s="89">
        <f t="shared" ref="Z100:Z105" si="165">V100-X100</f>
        <v>0</v>
      </c>
      <c r="AA100" s="41"/>
      <c r="AB100" s="931"/>
      <c r="AC100" s="972" t="str">
        <f t="shared" ref="AC100:AC113" si="166">IFERROR((AB100/AB$29),"")</f>
        <v/>
      </c>
      <c r="AD100" s="89"/>
      <c r="AE100" s="41" t="str">
        <f t="shared" ref="AE100:AE105" si="167">IFERROR((AD100/AD$29),"")</f>
        <v/>
      </c>
      <c r="AF100" s="89">
        <f t="shared" ref="AF100:AF105" si="168">AB100-AD100</f>
        <v>0</v>
      </c>
      <c r="AG100" s="41"/>
      <c r="AH100" s="931"/>
      <c r="AI100" s="972" t="str">
        <f t="shared" ref="AI100:AI113" si="169">IFERROR((AH100/AH$29),"")</f>
        <v/>
      </c>
      <c r="AJ100" s="89"/>
      <c r="AK100" s="41" t="str">
        <f t="shared" ref="AK100:AK105" si="170">IFERROR((AJ100/AJ$29),"")</f>
        <v/>
      </c>
      <c r="AL100" s="89">
        <f t="shared" ref="AL100:AL105" si="171">AH100-AJ100</f>
        <v>0</v>
      </c>
      <c r="AM100" s="41"/>
      <c r="AN100" s="931"/>
      <c r="AO100" s="972" t="str">
        <f t="shared" ref="AO100:AO113" si="172">IFERROR((AN100/AN$29),"")</f>
        <v/>
      </c>
      <c r="AP100" s="89"/>
      <c r="AQ100" s="41" t="str">
        <f t="shared" ref="AQ100:AQ105" si="173">IFERROR((AP100/AP$29),"")</f>
        <v/>
      </c>
      <c r="AR100" s="89">
        <f t="shared" ref="AR100:AR105" si="174">AN100-AP100</f>
        <v>0</v>
      </c>
      <c r="AS100" s="41"/>
      <c r="AT100" s="931"/>
      <c r="AU100" s="972" t="str">
        <f t="shared" ref="AU100:AU113" si="175">IFERROR((AT100/AT$29),"")</f>
        <v/>
      </c>
      <c r="AV100" s="89"/>
      <c r="AW100" s="41" t="str">
        <f t="shared" ref="AW100:AW105" si="176">IFERROR((AV100/AV$29),"")</f>
        <v/>
      </c>
      <c r="AX100" s="89">
        <f t="shared" ref="AX100:AX105" si="177">AT100-AV100</f>
        <v>0</v>
      </c>
      <c r="AY100" s="41"/>
      <c r="AZ100" s="931"/>
      <c r="BA100" s="972" t="str">
        <f t="shared" ref="BA100:BA113" si="178">IFERROR((AZ100/AZ$29),"")</f>
        <v/>
      </c>
      <c r="BB100" s="89"/>
      <c r="BC100" s="41" t="str">
        <f t="shared" ref="BC100:BC105" si="179">IFERROR((BB100/BB$29),"")</f>
        <v/>
      </c>
      <c r="BD100" s="89">
        <f t="shared" ref="BD100:BD105" si="180">AZ100-BB100</f>
        <v>0</v>
      </c>
      <c r="BE100" s="41"/>
      <c r="BF100" s="931"/>
      <c r="BG100" s="972" t="str">
        <f t="shared" ref="BG100:BG113" si="181">IFERROR((BF100/BF$29),"")</f>
        <v/>
      </c>
      <c r="BH100" s="89"/>
      <c r="BI100" s="41" t="str">
        <f t="shared" ref="BI100:BI105" si="182">IFERROR((BH100/BH$29),"")</f>
        <v/>
      </c>
      <c r="BJ100" s="89">
        <f t="shared" ref="BJ100:BJ105" si="183">BF100-BH100</f>
        <v>0</v>
      </c>
      <c r="BK100" s="41"/>
      <c r="BL100" s="931"/>
      <c r="BM100" s="972" t="str">
        <f t="shared" ref="BM100:BM113" si="184">IFERROR((BL100/BL$29),"")</f>
        <v/>
      </c>
      <c r="BN100" s="89"/>
      <c r="BO100" s="41" t="str">
        <f t="shared" ref="BO100:BO105" si="185">IFERROR((BN100/BN$29),"")</f>
        <v/>
      </c>
      <c r="BP100" s="89">
        <f t="shared" ref="BP100:BP105" si="186">BL100-BN100</f>
        <v>0</v>
      </c>
      <c r="BQ100" s="41"/>
      <c r="BR100" s="931"/>
    </row>
    <row r="101" ht="15.75" customHeight="1">
      <c r="A101" s="439"/>
      <c r="B101" s="465"/>
      <c r="C101" s="465" t="s">
        <v>239</v>
      </c>
      <c r="D101" s="1067">
        <v>72111.0</v>
      </c>
      <c r="E101" s="964">
        <f t="shared" si="154"/>
        <v>0.141247381</v>
      </c>
      <c r="F101" s="96"/>
      <c r="G101" s="64" t="str">
        <f t="shared" si="155"/>
        <v/>
      </c>
      <c r="H101" s="96">
        <f t="shared" si="156"/>
        <v>72111</v>
      </c>
      <c r="I101" s="58"/>
      <c r="J101" s="1056">
        <v>106478.0</v>
      </c>
      <c r="K101" s="1015">
        <f t="shared" si="157"/>
        <v>0.2312406616</v>
      </c>
      <c r="L101" s="96"/>
      <c r="M101" s="64" t="str">
        <f t="shared" si="158"/>
        <v/>
      </c>
      <c r="N101" s="96">
        <f t="shared" si="159"/>
        <v>106478</v>
      </c>
      <c r="O101" s="64"/>
      <c r="P101" s="890">
        <v>72072.0</v>
      </c>
      <c r="Q101" s="1015">
        <f t="shared" si="160"/>
        <v>0.2208203246</v>
      </c>
      <c r="R101" s="96"/>
      <c r="S101" s="64" t="str">
        <f t="shared" si="161"/>
        <v/>
      </c>
      <c r="T101" s="96">
        <f t="shared" si="162"/>
        <v>72072</v>
      </c>
      <c r="U101" s="64"/>
      <c r="V101" s="887"/>
      <c r="W101" s="1015" t="str">
        <f t="shared" si="163"/>
        <v/>
      </c>
      <c r="X101" s="96"/>
      <c r="Y101" s="64" t="str">
        <f t="shared" si="164"/>
        <v/>
      </c>
      <c r="Z101" s="96">
        <f t="shared" si="165"/>
        <v>0</v>
      </c>
      <c r="AA101" s="64"/>
      <c r="AB101" s="887"/>
      <c r="AC101" s="1015" t="str">
        <f t="shared" si="166"/>
        <v/>
      </c>
      <c r="AD101" s="96"/>
      <c r="AE101" s="64" t="str">
        <f t="shared" si="167"/>
        <v/>
      </c>
      <c r="AF101" s="96">
        <f t="shared" si="168"/>
        <v>0</v>
      </c>
      <c r="AG101" s="64"/>
      <c r="AH101" s="887"/>
      <c r="AI101" s="1015" t="str">
        <f t="shared" si="169"/>
        <v/>
      </c>
      <c r="AJ101" s="96"/>
      <c r="AK101" s="64" t="str">
        <f t="shared" si="170"/>
        <v/>
      </c>
      <c r="AL101" s="96">
        <f t="shared" si="171"/>
        <v>0</v>
      </c>
      <c r="AM101" s="64"/>
      <c r="AN101" s="887"/>
      <c r="AO101" s="1015" t="str">
        <f t="shared" si="172"/>
        <v/>
      </c>
      <c r="AP101" s="96"/>
      <c r="AQ101" s="64" t="str">
        <f t="shared" si="173"/>
        <v/>
      </c>
      <c r="AR101" s="96">
        <f t="shared" si="174"/>
        <v>0</v>
      </c>
      <c r="AS101" s="64"/>
      <c r="AT101" s="887"/>
      <c r="AU101" s="1015" t="str">
        <f t="shared" si="175"/>
        <v/>
      </c>
      <c r="AV101" s="96"/>
      <c r="AW101" s="64" t="str">
        <f t="shared" si="176"/>
        <v/>
      </c>
      <c r="AX101" s="96">
        <f t="shared" si="177"/>
        <v>0</v>
      </c>
      <c r="AY101" s="64"/>
      <c r="AZ101" s="887"/>
      <c r="BA101" s="1015" t="str">
        <f t="shared" si="178"/>
        <v/>
      </c>
      <c r="BB101" s="96"/>
      <c r="BC101" s="64" t="str">
        <f t="shared" si="179"/>
        <v/>
      </c>
      <c r="BD101" s="96">
        <f t="shared" si="180"/>
        <v>0</v>
      </c>
      <c r="BE101" s="64"/>
      <c r="BF101" s="887"/>
      <c r="BG101" s="1015" t="str">
        <f t="shared" si="181"/>
        <v/>
      </c>
      <c r="BH101" s="96"/>
      <c r="BI101" s="64" t="str">
        <f t="shared" si="182"/>
        <v/>
      </c>
      <c r="BJ101" s="96">
        <f t="shared" si="183"/>
        <v>0</v>
      </c>
      <c r="BK101" s="64"/>
      <c r="BL101" s="887"/>
      <c r="BM101" s="1015" t="str">
        <f t="shared" si="184"/>
        <v/>
      </c>
      <c r="BN101" s="96"/>
      <c r="BO101" s="64" t="str">
        <f t="shared" si="185"/>
        <v/>
      </c>
      <c r="BP101" s="96">
        <f t="shared" si="186"/>
        <v>0</v>
      </c>
      <c r="BQ101" s="64"/>
      <c r="BR101" s="887"/>
    </row>
    <row r="102" ht="15.75" customHeight="1">
      <c r="A102" s="439"/>
      <c r="B102" s="465"/>
      <c r="C102" s="465" t="s">
        <v>240</v>
      </c>
      <c r="D102" s="200">
        <v>0.0</v>
      </c>
      <c r="E102" s="962">
        <f t="shared" si="154"/>
        <v>0</v>
      </c>
      <c r="F102" s="42"/>
      <c r="G102" s="52" t="str">
        <f t="shared" si="155"/>
        <v/>
      </c>
      <c r="H102" s="42">
        <f t="shared" si="156"/>
        <v>0</v>
      </c>
      <c r="I102" s="46"/>
      <c r="J102" s="39">
        <v>0.0</v>
      </c>
      <c r="K102" s="962">
        <f t="shared" si="157"/>
        <v>0</v>
      </c>
      <c r="L102" s="42"/>
      <c r="M102" s="52" t="str">
        <f t="shared" si="158"/>
        <v/>
      </c>
      <c r="N102" s="42">
        <f t="shared" si="159"/>
        <v>0</v>
      </c>
      <c r="O102" s="52"/>
      <c r="P102" s="923">
        <v>11300.0</v>
      </c>
      <c r="Q102" s="973">
        <f t="shared" si="160"/>
        <v>0.03462190126</v>
      </c>
      <c r="R102" s="42"/>
      <c r="S102" s="52" t="str">
        <f t="shared" si="161"/>
        <v/>
      </c>
      <c r="T102" s="42">
        <f t="shared" si="162"/>
        <v>11300</v>
      </c>
      <c r="U102" s="52"/>
      <c r="V102" s="907"/>
      <c r="W102" s="973" t="str">
        <f t="shared" si="163"/>
        <v/>
      </c>
      <c r="X102" s="42"/>
      <c r="Y102" s="52" t="str">
        <f t="shared" si="164"/>
        <v/>
      </c>
      <c r="Z102" s="42">
        <f t="shared" si="165"/>
        <v>0</v>
      </c>
      <c r="AA102" s="52"/>
      <c r="AB102" s="907"/>
      <c r="AC102" s="973" t="str">
        <f t="shared" si="166"/>
        <v/>
      </c>
      <c r="AD102" s="42"/>
      <c r="AE102" s="52" t="str">
        <f t="shared" si="167"/>
        <v/>
      </c>
      <c r="AF102" s="42">
        <f t="shared" si="168"/>
        <v>0</v>
      </c>
      <c r="AG102" s="52"/>
      <c r="AH102" s="907"/>
      <c r="AI102" s="973" t="str">
        <f t="shared" si="169"/>
        <v/>
      </c>
      <c r="AJ102" s="42"/>
      <c r="AK102" s="52" t="str">
        <f t="shared" si="170"/>
        <v/>
      </c>
      <c r="AL102" s="42">
        <f t="shared" si="171"/>
        <v>0</v>
      </c>
      <c r="AM102" s="52"/>
      <c r="AN102" s="907"/>
      <c r="AO102" s="973" t="str">
        <f t="shared" si="172"/>
        <v/>
      </c>
      <c r="AP102" s="42"/>
      <c r="AQ102" s="52" t="str">
        <f t="shared" si="173"/>
        <v/>
      </c>
      <c r="AR102" s="42">
        <f t="shared" si="174"/>
        <v>0</v>
      </c>
      <c r="AS102" s="52"/>
      <c r="AT102" s="907"/>
      <c r="AU102" s="973" t="str">
        <f t="shared" si="175"/>
        <v/>
      </c>
      <c r="AV102" s="42"/>
      <c r="AW102" s="52" t="str">
        <f t="shared" si="176"/>
        <v/>
      </c>
      <c r="AX102" s="42">
        <f t="shared" si="177"/>
        <v>0</v>
      </c>
      <c r="AY102" s="52"/>
      <c r="AZ102" s="907"/>
      <c r="BA102" s="973" t="str">
        <f t="shared" si="178"/>
        <v/>
      </c>
      <c r="BB102" s="42"/>
      <c r="BC102" s="52" t="str">
        <f t="shared" si="179"/>
        <v/>
      </c>
      <c r="BD102" s="42">
        <f t="shared" si="180"/>
        <v>0</v>
      </c>
      <c r="BE102" s="52"/>
      <c r="BF102" s="907"/>
      <c r="BG102" s="973" t="str">
        <f t="shared" si="181"/>
        <v/>
      </c>
      <c r="BH102" s="42"/>
      <c r="BI102" s="52" t="str">
        <f t="shared" si="182"/>
        <v/>
      </c>
      <c r="BJ102" s="42">
        <f t="shared" si="183"/>
        <v>0</v>
      </c>
      <c r="BK102" s="52"/>
      <c r="BL102" s="907"/>
      <c r="BM102" s="973" t="str">
        <f t="shared" si="184"/>
        <v/>
      </c>
      <c r="BN102" s="42"/>
      <c r="BO102" s="52" t="str">
        <f t="shared" si="185"/>
        <v/>
      </c>
      <c r="BP102" s="42">
        <f t="shared" si="186"/>
        <v>0</v>
      </c>
      <c r="BQ102" s="52"/>
      <c r="BR102" s="907"/>
    </row>
    <row r="103" ht="15.75" customHeight="1">
      <c r="A103" s="439"/>
      <c r="B103" s="465"/>
      <c r="C103" s="465" t="s">
        <v>241</v>
      </c>
      <c r="D103" s="167">
        <v>15000.0</v>
      </c>
      <c r="E103" s="167">
        <v>15000.0</v>
      </c>
      <c r="F103" s="167">
        <v>15000.0</v>
      </c>
      <c r="G103" s="167">
        <v>15000.0</v>
      </c>
      <c r="H103" s="167">
        <v>15000.0</v>
      </c>
      <c r="I103" s="1054">
        <v>15000.0</v>
      </c>
      <c r="J103" s="39">
        <v>15000.0</v>
      </c>
      <c r="K103" s="970">
        <f t="shared" si="157"/>
        <v>0.03257583655</v>
      </c>
      <c r="L103" s="89"/>
      <c r="M103" s="41" t="str">
        <f t="shared" si="158"/>
        <v/>
      </c>
      <c r="N103" s="89">
        <f t="shared" si="159"/>
        <v>15000</v>
      </c>
      <c r="O103" s="41"/>
      <c r="P103" s="923">
        <v>15000.0</v>
      </c>
      <c r="Q103" s="972">
        <f t="shared" si="160"/>
        <v>0.04595827601</v>
      </c>
      <c r="R103" s="89"/>
      <c r="S103" s="41" t="str">
        <f t="shared" si="161"/>
        <v/>
      </c>
      <c r="T103" s="89">
        <f t="shared" si="162"/>
        <v>15000</v>
      </c>
      <c r="U103" s="41"/>
      <c r="V103" s="907"/>
      <c r="W103" s="972" t="str">
        <f t="shared" si="163"/>
        <v/>
      </c>
      <c r="X103" s="89"/>
      <c r="Y103" s="41" t="str">
        <f t="shared" si="164"/>
        <v/>
      </c>
      <c r="Z103" s="89">
        <f t="shared" si="165"/>
        <v>0</v>
      </c>
      <c r="AA103" s="41"/>
      <c r="AB103" s="907"/>
      <c r="AC103" s="972" t="str">
        <f t="shared" si="166"/>
        <v/>
      </c>
      <c r="AD103" s="89"/>
      <c r="AE103" s="41" t="str">
        <f t="shared" si="167"/>
        <v/>
      </c>
      <c r="AF103" s="89">
        <f t="shared" si="168"/>
        <v>0</v>
      </c>
      <c r="AG103" s="41"/>
      <c r="AH103" s="907"/>
      <c r="AI103" s="972" t="str">
        <f t="shared" si="169"/>
        <v/>
      </c>
      <c r="AJ103" s="89"/>
      <c r="AK103" s="41" t="str">
        <f t="shared" si="170"/>
        <v/>
      </c>
      <c r="AL103" s="89">
        <f t="shared" si="171"/>
        <v>0</v>
      </c>
      <c r="AM103" s="41"/>
      <c r="AN103" s="907"/>
      <c r="AO103" s="972" t="str">
        <f t="shared" si="172"/>
        <v/>
      </c>
      <c r="AP103" s="89"/>
      <c r="AQ103" s="41" t="str">
        <f t="shared" si="173"/>
        <v/>
      </c>
      <c r="AR103" s="89">
        <f t="shared" si="174"/>
        <v>0</v>
      </c>
      <c r="AS103" s="41"/>
      <c r="AT103" s="907"/>
      <c r="AU103" s="972" t="str">
        <f t="shared" si="175"/>
        <v/>
      </c>
      <c r="AV103" s="89"/>
      <c r="AW103" s="41" t="str">
        <f t="shared" si="176"/>
        <v/>
      </c>
      <c r="AX103" s="89">
        <f t="shared" si="177"/>
        <v>0</v>
      </c>
      <c r="AY103" s="41"/>
      <c r="AZ103" s="907"/>
      <c r="BA103" s="972" t="str">
        <f t="shared" si="178"/>
        <v/>
      </c>
      <c r="BB103" s="89"/>
      <c r="BC103" s="41" t="str">
        <f t="shared" si="179"/>
        <v/>
      </c>
      <c r="BD103" s="89">
        <f t="shared" si="180"/>
        <v>0</v>
      </c>
      <c r="BE103" s="41"/>
      <c r="BF103" s="907"/>
      <c r="BG103" s="972" t="str">
        <f t="shared" si="181"/>
        <v/>
      </c>
      <c r="BH103" s="89"/>
      <c r="BI103" s="41" t="str">
        <f t="shared" si="182"/>
        <v/>
      </c>
      <c r="BJ103" s="89">
        <f t="shared" si="183"/>
        <v>0</v>
      </c>
      <c r="BK103" s="41"/>
      <c r="BL103" s="907"/>
      <c r="BM103" s="972" t="str">
        <f t="shared" si="184"/>
        <v/>
      </c>
      <c r="BN103" s="89"/>
      <c r="BO103" s="41" t="str">
        <f t="shared" si="185"/>
        <v/>
      </c>
      <c r="BP103" s="89">
        <f t="shared" si="186"/>
        <v>0</v>
      </c>
      <c r="BQ103" s="41"/>
      <c r="BR103" s="907"/>
    </row>
    <row r="104" ht="15.75" customHeight="1">
      <c r="A104" s="439"/>
      <c r="B104" s="465"/>
      <c r="C104" s="465" t="s">
        <v>242</v>
      </c>
      <c r="D104" s="200">
        <v>17785.0</v>
      </c>
      <c r="E104" s="962">
        <f t="shared" ref="E104:E105" si="187">IFERROR((D104/D$29),"")</f>
        <v>0.03483635882</v>
      </c>
      <c r="F104" s="42"/>
      <c r="G104" s="52" t="str">
        <f t="shared" ref="G104:G105" si="188">IFERROR((F104/F$29),"")</f>
        <v/>
      </c>
      <c r="H104" s="42">
        <f t="shared" ref="H104:H105" si="189">D104-F104</f>
        <v>17785</v>
      </c>
      <c r="I104" s="46"/>
      <c r="J104" s="40">
        <v>4500.0</v>
      </c>
      <c r="K104" s="962">
        <f t="shared" si="157"/>
        <v>0.009772750964</v>
      </c>
      <c r="L104" s="42"/>
      <c r="M104" s="52" t="str">
        <f t="shared" si="158"/>
        <v/>
      </c>
      <c r="N104" s="42">
        <f t="shared" si="159"/>
        <v>4500</v>
      </c>
      <c r="O104" s="52"/>
      <c r="P104" s="890">
        <v>16724.0</v>
      </c>
      <c r="Q104" s="973">
        <f t="shared" si="160"/>
        <v>0.05124041387</v>
      </c>
      <c r="R104" s="42"/>
      <c r="S104" s="52" t="str">
        <f t="shared" si="161"/>
        <v/>
      </c>
      <c r="T104" s="42">
        <f t="shared" si="162"/>
        <v>16724</v>
      </c>
      <c r="U104" s="52"/>
      <c r="V104" s="887"/>
      <c r="W104" s="973" t="str">
        <f t="shared" si="163"/>
        <v/>
      </c>
      <c r="X104" s="42"/>
      <c r="Y104" s="52" t="str">
        <f t="shared" si="164"/>
        <v/>
      </c>
      <c r="Z104" s="42">
        <f t="shared" si="165"/>
        <v>0</v>
      </c>
      <c r="AA104" s="52"/>
      <c r="AB104" s="887"/>
      <c r="AC104" s="973" t="str">
        <f t="shared" si="166"/>
        <v/>
      </c>
      <c r="AD104" s="42"/>
      <c r="AE104" s="52" t="str">
        <f t="shared" si="167"/>
        <v/>
      </c>
      <c r="AF104" s="42">
        <f t="shared" si="168"/>
        <v>0</v>
      </c>
      <c r="AG104" s="52"/>
      <c r="AH104" s="887"/>
      <c r="AI104" s="973" t="str">
        <f t="shared" si="169"/>
        <v/>
      </c>
      <c r="AJ104" s="42"/>
      <c r="AK104" s="52" t="str">
        <f t="shared" si="170"/>
        <v/>
      </c>
      <c r="AL104" s="42">
        <f t="shared" si="171"/>
        <v>0</v>
      </c>
      <c r="AM104" s="52"/>
      <c r="AN104" s="887"/>
      <c r="AO104" s="973" t="str">
        <f t="shared" si="172"/>
        <v/>
      </c>
      <c r="AP104" s="42"/>
      <c r="AQ104" s="52" t="str">
        <f t="shared" si="173"/>
        <v/>
      </c>
      <c r="AR104" s="42">
        <f t="shared" si="174"/>
        <v>0</v>
      </c>
      <c r="AS104" s="52"/>
      <c r="AT104" s="887"/>
      <c r="AU104" s="973" t="str">
        <f t="shared" si="175"/>
        <v/>
      </c>
      <c r="AV104" s="42"/>
      <c r="AW104" s="52" t="str">
        <f t="shared" si="176"/>
        <v/>
      </c>
      <c r="AX104" s="42">
        <f t="shared" si="177"/>
        <v>0</v>
      </c>
      <c r="AY104" s="52"/>
      <c r="AZ104" s="887"/>
      <c r="BA104" s="973" t="str">
        <f t="shared" si="178"/>
        <v/>
      </c>
      <c r="BB104" s="42"/>
      <c r="BC104" s="52" t="str">
        <f t="shared" si="179"/>
        <v/>
      </c>
      <c r="BD104" s="42">
        <f t="shared" si="180"/>
        <v>0</v>
      </c>
      <c r="BE104" s="52"/>
      <c r="BF104" s="887"/>
      <c r="BG104" s="973" t="str">
        <f t="shared" si="181"/>
        <v/>
      </c>
      <c r="BH104" s="42"/>
      <c r="BI104" s="52" t="str">
        <f t="shared" si="182"/>
        <v/>
      </c>
      <c r="BJ104" s="42">
        <f t="shared" si="183"/>
        <v>0</v>
      </c>
      <c r="BK104" s="52"/>
      <c r="BL104" s="887"/>
      <c r="BM104" s="973" t="str">
        <f t="shared" si="184"/>
        <v/>
      </c>
      <c r="BN104" s="42"/>
      <c r="BO104" s="52" t="str">
        <f t="shared" si="185"/>
        <v/>
      </c>
      <c r="BP104" s="42">
        <f t="shared" si="186"/>
        <v>0</v>
      </c>
      <c r="BQ104" s="52"/>
      <c r="BR104" s="887"/>
    </row>
    <row r="105" ht="15.75" customHeight="1">
      <c r="A105" s="439"/>
      <c r="B105" s="465"/>
      <c r="C105" s="465" t="s">
        <v>244</v>
      </c>
      <c r="D105" s="1053">
        <v>16821.93</v>
      </c>
      <c r="E105" s="964">
        <f t="shared" si="187"/>
        <v>0.032949946</v>
      </c>
      <c r="F105" s="96"/>
      <c r="G105" s="64" t="str">
        <f t="shared" si="188"/>
        <v/>
      </c>
      <c r="H105" s="96">
        <f t="shared" si="189"/>
        <v>16821.93</v>
      </c>
      <c r="I105" s="58"/>
      <c r="J105" s="1068">
        <v>39901.0</v>
      </c>
      <c r="K105" s="964">
        <f t="shared" si="157"/>
        <v>0.08665389694</v>
      </c>
      <c r="L105" s="96"/>
      <c r="M105" s="64" t="str">
        <f t="shared" si="158"/>
        <v/>
      </c>
      <c r="N105" s="96">
        <f t="shared" si="159"/>
        <v>39901</v>
      </c>
      <c r="O105" s="64"/>
      <c r="P105" s="893">
        <v>18527.0</v>
      </c>
      <c r="Q105" s="1015">
        <f t="shared" si="160"/>
        <v>0.05676459865</v>
      </c>
      <c r="R105" s="96"/>
      <c r="S105" s="64" t="str">
        <f t="shared" si="161"/>
        <v/>
      </c>
      <c r="T105" s="96">
        <f t="shared" si="162"/>
        <v>18527</v>
      </c>
      <c r="U105" s="64"/>
      <c r="V105" s="892"/>
      <c r="W105" s="1015" t="str">
        <f t="shared" si="163"/>
        <v/>
      </c>
      <c r="X105" s="96"/>
      <c r="Y105" s="64" t="str">
        <f t="shared" si="164"/>
        <v/>
      </c>
      <c r="Z105" s="96">
        <f t="shared" si="165"/>
        <v>0</v>
      </c>
      <c r="AA105" s="64"/>
      <c r="AB105" s="892"/>
      <c r="AC105" s="1015" t="str">
        <f t="shared" si="166"/>
        <v/>
      </c>
      <c r="AD105" s="96"/>
      <c r="AE105" s="64" t="str">
        <f t="shared" si="167"/>
        <v/>
      </c>
      <c r="AF105" s="96">
        <f t="shared" si="168"/>
        <v>0</v>
      </c>
      <c r="AG105" s="64"/>
      <c r="AH105" s="892"/>
      <c r="AI105" s="1015" t="str">
        <f t="shared" si="169"/>
        <v/>
      </c>
      <c r="AJ105" s="96"/>
      <c r="AK105" s="64" t="str">
        <f t="shared" si="170"/>
        <v/>
      </c>
      <c r="AL105" s="96">
        <f t="shared" si="171"/>
        <v>0</v>
      </c>
      <c r="AM105" s="64"/>
      <c r="AN105" s="892"/>
      <c r="AO105" s="1015" t="str">
        <f t="shared" si="172"/>
        <v/>
      </c>
      <c r="AP105" s="96"/>
      <c r="AQ105" s="64" t="str">
        <f t="shared" si="173"/>
        <v/>
      </c>
      <c r="AR105" s="96">
        <f t="shared" si="174"/>
        <v>0</v>
      </c>
      <c r="AS105" s="64"/>
      <c r="AT105" s="892"/>
      <c r="AU105" s="1015" t="str">
        <f t="shared" si="175"/>
        <v/>
      </c>
      <c r="AV105" s="96"/>
      <c r="AW105" s="64" t="str">
        <f t="shared" si="176"/>
        <v/>
      </c>
      <c r="AX105" s="96">
        <f t="shared" si="177"/>
        <v>0</v>
      </c>
      <c r="AY105" s="64"/>
      <c r="AZ105" s="892"/>
      <c r="BA105" s="1015" t="str">
        <f t="shared" si="178"/>
        <v/>
      </c>
      <c r="BB105" s="96"/>
      <c r="BC105" s="64" t="str">
        <f t="shared" si="179"/>
        <v/>
      </c>
      <c r="BD105" s="96">
        <f t="shared" si="180"/>
        <v>0</v>
      </c>
      <c r="BE105" s="64"/>
      <c r="BF105" s="892"/>
      <c r="BG105" s="1015" t="str">
        <f t="shared" si="181"/>
        <v/>
      </c>
      <c r="BH105" s="96"/>
      <c r="BI105" s="64" t="str">
        <f t="shared" si="182"/>
        <v/>
      </c>
      <c r="BJ105" s="96">
        <f t="shared" si="183"/>
        <v>0</v>
      </c>
      <c r="BK105" s="64"/>
      <c r="BL105" s="892"/>
      <c r="BM105" s="1015" t="str">
        <f t="shared" si="184"/>
        <v/>
      </c>
      <c r="BN105" s="96"/>
      <c r="BO105" s="64" t="str">
        <f t="shared" si="185"/>
        <v/>
      </c>
      <c r="BP105" s="96">
        <f t="shared" si="186"/>
        <v>0</v>
      </c>
      <c r="BQ105" s="64"/>
      <c r="BR105" s="892"/>
    </row>
    <row r="106" ht="15.75" customHeight="1">
      <c r="A106" s="439"/>
      <c r="B106" s="465"/>
      <c r="C106" s="465" t="s">
        <v>243</v>
      </c>
      <c r="D106" s="1059">
        <v>45363.0</v>
      </c>
      <c r="E106" s="200">
        <v>2163.3333333333335</v>
      </c>
      <c r="F106" s="200">
        <v>2163.3333333333335</v>
      </c>
      <c r="G106" s="200">
        <v>2163.3333333333335</v>
      </c>
      <c r="H106" s="200">
        <v>2163.3333333333335</v>
      </c>
      <c r="I106" s="1060">
        <v>2163.3333333333335</v>
      </c>
      <c r="J106" s="1056">
        <v>45363.0</v>
      </c>
      <c r="K106" s="964">
        <f t="shared" si="157"/>
        <v>0.09851584489</v>
      </c>
      <c r="L106" s="42"/>
      <c r="M106" s="52"/>
      <c r="N106" s="52"/>
      <c r="O106" s="52"/>
      <c r="P106" s="890">
        <v>45363.0</v>
      </c>
      <c r="Q106" s="1015">
        <f t="shared" si="160"/>
        <v>0.1389870183</v>
      </c>
      <c r="R106" s="42"/>
      <c r="S106" s="52"/>
      <c r="T106" s="52"/>
      <c r="U106" s="52"/>
      <c r="V106" s="887"/>
      <c r="W106" s="1015" t="str">
        <f t="shared" si="163"/>
        <v/>
      </c>
      <c r="X106" s="42"/>
      <c r="Y106" s="52"/>
      <c r="Z106" s="52"/>
      <c r="AA106" s="52"/>
      <c r="AB106" s="887"/>
      <c r="AC106" s="1015" t="str">
        <f t="shared" si="166"/>
        <v/>
      </c>
      <c r="AD106" s="42"/>
      <c r="AE106" s="52"/>
      <c r="AF106" s="52"/>
      <c r="AG106" s="52"/>
      <c r="AH106" s="887"/>
      <c r="AI106" s="1015" t="str">
        <f t="shared" si="169"/>
        <v/>
      </c>
      <c r="AJ106" s="42"/>
      <c r="AK106" s="52"/>
      <c r="AL106" s="52"/>
      <c r="AM106" s="52"/>
      <c r="AN106" s="887"/>
      <c r="AO106" s="1015" t="str">
        <f t="shared" si="172"/>
        <v/>
      </c>
      <c r="AP106" s="42"/>
      <c r="AQ106" s="52"/>
      <c r="AR106" s="52"/>
      <c r="AS106" s="52"/>
      <c r="AT106" s="887"/>
      <c r="AU106" s="1015" t="str">
        <f t="shared" si="175"/>
        <v/>
      </c>
      <c r="AV106" s="42"/>
      <c r="AW106" s="52"/>
      <c r="AX106" s="52"/>
      <c r="AY106" s="52"/>
      <c r="AZ106" s="887"/>
      <c r="BA106" s="1015" t="str">
        <f t="shared" si="178"/>
        <v/>
      </c>
      <c r="BB106" s="42"/>
      <c r="BC106" s="52"/>
      <c r="BD106" s="52"/>
      <c r="BE106" s="52"/>
      <c r="BF106" s="887"/>
      <c r="BG106" s="1015" t="str">
        <f t="shared" si="181"/>
        <v/>
      </c>
      <c r="BH106" s="42"/>
      <c r="BI106" s="52"/>
      <c r="BJ106" s="52"/>
      <c r="BK106" s="52"/>
      <c r="BL106" s="887"/>
      <c r="BM106" s="1015" t="str">
        <f t="shared" si="184"/>
        <v/>
      </c>
      <c r="BN106" s="42"/>
      <c r="BO106" s="52"/>
      <c r="BP106" s="52"/>
      <c r="BQ106" s="52"/>
      <c r="BR106" s="887"/>
    </row>
    <row r="107" ht="15.75" customHeight="1">
      <c r="A107" s="439"/>
      <c r="B107" s="465"/>
      <c r="C107" s="465" t="s">
        <v>246</v>
      </c>
      <c r="D107" s="167">
        <v>0.0</v>
      </c>
      <c r="E107" s="970">
        <f t="shared" ref="E107:E113" si="190">IFERROR((D107/D$29),"")</f>
        <v>0</v>
      </c>
      <c r="F107" s="89"/>
      <c r="G107" s="41" t="str">
        <f t="shared" ref="G107:G112" si="191">IFERROR((F107/F$29),"")</f>
        <v/>
      </c>
      <c r="H107" s="89">
        <f t="shared" ref="H107:H113" si="192">D107-F107</f>
        <v>0</v>
      </c>
      <c r="I107" s="29"/>
      <c r="J107" s="39">
        <v>0.0</v>
      </c>
      <c r="K107" s="970">
        <f t="shared" si="157"/>
        <v>0</v>
      </c>
      <c r="L107" s="89"/>
      <c r="M107" s="41" t="str">
        <f t="shared" ref="M107:M112" si="193">IFERROR((L107/L$29),"")</f>
        <v/>
      </c>
      <c r="N107" s="89">
        <f t="shared" ref="N107:N113" si="194">J107-L107</f>
        <v>0</v>
      </c>
      <c r="O107" s="41"/>
      <c r="P107" s="923">
        <v>0.0</v>
      </c>
      <c r="Q107" s="972">
        <f t="shared" si="160"/>
        <v>0</v>
      </c>
      <c r="R107" s="89"/>
      <c r="S107" s="41" t="str">
        <f t="shared" ref="S107:S112" si="195">IFERROR((R107/R$29),"")</f>
        <v/>
      </c>
      <c r="T107" s="89">
        <f t="shared" ref="T107:T113" si="196">P107-R107</f>
        <v>0</v>
      </c>
      <c r="U107" s="41"/>
      <c r="V107" s="907"/>
      <c r="W107" s="972" t="str">
        <f t="shared" si="163"/>
        <v/>
      </c>
      <c r="X107" s="89"/>
      <c r="Y107" s="41" t="str">
        <f t="shared" ref="Y107:Y112" si="197">IFERROR((X107/X$29),"")</f>
        <v/>
      </c>
      <c r="Z107" s="89">
        <f t="shared" ref="Z107:Z113" si="198">V107-X107</f>
        <v>0</v>
      </c>
      <c r="AA107" s="41"/>
      <c r="AB107" s="907"/>
      <c r="AC107" s="972" t="str">
        <f t="shared" si="166"/>
        <v/>
      </c>
      <c r="AD107" s="89"/>
      <c r="AE107" s="41" t="str">
        <f t="shared" ref="AE107:AE112" si="199">IFERROR((AD107/AD$29),"")</f>
        <v/>
      </c>
      <c r="AF107" s="89">
        <f t="shared" ref="AF107:AF113" si="200">AB107-AD107</f>
        <v>0</v>
      </c>
      <c r="AG107" s="41"/>
      <c r="AH107" s="907"/>
      <c r="AI107" s="972" t="str">
        <f t="shared" si="169"/>
        <v/>
      </c>
      <c r="AJ107" s="89"/>
      <c r="AK107" s="41" t="str">
        <f t="shared" ref="AK107:AK112" si="201">IFERROR((AJ107/AJ$29),"")</f>
        <v/>
      </c>
      <c r="AL107" s="89">
        <f t="shared" ref="AL107:AL113" si="202">AH107-AJ107</f>
        <v>0</v>
      </c>
      <c r="AM107" s="41"/>
      <c r="AN107" s="907"/>
      <c r="AO107" s="972" t="str">
        <f t="shared" si="172"/>
        <v/>
      </c>
      <c r="AP107" s="89"/>
      <c r="AQ107" s="41" t="str">
        <f t="shared" ref="AQ107:AQ112" si="203">IFERROR((AP107/AP$29),"")</f>
        <v/>
      </c>
      <c r="AR107" s="89">
        <f t="shared" ref="AR107:AR113" si="204">AN107-AP107</f>
        <v>0</v>
      </c>
      <c r="AS107" s="41"/>
      <c r="AT107" s="907"/>
      <c r="AU107" s="972" t="str">
        <f t="shared" si="175"/>
        <v/>
      </c>
      <c r="AV107" s="89"/>
      <c r="AW107" s="41" t="str">
        <f t="shared" ref="AW107:AW112" si="205">IFERROR((AV107/AV$29),"")</f>
        <v/>
      </c>
      <c r="AX107" s="89">
        <f t="shared" ref="AX107:AX113" si="206">AT107-AV107</f>
        <v>0</v>
      </c>
      <c r="AY107" s="41"/>
      <c r="AZ107" s="907"/>
      <c r="BA107" s="972" t="str">
        <f t="shared" si="178"/>
        <v/>
      </c>
      <c r="BB107" s="89"/>
      <c r="BC107" s="41" t="str">
        <f t="shared" ref="BC107:BC112" si="207">IFERROR((BB107/BB$29),"")</f>
        <v/>
      </c>
      <c r="BD107" s="89">
        <f t="shared" ref="BD107:BD113" si="208">AZ107-BB107</f>
        <v>0</v>
      </c>
      <c r="BE107" s="41"/>
      <c r="BF107" s="907"/>
      <c r="BG107" s="972" t="str">
        <f t="shared" si="181"/>
        <v/>
      </c>
      <c r="BH107" s="89"/>
      <c r="BI107" s="41" t="str">
        <f t="shared" ref="BI107:BI112" si="209">IFERROR((BH107/BH$29),"")</f>
        <v/>
      </c>
      <c r="BJ107" s="89">
        <f t="shared" ref="BJ107:BJ113" si="210">BF107-BH107</f>
        <v>0</v>
      </c>
      <c r="BK107" s="41"/>
      <c r="BL107" s="907"/>
      <c r="BM107" s="972" t="str">
        <f t="shared" si="184"/>
        <v/>
      </c>
      <c r="BN107" s="89"/>
      <c r="BO107" s="41" t="str">
        <f t="shared" ref="BO107:BO112" si="211">IFERROR((BN107/BN$29),"")</f>
        <v/>
      </c>
      <c r="BP107" s="89">
        <f t="shared" ref="BP107:BP113" si="212">BL107-BN107</f>
        <v>0</v>
      </c>
      <c r="BQ107" s="41"/>
      <c r="BR107" s="907"/>
    </row>
    <row r="108" ht="15.75" customHeight="1">
      <c r="A108" s="439"/>
      <c r="B108" s="465"/>
      <c r="C108" s="465" t="s">
        <v>247</v>
      </c>
      <c r="D108" s="200">
        <v>0.0</v>
      </c>
      <c r="E108" s="962">
        <f t="shared" si="190"/>
        <v>0</v>
      </c>
      <c r="F108" s="42"/>
      <c r="G108" s="52" t="str">
        <f t="shared" si="191"/>
        <v/>
      </c>
      <c r="H108" s="42">
        <f t="shared" si="192"/>
        <v>0</v>
      </c>
      <c r="I108" s="46"/>
      <c r="J108" s="40">
        <v>0.0</v>
      </c>
      <c r="K108" s="962">
        <f t="shared" si="157"/>
        <v>0</v>
      </c>
      <c r="L108" s="42"/>
      <c r="M108" s="52" t="str">
        <f t="shared" si="193"/>
        <v/>
      </c>
      <c r="N108" s="42">
        <f t="shared" si="194"/>
        <v>0</v>
      </c>
      <c r="O108" s="52"/>
      <c r="P108" s="890">
        <v>0.0</v>
      </c>
      <c r="Q108" s="973">
        <f t="shared" si="160"/>
        <v>0</v>
      </c>
      <c r="R108" s="42"/>
      <c r="S108" s="52" t="str">
        <f t="shared" si="195"/>
        <v/>
      </c>
      <c r="T108" s="42">
        <f t="shared" si="196"/>
        <v>0</v>
      </c>
      <c r="U108" s="52"/>
      <c r="V108" s="887"/>
      <c r="W108" s="973" t="str">
        <f t="shared" si="163"/>
        <v/>
      </c>
      <c r="X108" s="42"/>
      <c r="Y108" s="52" t="str">
        <f t="shared" si="197"/>
        <v/>
      </c>
      <c r="Z108" s="42">
        <f t="shared" si="198"/>
        <v>0</v>
      </c>
      <c r="AA108" s="52"/>
      <c r="AB108" s="887"/>
      <c r="AC108" s="973" t="str">
        <f t="shared" si="166"/>
        <v/>
      </c>
      <c r="AD108" s="42"/>
      <c r="AE108" s="52" t="str">
        <f t="shared" si="199"/>
        <v/>
      </c>
      <c r="AF108" s="42">
        <f t="shared" si="200"/>
        <v>0</v>
      </c>
      <c r="AG108" s="52"/>
      <c r="AH108" s="887"/>
      <c r="AI108" s="973" t="str">
        <f t="shared" si="169"/>
        <v/>
      </c>
      <c r="AJ108" s="42"/>
      <c r="AK108" s="52" t="str">
        <f t="shared" si="201"/>
        <v/>
      </c>
      <c r="AL108" s="42">
        <f t="shared" si="202"/>
        <v>0</v>
      </c>
      <c r="AM108" s="52"/>
      <c r="AN108" s="887"/>
      <c r="AO108" s="973" t="str">
        <f t="shared" si="172"/>
        <v/>
      </c>
      <c r="AP108" s="42"/>
      <c r="AQ108" s="52" t="str">
        <f t="shared" si="203"/>
        <v/>
      </c>
      <c r="AR108" s="42">
        <f t="shared" si="204"/>
        <v>0</v>
      </c>
      <c r="AS108" s="52"/>
      <c r="AT108" s="887"/>
      <c r="AU108" s="973" t="str">
        <f t="shared" si="175"/>
        <v/>
      </c>
      <c r="AV108" s="42"/>
      <c r="AW108" s="52" t="str">
        <f t="shared" si="205"/>
        <v/>
      </c>
      <c r="AX108" s="42">
        <f t="shared" si="206"/>
        <v>0</v>
      </c>
      <c r="AY108" s="52"/>
      <c r="AZ108" s="887"/>
      <c r="BA108" s="973" t="str">
        <f t="shared" si="178"/>
        <v/>
      </c>
      <c r="BB108" s="42"/>
      <c r="BC108" s="52" t="str">
        <f t="shared" si="207"/>
        <v/>
      </c>
      <c r="BD108" s="42">
        <f t="shared" si="208"/>
        <v>0</v>
      </c>
      <c r="BE108" s="52"/>
      <c r="BF108" s="887"/>
      <c r="BG108" s="973" t="str">
        <f t="shared" si="181"/>
        <v/>
      </c>
      <c r="BH108" s="42"/>
      <c r="BI108" s="52" t="str">
        <f t="shared" si="209"/>
        <v/>
      </c>
      <c r="BJ108" s="42">
        <f t="shared" si="210"/>
        <v>0</v>
      </c>
      <c r="BK108" s="52"/>
      <c r="BL108" s="887"/>
      <c r="BM108" s="973" t="str">
        <f t="shared" si="184"/>
        <v/>
      </c>
      <c r="BN108" s="42"/>
      <c r="BO108" s="52" t="str">
        <f t="shared" si="211"/>
        <v/>
      </c>
      <c r="BP108" s="42">
        <f t="shared" si="212"/>
        <v>0</v>
      </c>
      <c r="BQ108" s="52"/>
      <c r="BR108" s="887"/>
    </row>
    <row r="109" ht="15.75" customHeight="1">
      <c r="A109" s="439"/>
      <c r="B109" s="465"/>
      <c r="C109" s="465" t="s">
        <v>248</v>
      </c>
      <c r="D109" s="200">
        <v>3094.0</v>
      </c>
      <c r="E109" s="962">
        <f t="shared" si="190"/>
        <v>0.006060370773</v>
      </c>
      <c r="F109" s="42"/>
      <c r="G109" s="52" t="str">
        <f t="shared" si="191"/>
        <v/>
      </c>
      <c r="H109" s="42">
        <f t="shared" si="192"/>
        <v>3094</v>
      </c>
      <c r="I109" s="46"/>
      <c r="J109" s="40">
        <v>4456.0</v>
      </c>
      <c r="K109" s="962">
        <f t="shared" si="157"/>
        <v>0.009677195177</v>
      </c>
      <c r="L109" s="42"/>
      <c r="M109" s="52" t="str">
        <f t="shared" si="193"/>
        <v/>
      </c>
      <c r="N109" s="42">
        <f t="shared" si="194"/>
        <v>4456</v>
      </c>
      <c r="O109" s="52"/>
      <c r="P109" s="890">
        <v>6620.0</v>
      </c>
      <c r="Q109" s="973">
        <f t="shared" si="160"/>
        <v>0.02028291915</v>
      </c>
      <c r="R109" s="42"/>
      <c r="S109" s="52" t="str">
        <f t="shared" si="195"/>
        <v/>
      </c>
      <c r="T109" s="42">
        <f t="shared" si="196"/>
        <v>6620</v>
      </c>
      <c r="U109" s="52"/>
      <c r="V109" s="887"/>
      <c r="W109" s="973" t="str">
        <f t="shared" si="163"/>
        <v/>
      </c>
      <c r="X109" s="42"/>
      <c r="Y109" s="52" t="str">
        <f t="shared" si="197"/>
        <v/>
      </c>
      <c r="Z109" s="42">
        <f t="shared" si="198"/>
        <v>0</v>
      </c>
      <c r="AA109" s="52"/>
      <c r="AB109" s="887"/>
      <c r="AC109" s="973" t="str">
        <f t="shared" si="166"/>
        <v/>
      </c>
      <c r="AD109" s="42"/>
      <c r="AE109" s="52" t="str">
        <f t="shared" si="199"/>
        <v/>
      </c>
      <c r="AF109" s="42">
        <f t="shared" si="200"/>
        <v>0</v>
      </c>
      <c r="AG109" s="52"/>
      <c r="AH109" s="887"/>
      <c r="AI109" s="973" t="str">
        <f t="shared" si="169"/>
        <v/>
      </c>
      <c r="AJ109" s="42"/>
      <c r="AK109" s="52" t="str">
        <f t="shared" si="201"/>
        <v/>
      </c>
      <c r="AL109" s="42">
        <f t="shared" si="202"/>
        <v>0</v>
      </c>
      <c r="AM109" s="52"/>
      <c r="AN109" s="887"/>
      <c r="AO109" s="973" t="str">
        <f t="shared" si="172"/>
        <v/>
      </c>
      <c r="AP109" s="42"/>
      <c r="AQ109" s="52" t="str">
        <f t="shared" si="203"/>
        <v/>
      </c>
      <c r="AR109" s="42">
        <f t="shared" si="204"/>
        <v>0</v>
      </c>
      <c r="AS109" s="52"/>
      <c r="AT109" s="887"/>
      <c r="AU109" s="973" t="str">
        <f t="shared" si="175"/>
        <v/>
      </c>
      <c r="AV109" s="42"/>
      <c r="AW109" s="52" t="str">
        <f t="shared" si="205"/>
        <v/>
      </c>
      <c r="AX109" s="42">
        <f t="shared" si="206"/>
        <v>0</v>
      </c>
      <c r="AY109" s="52"/>
      <c r="AZ109" s="887"/>
      <c r="BA109" s="973" t="str">
        <f t="shared" si="178"/>
        <v/>
      </c>
      <c r="BB109" s="42"/>
      <c r="BC109" s="52" t="str">
        <f t="shared" si="207"/>
        <v/>
      </c>
      <c r="BD109" s="42">
        <f t="shared" si="208"/>
        <v>0</v>
      </c>
      <c r="BE109" s="52"/>
      <c r="BF109" s="887"/>
      <c r="BG109" s="973" t="str">
        <f t="shared" si="181"/>
        <v/>
      </c>
      <c r="BH109" s="42"/>
      <c r="BI109" s="52" t="str">
        <f t="shared" si="209"/>
        <v/>
      </c>
      <c r="BJ109" s="42">
        <f t="shared" si="210"/>
        <v>0</v>
      </c>
      <c r="BK109" s="52"/>
      <c r="BL109" s="887"/>
      <c r="BM109" s="973" t="str">
        <f t="shared" si="184"/>
        <v/>
      </c>
      <c r="BN109" s="42"/>
      <c r="BO109" s="52" t="str">
        <f t="shared" si="211"/>
        <v/>
      </c>
      <c r="BP109" s="42">
        <f t="shared" si="212"/>
        <v>0</v>
      </c>
      <c r="BQ109" s="52"/>
      <c r="BR109" s="887"/>
    </row>
    <row r="110" ht="15.75" customHeight="1">
      <c r="A110" s="439"/>
      <c r="B110" s="465"/>
      <c r="C110" s="465" t="s">
        <v>249</v>
      </c>
      <c r="D110" s="200">
        <v>0.0</v>
      </c>
      <c r="E110" s="962">
        <f t="shared" si="190"/>
        <v>0</v>
      </c>
      <c r="F110" s="42"/>
      <c r="G110" s="52" t="str">
        <f t="shared" si="191"/>
        <v/>
      </c>
      <c r="H110" s="42">
        <f t="shared" si="192"/>
        <v>0</v>
      </c>
      <c r="I110" s="46"/>
      <c r="J110" s="40">
        <v>0.0</v>
      </c>
      <c r="K110" s="962">
        <f t="shared" si="157"/>
        <v>0</v>
      </c>
      <c r="L110" s="42"/>
      <c r="M110" s="52" t="str">
        <f t="shared" si="193"/>
        <v/>
      </c>
      <c r="N110" s="42">
        <f t="shared" si="194"/>
        <v>0</v>
      </c>
      <c r="O110" s="52"/>
      <c r="P110" s="890">
        <v>0.0</v>
      </c>
      <c r="Q110" s="973">
        <f t="shared" si="160"/>
        <v>0</v>
      </c>
      <c r="R110" s="42"/>
      <c r="S110" s="52" t="str">
        <f t="shared" si="195"/>
        <v/>
      </c>
      <c r="T110" s="42">
        <f t="shared" si="196"/>
        <v>0</v>
      </c>
      <c r="U110" s="52"/>
      <c r="V110" s="887"/>
      <c r="W110" s="973" t="str">
        <f t="shared" si="163"/>
        <v/>
      </c>
      <c r="X110" s="42"/>
      <c r="Y110" s="52" t="str">
        <f t="shared" si="197"/>
        <v/>
      </c>
      <c r="Z110" s="42">
        <f t="shared" si="198"/>
        <v>0</v>
      </c>
      <c r="AA110" s="52"/>
      <c r="AB110" s="887"/>
      <c r="AC110" s="973" t="str">
        <f t="shared" si="166"/>
        <v/>
      </c>
      <c r="AD110" s="42"/>
      <c r="AE110" s="52" t="str">
        <f t="shared" si="199"/>
        <v/>
      </c>
      <c r="AF110" s="42">
        <f t="shared" si="200"/>
        <v>0</v>
      </c>
      <c r="AG110" s="52"/>
      <c r="AH110" s="887"/>
      <c r="AI110" s="973" t="str">
        <f t="shared" si="169"/>
        <v/>
      </c>
      <c r="AJ110" s="42"/>
      <c r="AK110" s="52" t="str">
        <f t="shared" si="201"/>
        <v/>
      </c>
      <c r="AL110" s="42">
        <f t="shared" si="202"/>
        <v>0</v>
      </c>
      <c r="AM110" s="52"/>
      <c r="AN110" s="887"/>
      <c r="AO110" s="973" t="str">
        <f t="shared" si="172"/>
        <v/>
      </c>
      <c r="AP110" s="42"/>
      <c r="AQ110" s="52" t="str">
        <f t="shared" si="203"/>
        <v/>
      </c>
      <c r="AR110" s="42">
        <f t="shared" si="204"/>
        <v>0</v>
      </c>
      <c r="AS110" s="52"/>
      <c r="AT110" s="887"/>
      <c r="AU110" s="973" t="str">
        <f t="shared" si="175"/>
        <v/>
      </c>
      <c r="AV110" s="42"/>
      <c r="AW110" s="52" t="str">
        <f t="shared" si="205"/>
        <v/>
      </c>
      <c r="AX110" s="42">
        <f t="shared" si="206"/>
        <v>0</v>
      </c>
      <c r="AY110" s="52"/>
      <c r="AZ110" s="887"/>
      <c r="BA110" s="973" t="str">
        <f t="shared" si="178"/>
        <v/>
      </c>
      <c r="BB110" s="42"/>
      <c r="BC110" s="52" t="str">
        <f t="shared" si="207"/>
        <v/>
      </c>
      <c r="BD110" s="42">
        <f t="shared" si="208"/>
        <v>0</v>
      </c>
      <c r="BE110" s="52"/>
      <c r="BF110" s="887"/>
      <c r="BG110" s="973" t="str">
        <f t="shared" si="181"/>
        <v/>
      </c>
      <c r="BH110" s="42"/>
      <c r="BI110" s="52" t="str">
        <f t="shared" si="209"/>
        <v/>
      </c>
      <c r="BJ110" s="42">
        <f t="shared" si="210"/>
        <v>0</v>
      </c>
      <c r="BK110" s="52"/>
      <c r="BL110" s="887"/>
      <c r="BM110" s="973" t="str">
        <f t="shared" si="184"/>
        <v/>
      </c>
      <c r="BN110" s="42"/>
      <c r="BO110" s="52" t="str">
        <f t="shared" si="211"/>
        <v/>
      </c>
      <c r="BP110" s="42">
        <f t="shared" si="212"/>
        <v>0</v>
      </c>
      <c r="BQ110" s="52"/>
      <c r="BR110" s="887"/>
    </row>
    <row r="111" ht="15.75" customHeight="1">
      <c r="A111" s="439"/>
      <c r="B111" s="465"/>
      <c r="C111" s="465" t="s">
        <v>306</v>
      </c>
      <c r="D111" s="200">
        <v>0.0</v>
      </c>
      <c r="E111" s="962">
        <f t="shared" si="190"/>
        <v>0</v>
      </c>
      <c r="F111" s="42"/>
      <c r="G111" s="52" t="str">
        <f t="shared" si="191"/>
        <v/>
      </c>
      <c r="H111" s="42">
        <f t="shared" si="192"/>
        <v>0</v>
      </c>
      <c r="I111" s="46"/>
      <c r="J111" s="40">
        <v>0.0</v>
      </c>
      <c r="K111" s="962">
        <f t="shared" si="157"/>
        <v>0</v>
      </c>
      <c r="L111" s="42"/>
      <c r="M111" s="52" t="str">
        <f t="shared" si="193"/>
        <v/>
      </c>
      <c r="N111" s="42">
        <f t="shared" si="194"/>
        <v>0</v>
      </c>
      <c r="O111" s="52"/>
      <c r="P111" s="890">
        <v>0.0</v>
      </c>
      <c r="Q111" s="973">
        <f t="shared" si="160"/>
        <v>0</v>
      </c>
      <c r="R111" s="42"/>
      <c r="S111" s="52" t="str">
        <f t="shared" si="195"/>
        <v/>
      </c>
      <c r="T111" s="42">
        <f t="shared" si="196"/>
        <v>0</v>
      </c>
      <c r="U111" s="52"/>
      <c r="V111" s="887"/>
      <c r="W111" s="973" t="str">
        <f t="shared" si="163"/>
        <v/>
      </c>
      <c r="X111" s="42"/>
      <c r="Y111" s="52" t="str">
        <f t="shared" si="197"/>
        <v/>
      </c>
      <c r="Z111" s="42">
        <f t="shared" si="198"/>
        <v>0</v>
      </c>
      <c r="AA111" s="52"/>
      <c r="AB111" s="887"/>
      <c r="AC111" s="973" t="str">
        <f t="shared" si="166"/>
        <v/>
      </c>
      <c r="AD111" s="42"/>
      <c r="AE111" s="52" t="str">
        <f t="shared" si="199"/>
        <v/>
      </c>
      <c r="AF111" s="42">
        <f t="shared" si="200"/>
        <v>0</v>
      </c>
      <c r="AG111" s="52"/>
      <c r="AH111" s="887"/>
      <c r="AI111" s="973" t="str">
        <f t="shared" si="169"/>
        <v/>
      </c>
      <c r="AJ111" s="42"/>
      <c r="AK111" s="52" t="str">
        <f t="shared" si="201"/>
        <v/>
      </c>
      <c r="AL111" s="42">
        <f t="shared" si="202"/>
        <v>0</v>
      </c>
      <c r="AM111" s="52"/>
      <c r="AN111" s="887"/>
      <c r="AO111" s="973" t="str">
        <f t="shared" si="172"/>
        <v/>
      </c>
      <c r="AP111" s="42"/>
      <c r="AQ111" s="52" t="str">
        <f t="shared" si="203"/>
        <v/>
      </c>
      <c r="AR111" s="42">
        <f t="shared" si="204"/>
        <v>0</v>
      </c>
      <c r="AS111" s="52"/>
      <c r="AT111" s="887"/>
      <c r="AU111" s="973" t="str">
        <f t="shared" si="175"/>
        <v/>
      </c>
      <c r="AV111" s="42"/>
      <c r="AW111" s="52" t="str">
        <f t="shared" si="205"/>
        <v/>
      </c>
      <c r="AX111" s="42">
        <f t="shared" si="206"/>
        <v>0</v>
      </c>
      <c r="AY111" s="52"/>
      <c r="AZ111" s="887"/>
      <c r="BA111" s="973" t="str">
        <f t="shared" si="178"/>
        <v/>
      </c>
      <c r="BB111" s="42"/>
      <c r="BC111" s="52" t="str">
        <f t="shared" si="207"/>
        <v/>
      </c>
      <c r="BD111" s="42">
        <f t="shared" si="208"/>
        <v>0</v>
      </c>
      <c r="BE111" s="52"/>
      <c r="BF111" s="887"/>
      <c r="BG111" s="973" t="str">
        <f t="shared" si="181"/>
        <v/>
      </c>
      <c r="BH111" s="42"/>
      <c r="BI111" s="52" t="str">
        <f t="shared" si="209"/>
        <v/>
      </c>
      <c r="BJ111" s="42">
        <f t="shared" si="210"/>
        <v>0</v>
      </c>
      <c r="BK111" s="52"/>
      <c r="BL111" s="887"/>
      <c r="BM111" s="973" t="str">
        <f t="shared" si="184"/>
        <v/>
      </c>
      <c r="BN111" s="42"/>
      <c r="BO111" s="52" t="str">
        <f t="shared" si="211"/>
        <v/>
      </c>
      <c r="BP111" s="42">
        <f t="shared" si="212"/>
        <v>0</v>
      </c>
      <c r="BQ111" s="52"/>
      <c r="BR111" s="887"/>
    </row>
    <row r="112" ht="15.75" customHeight="1">
      <c r="A112" s="439"/>
      <c r="B112" s="465"/>
      <c r="C112" s="465" t="s">
        <v>348</v>
      </c>
      <c r="D112" s="200">
        <v>0.0</v>
      </c>
      <c r="E112" s="962">
        <f t="shared" si="190"/>
        <v>0</v>
      </c>
      <c r="F112" s="42"/>
      <c r="G112" s="52" t="str">
        <f t="shared" si="191"/>
        <v/>
      </c>
      <c r="H112" s="42">
        <f t="shared" si="192"/>
        <v>0</v>
      </c>
      <c r="I112" s="46"/>
      <c r="J112" s="40">
        <v>17715.0</v>
      </c>
      <c r="K112" s="962">
        <f t="shared" si="157"/>
        <v>0.03847206296</v>
      </c>
      <c r="L112" s="42"/>
      <c r="M112" s="52" t="str">
        <f t="shared" si="193"/>
        <v/>
      </c>
      <c r="N112" s="42">
        <f t="shared" si="194"/>
        <v>17715</v>
      </c>
      <c r="O112" s="52"/>
      <c r="P112" s="890">
        <v>12282.0</v>
      </c>
      <c r="Q112" s="973">
        <f t="shared" si="160"/>
        <v>0.0376306364</v>
      </c>
      <c r="R112" s="42"/>
      <c r="S112" s="52" t="str">
        <f t="shared" si="195"/>
        <v/>
      </c>
      <c r="T112" s="42">
        <f t="shared" si="196"/>
        <v>12282</v>
      </c>
      <c r="U112" s="52"/>
      <c r="V112" s="887"/>
      <c r="W112" s="973" t="str">
        <f t="shared" si="163"/>
        <v/>
      </c>
      <c r="X112" s="42"/>
      <c r="Y112" s="52" t="str">
        <f t="shared" si="197"/>
        <v/>
      </c>
      <c r="Z112" s="42">
        <f t="shared" si="198"/>
        <v>0</v>
      </c>
      <c r="AA112" s="52"/>
      <c r="AB112" s="887"/>
      <c r="AC112" s="973" t="str">
        <f t="shared" si="166"/>
        <v/>
      </c>
      <c r="AD112" s="42"/>
      <c r="AE112" s="52" t="str">
        <f t="shared" si="199"/>
        <v/>
      </c>
      <c r="AF112" s="42">
        <f t="shared" si="200"/>
        <v>0</v>
      </c>
      <c r="AG112" s="52"/>
      <c r="AH112" s="887"/>
      <c r="AI112" s="973" t="str">
        <f t="shared" si="169"/>
        <v/>
      </c>
      <c r="AJ112" s="42"/>
      <c r="AK112" s="52" t="str">
        <f t="shared" si="201"/>
        <v/>
      </c>
      <c r="AL112" s="42">
        <f t="shared" si="202"/>
        <v>0</v>
      </c>
      <c r="AM112" s="52"/>
      <c r="AN112" s="887"/>
      <c r="AO112" s="973" t="str">
        <f t="shared" si="172"/>
        <v/>
      </c>
      <c r="AP112" s="42"/>
      <c r="AQ112" s="52" t="str">
        <f t="shared" si="203"/>
        <v/>
      </c>
      <c r="AR112" s="42">
        <f t="shared" si="204"/>
        <v>0</v>
      </c>
      <c r="AS112" s="52"/>
      <c r="AT112" s="887"/>
      <c r="AU112" s="973" t="str">
        <f t="shared" si="175"/>
        <v/>
      </c>
      <c r="AV112" s="42"/>
      <c r="AW112" s="52" t="str">
        <f t="shared" si="205"/>
        <v/>
      </c>
      <c r="AX112" s="42">
        <f t="shared" si="206"/>
        <v>0</v>
      </c>
      <c r="AY112" s="52"/>
      <c r="AZ112" s="887"/>
      <c r="BA112" s="973" t="str">
        <f t="shared" si="178"/>
        <v/>
      </c>
      <c r="BB112" s="42"/>
      <c r="BC112" s="52" t="str">
        <f t="shared" si="207"/>
        <v/>
      </c>
      <c r="BD112" s="42">
        <f t="shared" si="208"/>
        <v>0</v>
      </c>
      <c r="BE112" s="52"/>
      <c r="BF112" s="887"/>
      <c r="BG112" s="973" t="str">
        <f t="shared" si="181"/>
        <v/>
      </c>
      <c r="BH112" s="42"/>
      <c r="BI112" s="52" t="str">
        <f t="shared" si="209"/>
        <v/>
      </c>
      <c r="BJ112" s="42">
        <f t="shared" si="210"/>
        <v>0</v>
      </c>
      <c r="BK112" s="52"/>
      <c r="BL112" s="887"/>
      <c r="BM112" s="973" t="str">
        <f t="shared" si="184"/>
        <v/>
      </c>
      <c r="BN112" s="42"/>
      <c r="BO112" s="52" t="str">
        <f t="shared" si="211"/>
        <v/>
      </c>
      <c r="BP112" s="42">
        <f t="shared" si="212"/>
        <v>0</v>
      </c>
      <c r="BQ112" s="52"/>
      <c r="BR112" s="887"/>
    </row>
    <row r="113" ht="15.75" customHeight="1">
      <c r="A113" s="439"/>
      <c r="B113" s="465"/>
      <c r="C113" s="465" t="s">
        <v>281</v>
      </c>
      <c r="D113" s="200">
        <v>0.0</v>
      </c>
      <c r="E113" s="962">
        <f t="shared" si="190"/>
        <v>0</v>
      </c>
      <c r="F113" s="42"/>
      <c r="G113" s="52"/>
      <c r="H113" s="42">
        <f t="shared" si="192"/>
        <v>0</v>
      </c>
      <c r="I113" s="46"/>
      <c r="J113" s="1056">
        <v>0.0</v>
      </c>
      <c r="K113" s="962">
        <f t="shared" si="157"/>
        <v>0</v>
      </c>
      <c r="L113" s="42"/>
      <c r="M113" s="52"/>
      <c r="N113" s="42">
        <f t="shared" si="194"/>
        <v>0</v>
      </c>
      <c r="O113" s="52"/>
      <c r="P113" s="890">
        <v>0.0</v>
      </c>
      <c r="Q113" s="973">
        <f t="shared" si="160"/>
        <v>0</v>
      </c>
      <c r="R113" s="42"/>
      <c r="S113" s="52"/>
      <c r="T113" s="42">
        <f t="shared" si="196"/>
        <v>0</v>
      </c>
      <c r="U113" s="52"/>
      <c r="V113" s="887"/>
      <c r="W113" s="973" t="str">
        <f t="shared" si="163"/>
        <v/>
      </c>
      <c r="X113" s="42"/>
      <c r="Y113" s="52"/>
      <c r="Z113" s="42">
        <f t="shared" si="198"/>
        <v>0</v>
      </c>
      <c r="AA113" s="52"/>
      <c r="AB113" s="887"/>
      <c r="AC113" s="973" t="str">
        <f t="shared" si="166"/>
        <v/>
      </c>
      <c r="AD113" s="42"/>
      <c r="AE113" s="52"/>
      <c r="AF113" s="42">
        <f t="shared" si="200"/>
        <v>0</v>
      </c>
      <c r="AG113" s="52"/>
      <c r="AH113" s="887"/>
      <c r="AI113" s="973" t="str">
        <f t="shared" si="169"/>
        <v/>
      </c>
      <c r="AJ113" s="42"/>
      <c r="AK113" s="52"/>
      <c r="AL113" s="42">
        <f t="shared" si="202"/>
        <v>0</v>
      </c>
      <c r="AM113" s="52"/>
      <c r="AN113" s="887"/>
      <c r="AO113" s="973" t="str">
        <f t="shared" si="172"/>
        <v/>
      </c>
      <c r="AP113" s="42"/>
      <c r="AQ113" s="52"/>
      <c r="AR113" s="42">
        <f t="shared" si="204"/>
        <v>0</v>
      </c>
      <c r="AS113" s="52"/>
      <c r="AT113" s="887"/>
      <c r="AU113" s="973" t="str">
        <f t="shared" si="175"/>
        <v/>
      </c>
      <c r="AV113" s="42"/>
      <c r="AW113" s="52"/>
      <c r="AX113" s="42">
        <f t="shared" si="206"/>
        <v>0</v>
      </c>
      <c r="AY113" s="52"/>
      <c r="AZ113" s="887"/>
      <c r="BA113" s="973" t="str">
        <f t="shared" si="178"/>
        <v/>
      </c>
      <c r="BB113" s="42"/>
      <c r="BC113" s="52"/>
      <c r="BD113" s="42">
        <f t="shared" si="208"/>
        <v>0</v>
      </c>
      <c r="BE113" s="52"/>
      <c r="BF113" s="887"/>
      <c r="BG113" s="973" t="str">
        <f t="shared" si="181"/>
        <v/>
      </c>
      <c r="BH113" s="42"/>
      <c r="BI113" s="52"/>
      <c r="BJ113" s="42">
        <f t="shared" si="210"/>
        <v>0</v>
      </c>
      <c r="BK113" s="52"/>
      <c r="BL113" s="887"/>
      <c r="BM113" s="973" t="str">
        <f t="shared" si="184"/>
        <v/>
      </c>
      <c r="BN113" s="42"/>
      <c r="BO113" s="52"/>
      <c r="BP113" s="42">
        <f t="shared" si="212"/>
        <v>0</v>
      </c>
      <c r="BQ113" s="52"/>
      <c r="BR113" s="887"/>
    </row>
    <row r="114" ht="15.75" customHeight="1">
      <c r="A114" s="439"/>
      <c r="B114" s="483"/>
      <c r="C114" s="483"/>
      <c r="D114" s="1053"/>
      <c r="E114" s="964"/>
      <c r="F114" s="96"/>
      <c r="G114" s="64"/>
      <c r="H114" s="64"/>
      <c r="I114" s="58"/>
      <c r="J114" s="63"/>
      <c r="K114" s="964"/>
      <c r="L114" s="96"/>
      <c r="M114" s="64"/>
      <c r="N114" s="64"/>
      <c r="O114" s="64"/>
      <c r="P114" s="892"/>
      <c r="Q114" s="1015"/>
      <c r="R114" s="96"/>
      <c r="S114" s="64"/>
      <c r="T114" s="64"/>
      <c r="U114" s="64"/>
      <c r="V114" s="892"/>
      <c r="W114" s="1015"/>
      <c r="X114" s="96"/>
      <c r="Y114" s="64"/>
      <c r="Z114" s="64"/>
      <c r="AA114" s="64"/>
      <c r="AB114" s="892"/>
      <c r="AC114" s="1015"/>
      <c r="AD114" s="96"/>
      <c r="AE114" s="64"/>
      <c r="AF114" s="64"/>
      <c r="AG114" s="64"/>
      <c r="AH114" s="892"/>
      <c r="AI114" s="1015"/>
      <c r="AJ114" s="96"/>
      <c r="AK114" s="64"/>
      <c r="AL114" s="64"/>
      <c r="AM114" s="64"/>
      <c r="AN114" s="892"/>
      <c r="AO114" s="1015"/>
      <c r="AP114" s="96"/>
      <c r="AQ114" s="64"/>
      <c r="AR114" s="64"/>
      <c r="AS114" s="64"/>
      <c r="AT114" s="892"/>
      <c r="AU114" s="1015"/>
      <c r="AV114" s="96"/>
      <c r="AW114" s="64"/>
      <c r="AX114" s="64"/>
      <c r="AY114" s="64"/>
      <c r="AZ114" s="892"/>
      <c r="BA114" s="1015"/>
      <c r="BB114" s="96"/>
      <c r="BC114" s="64"/>
      <c r="BD114" s="64"/>
      <c r="BE114" s="64"/>
      <c r="BF114" s="892"/>
      <c r="BG114" s="1015"/>
      <c r="BH114" s="96"/>
      <c r="BI114" s="64"/>
      <c r="BJ114" s="64"/>
      <c r="BK114" s="64"/>
      <c r="BL114" s="892"/>
      <c r="BM114" s="1015"/>
      <c r="BN114" s="96"/>
      <c r="BO114" s="64"/>
      <c r="BP114" s="64"/>
      <c r="BQ114" s="64"/>
      <c r="BR114" s="892"/>
    </row>
    <row r="115" ht="15.75" customHeight="1">
      <c r="A115" s="439"/>
      <c r="B115" s="493"/>
      <c r="C115" s="511" t="s">
        <v>41</v>
      </c>
      <c r="D115" s="1016">
        <f>SUM(D116:D117)</f>
        <v>0</v>
      </c>
      <c r="E115" s="1064"/>
      <c r="F115" s="1018">
        <f>SUM(F116:F117)</f>
        <v>0</v>
      </c>
      <c r="G115" s="1019"/>
      <c r="H115" s="1018">
        <f>SUM(H116:H117)</f>
        <v>0</v>
      </c>
      <c r="I115" s="1020"/>
      <c r="J115" s="142">
        <f>SUM(J116:J117)</f>
        <v>0</v>
      </c>
      <c r="K115" s="1064"/>
      <c r="L115" s="1018">
        <f>SUM(L116:L117)</f>
        <v>0</v>
      </c>
      <c r="M115" s="1019"/>
      <c r="N115" s="1018">
        <f>SUM(N116:N117)</f>
        <v>0</v>
      </c>
      <c r="O115" s="1019"/>
      <c r="P115" s="898">
        <f>SUM(P116:P117)</f>
        <v>0</v>
      </c>
      <c r="Q115" s="1065"/>
      <c r="R115" s="1018">
        <f>SUM(R116:R117)</f>
        <v>0</v>
      </c>
      <c r="S115" s="1019"/>
      <c r="T115" s="1018">
        <f>SUM(T116:T117)</f>
        <v>0</v>
      </c>
      <c r="U115" s="1019"/>
      <c r="V115" s="898">
        <f>SUM(V116:V117)</f>
        <v>0</v>
      </c>
      <c r="W115" s="1065"/>
      <c r="X115" s="1018">
        <f>SUM(X116:X117)</f>
        <v>0</v>
      </c>
      <c r="Y115" s="1019"/>
      <c r="Z115" s="1018">
        <f>SUM(Z116:Z117)</f>
        <v>0</v>
      </c>
      <c r="AA115" s="1019"/>
      <c r="AB115" s="898">
        <f>SUM(AB116:AB117)</f>
        <v>0</v>
      </c>
      <c r="AC115" s="1065"/>
      <c r="AD115" s="1018">
        <f>SUM(AD116:AD117)</f>
        <v>0</v>
      </c>
      <c r="AE115" s="1019"/>
      <c r="AF115" s="1018">
        <f>SUM(AF116:AF117)</f>
        <v>0</v>
      </c>
      <c r="AG115" s="1019"/>
      <c r="AH115" s="898">
        <f>SUM(AH116:AH117)</f>
        <v>0</v>
      </c>
      <c r="AI115" s="1065"/>
      <c r="AJ115" s="1018">
        <f>SUM(AJ116:AJ117)</f>
        <v>0</v>
      </c>
      <c r="AK115" s="1019"/>
      <c r="AL115" s="1018">
        <f>SUM(AL116:AL117)</f>
        <v>0</v>
      </c>
      <c r="AM115" s="1019"/>
      <c r="AN115" s="898">
        <f>SUM(AN116:AN117)</f>
        <v>0</v>
      </c>
      <c r="AO115" s="1065"/>
      <c r="AP115" s="1018">
        <f>SUM(AP116:AP117)</f>
        <v>0</v>
      </c>
      <c r="AQ115" s="1019"/>
      <c r="AR115" s="1018">
        <f>SUM(AR116:AR117)</f>
        <v>0</v>
      </c>
      <c r="AS115" s="1019"/>
      <c r="AT115" s="898">
        <f>SUM(AT116:AT117)</f>
        <v>0</v>
      </c>
      <c r="AU115" s="1065"/>
      <c r="AV115" s="1018">
        <f>SUM(AV116:AV117)</f>
        <v>0</v>
      </c>
      <c r="AW115" s="1019"/>
      <c r="AX115" s="1018">
        <f>SUM(AX116:AX117)</f>
        <v>0</v>
      </c>
      <c r="AY115" s="1019"/>
      <c r="AZ115" s="898">
        <f>SUM(AZ116:AZ117)</f>
        <v>0</v>
      </c>
      <c r="BA115" s="1065"/>
      <c r="BB115" s="1018">
        <f>SUM(BB116:BB117)</f>
        <v>0</v>
      </c>
      <c r="BC115" s="1019"/>
      <c r="BD115" s="1018">
        <f>SUM(BD116:BD117)</f>
        <v>0</v>
      </c>
      <c r="BE115" s="1019"/>
      <c r="BF115" s="898">
        <f>SUM(BF116:BF117)</f>
        <v>0</v>
      </c>
      <c r="BG115" s="1065"/>
      <c r="BH115" s="1018">
        <f>SUM(BH116:BH117)</f>
        <v>0</v>
      </c>
      <c r="BI115" s="1019"/>
      <c r="BJ115" s="1018">
        <f>SUM(BJ116:BJ117)</f>
        <v>0</v>
      </c>
      <c r="BK115" s="1019"/>
      <c r="BL115" s="898">
        <f>SUM(BL116:BL117)</f>
        <v>0</v>
      </c>
      <c r="BM115" s="1065"/>
      <c r="BN115" s="1018">
        <f>SUM(BN116:BN117)</f>
        <v>0</v>
      </c>
      <c r="BO115" s="1019"/>
      <c r="BP115" s="1018">
        <f>SUM(BP116:BP117)</f>
        <v>0</v>
      </c>
      <c r="BQ115" s="1019"/>
      <c r="BR115" s="898">
        <f>SUM(BR116:BR117)</f>
        <v>0</v>
      </c>
    </row>
    <row r="116" ht="15.75" customHeight="1">
      <c r="A116" s="439"/>
      <c r="B116" s="497"/>
      <c r="C116" s="497" t="s">
        <v>250</v>
      </c>
      <c r="D116" s="167">
        <v>0.0</v>
      </c>
      <c r="E116" s="970">
        <f t="shared" ref="E116:E117" si="213">IFERROR((D116/D$29),"")</f>
        <v>0</v>
      </c>
      <c r="F116" s="89"/>
      <c r="G116" s="41"/>
      <c r="H116" s="89">
        <f t="shared" ref="H116:H117" si="214">D116-F116</f>
        <v>0</v>
      </c>
      <c r="I116" s="29"/>
      <c r="J116" s="39">
        <v>0.0</v>
      </c>
      <c r="K116" s="970">
        <f t="shared" ref="K116:K117" si="215">IFERROR((J116/J$29),"")</f>
        <v>0</v>
      </c>
      <c r="L116" s="89"/>
      <c r="M116" s="41"/>
      <c r="N116" s="89">
        <f t="shared" ref="N116:N117" si="216">J116-L116</f>
        <v>0</v>
      </c>
      <c r="O116" s="41"/>
      <c r="P116" s="907">
        <v>0.0</v>
      </c>
      <c r="Q116" s="972">
        <f t="shared" ref="Q116:Q117" si="217">IFERROR((P116/P$29),"")</f>
        <v>0</v>
      </c>
      <c r="R116" s="89"/>
      <c r="S116" s="41"/>
      <c r="T116" s="89">
        <f t="shared" ref="T116:T117" si="218">P116-R116</f>
        <v>0</v>
      </c>
      <c r="U116" s="41"/>
      <c r="V116" s="907">
        <v>0.0</v>
      </c>
      <c r="W116" s="972" t="str">
        <f t="shared" ref="W116:W117" si="219">IFERROR((V116/V$29),"")</f>
        <v/>
      </c>
      <c r="X116" s="89"/>
      <c r="Y116" s="41"/>
      <c r="Z116" s="89">
        <f t="shared" ref="Z116:Z117" si="220">V116-X116</f>
        <v>0</v>
      </c>
      <c r="AA116" s="41"/>
      <c r="AB116" s="907">
        <v>0.0</v>
      </c>
      <c r="AC116" s="972" t="str">
        <f t="shared" ref="AC116:AC117" si="221">IFERROR((AB116/AB$29),"")</f>
        <v/>
      </c>
      <c r="AD116" s="89"/>
      <c r="AE116" s="41"/>
      <c r="AF116" s="89">
        <f t="shared" ref="AF116:AF117" si="222">AB116-AD116</f>
        <v>0</v>
      </c>
      <c r="AG116" s="41"/>
      <c r="AH116" s="907">
        <v>0.0</v>
      </c>
      <c r="AI116" s="972" t="str">
        <f t="shared" ref="AI116:AI117" si="223">IFERROR((AH116/AH$29),"")</f>
        <v/>
      </c>
      <c r="AJ116" s="89"/>
      <c r="AK116" s="41"/>
      <c r="AL116" s="89">
        <f t="shared" ref="AL116:AL117" si="224">AH116-AJ116</f>
        <v>0</v>
      </c>
      <c r="AM116" s="41"/>
      <c r="AN116" s="907">
        <v>0.0</v>
      </c>
      <c r="AO116" s="972" t="str">
        <f t="shared" ref="AO116:AO117" si="225">IFERROR((AN116/AN$29),"")</f>
        <v/>
      </c>
      <c r="AP116" s="89"/>
      <c r="AQ116" s="41"/>
      <c r="AR116" s="89">
        <f t="shared" ref="AR116:AR117" si="226">AN116-AP116</f>
        <v>0</v>
      </c>
      <c r="AS116" s="41"/>
      <c r="AT116" s="907">
        <v>0.0</v>
      </c>
      <c r="AU116" s="972" t="str">
        <f t="shared" ref="AU116:AU117" si="227">IFERROR((AT116/AT$29),"")</f>
        <v/>
      </c>
      <c r="AV116" s="89"/>
      <c r="AW116" s="41"/>
      <c r="AX116" s="89">
        <f t="shared" ref="AX116:AX117" si="228">AT116-AV116</f>
        <v>0</v>
      </c>
      <c r="AY116" s="41"/>
      <c r="AZ116" s="907">
        <v>0.0</v>
      </c>
      <c r="BA116" s="972" t="str">
        <f t="shared" ref="BA116:BA117" si="229">IFERROR((AZ116/AZ$29),"")</f>
        <v/>
      </c>
      <c r="BB116" s="89"/>
      <c r="BC116" s="41"/>
      <c r="BD116" s="89">
        <f t="shared" ref="BD116:BD117" si="230">AZ116-BB116</f>
        <v>0</v>
      </c>
      <c r="BE116" s="41"/>
      <c r="BF116" s="907">
        <v>0.0</v>
      </c>
      <c r="BG116" s="972" t="str">
        <f t="shared" ref="BG116:BG117" si="231">IFERROR((BF116/BF$29),"")</f>
        <v/>
      </c>
      <c r="BH116" s="89"/>
      <c r="BI116" s="41"/>
      <c r="BJ116" s="89">
        <f t="shared" ref="BJ116:BJ117" si="232">BF116-BH116</f>
        <v>0</v>
      </c>
      <c r="BK116" s="41"/>
      <c r="BL116" s="907">
        <v>0.0</v>
      </c>
      <c r="BM116" s="972" t="str">
        <f t="shared" ref="BM116:BM117" si="233">IFERROR((BL116/BL$29),"")</f>
        <v/>
      </c>
      <c r="BN116" s="89"/>
      <c r="BO116" s="41"/>
      <c r="BP116" s="89">
        <f t="shared" ref="BP116:BP117" si="234">BL116-BN116</f>
        <v>0</v>
      </c>
      <c r="BQ116" s="41"/>
      <c r="BR116" s="907">
        <v>0.0</v>
      </c>
    </row>
    <row r="117" ht="15.75" customHeight="1">
      <c r="A117" s="439"/>
      <c r="B117" s="465"/>
      <c r="C117" s="465" t="s">
        <v>41</v>
      </c>
      <c r="D117" s="200">
        <v>0.0</v>
      </c>
      <c r="E117" s="962">
        <f t="shared" si="213"/>
        <v>0</v>
      </c>
      <c r="F117" s="42"/>
      <c r="G117" s="52"/>
      <c r="H117" s="42">
        <f t="shared" si="214"/>
        <v>0</v>
      </c>
      <c r="I117" s="46"/>
      <c r="J117" s="40">
        <v>0.0</v>
      </c>
      <c r="K117" s="962">
        <f t="shared" si="215"/>
        <v>0</v>
      </c>
      <c r="L117" s="42"/>
      <c r="M117" s="52"/>
      <c r="N117" s="42">
        <f t="shared" si="216"/>
        <v>0</v>
      </c>
      <c r="O117" s="52"/>
      <c r="P117" s="887">
        <v>0.0</v>
      </c>
      <c r="Q117" s="973">
        <f t="shared" si="217"/>
        <v>0</v>
      </c>
      <c r="R117" s="42"/>
      <c r="S117" s="52"/>
      <c r="T117" s="42">
        <f t="shared" si="218"/>
        <v>0</v>
      </c>
      <c r="U117" s="52"/>
      <c r="V117" s="887">
        <v>0.0</v>
      </c>
      <c r="W117" s="973" t="str">
        <f t="shared" si="219"/>
        <v/>
      </c>
      <c r="X117" s="42"/>
      <c r="Y117" s="52"/>
      <c r="Z117" s="42">
        <f t="shared" si="220"/>
        <v>0</v>
      </c>
      <c r="AA117" s="52"/>
      <c r="AB117" s="887">
        <v>0.0</v>
      </c>
      <c r="AC117" s="973" t="str">
        <f t="shared" si="221"/>
        <v/>
      </c>
      <c r="AD117" s="42"/>
      <c r="AE117" s="52"/>
      <c r="AF117" s="42">
        <f t="shared" si="222"/>
        <v>0</v>
      </c>
      <c r="AG117" s="52"/>
      <c r="AH117" s="887">
        <v>0.0</v>
      </c>
      <c r="AI117" s="973" t="str">
        <f t="shared" si="223"/>
        <v/>
      </c>
      <c r="AJ117" s="42"/>
      <c r="AK117" s="52"/>
      <c r="AL117" s="42">
        <f t="shared" si="224"/>
        <v>0</v>
      </c>
      <c r="AM117" s="52"/>
      <c r="AN117" s="887">
        <v>0.0</v>
      </c>
      <c r="AO117" s="973" t="str">
        <f t="shared" si="225"/>
        <v/>
      </c>
      <c r="AP117" s="42"/>
      <c r="AQ117" s="52"/>
      <c r="AR117" s="42">
        <f t="shared" si="226"/>
        <v>0</v>
      </c>
      <c r="AS117" s="52"/>
      <c r="AT117" s="887">
        <v>0.0</v>
      </c>
      <c r="AU117" s="973" t="str">
        <f t="shared" si="227"/>
        <v/>
      </c>
      <c r="AV117" s="42"/>
      <c r="AW117" s="52"/>
      <c r="AX117" s="42">
        <f t="shared" si="228"/>
        <v>0</v>
      </c>
      <c r="AY117" s="52"/>
      <c r="AZ117" s="887">
        <v>0.0</v>
      </c>
      <c r="BA117" s="973" t="str">
        <f t="shared" si="229"/>
        <v/>
      </c>
      <c r="BB117" s="42"/>
      <c r="BC117" s="52"/>
      <c r="BD117" s="42">
        <f t="shared" si="230"/>
        <v>0</v>
      </c>
      <c r="BE117" s="52"/>
      <c r="BF117" s="887">
        <v>0.0</v>
      </c>
      <c r="BG117" s="973" t="str">
        <f t="shared" si="231"/>
        <v/>
      </c>
      <c r="BH117" s="42"/>
      <c r="BI117" s="52"/>
      <c r="BJ117" s="42">
        <f t="shared" si="232"/>
        <v>0</v>
      </c>
      <c r="BK117" s="52"/>
      <c r="BL117" s="887">
        <v>0.0</v>
      </c>
      <c r="BM117" s="973" t="str">
        <f t="shared" si="233"/>
        <v/>
      </c>
      <c r="BN117" s="42"/>
      <c r="BO117" s="52"/>
      <c r="BP117" s="42">
        <f t="shared" si="234"/>
        <v>0</v>
      </c>
      <c r="BQ117" s="52"/>
      <c r="BR117" s="887">
        <v>0.0</v>
      </c>
    </row>
    <row r="118" ht="15.75" customHeight="1">
      <c r="A118" s="439"/>
      <c r="B118" s="483"/>
      <c r="C118" s="483"/>
      <c r="D118" s="1053"/>
      <c r="E118" s="964"/>
      <c r="F118" s="96"/>
      <c r="G118" s="64"/>
      <c r="H118" s="64"/>
      <c r="I118" s="58"/>
      <c r="J118" s="63"/>
      <c r="K118" s="964"/>
      <c r="L118" s="96"/>
      <c r="M118" s="64"/>
      <c r="N118" s="64"/>
      <c r="O118" s="64"/>
      <c r="P118" s="892"/>
      <c r="Q118" s="1015"/>
      <c r="R118" s="96"/>
      <c r="S118" s="64"/>
      <c r="T118" s="64"/>
      <c r="U118" s="64"/>
      <c r="V118" s="892"/>
      <c r="W118" s="1015"/>
      <c r="X118" s="96"/>
      <c r="Y118" s="64"/>
      <c r="Z118" s="64"/>
      <c r="AA118" s="64"/>
      <c r="AB118" s="892"/>
      <c r="AC118" s="1015"/>
      <c r="AD118" s="96"/>
      <c r="AE118" s="64"/>
      <c r="AF118" s="64"/>
      <c r="AG118" s="64"/>
      <c r="AH118" s="892"/>
      <c r="AI118" s="1015"/>
      <c r="AJ118" s="96"/>
      <c r="AK118" s="64"/>
      <c r="AL118" s="64"/>
      <c r="AM118" s="64"/>
      <c r="AN118" s="892"/>
      <c r="AO118" s="1015"/>
      <c r="AP118" s="96"/>
      <c r="AQ118" s="64"/>
      <c r="AR118" s="64"/>
      <c r="AS118" s="64"/>
      <c r="AT118" s="892"/>
      <c r="AU118" s="1015"/>
      <c r="AV118" s="96"/>
      <c r="AW118" s="64"/>
      <c r="AX118" s="64"/>
      <c r="AY118" s="64"/>
      <c r="AZ118" s="892"/>
      <c r="BA118" s="1015"/>
      <c r="BB118" s="96"/>
      <c r="BC118" s="64"/>
      <c r="BD118" s="64"/>
      <c r="BE118" s="64"/>
      <c r="BF118" s="892"/>
      <c r="BG118" s="1015"/>
      <c r="BH118" s="96"/>
      <c r="BI118" s="64"/>
      <c r="BJ118" s="64"/>
      <c r="BK118" s="64"/>
      <c r="BL118" s="892"/>
      <c r="BM118" s="1015"/>
      <c r="BN118" s="96"/>
      <c r="BO118" s="64"/>
      <c r="BP118" s="64"/>
      <c r="BQ118" s="64"/>
      <c r="BR118" s="892"/>
    </row>
    <row r="119" ht="15.75" customHeight="1">
      <c r="A119" s="439"/>
      <c r="B119" s="493"/>
      <c r="C119" s="511" t="s">
        <v>42</v>
      </c>
      <c r="D119" s="1016">
        <f>SUM(D120:D121)</f>
        <v>-2093916</v>
      </c>
      <c r="E119" s="1064"/>
      <c r="F119" s="1018">
        <f>SUM(F120:F121)</f>
        <v>0</v>
      </c>
      <c r="G119" s="1019"/>
      <c r="H119" s="1018">
        <f>SUM(H120:H121)</f>
        <v>-2093916</v>
      </c>
      <c r="I119" s="1020"/>
      <c r="J119" s="142">
        <f>SUM(J120:J121)</f>
        <v>-2206981</v>
      </c>
      <c r="K119" s="1064"/>
      <c r="L119" s="1018">
        <f>SUM(L120:L121)</f>
        <v>0</v>
      </c>
      <c r="M119" s="1019"/>
      <c r="N119" s="1018">
        <f>SUM(N120:N121)</f>
        <v>-2206981</v>
      </c>
      <c r="O119" s="1019"/>
      <c r="P119" s="898">
        <f>SUM(P120:P121)</f>
        <v>-1970719</v>
      </c>
      <c r="Q119" s="1065"/>
      <c r="R119" s="1018">
        <f>SUM(R120:R121)</f>
        <v>0</v>
      </c>
      <c r="S119" s="1019"/>
      <c r="T119" s="1018">
        <f>SUM(T120:T121)</f>
        <v>-1970719</v>
      </c>
      <c r="U119" s="1019"/>
      <c r="V119" s="898">
        <f>SUM(V120:V121)</f>
        <v>0</v>
      </c>
      <c r="W119" s="1065"/>
      <c r="X119" s="1018">
        <f>SUM(X120:X121)</f>
        <v>0</v>
      </c>
      <c r="Y119" s="1019"/>
      <c r="Z119" s="1018">
        <f>SUM(Z120:Z121)</f>
        <v>0</v>
      </c>
      <c r="AA119" s="1019"/>
      <c r="AB119" s="898">
        <f>SUM(AB120:AB121)</f>
        <v>0</v>
      </c>
      <c r="AC119" s="1065"/>
      <c r="AD119" s="1018">
        <f>SUM(AD120:AD121)</f>
        <v>0</v>
      </c>
      <c r="AE119" s="1019"/>
      <c r="AF119" s="1018">
        <f>SUM(AF120:AF121)</f>
        <v>0</v>
      </c>
      <c r="AG119" s="1019"/>
      <c r="AH119" s="898">
        <f>SUM(AH120:AH121)</f>
        <v>0</v>
      </c>
      <c r="AI119" s="1065"/>
      <c r="AJ119" s="1018">
        <f>SUM(AJ120:AJ121)</f>
        <v>0</v>
      </c>
      <c r="AK119" s="1019"/>
      <c r="AL119" s="1018">
        <f>SUM(AL120:AL121)</f>
        <v>0</v>
      </c>
      <c r="AM119" s="1019"/>
      <c r="AN119" s="898">
        <f>SUM(AN120:AN121)</f>
        <v>0</v>
      </c>
      <c r="AO119" s="1065"/>
      <c r="AP119" s="1018">
        <f>SUM(AP120:AP121)</f>
        <v>0</v>
      </c>
      <c r="AQ119" s="1019"/>
      <c r="AR119" s="1018">
        <f>SUM(AR120:AR121)</f>
        <v>0</v>
      </c>
      <c r="AS119" s="1019"/>
      <c r="AT119" s="898">
        <f>SUM(AT120:AT121)</f>
        <v>0</v>
      </c>
      <c r="AU119" s="1065"/>
      <c r="AV119" s="1018">
        <f>SUM(AV120:AV121)</f>
        <v>0</v>
      </c>
      <c r="AW119" s="1019"/>
      <c r="AX119" s="1018">
        <f>SUM(AX120:AX121)</f>
        <v>0</v>
      </c>
      <c r="AY119" s="1019"/>
      <c r="AZ119" s="898">
        <f>SUM(AZ120:AZ121)</f>
        <v>0</v>
      </c>
      <c r="BA119" s="1065"/>
      <c r="BB119" s="1018">
        <f>SUM(BB120:BB121)</f>
        <v>0</v>
      </c>
      <c r="BC119" s="1019"/>
      <c r="BD119" s="1018">
        <f>SUM(BD120:BD121)</f>
        <v>0</v>
      </c>
      <c r="BE119" s="1019"/>
      <c r="BF119" s="898">
        <f>SUM(BF120:BF121)</f>
        <v>0</v>
      </c>
      <c r="BG119" s="1065"/>
      <c r="BH119" s="1018">
        <f>SUM(BH120:BH121)</f>
        <v>0</v>
      </c>
      <c r="BI119" s="1019"/>
      <c r="BJ119" s="1018">
        <f>SUM(BJ120:BJ121)</f>
        <v>0</v>
      </c>
      <c r="BK119" s="1019"/>
      <c r="BL119" s="898">
        <f>SUM(BL120:BL121)</f>
        <v>0</v>
      </c>
      <c r="BM119" s="1065"/>
      <c r="BN119" s="1018">
        <f>SUM(BN120:BN121)</f>
        <v>0</v>
      </c>
      <c r="BO119" s="1019"/>
      <c r="BP119" s="1018">
        <f>SUM(BP120:BP121)</f>
        <v>0</v>
      </c>
      <c r="BQ119" s="1019"/>
      <c r="BR119" s="898">
        <f>SUM(BR120:BR121)</f>
        <v>0</v>
      </c>
    </row>
    <row r="120" ht="15.75" customHeight="1">
      <c r="A120" s="439"/>
      <c r="B120" s="497"/>
      <c r="C120" s="497" t="s">
        <v>349</v>
      </c>
      <c r="D120" s="1058">
        <v>-2093916.0</v>
      </c>
      <c r="E120" s="970">
        <f t="shared" ref="E120:E121" si="235">IFERROR((D120/D$29),"")</f>
        <v>-4.101456796</v>
      </c>
      <c r="F120" s="89"/>
      <c r="G120" s="41"/>
      <c r="H120" s="89">
        <f t="shared" ref="H120:H121" si="236">D120-F120</f>
        <v>-2093916</v>
      </c>
      <c r="I120" s="29"/>
      <c r="J120" s="1055">
        <v>-2206981.0</v>
      </c>
      <c r="K120" s="970">
        <f t="shared" ref="K120:K121" si="237">IFERROR((J120/J$29),"")</f>
        <v>-4.792950155</v>
      </c>
      <c r="L120" s="89"/>
      <c r="M120" s="41"/>
      <c r="N120" s="89">
        <f t="shared" ref="N120:N121" si="238">J120-L120</f>
        <v>-2206981</v>
      </c>
      <c r="O120" s="41"/>
      <c r="P120" s="923">
        <v>-1970719.0</v>
      </c>
      <c r="Q120" s="972">
        <f t="shared" ref="Q120:Q121" si="239">IFERROR((P120/P$29),"")</f>
        <v>-6.038056516</v>
      </c>
      <c r="R120" s="89"/>
      <c r="S120" s="41"/>
      <c r="T120" s="89">
        <f t="shared" ref="T120:T121" si="240">P120-R120</f>
        <v>-1970719</v>
      </c>
      <c r="U120" s="41"/>
      <c r="V120" s="907"/>
      <c r="W120" s="972" t="str">
        <f t="shared" ref="W120:W121" si="241">IFERROR((V120/V$29),"")</f>
        <v/>
      </c>
      <c r="X120" s="89"/>
      <c r="Y120" s="41"/>
      <c r="Z120" s="89">
        <f t="shared" ref="Z120:Z121" si="242">V120-X120</f>
        <v>0</v>
      </c>
      <c r="AA120" s="41"/>
      <c r="AB120" s="907"/>
      <c r="AC120" s="972" t="str">
        <f t="shared" ref="AC120:AC121" si="243">IFERROR((AB120/AB$29),"")</f>
        <v/>
      </c>
      <c r="AD120" s="89"/>
      <c r="AE120" s="41"/>
      <c r="AF120" s="89">
        <f t="shared" ref="AF120:AF121" si="244">AB120-AD120</f>
        <v>0</v>
      </c>
      <c r="AG120" s="41"/>
      <c r="AH120" s="907"/>
      <c r="AI120" s="972" t="str">
        <f t="shared" ref="AI120:AI121" si="245">IFERROR((AH120/AH$29),"")</f>
        <v/>
      </c>
      <c r="AJ120" s="89"/>
      <c r="AK120" s="41"/>
      <c r="AL120" s="89">
        <f t="shared" ref="AL120:AL121" si="246">AH120-AJ120</f>
        <v>0</v>
      </c>
      <c r="AM120" s="41"/>
      <c r="AN120" s="907"/>
      <c r="AO120" s="972" t="str">
        <f t="shared" ref="AO120:AO121" si="247">IFERROR((AN120/AN$29),"")</f>
        <v/>
      </c>
      <c r="AP120" s="89"/>
      <c r="AQ120" s="41"/>
      <c r="AR120" s="89">
        <f t="shared" ref="AR120:AR121" si="248">AN120-AP120</f>
        <v>0</v>
      </c>
      <c r="AS120" s="41"/>
      <c r="AT120" s="907"/>
      <c r="AU120" s="972" t="str">
        <f t="shared" ref="AU120:AU121" si="249">IFERROR((AT120/AT$29),"")</f>
        <v/>
      </c>
      <c r="AV120" s="89"/>
      <c r="AW120" s="41"/>
      <c r="AX120" s="89">
        <f t="shared" ref="AX120:AX121" si="250">AT120-AV120</f>
        <v>0</v>
      </c>
      <c r="AY120" s="41"/>
      <c r="AZ120" s="907"/>
      <c r="BA120" s="972" t="str">
        <f t="shared" ref="BA120:BA121" si="251">IFERROR((AZ120/AZ$29),"")</f>
        <v/>
      </c>
      <c r="BB120" s="89"/>
      <c r="BC120" s="41"/>
      <c r="BD120" s="89">
        <f t="shared" ref="BD120:BD121" si="252">AZ120-BB120</f>
        <v>0</v>
      </c>
      <c r="BE120" s="41"/>
      <c r="BF120" s="907"/>
      <c r="BG120" s="972" t="str">
        <f t="shared" ref="BG120:BG121" si="253">IFERROR((BF120/BF$29),"")</f>
        <v/>
      </c>
      <c r="BH120" s="89"/>
      <c r="BI120" s="41"/>
      <c r="BJ120" s="89">
        <f t="shared" ref="BJ120:BJ121" si="254">BF120-BH120</f>
        <v>0</v>
      </c>
      <c r="BK120" s="41"/>
      <c r="BL120" s="907"/>
      <c r="BM120" s="972" t="str">
        <f t="shared" ref="BM120:BM121" si="255">IFERROR((BL120/BL$29),"")</f>
        <v/>
      </c>
      <c r="BN120" s="89"/>
      <c r="BO120" s="41"/>
      <c r="BP120" s="89">
        <f t="shared" ref="BP120:BP121" si="256">BL120-BN120</f>
        <v>0</v>
      </c>
      <c r="BQ120" s="41"/>
      <c r="BR120" s="907"/>
    </row>
    <row r="121" ht="15.75" customHeight="1">
      <c r="A121" s="439"/>
      <c r="B121" s="465"/>
      <c r="C121" s="465" t="s">
        <v>253</v>
      </c>
      <c r="D121" s="200">
        <v>0.0</v>
      </c>
      <c r="E121" s="962">
        <f t="shared" si="235"/>
        <v>0</v>
      </c>
      <c r="F121" s="42"/>
      <c r="G121" s="52"/>
      <c r="H121" s="42">
        <f t="shared" si="236"/>
        <v>0</v>
      </c>
      <c r="I121" s="46"/>
      <c r="J121" s="40">
        <v>0.0</v>
      </c>
      <c r="K121" s="962">
        <f t="shared" si="237"/>
        <v>0</v>
      </c>
      <c r="L121" s="42"/>
      <c r="M121" s="52"/>
      <c r="N121" s="42">
        <f t="shared" si="238"/>
        <v>0</v>
      </c>
      <c r="O121" s="52"/>
      <c r="P121" s="890">
        <v>0.0</v>
      </c>
      <c r="Q121" s="973">
        <f t="shared" si="239"/>
        <v>0</v>
      </c>
      <c r="R121" s="42"/>
      <c r="S121" s="52"/>
      <c r="T121" s="42">
        <f t="shared" si="240"/>
        <v>0</v>
      </c>
      <c r="U121" s="52"/>
      <c r="V121" s="887"/>
      <c r="W121" s="973" t="str">
        <f t="shared" si="241"/>
        <v/>
      </c>
      <c r="X121" s="42"/>
      <c r="Y121" s="52"/>
      <c r="Z121" s="42">
        <f t="shared" si="242"/>
        <v>0</v>
      </c>
      <c r="AA121" s="52"/>
      <c r="AB121" s="887"/>
      <c r="AC121" s="973" t="str">
        <f t="shared" si="243"/>
        <v/>
      </c>
      <c r="AD121" s="42"/>
      <c r="AE121" s="52"/>
      <c r="AF121" s="42">
        <f t="shared" si="244"/>
        <v>0</v>
      </c>
      <c r="AG121" s="52"/>
      <c r="AH121" s="887"/>
      <c r="AI121" s="973" t="str">
        <f t="shared" si="245"/>
        <v/>
      </c>
      <c r="AJ121" s="42"/>
      <c r="AK121" s="52"/>
      <c r="AL121" s="42">
        <f t="shared" si="246"/>
        <v>0</v>
      </c>
      <c r="AM121" s="52"/>
      <c r="AN121" s="887"/>
      <c r="AO121" s="973" t="str">
        <f t="shared" si="247"/>
        <v/>
      </c>
      <c r="AP121" s="42"/>
      <c r="AQ121" s="52"/>
      <c r="AR121" s="42">
        <f t="shared" si="248"/>
        <v>0</v>
      </c>
      <c r="AS121" s="52"/>
      <c r="AT121" s="887"/>
      <c r="AU121" s="973" t="str">
        <f t="shared" si="249"/>
        <v/>
      </c>
      <c r="AV121" s="42"/>
      <c r="AW121" s="52"/>
      <c r="AX121" s="42">
        <f t="shared" si="250"/>
        <v>0</v>
      </c>
      <c r="AY121" s="52"/>
      <c r="AZ121" s="887"/>
      <c r="BA121" s="973" t="str">
        <f t="shared" si="251"/>
        <v/>
      </c>
      <c r="BB121" s="42"/>
      <c r="BC121" s="52"/>
      <c r="BD121" s="42">
        <f t="shared" si="252"/>
        <v>0</v>
      </c>
      <c r="BE121" s="52"/>
      <c r="BF121" s="887"/>
      <c r="BG121" s="973" t="str">
        <f t="shared" si="253"/>
        <v/>
      </c>
      <c r="BH121" s="42"/>
      <c r="BI121" s="52"/>
      <c r="BJ121" s="42">
        <f t="shared" si="254"/>
        <v>0</v>
      </c>
      <c r="BK121" s="52"/>
      <c r="BL121" s="887"/>
      <c r="BM121" s="973" t="str">
        <f t="shared" si="255"/>
        <v/>
      </c>
      <c r="BN121" s="42"/>
      <c r="BO121" s="52"/>
      <c r="BP121" s="42">
        <f t="shared" si="256"/>
        <v>0</v>
      </c>
      <c r="BQ121" s="52"/>
      <c r="BR121" s="887"/>
    </row>
    <row r="122" ht="15.75" customHeight="1">
      <c r="A122" s="439"/>
      <c r="B122" s="483"/>
      <c r="C122" s="483"/>
      <c r="D122" s="120"/>
      <c r="E122" s="1062"/>
      <c r="F122" s="119"/>
      <c r="G122" s="114"/>
      <c r="H122" s="114"/>
      <c r="I122" s="117"/>
      <c r="J122" s="108"/>
      <c r="K122" s="1062"/>
      <c r="L122" s="119"/>
      <c r="M122" s="114"/>
      <c r="N122" s="114"/>
      <c r="O122" s="114"/>
      <c r="P122" s="931"/>
      <c r="Q122" s="1063"/>
      <c r="R122" s="119"/>
      <c r="S122" s="114"/>
      <c r="T122" s="114"/>
      <c r="U122" s="114"/>
      <c r="V122" s="931"/>
      <c r="W122" s="1063"/>
      <c r="X122" s="119"/>
      <c r="Y122" s="114"/>
      <c r="Z122" s="114"/>
      <c r="AA122" s="114"/>
      <c r="AB122" s="931"/>
      <c r="AC122" s="1063"/>
      <c r="AD122" s="119"/>
      <c r="AE122" s="114"/>
      <c r="AF122" s="114"/>
      <c r="AG122" s="114"/>
      <c r="AH122" s="931"/>
      <c r="AI122" s="1063"/>
      <c r="AJ122" s="119"/>
      <c r="AK122" s="114"/>
      <c r="AL122" s="114"/>
      <c r="AM122" s="114"/>
      <c r="AN122" s="931"/>
      <c r="AO122" s="1063"/>
      <c r="AP122" s="119"/>
      <c r="AQ122" s="114"/>
      <c r="AR122" s="114"/>
      <c r="AS122" s="114"/>
      <c r="AT122" s="931"/>
      <c r="AU122" s="1063"/>
      <c r="AV122" s="119"/>
      <c r="AW122" s="114"/>
      <c r="AX122" s="114"/>
      <c r="AY122" s="114"/>
      <c r="AZ122" s="931"/>
      <c r="BA122" s="1063"/>
      <c r="BB122" s="119"/>
      <c r="BC122" s="114"/>
      <c r="BD122" s="114"/>
      <c r="BE122" s="114"/>
      <c r="BF122" s="931"/>
      <c r="BG122" s="1063"/>
      <c r="BH122" s="119"/>
      <c r="BI122" s="114"/>
      <c r="BJ122" s="114"/>
      <c r="BK122" s="114"/>
      <c r="BL122" s="931"/>
      <c r="BM122" s="1063"/>
      <c r="BN122" s="119"/>
      <c r="BO122" s="114"/>
      <c r="BP122" s="114"/>
      <c r="BQ122" s="114"/>
      <c r="BR122" s="931"/>
    </row>
    <row r="123" ht="15.75" customHeight="1">
      <c r="A123" s="439"/>
      <c r="B123" s="490"/>
      <c r="C123" s="458" t="s">
        <v>254</v>
      </c>
      <c r="D123" s="898">
        <f>D59+D61+D69+D75+D81+D92+D95+D99+D115+D119</f>
        <v>0.1333333333</v>
      </c>
      <c r="E123" s="1017">
        <f>IFERROR((D123/D$29),"")</f>
        <v>0.0000002611665922</v>
      </c>
      <c r="F123" s="143">
        <f>F59+F61+F69+F75+F81+F92+F95+F99+F115+F119</f>
        <v>267286.3333</v>
      </c>
      <c r="G123" s="145"/>
      <c r="H123" s="145"/>
      <c r="I123" s="1030"/>
      <c r="J123" s="898">
        <f>J59+J61+J69+J75+J81+J92+J95+J99+J115+J119</f>
        <v>-0.2800000003</v>
      </c>
      <c r="K123" s="1017">
        <f>IFERROR((J123/J$29),"")</f>
        <v>-0.0000006080822828</v>
      </c>
      <c r="L123" s="143">
        <f>L59+L61+L69+L75+L81+L92+L95+L99+L115+L119</f>
        <v>0</v>
      </c>
      <c r="M123" s="145"/>
      <c r="N123" s="145"/>
      <c r="O123" s="145"/>
      <c r="P123" s="898">
        <f>P59+P61+P69+P75+P81+P92+P95+P99+P115+P119</f>
        <v>0</v>
      </c>
      <c r="Q123" s="1021">
        <f>IFERROR((P123/P$29),"")</f>
        <v>0</v>
      </c>
      <c r="R123" s="143">
        <f>R59+R61+R69+R75+R81+R92+R95+R99+R115+R119</f>
        <v>0</v>
      </c>
      <c r="S123" s="145"/>
      <c r="T123" s="145"/>
      <c r="U123" s="145"/>
      <c r="V123" s="898">
        <f>V59+V61+V69+V75+V81+V92+V95+V99+V115+V119</f>
        <v>0</v>
      </c>
      <c r="W123" s="1021" t="str">
        <f>IFERROR((V123/V$29),"")</f>
        <v/>
      </c>
      <c r="X123" s="143">
        <f>X59+X61+X69+X75+X81+X92+X95+X99+X115+X119</f>
        <v>0</v>
      </c>
      <c r="Y123" s="145"/>
      <c r="Z123" s="145"/>
      <c r="AA123" s="145"/>
      <c r="AB123" s="898">
        <f>AB59+AB61+AB69+AB75+AB81+AB92+AB95+AB99+AB115+AB119</f>
        <v>0</v>
      </c>
      <c r="AC123" s="1021" t="str">
        <f>IFERROR((AB123/AB$29),"")</f>
        <v/>
      </c>
      <c r="AD123" s="143">
        <f>AD59+AD61+AD69+AD75+AD81+AD92+AD95+AD99+AD115+AD119</f>
        <v>0</v>
      </c>
      <c r="AE123" s="145"/>
      <c r="AF123" s="145"/>
      <c r="AG123" s="145"/>
      <c r="AH123" s="898">
        <f>AH59+AH61+AH69+AH75+AH81+AH92+AH95+AH99+AH115+AH119</f>
        <v>0</v>
      </c>
      <c r="AI123" s="1021" t="str">
        <f>IFERROR((AH123/AH$29),"")</f>
        <v/>
      </c>
      <c r="AJ123" s="143">
        <f>AJ59+AJ61+AJ69+AJ75+AJ81+AJ92+AJ95+AJ99+AJ115+AJ119</f>
        <v>0</v>
      </c>
      <c r="AK123" s="145"/>
      <c r="AL123" s="145"/>
      <c r="AM123" s="145"/>
      <c r="AN123" s="898">
        <f>AN59+AN61+AN69+AN75+AN81+AN92+AN95+AN99+AN115+AN119</f>
        <v>0</v>
      </c>
      <c r="AO123" s="1021" t="str">
        <f>IFERROR((AN123/AN$29),"")</f>
        <v/>
      </c>
      <c r="AP123" s="143">
        <f>AP59+AP61+AP69+AP75+AP81+AP92+AP95+AP99+AP115+AP119</f>
        <v>0</v>
      </c>
      <c r="AQ123" s="145"/>
      <c r="AR123" s="145"/>
      <c r="AS123" s="145"/>
      <c r="AT123" s="898">
        <f>AT59+AT61+AT69+AT75+AT81+AT92+AT95+AT99+AT115+AT119</f>
        <v>0</v>
      </c>
      <c r="AU123" s="1021" t="str">
        <f>IFERROR((AT123/AT$29),"")</f>
        <v/>
      </c>
      <c r="AV123" s="143">
        <f>AV59+AV61+AV69+AV75+AV81+AV92+AV95+AV99+AV115+AV119</f>
        <v>0</v>
      </c>
      <c r="AW123" s="145"/>
      <c r="AX123" s="145"/>
      <c r="AY123" s="145"/>
      <c r="AZ123" s="898">
        <f>AZ59+AZ61+AZ69+AZ75+AZ81+AZ92+AZ95+AZ99+AZ115+AZ119</f>
        <v>0</v>
      </c>
      <c r="BA123" s="1021" t="str">
        <f>IFERROR((AZ123/AZ$29),"")</f>
        <v/>
      </c>
      <c r="BB123" s="143">
        <f>BB59+BB61+BB69+BB75+BB81+BB92+BB95+BB99+BB115+BB119</f>
        <v>0</v>
      </c>
      <c r="BC123" s="145"/>
      <c r="BD123" s="145"/>
      <c r="BE123" s="145"/>
      <c r="BF123" s="898">
        <f>BF59+BF61+BF69+BF75+BF81+BF92+BF95+BF99+BF115+BF119</f>
        <v>0</v>
      </c>
      <c r="BG123" s="1021" t="str">
        <f>IFERROR((BF123/BF$29),"")</f>
        <v/>
      </c>
      <c r="BH123" s="143">
        <f>BH59+BH61+BH69+BH75+BH81+BH92+BH95+BH99+BH115+BH119</f>
        <v>0</v>
      </c>
      <c r="BI123" s="145"/>
      <c r="BJ123" s="145"/>
      <c r="BK123" s="145"/>
      <c r="BL123" s="898">
        <f>BL59+BL61+BL69+BL75+BL81+BL92+BL95+BL99+BL115+BL119</f>
        <v>0</v>
      </c>
      <c r="BM123" s="1021" t="str">
        <f>IFERROR((BL123/BL$29),"")</f>
        <v/>
      </c>
      <c r="BN123" s="143">
        <f>BN59+BN61+BN69+BN75+BN81+BN92+BN95+BN99+BN115+BN119</f>
        <v>0</v>
      </c>
      <c r="BO123" s="145"/>
      <c r="BP123" s="145"/>
      <c r="BQ123" s="145"/>
      <c r="BR123" s="898">
        <f>BR59+BR61+BR69+BR75+BR81+BR92+BR95+BR99+BR115+BR119</f>
        <v>0</v>
      </c>
    </row>
    <row r="124" ht="15.75" customHeight="1">
      <c r="A124" s="439"/>
      <c r="B124" s="526"/>
      <c r="C124" s="526"/>
      <c r="D124" s="120"/>
      <c r="E124" s="1062"/>
      <c r="F124" s="119"/>
      <c r="G124" s="114"/>
      <c r="H124" s="114"/>
      <c r="I124" s="117"/>
      <c r="J124" s="108"/>
      <c r="K124" s="1062"/>
      <c r="L124" s="119"/>
      <c r="M124" s="114"/>
      <c r="N124" s="114"/>
      <c r="O124" s="114"/>
      <c r="P124" s="931"/>
      <c r="Q124" s="1063"/>
      <c r="R124" s="119"/>
      <c r="S124" s="114"/>
      <c r="T124" s="114"/>
      <c r="U124" s="114"/>
      <c r="V124" s="931"/>
      <c r="W124" s="1063"/>
      <c r="X124" s="119"/>
      <c r="Y124" s="114"/>
      <c r="Z124" s="114"/>
      <c r="AA124" s="114"/>
      <c r="AB124" s="931"/>
      <c r="AC124" s="1063"/>
      <c r="AD124" s="119"/>
      <c r="AE124" s="114"/>
      <c r="AF124" s="114"/>
      <c r="AG124" s="114"/>
      <c r="AH124" s="931"/>
      <c r="AI124" s="1063"/>
      <c r="AJ124" s="119"/>
      <c r="AK124" s="114"/>
      <c r="AL124" s="114"/>
      <c r="AM124" s="114"/>
      <c r="AN124" s="931"/>
      <c r="AO124" s="1063"/>
      <c r="AP124" s="119"/>
      <c r="AQ124" s="114"/>
      <c r="AR124" s="114"/>
      <c r="AS124" s="114"/>
      <c r="AT124" s="931"/>
      <c r="AU124" s="1063"/>
      <c r="AV124" s="119"/>
      <c r="AW124" s="114"/>
      <c r="AX124" s="114"/>
      <c r="AY124" s="114"/>
      <c r="AZ124" s="931"/>
      <c r="BA124" s="1063"/>
      <c r="BB124" s="119"/>
      <c r="BC124" s="114"/>
      <c r="BD124" s="114"/>
      <c r="BE124" s="114"/>
      <c r="BF124" s="931"/>
      <c r="BG124" s="1063"/>
      <c r="BH124" s="119"/>
      <c r="BI124" s="114"/>
      <c r="BJ124" s="114"/>
      <c r="BK124" s="114"/>
      <c r="BL124" s="931"/>
      <c r="BM124" s="1063"/>
      <c r="BN124" s="119"/>
      <c r="BO124" s="114"/>
      <c r="BP124" s="114"/>
      <c r="BQ124" s="114"/>
      <c r="BR124" s="931"/>
    </row>
    <row r="125" ht="15.75" customHeight="1">
      <c r="A125" s="439"/>
      <c r="B125" s="490"/>
      <c r="C125" s="490" t="s">
        <v>255</v>
      </c>
      <c r="D125" s="1016">
        <f>D50-D123</f>
        <v>-444268.7423</v>
      </c>
      <c r="E125" s="1017">
        <f>IFERROR((D125/D$29),"")</f>
        <v>-0.870211151</v>
      </c>
      <c r="F125" s="143">
        <f>F50-F123</f>
        <v>-267286.3333</v>
      </c>
      <c r="G125" s="145"/>
      <c r="H125" s="145"/>
      <c r="I125" s="1030"/>
      <c r="J125" s="142">
        <f>J50-J123</f>
        <v>-566816.2606</v>
      </c>
      <c r="K125" s="1017">
        <f>IFERROR((J125/J$29),"")</f>
        <v>-1.23096759</v>
      </c>
      <c r="L125" s="143">
        <f>L50-L123</f>
        <v>0</v>
      </c>
      <c r="M125" s="145"/>
      <c r="N125" s="145"/>
      <c r="O125" s="145"/>
      <c r="P125" s="898">
        <f>P50-P123</f>
        <v>-26727.26776</v>
      </c>
      <c r="Q125" s="1021">
        <f>IFERROR((P125/P$29),"")</f>
        <v>-0.0818892766</v>
      </c>
      <c r="R125" s="143">
        <f>R50-R123</f>
        <v>0</v>
      </c>
      <c r="S125" s="145"/>
      <c r="T125" s="145"/>
      <c r="U125" s="145"/>
      <c r="V125" s="898">
        <f>V50-V123</f>
        <v>0</v>
      </c>
      <c r="W125" s="1021" t="str">
        <f>IFERROR((V125/V$29),"")</f>
        <v/>
      </c>
      <c r="X125" s="143">
        <f>X50-X123</f>
        <v>0</v>
      </c>
      <c r="Y125" s="145"/>
      <c r="Z125" s="145"/>
      <c r="AA125" s="145"/>
      <c r="AB125" s="898">
        <f>AB50-AB123</f>
        <v>0</v>
      </c>
      <c r="AC125" s="1021" t="str">
        <f>IFERROR((AB125/AB$29),"")</f>
        <v/>
      </c>
      <c r="AD125" s="143">
        <f>AD50-AD123</f>
        <v>0</v>
      </c>
      <c r="AE125" s="145"/>
      <c r="AF125" s="145"/>
      <c r="AG125" s="145"/>
      <c r="AH125" s="898">
        <f>AH50-AH123</f>
        <v>0</v>
      </c>
      <c r="AI125" s="1021" t="str">
        <f>IFERROR((AH125/AH$29),"")</f>
        <v/>
      </c>
      <c r="AJ125" s="143">
        <f>AJ50-AJ123</f>
        <v>0</v>
      </c>
      <c r="AK125" s="145"/>
      <c r="AL125" s="145"/>
      <c r="AM125" s="145"/>
      <c r="AN125" s="898">
        <f>AN50-AN123</f>
        <v>0</v>
      </c>
      <c r="AO125" s="1021" t="str">
        <f>IFERROR((AN125/AN$29),"")</f>
        <v/>
      </c>
      <c r="AP125" s="143">
        <f>AP50-AP123</f>
        <v>0</v>
      </c>
      <c r="AQ125" s="145"/>
      <c r="AR125" s="145"/>
      <c r="AS125" s="145"/>
      <c r="AT125" s="898">
        <f>AT50-AT123</f>
        <v>0</v>
      </c>
      <c r="AU125" s="1021" t="str">
        <f>IFERROR((AT125/AT$29),"")</f>
        <v/>
      </c>
      <c r="AV125" s="143">
        <f>AV50-AV123</f>
        <v>0</v>
      </c>
      <c r="AW125" s="145"/>
      <c r="AX125" s="145"/>
      <c r="AY125" s="145"/>
      <c r="AZ125" s="898">
        <f>AZ50-AZ123</f>
        <v>0</v>
      </c>
      <c r="BA125" s="1021" t="str">
        <f>IFERROR((AZ125/AZ$29),"")</f>
        <v/>
      </c>
      <c r="BB125" s="143">
        <f>BB50-BB123</f>
        <v>0</v>
      </c>
      <c r="BC125" s="145"/>
      <c r="BD125" s="145"/>
      <c r="BE125" s="145"/>
      <c r="BF125" s="898">
        <f>BF50-BF123</f>
        <v>0</v>
      </c>
      <c r="BG125" s="1021" t="str">
        <f>IFERROR((BF125/BF$29),"")</f>
        <v/>
      </c>
      <c r="BH125" s="143">
        <f>BH50-BH123</f>
        <v>0</v>
      </c>
      <c r="BI125" s="145"/>
      <c r="BJ125" s="145"/>
      <c r="BK125" s="145"/>
      <c r="BL125" s="898">
        <f>BL50-BL123</f>
        <v>0</v>
      </c>
      <c r="BM125" s="1021" t="str">
        <f>IFERROR((BL125/BL$29),"")</f>
        <v/>
      </c>
      <c r="BN125" s="143">
        <f>BN50-BN123</f>
        <v>0</v>
      </c>
      <c r="BO125" s="145"/>
      <c r="BP125" s="145"/>
      <c r="BQ125" s="145"/>
      <c r="BR125" s="898">
        <f>BR50-BR123</f>
        <v>0</v>
      </c>
    </row>
    <row r="126" ht="15.75" customHeight="1">
      <c r="A126" s="439"/>
      <c r="B126" s="439"/>
      <c r="C126" s="439"/>
      <c r="D126" s="1069"/>
      <c r="E126" s="932"/>
      <c r="F126" s="439"/>
      <c r="G126" s="439"/>
      <c r="H126" s="439"/>
      <c r="I126" s="439"/>
      <c r="J126" s="1069"/>
      <c r="K126" s="932"/>
      <c r="L126" s="439"/>
      <c r="M126" s="439"/>
      <c r="N126" s="439"/>
      <c r="O126" s="439"/>
      <c r="P126" s="1069"/>
      <c r="Q126" s="932"/>
      <c r="R126" s="439"/>
      <c r="S126" s="439"/>
      <c r="T126" s="439"/>
      <c r="U126" s="439"/>
      <c r="V126" s="1069"/>
      <c r="W126" s="932"/>
      <c r="X126" s="439"/>
      <c r="Y126" s="439"/>
      <c r="Z126" s="439"/>
      <c r="AA126" s="439"/>
      <c r="AB126" s="1069"/>
      <c r="AC126" s="932"/>
      <c r="AD126" s="439"/>
      <c r="AE126" s="439"/>
      <c r="AF126" s="439"/>
      <c r="AG126" s="439"/>
      <c r="AH126" s="1069"/>
      <c r="AI126" s="932"/>
      <c r="AJ126" s="439"/>
      <c r="AK126" s="439"/>
      <c r="AL126" s="439"/>
      <c r="AM126" s="439"/>
      <c r="AN126" s="1069"/>
      <c r="AO126" s="932"/>
      <c r="AP126" s="439"/>
      <c r="AQ126" s="439"/>
      <c r="AR126" s="439"/>
      <c r="AS126" s="439"/>
      <c r="AT126" s="1069"/>
      <c r="AU126" s="932"/>
      <c r="AV126" s="439"/>
      <c r="AW126" s="439"/>
      <c r="AX126" s="439"/>
      <c r="AY126" s="439"/>
      <c r="AZ126" s="1069"/>
      <c r="BA126" s="932"/>
      <c r="BB126" s="439"/>
      <c r="BC126" s="439"/>
      <c r="BD126" s="439"/>
      <c r="BE126" s="439"/>
      <c r="BF126" s="1069"/>
      <c r="BG126" s="932"/>
      <c r="BH126" s="439"/>
      <c r="BI126" s="439"/>
      <c r="BJ126" s="439"/>
      <c r="BK126" s="439"/>
      <c r="BL126" s="1069"/>
      <c r="BM126" s="932"/>
      <c r="BN126" s="439"/>
      <c r="BO126" s="439"/>
      <c r="BP126" s="439"/>
      <c r="BQ126" s="439"/>
      <c r="BR126" s="1069"/>
    </row>
    <row r="127" ht="15.75" customHeight="1">
      <c r="A127" s="439"/>
      <c r="B127" s="439"/>
      <c r="C127" s="439"/>
      <c r="D127" s="1069"/>
      <c r="E127" s="932"/>
      <c r="F127" s="439"/>
      <c r="G127" s="439"/>
      <c r="H127" s="439"/>
      <c r="I127" s="439"/>
      <c r="J127" s="1069"/>
      <c r="K127" s="932"/>
      <c r="L127" s="439"/>
      <c r="M127" s="439"/>
      <c r="N127" s="439"/>
      <c r="O127" s="439"/>
      <c r="P127" s="1069"/>
      <c r="Q127" s="932"/>
      <c r="R127" s="439"/>
      <c r="S127" s="439"/>
      <c r="T127" s="439"/>
      <c r="U127" s="439"/>
      <c r="V127" s="1069"/>
      <c r="W127" s="932"/>
      <c r="X127" s="439"/>
      <c r="Y127" s="439"/>
      <c r="Z127" s="439"/>
      <c r="AA127" s="439"/>
      <c r="AB127" s="1069"/>
      <c r="AC127" s="932"/>
      <c r="AD127" s="439"/>
      <c r="AE127" s="439"/>
      <c r="AF127" s="439"/>
      <c r="AG127" s="439"/>
      <c r="AH127" s="1069"/>
      <c r="AI127" s="932"/>
      <c r="AJ127" s="439"/>
      <c r="AK127" s="439"/>
      <c r="AL127" s="439"/>
      <c r="AM127" s="439"/>
      <c r="AN127" s="1069"/>
      <c r="AO127" s="932"/>
      <c r="AP127" s="439"/>
      <c r="AQ127" s="439"/>
      <c r="AR127" s="439"/>
      <c r="AS127" s="439"/>
      <c r="AT127" s="1069"/>
      <c r="AU127" s="932"/>
      <c r="AV127" s="439"/>
      <c r="AW127" s="439"/>
      <c r="AX127" s="439"/>
      <c r="AY127" s="439"/>
      <c r="AZ127" s="1069"/>
      <c r="BA127" s="932"/>
      <c r="BB127" s="439"/>
      <c r="BC127" s="439"/>
      <c r="BD127" s="439"/>
      <c r="BE127" s="439"/>
      <c r="BF127" s="1069"/>
      <c r="BG127" s="932"/>
      <c r="BH127" s="439"/>
      <c r="BI127" s="439"/>
      <c r="BJ127" s="439"/>
      <c r="BK127" s="439"/>
      <c r="BL127" s="1069"/>
      <c r="BM127" s="932"/>
      <c r="BN127" s="439"/>
      <c r="BO127" s="439"/>
      <c r="BP127" s="439"/>
      <c r="BQ127" s="439"/>
      <c r="BR127" s="1069"/>
    </row>
    <row r="128" ht="15.75" customHeight="1">
      <c r="A128" s="439"/>
      <c r="B128" s="439"/>
      <c r="C128" s="439"/>
      <c r="D128" s="1069"/>
      <c r="E128" s="932"/>
      <c r="F128" s="439"/>
      <c r="G128" s="439"/>
      <c r="H128" s="439"/>
      <c r="I128" s="439"/>
      <c r="J128" s="1069"/>
      <c r="K128" s="932"/>
      <c r="L128" s="439"/>
      <c r="M128" s="439"/>
      <c r="N128" s="439"/>
      <c r="O128" s="439"/>
      <c r="P128" s="1069"/>
      <c r="Q128" s="932"/>
      <c r="R128" s="439"/>
      <c r="S128" s="439"/>
      <c r="T128" s="439"/>
      <c r="U128" s="439"/>
      <c r="V128" s="1069"/>
      <c r="W128" s="932"/>
      <c r="X128" s="439"/>
      <c r="Y128" s="439"/>
      <c r="Z128" s="439"/>
      <c r="AA128" s="439"/>
      <c r="AB128" s="1069"/>
      <c r="AC128" s="932"/>
      <c r="AD128" s="439"/>
      <c r="AE128" s="439"/>
      <c r="AF128" s="439"/>
      <c r="AG128" s="439"/>
      <c r="AH128" s="1069"/>
      <c r="AI128" s="932"/>
      <c r="AJ128" s="439"/>
      <c r="AK128" s="439"/>
      <c r="AL128" s="439"/>
      <c r="AM128" s="439"/>
      <c r="AN128" s="1069"/>
      <c r="AO128" s="932"/>
      <c r="AP128" s="439"/>
      <c r="AQ128" s="439"/>
      <c r="AR128" s="439"/>
      <c r="AS128" s="439"/>
      <c r="AT128" s="1069"/>
      <c r="AU128" s="932"/>
      <c r="AV128" s="439"/>
      <c r="AW128" s="439"/>
      <c r="AX128" s="439"/>
      <c r="AY128" s="439"/>
      <c r="AZ128" s="1069"/>
      <c r="BA128" s="932"/>
      <c r="BB128" s="439"/>
      <c r="BC128" s="439"/>
      <c r="BD128" s="439"/>
      <c r="BE128" s="439"/>
      <c r="BF128" s="1069"/>
      <c r="BG128" s="932"/>
      <c r="BH128" s="439"/>
      <c r="BI128" s="439"/>
      <c r="BJ128" s="439"/>
      <c r="BK128" s="439"/>
      <c r="BL128" s="1069"/>
      <c r="BM128" s="932"/>
      <c r="BN128" s="439"/>
      <c r="BO128" s="439"/>
      <c r="BP128" s="439"/>
      <c r="BQ128" s="439"/>
      <c r="BR128" s="1069"/>
    </row>
    <row r="129" ht="15.75" customHeight="1">
      <c r="A129" s="439"/>
      <c r="B129" s="439"/>
      <c r="C129" s="439"/>
      <c r="D129" s="1069"/>
      <c r="E129" s="932"/>
      <c r="F129" s="439"/>
      <c r="G129" s="439"/>
      <c r="H129" s="439"/>
      <c r="I129" s="439"/>
      <c r="J129" s="1069"/>
      <c r="K129" s="932"/>
      <c r="L129" s="439"/>
      <c r="M129" s="439"/>
      <c r="N129" s="439"/>
      <c r="O129" s="439"/>
      <c r="P129" s="1069"/>
      <c r="Q129" s="932"/>
      <c r="R129" s="439"/>
      <c r="S129" s="439"/>
      <c r="T129" s="439"/>
      <c r="U129" s="439"/>
      <c r="V129" s="1069"/>
      <c r="W129" s="932"/>
      <c r="X129" s="439"/>
      <c r="Y129" s="439"/>
      <c r="Z129" s="439"/>
      <c r="AA129" s="439"/>
      <c r="AB129" s="1069"/>
      <c r="AC129" s="932"/>
      <c r="AD129" s="439"/>
      <c r="AE129" s="439"/>
      <c r="AF129" s="439"/>
      <c r="AG129" s="439"/>
      <c r="AH129" s="1069"/>
      <c r="AI129" s="932"/>
      <c r="AJ129" s="439"/>
      <c r="AK129" s="439"/>
      <c r="AL129" s="439"/>
      <c r="AM129" s="439"/>
      <c r="AN129" s="1069"/>
      <c r="AO129" s="932"/>
      <c r="AP129" s="439"/>
      <c r="AQ129" s="439"/>
      <c r="AR129" s="439"/>
      <c r="AS129" s="439"/>
      <c r="AT129" s="1069"/>
      <c r="AU129" s="932"/>
      <c r="AV129" s="439"/>
      <c r="AW129" s="439"/>
      <c r="AX129" s="439"/>
      <c r="AY129" s="439"/>
      <c r="AZ129" s="1069"/>
      <c r="BA129" s="932"/>
      <c r="BB129" s="439"/>
      <c r="BC129" s="439"/>
      <c r="BD129" s="439"/>
      <c r="BE129" s="439"/>
      <c r="BF129" s="1069"/>
      <c r="BG129" s="932"/>
      <c r="BH129" s="439"/>
      <c r="BI129" s="439"/>
      <c r="BJ129" s="439"/>
      <c r="BK129" s="439"/>
      <c r="BL129" s="1069"/>
      <c r="BM129" s="932"/>
      <c r="BN129" s="439"/>
      <c r="BO129" s="439"/>
      <c r="BP129" s="439"/>
      <c r="BQ129" s="439"/>
      <c r="BR129" s="1069"/>
    </row>
    <row r="130" ht="15.75" customHeight="1">
      <c r="A130" s="439"/>
      <c r="B130" s="439"/>
      <c r="C130" s="439"/>
      <c r="D130" s="1069"/>
      <c r="E130" s="932"/>
      <c r="F130" s="439"/>
      <c r="G130" s="439"/>
      <c r="H130" s="439"/>
      <c r="I130" s="439"/>
      <c r="J130" s="1069"/>
      <c r="K130" s="932"/>
      <c r="L130" s="439"/>
      <c r="M130" s="439"/>
      <c r="N130" s="439"/>
      <c r="O130" s="439"/>
      <c r="P130" s="1069"/>
      <c r="Q130" s="932"/>
      <c r="R130" s="439"/>
      <c r="S130" s="439"/>
      <c r="T130" s="439"/>
      <c r="U130" s="439"/>
      <c r="V130" s="1069"/>
      <c r="W130" s="932"/>
      <c r="X130" s="439"/>
      <c r="Y130" s="439"/>
      <c r="Z130" s="439"/>
      <c r="AA130" s="439"/>
      <c r="AB130" s="1069"/>
      <c r="AC130" s="932"/>
      <c r="AD130" s="439"/>
      <c r="AE130" s="439"/>
      <c r="AF130" s="439"/>
      <c r="AG130" s="439"/>
      <c r="AH130" s="1069"/>
      <c r="AI130" s="932"/>
      <c r="AJ130" s="439"/>
      <c r="AK130" s="439"/>
      <c r="AL130" s="439"/>
      <c r="AM130" s="439"/>
      <c r="AN130" s="1069"/>
      <c r="AO130" s="932"/>
      <c r="AP130" s="439"/>
      <c r="AQ130" s="439"/>
      <c r="AR130" s="439"/>
      <c r="AS130" s="439"/>
      <c r="AT130" s="1069"/>
      <c r="AU130" s="932"/>
      <c r="AV130" s="439"/>
      <c r="AW130" s="439"/>
      <c r="AX130" s="439"/>
      <c r="AY130" s="439"/>
      <c r="AZ130" s="1069"/>
      <c r="BA130" s="932"/>
      <c r="BB130" s="439"/>
      <c r="BC130" s="439"/>
      <c r="BD130" s="439"/>
      <c r="BE130" s="439"/>
      <c r="BF130" s="1069"/>
      <c r="BG130" s="932"/>
      <c r="BH130" s="439"/>
      <c r="BI130" s="439"/>
      <c r="BJ130" s="439"/>
      <c r="BK130" s="439"/>
      <c r="BL130" s="1069"/>
      <c r="BM130" s="932"/>
      <c r="BN130" s="439"/>
      <c r="BO130" s="439"/>
      <c r="BP130" s="439"/>
      <c r="BQ130" s="439"/>
      <c r="BR130" s="1069"/>
    </row>
    <row r="131" ht="15.75" customHeight="1">
      <c r="A131" s="439"/>
      <c r="B131" s="439"/>
      <c r="C131" s="439"/>
      <c r="D131" s="439"/>
      <c r="E131" s="932"/>
      <c r="F131" s="439"/>
      <c r="G131" s="439"/>
      <c r="H131" s="439"/>
      <c r="I131" s="439"/>
      <c r="J131" s="439"/>
      <c r="K131" s="932"/>
      <c r="L131" s="439"/>
      <c r="M131" s="439"/>
      <c r="N131" s="439"/>
      <c r="O131" s="439"/>
      <c r="P131" s="439"/>
      <c r="Q131" s="932"/>
      <c r="R131" s="439"/>
      <c r="S131" s="439"/>
      <c r="T131" s="439"/>
      <c r="U131" s="439"/>
      <c r="V131" s="439"/>
      <c r="W131" s="932"/>
      <c r="X131" s="439"/>
      <c r="Y131" s="439"/>
      <c r="Z131" s="439"/>
      <c r="AA131" s="439"/>
      <c r="AB131" s="439"/>
      <c r="AC131" s="932"/>
      <c r="AD131" s="439"/>
      <c r="AE131" s="439"/>
      <c r="AF131" s="439"/>
      <c r="AG131" s="439"/>
      <c r="AH131" s="439"/>
      <c r="AI131" s="932"/>
      <c r="AJ131" s="439"/>
      <c r="AK131" s="439"/>
      <c r="AL131" s="439"/>
      <c r="AM131" s="439"/>
      <c r="AN131" s="439"/>
      <c r="AO131" s="932"/>
      <c r="AP131" s="439"/>
      <c r="AQ131" s="439"/>
      <c r="AR131" s="439"/>
      <c r="AS131" s="439"/>
      <c r="AT131" s="439"/>
      <c r="AU131" s="932"/>
      <c r="AV131" s="439"/>
      <c r="AW131" s="439"/>
      <c r="AX131" s="439"/>
      <c r="AY131" s="439"/>
      <c r="AZ131" s="439"/>
      <c r="BA131" s="932"/>
      <c r="BB131" s="439"/>
      <c r="BC131" s="439"/>
      <c r="BD131" s="439"/>
      <c r="BE131" s="439"/>
      <c r="BF131" s="439"/>
      <c r="BG131" s="932"/>
      <c r="BH131" s="439"/>
      <c r="BI131" s="439"/>
      <c r="BJ131" s="439"/>
      <c r="BK131" s="439"/>
      <c r="BL131" s="439"/>
      <c r="BM131" s="932"/>
      <c r="BN131" s="439"/>
      <c r="BO131" s="439"/>
      <c r="BP131" s="439"/>
      <c r="BQ131" s="439"/>
      <c r="BR131" s="439"/>
    </row>
    <row r="132" ht="15.75" customHeight="1">
      <c r="A132" s="439"/>
      <c r="B132" s="439"/>
      <c r="C132" s="439"/>
      <c r="D132" s="439"/>
      <c r="E132" s="932"/>
      <c r="F132" s="439"/>
      <c r="G132" s="439"/>
      <c r="H132" s="439"/>
      <c r="I132" s="439"/>
      <c r="J132" s="439"/>
      <c r="K132" s="932"/>
      <c r="L132" s="439"/>
      <c r="M132" s="439"/>
      <c r="N132" s="439"/>
      <c r="O132" s="439"/>
      <c r="P132" s="439"/>
      <c r="Q132" s="932"/>
      <c r="R132" s="439"/>
      <c r="S132" s="439"/>
      <c r="T132" s="439"/>
      <c r="U132" s="439"/>
      <c r="V132" s="439"/>
      <c r="W132" s="932"/>
      <c r="X132" s="439"/>
      <c r="Y132" s="439"/>
      <c r="Z132" s="439"/>
      <c r="AA132" s="439"/>
      <c r="AB132" s="439"/>
      <c r="AC132" s="932"/>
      <c r="AD132" s="439"/>
      <c r="AE132" s="439"/>
      <c r="AF132" s="439"/>
      <c r="AG132" s="439"/>
      <c r="AH132" s="439"/>
      <c r="AI132" s="932"/>
      <c r="AJ132" s="439"/>
      <c r="AK132" s="439"/>
      <c r="AL132" s="439"/>
      <c r="AM132" s="439"/>
      <c r="AN132" s="439"/>
      <c r="AO132" s="932"/>
      <c r="AP132" s="439"/>
      <c r="AQ132" s="439"/>
      <c r="AR132" s="439"/>
      <c r="AS132" s="439"/>
      <c r="AT132" s="439"/>
      <c r="AU132" s="932"/>
      <c r="AV132" s="439"/>
      <c r="AW132" s="439"/>
      <c r="AX132" s="439"/>
      <c r="AY132" s="439"/>
      <c r="AZ132" s="439"/>
      <c r="BA132" s="932"/>
      <c r="BB132" s="439"/>
      <c r="BC132" s="439"/>
      <c r="BD132" s="439"/>
      <c r="BE132" s="439"/>
      <c r="BF132" s="439"/>
      <c r="BG132" s="932"/>
      <c r="BH132" s="439"/>
      <c r="BI132" s="439"/>
      <c r="BJ132" s="439"/>
      <c r="BK132" s="439"/>
      <c r="BL132" s="439"/>
      <c r="BM132" s="932"/>
      <c r="BN132" s="439"/>
      <c r="BO132" s="439"/>
      <c r="BP132" s="439"/>
      <c r="BQ132" s="439"/>
      <c r="BR132" s="439"/>
    </row>
    <row r="133" ht="15.75" customHeight="1">
      <c r="A133" s="439"/>
      <c r="B133" s="439"/>
      <c r="C133" s="439"/>
      <c r="D133" s="439"/>
      <c r="E133" s="932"/>
      <c r="F133" s="439"/>
      <c r="G133" s="439"/>
      <c r="H133" s="439"/>
      <c r="I133" s="439"/>
      <c r="J133" s="439"/>
      <c r="K133" s="932"/>
      <c r="L133" s="439"/>
      <c r="M133" s="439"/>
      <c r="N133" s="439"/>
      <c r="O133" s="439"/>
      <c r="P133" s="439"/>
      <c r="Q133" s="932"/>
      <c r="R133" s="439"/>
      <c r="S133" s="439"/>
      <c r="T133" s="439"/>
      <c r="U133" s="439"/>
      <c r="V133" s="439"/>
      <c r="W133" s="932"/>
      <c r="X133" s="439"/>
      <c r="Y133" s="439"/>
      <c r="Z133" s="439"/>
      <c r="AA133" s="439"/>
      <c r="AB133" s="439"/>
      <c r="AC133" s="932"/>
      <c r="AD133" s="439"/>
      <c r="AE133" s="439"/>
      <c r="AF133" s="439"/>
      <c r="AG133" s="439"/>
      <c r="AH133" s="439"/>
      <c r="AI133" s="932"/>
      <c r="AJ133" s="439"/>
      <c r="AK133" s="439"/>
      <c r="AL133" s="439"/>
      <c r="AM133" s="439"/>
      <c r="AN133" s="439"/>
      <c r="AO133" s="932"/>
      <c r="AP133" s="439"/>
      <c r="AQ133" s="439"/>
      <c r="AR133" s="439"/>
      <c r="AS133" s="439"/>
      <c r="AT133" s="439"/>
      <c r="AU133" s="932"/>
      <c r="AV133" s="439"/>
      <c r="AW133" s="439"/>
      <c r="AX133" s="439"/>
      <c r="AY133" s="439"/>
      <c r="AZ133" s="439"/>
      <c r="BA133" s="932"/>
      <c r="BB133" s="439"/>
      <c r="BC133" s="439"/>
      <c r="BD133" s="439"/>
      <c r="BE133" s="439"/>
      <c r="BF133" s="439"/>
      <c r="BG133" s="932"/>
      <c r="BH133" s="439"/>
      <c r="BI133" s="439"/>
      <c r="BJ133" s="439"/>
      <c r="BK133" s="439"/>
      <c r="BL133" s="439"/>
      <c r="BM133" s="932"/>
      <c r="BN133" s="439"/>
      <c r="BO133" s="439"/>
      <c r="BP133" s="439"/>
      <c r="BQ133" s="439"/>
      <c r="BR133" s="439"/>
    </row>
    <row r="134" ht="15.75" customHeight="1">
      <c r="A134" s="439"/>
      <c r="B134" s="439"/>
      <c r="C134" s="439"/>
      <c r="D134" s="439"/>
      <c r="E134" s="932"/>
      <c r="F134" s="439"/>
      <c r="G134" s="439"/>
      <c r="H134" s="439"/>
      <c r="I134" s="439"/>
      <c r="J134" s="439"/>
      <c r="K134" s="932"/>
      <c r="L134" s="439"/>
      <c r="M134" s="439"/>
      <c r="N134" s="439"/>
      <c r="O134" s="439"/>
      <c r="P134" s="439"/>
      <c r="Q134" s="932"/>
      <c r="R134" s="439"/>
      <c r="S134" s="439"/>
      <c r="T134" s="439"/>
      <c r="U134" s="439"/>
      <c r="V134" s="439"/>
      <c r="W134" s="932"/>
      <c r="X134" s="439"/>
      <c r="Y134" s="439"/>
      <c r="Z134" s="439"/>
      <c r="AA134" s="439"/>
      <c r="AB134" s="439"/>
      <c r="AC134" s="932"/>
      <c r="AD134" s="439"/>
      <c r="AE134" s="439"/>
      <c r="AF134" s="439"/>
      <c r="AG134" s="439"/>
      <c r="AH134" s="439"/>
      <c r="AI134" s="932"/>
      <c r="AJ134" s="439"/>
      <c r="AK134" s="439"/>
      <c r="AL134" s="439"/>
      <c r="AM134" s="439"/>
      <c r="AN134" s="439"/>
      <c r="AO134" s="932"/>
      <c r="AP134" s="439"/>
      <c r="AQ134" s="439"/>
      <c r="AR134" s="439"/>
      <c r="AS134" s="439"/>
      <c r="AT134" s="439"/>
      <c r="AU134" s="932"/>
      <c r="AV134" s="439"/>
      <c r="AW134" s="439"/>
      <c r="AX134" s="439"/>
      <c r="AY134" s="439"/>
      <c r="AZ134" s="439"/>
      <c r="BA134" s="932"/>
      <c r="BB134" s="439"/>
      <c r="BC134" s="439"/>
      <c r="BD134" s="439"/>
      <c r="BE134" s="439"/>
      <c r="BF134" s="439"/>
      <c r="BG134" s="932"/>
      <c r="BH134" s="439"/>
      <c r="BI134" s="439"/>
      <c r="BJ134" s="439"/>
      <c r="BK134" s="439"/>
      <c r="BL134" s="439"/>
      <c r="BM134" s="932"/>
      <c r="BN134" s="439"/>
      <c r="BO134" s="439"/>
      <c r="BP134" s="439"/>
      <c r="BQ134" s="439"/>
      <c r="BR134" s="439"/>
    </row>
    <row r="135" ht="15.75" customHeight="1">
      <c r="A135" s="439"/>
      <c r="B135" s="439"/>
      <c r="C135" s="439"/>
      <c r="D135" s="439"/>
      <c r="E135" s="932"/>
      <c r="F135" s="439"/>
      <c r="G135" s="439"/>
      <c r="H135" s="439"/>
      <c r="I135" s="439"/>
      <c r="J135" s="439"/>
      <c r="K135" s="932"/>
      <c r="L135" s="439"/>
      <c r="M135" s="439"/>
      <c r="N135" s="439"/>
      <c r="O135" s="439"/>
      <c r="P135" s="439"/>
      <c r="Q135" s="932"/>
      <c r="R135" s="439"/>
      <c r="S135" s="439"/>
      <c r="T135" s="439"/>
      <c r="U135" s="439"/>
      <c r="V135" s="439"/>
      <c r="W135" s="932"/>
      <c r="X135" s="439"/>
      <c r="Y135" s="439"/>
      <c r="Z135" s="439"/>
      <c r="AA135" s="439"/>
      <c r="AB135" s="439"/>
      <c r="AC135" s="932"/>
      <c r="AD135" s="439"/>
      <c r="AE135" s="439"/>
      <c r="AF135" s="439"/>
      <c r="AG135" s="439"/>
      <c r="AH135" s="439"/>
      <c r="AI135" s="932"/>
      <c r="AJ135" s="439"/>
      <c r="AK135" s="439"/>
      <c r="AL135" s="439"/>
      <c r="AM135" s="439"/>
      <c r="AN135" s="439"/>
      <c r="AO135" s="932"/>
      <c r="AP135" s="439"/>
      <c r="AQ135" s="439"/>
      <c r="AR135" s="439"/>
      <c r="AS135" s="439"/>
      <c r="AT135" s="439"/>
      <c r="AU135" s="932"/>
      <c r="AV135" s="439"/>
      <c r="AW135" s="439"/>
      <c r="AX135" s="439"/>
      <c r="AY135" s="439"/>
      <c r="AZ135" s="439"/>
      <c r="BA135" s="932"/>
      <c r="BB135" s="439"/>
      <c r="BC135" s="439"/>
      <c r="BD135" s="439"/>
      <c r="BE135" s="439"/>
      <c r="BF135" s="439"/>
      <c r="BG135" s="932"/>
      <c r="BH135" s="439"/>
      <c r="BI135" s="439"/>
      <c r="BJ135" s="439"/>
      <c r="BK135" s="439"/>
      <c r="BL135" s="439"/>
      <c r="BM135" s="932"/>
      <c r="BN135" s="439"/>
      <c r="BO135" s="439"/>
      <c r="BP135" s="439"/>
      <c r="BQ135" s="439"/>
      <c r="BR135" s="439"/>
    </row>
    <row r="136" ht="15.75" customHeight="1">
      <c r="A136" s="439"/>
      <c r="B136" s="439"/>
      <c r="C136" s="439"/>
      <c r="D136" s="439"/>
      <c r="E136" s="932"/>
      <c r="F136" s="439"/>
      <c r="G136" s="439"/>
      <c r="H136" s="439"/>
      <c r="I136" s="439"/>
      <c r="J136" s="439"/>
      <c r="K136" s="932"/>
      <c r="L136" s="439"/>
      <c r="M136" s="439"/>
      <c r="N136" s="439"/>
      <c r="O136" s="439"/>
      <c r="P136" s="439"/>
      <c r="Q136" s="932"/>
      <c r="R136" s="439"/>
      <c r="S136" s="439"/>
      <c r="T136" s="439"/>
      <c r="U136" s="439"/>
      <c r="V136" s="439"/>
      <c r="W136" s="932"/>
      <c r="X136" s="439"/>
      <c r="Y136" s="439"/>
      <c r="Z136" s="439"/>
      <c r="AA136" s="439"/>
      <c r="AB136" s="439"/>
      <c r="AC136" s="932"/>
      <c r="AD136" s="439"/>
      <c r="AE136" s="439"/>
      <c r="AF136" s="439"/>
      <c r="AG136" s="439"/>
      <c r="AH136" s="439"/>
      <c r="AI136" s="932"/>
      <c r="AJ136" s="439"/>
      <c r="AK136" s="439"/>
      <c r="AL136" s="439"/>
      <c r="AM136" s="439"/>
      <c r="AN136" s="439"/>
      <c r="AO136" s="932"/>
      <c r="AP136" s="439"/>
      <c r="AQ136" s="439"/>
      <c r="AR136" s="439"/>
      <c r="AS136" s="439"/>
      <c r="AT136" s="439"/>
      <c r="AU136" s="932"/>
      <c r="AV136" s="439"/>
      <c r="AW136" s="439"/>
      <c r="AX136" s="439"/>
      <c r="AY136" s="439"/>
      <c r="AZ136" s="439"/>
      <c r="BA136" s="932"/>
      <c r="BB136" s="439"/>
      <c r="BC136" s="439"/>
      <c r="BD136" s="439"/>
      <c r="BE136" s="439"/>
      <c r="BF136" s="439"/>
      <c r="BG136" s="932"/>
      <c r="BH136" s="439"/>
      <c r="BI136" s="439"/>
      <c r="BJ136" s="439"/>
      <c r="BK136" s="439"/>
      <c r="BL136" s="439"/>
      <c r="BM136" s="932"/>
      <c r="BN136" s="439"/>
      <c r="BO136" s="439"/>
      <c r="BP136" s="439"/>
      <c r="BQ136" s="439"/>
      <c r="BR136" s="439"/>
    </row>
    <row r="137" ht="15.75" customHeight="1">
      <c r="A137" s="439"/>
      <c r="B137" s="439"/>
      <c r="C137" s="439"/>
      <c r="D137" s="439"/>
      <c r="E137" s="932"/>
      <c r="F137" s="439"/>
      <c r="G137" s="439"/>
      <c r="H137" s="439"/>
      <c r="I137" s="439"/>
      <c r="J137" s="439"/>
      <c r="K137" s="932"/>
      <c r="L137" s="439"/>
      <c r="M137" s="439"/>
      <c r="N137" s="439"/>
      <c r="O137" s="439"/>
      <c r="P137" s="439"/>
      <c r="Q137" s="932"/>
      <c r="R137" s="439"/>
      <c r="S137" s="439"/>
      <c r="T137" s="439"/>
      <c r="U137" s="439"/>
      <c r="V137" s="439"/>
      <c r="W137" s="932"/>
      <c r="X137" s="439"/>
      <c r="Y137" s="439"/>
      <c r="Z137" s="439"/>
      <c r="AA137" s="439"/>
      <c r="AB137" s="439"/>
      <c r="AC137" s="932"/>
      <c r="AD137" s="439"/>
      <c r="AE137" s="439"/>
      <c r="AF137" s="439"/>
      <c r="AG137" s="439"/>
      <c r="AH137" s="439"/>
      <c r="AI137" s="932"/>
      <c r="AJ137" s="439"/>
      <c r="AK137" s="439"/>
      <c r="AL137" s="439"/>
      <c r="AM137" s="439"/>
      <c r="AN137" s="439"/>
      <c r="AO137" s="932"/>
      <c r="AP137" s="439"/>
      <c r="AQ137" s="439"/>
      <c r="AR137" s="439"/>
      <c r="AS137" s="439"/>
      <c r="AT137" s="439"/>
      <c r="AU137" s="932"/>
      <c r="AV137" s="439"/>
      <c r="AW137" s="439"/>
      <c r="AX137" s="439"/>
      <c r="AY137" s="439"/>
      <c r="AZ137" s="439"/>
      <c r="BA137" s="932"/>
      <c r="BB137" s="439"/>
      <c r="BC137" s="439"/>
      <c r="BD137" s="439"/>
      <c r="BE137" s="439"/>
      <c r="BF137" s="439"/>
      <c r="BG137" s="932"/>
      <c r="BH137" s="439"/>
      <c r="BI137" s="439"/>
      <c r="BJ137" s="439"/>
      <c r="BK137" s="439"/>
      <c r="BL137" s="439"/>
      <c r="BM137" s="932"/>
      <c r="BN137" s="439"/>
      <c r="BO137" s="439"/>
      <c r="BP137" s="439"/>
      <c r="BQ137" s="439"/>
      <c r="BR137" s="439"/>
    </row>
    <row r="138" ht="15.75" customHeight="1">
      <c r="A138" s="439"/>
      <c r="B138" s="439"/>
      <c r="C138" s="439"/>
      <c r="D138" s="439"/>
      <c r="E138" s="932"/>
      <c r="F138" s="439"/>
      <c r="G138" s="439"/>
      <c r="H138" s="439"/>
      <c r="I138" s="439"/>
      <c r="J138" s="439"/>
      <c r="K138" s="932"/>
      <c r="L138" s="439"/>
      <c r="M138" s="439"/>
      <c r="N138" s="439"/>
      <c r="O138" s="439"/>
      <c r="P138" s="439"/>
      <c r="Q138" s="932"/>
      <c r="R138" s="439"/>
      <c r="S138" s="439"/>
      <c r="T138" s="439"/>
      <c r="U138" s="439"/>
      <c r="V138" s="439"/>
      <c r="W138" s="932"/>
      <c r="X138" s="439"/>
      <c r="Y138" s="439"/>
      <c r="Z138" s="439"/>
      <c r="AA138" s="439"/>
      <c r="AB138" s="439"/>
      <c r="AC138" s="932"/>
      <c r="AD138" s="439"/>
      <c r="AE138" s="439"/>
      <c r="AF138" s="439"/>
      <c r="AG138" s="439"/>
      <c r="AH138" s="439"/>
      <c r="AI138" s="932"/>
      <c r="AJ138" s="439"/>
      <c r="AK138" s="439"/>
      <c r="AL138" s="439"/>
      <c r="AM138" s="439"/>
      <c r="AN138" s="439"/>
      <c r="AO138" s="932"/>
      <c r="AP138" s="439"/>
      <c r="AQ138" s="439"/>
      <c r="AR138" s="439"/>
      <c r="AS138" s="439"/>
      <c r="AT138" s="439"/>
      <c r="AU138" s="932"/>
      <c r="AV138" s="439"/>
      <c r="AW138" s="439"/>
      <c r="AX138" s="439"/>
      <c r="AY138" s="439"/>
      <c r="AZ138" s="439"/>
      <c r="BA138" s="932"/>
      <c r="BB138" s="439"/>
      <c r="BC138" s="439"/>
      <c r="BD138" s="439"/>
      <c r="BE138" s="439"/>
      <c r="BF138" s="439"/>
      <c r="BG138" s="932"/>
      <c r="BH138" s="439"/>
      <c r="BI138" s="439"/>
      <c r="BJ138" s="439"/>
      <c r="BK138" s="439"/>
      <c r="BL138" s="439"/>
      <c r="BM138" s="932"/>
      <c r="BN138" s="439"/>
      <c r="BO138" s="439"/>
      <c r="BP138" s="439"/>
      <c r="BQ138" s="439"/>
      <c r="BR138" s="439"/>
    </row>
    <row r="139" ht="15.75" customHeight="1">
      <c r="A139" s="439"/>
      <c r="B139" s="439"/>
      <c r="C139" s="439"/>
      <c r="D139" s="439"/>
      <c r="E139" s="932"/>
      <c r="F139" s="439"/>
      <c r="G139" s="439"/>
      <c r="H139" s="439"/>
      <c r="I139" s="439"/>
      <c r="J139" s="439"/>
      <c r="K139" s="932"/>
      <c r="L139" s="439"/>
      <c r="M139" s="439"/>
      <c r="N139" s="439"/>
      <c r="O139" s="439"/>
      <c r="P139" s="439"/>
      <c r="Q139" s="932"/>
      <c r="R139" s="439"/>
      <c r="S139" s="439"/>
      <c r="T139" s="439"/>
      <c r="U139" s="439"/>
      <c r="V139" s="439"/>
      <c r="W139" s="932"/>
      <c r="X139" s="439"/>
      <c r="Y139" s="439"/>
      <c r="Z139" s="439"/>
      <c r="AA139" s="439"/>
      <c r="AB139" s="439"/>
      <c r="AC139" s="932"/>
      <c r="AD139" s="439"/>
      <c r="AE139" s="439"/>
      <c r="AF139" s="439"/>
      <c r="AG139" s="439"/>
      <c r="AH139" s="439"/>
      <c r="AI139" s="932"/>
      <c r="AJ139" s="439"/>
      <c r="AK139" s="439"/>
      <c r="AL139" s="439"/>
      <c r="AM139" s="439"/>
      <c r="AN139" s="439"/>
      <c r="AO139" s="932"/>
      <c r="AP139" s="439"/>
      <c r="AQ139" s="439"/>
      <c r="AR139" s="439"/>
      <c r="AS139" s="439"/>
      <c r="AT139" s="439"/>
      <c r="AU139" s="932"/>
      <c r="AV139" s="439"/>
      <c r="AW139" s="439"/>
      <c r="AX139" s="439"/>
      <c r="AY139" s="439"/>
      <c r="AZ139" s="439"/>
      <c r="BA139" s="932"/>
      <c r="BB139" s="439"/>
      <c r="BC139" s="439"/>
      <c r="BD139" s="439"/>
      <c r="BE139" s="439"/>
      <c r="BF139" s="439"/>
      <c r="BG139" s="932"/>
      <c r="BH139" s="439"/>
      <c r="BI139" s="439"/>
      <c r="BJ139" s="439"/>
      <c r="BK139" s="439"/>
      <c r="BL139" s="439"/>
      <c r="BM139" s="932"/>
      <c r="BN139" s="439"/>
      <c r="BO139" s="439"/>
      <c r="BP139" s="439"/>
      <c r="BQ139" s="439"/>
      <c r="BR139" s="439"/>
    </row>
    <row r="140" ht="15.75" customHeight="1">
      <c r="A140" s="439"/>
      <c r="B140" s="439"/>
      <c r="C140" s="439"/>
      <c r="D140" s="439"/>
      <c r="E140" s="932"/>
      <c r="F140" s="439"/>
      <c r="G140" s="439"/>
      <c r="H140" s="439"/>
      <c r="I140" s="439"/>
      <c r="J140" s="439"/>
      <c r="K140" s="932"/>
      <c r="L140" s="439"/>
      <c r="M140" s="439"/>
      <c r="N140" s="439"/>
      <c r="O140" s="439"/>
      <c r="P140" s="439"/>
      <c r="Q140" s="932"/>
      <c r="R140" s="439"/>
      <c r="S140" s="439"/>
      <c r="T140" s="439"/>
      <c r="U140" s="439"/>
      <c r="V140" s="439"/>
      <c r="W140" s="932"/>
      <c r="X140" s="439"/>
      <c r="Y140" s="439"/>
      <c r="Z140" s="439"/>
      <c r="AA140" s="439"/>
      <c r="AB140" s="439"/>
      <c r="AC140" s="932"/>
      <c r="AD140" s="439"/>
      <c r="AE140" s="439"/>
      <c r="AF140" s="439"/>
      <c r="AG140" s="439"/>
      <c r="AH140" s="439"/>
      <c r="AI140" s="932"/>
      <c r="AJ140" s="439"/>
      <c r="AK140" s="439"/>
      <c r="AL140" s="439"/>
      <c r="AM140" s="439"/>
      <c r="AN140" s="439"/>
      <c r="AO140" s="932"/>
      <c r="AP140" s="439"/>
      <c r="AQ140" s="439"/>
      <c r="AR140" s="439"/>
      <c r="AS140" s="439"/>
      <c r="AT140" s="439"/>
      <c r="AU140" s="932"/>
      <c r="AV140" s="439"/>
      <c r="AW140" s="439"/>
      <c r="AX140" s="439"/>
      <c r="AY140" s="439"/>
      <c r="AZ140" s="439"/>
      <c r="BA140" s="932"/>
      <c r="BB140" s="439"/>
      <c r="BC140" s="439"/>
      <c r="BD140" s="439"/>
      <c r="BE140" s="439"/>
      <c r="BF140" s="439"/>
      <c r="BG140" s="932"/>
      <c r="BH140" s="439"/>
      <c r="BI140" s="439"/>
      <c r="BJ140" s="439"/>
      <c r="BK140" s="439"/>
      <c r="BL140" s="439"/>
      <c r="BM140" s="932"/>
      <c r="BN140" s="439"/>
      <c r="BO140" s="439"/>
      <c r="BP140" s="439"/>
      <c r="BQ140" s="439"/>
      <c r="BR140" s="439"/>
    </row>
    <row r="141" ht="15.75" customHeight="1">
      <c r="A141" s="439"/>
      <c r="B141" s="439"/>
      <c r="C141" s="692"/>
      <c r="D141" s="439"/>
      <c r="E141" s="932"/>
      <c r="F141" s="439"/>
      <c r="G141" s="439"/>
      <c r="H141" s="439"/>
      <c r="I141" s="439"/>
      <c r="J141" s="439"/>
      <c r="K141" s="932"/>
      <c r="L141" s="439"/>
      <c r="M141" s="439"/>
      <c r="N141" s="439"/>
      <c r="O141" s="439"/>
      <c r="P141" s="439"/>
      <c r="Q141" s="932"/>
      <c r="R141" s="439"/>
      <c r="S141" s="439"/>
      <c r="T141" s="439"/>
      <c r="U141" s="439"/>
      <c r="V141" s="439"/>
      <c r="W141" s="932"/>
      <c r="X141" s="439"/>
      <c r="Y141" s="439"/>
      <c r="Z141" s="439"/>
      <c r="AA141" s="439"/>
      <c r="AB141" s="439"/>
      <c r="AC141" s="932"/>
      <c r="AD141" s="439"/>
      <c r="AE141" s="439"/>
      <c r="AF141" s="439"/>
      <c r="AG141" s="439"/>
      <c r="AH141" s="439"/>
      <c r="AI141" s="932"/>
      <c r="AJ141" s="439"/>
      <c r="AK141" s="439"/>
      <c r="AL141" s="439"/>
      <c r="AM141" s="439"/>
      <c r="AN141" s="439"/>
      <c r="AO141" s="932"/>
      <c r="AP141" s="439"/>
      <c r="AQ141" s="439"/>
      <c r="AR141" s="439"/>
      <c r="AS141" s="439"/>
      <c r="AT141" s="439"/>
      <c r="AU141" s="932"/>
      <c r="AV141" s="439"/>
      <c r="AW141" s="439"/>
      <c r="AX141" s="439"/>
      <c r="AY141" s="439"/>
      <c r="AZ141" s="439"/>
      <c r="BA141" s="932"/>
      <c r="BB141" s="439"/>
      <c r="BC141" s="439"/>
      <c r="BD141" s="439"/>
      <c r="BE141" s="439"/>
      <c r="BF141" s="439"/>
      <c r="BG141" s="932"/>
      <c r="BH141" s="439"/>
      <c r="BI141" s="439"/>
      <c r="BJ141" s="439"/>
      <c r="BK141" s="439"/>
      <c r="BL141" s="439"/>
      <c r="BM141" s="932"/>
      <c r="BN141" s="439"/>
      <c r="BO141" s="439"/>
      <c r="BP141" s="439"/>
      <c r="BQ141" s="439"/>
      <c r="BR141" s="439"/>
    </row>
    <row r="142" ht="15.75" customHeight="1">
      <c r="A142" s="439"/>
      <c r="B142" s="439"/>
      <c r="C142" s="692"/>
      <c r="D142" s="439"/>
      <c r="E142" s="932"/>
      <c r="F142" s="439"/>
      <c r="G142" s="439"/>
      <c r="H142" s="439"/>
      <c r="I142" s="439"/>
      <c r="J142" s="439"/>
      <c r="K142" s="932"/>
      <c r="L142" s="439"/>
      <c r="M142" s="439"/>
      <c r="N142" s="439"/>
      <c r="O142" s="439"/>
      <c r="P142" s="439"/>
      <c r="Q142" s="932"/>
      <c r="R142" s="439"/>
      <c r="S142" s="439"/>
      <c r="T142" s="439"/>
      <c r="U142" s="439"/>
      <c r="V142" s="439"/>
      <c r="W142" s="932"/>
      <c r="X142" s="439"/>
      <c r="Y142" s="439"/>
      <c r="Z142" s="439"/>
      <c r="AA142" s="439"/>
      <c r="AB142" s="439"/>
      <c r="AC142" s="932"/>
      <c r="AD142" s="439"/>
      <c r="AE142" s="439"/>
      <c r="AF142" s="439"/>
      <c r="AG142" s="439"/>
      <c r="AH142" s="439"/>
      <c r="AI142" s="932"/>
      <c r="AJ142" s="439"/>
      <c r="AK142" s="439"/>
      <c r="AL142" s="439"/>
      <c r="AM142" s="439"/>
      <c r="AN142" s="439"/>
      <c r="AO142" s="932"/>
      <c r="AP142" s="439"/>
      <c r="AQ142" s="439"/>
      <c r="AR142" s="439"/>
      <c r="AS142" s="439"/>
      <c r="AT142" s="439"/>
      <c r="AU142" s="932"/>
      <c r="AV142" s="439"/>
      <c r="AW142" s="439"/>
      <c r="AX142" s="439"/>
      <c r="AY142" s="439"/>
      <c r="AZ142" s="439"/>
      <c r="BA142" s="932"/>
      <c r="BB142" s="439"/>
      <c r="BC142" s="439"/>
      <c r="BD142" s="439"/>
      <c r="BE142" s="439"/>
      <c r="BF142" s="439"/>
      <c r="BG142" s="932"/>
      <c r="BH142" s="439"/>
      <c r="BI142" s="439"/>
      <c r="BJ142" s="439"/>
      <c r="BK142" s="439"/>
      <c r="BL142" s="439"/>
      <c r="BM142" s="932"/>
      <c r="BN142" s="439"/>
      <c r="BO142" s="439"/>
      <c r="BP142" s="439"/>
      <c r="BQ142" s="439"/>
      <c r="BR142" s="439"/>
    </row>
    <row r="143" ht="15.75" customHeight="1">
      <c r="A143" s="439"/>
      <c r="B143" s="439"/>
      <c r="C143" s="692"/>
      <c r="D143" s="439"/>
      <c r="E143" s="932"/>
      <c r="F143" s="439"/>
      <c r="G143" s="439"/>
      <c r="H143" s="439"/>
      <c r="I143" s="439"/>
      <c r="J143" s="439"/>
      <c r="K143" s="932"/>
      <c r="L143" s="439"/>
      <c r="M143" s="439"/>
      <c r="N143" s="439"/>
      <c r="O143" s="439"/>
      <c r="P143" s="439"/>
      <c r="Q143" s="932"/>
      <c r="R143" s="439"/>
      <c r="S143" s="439"/>
      <c r="T143" s="439"/>
      <c r="U143" s="439"/>
      <c r="V143" s="439"/>
      <c r="W143" s="932"/>
      <c r="X143" s="439"/>
      <c r="Y143" s="439"/>
      <c r="Z143" s="439"/>
      <c r="AA143" s="439"/>
      <c r="AB143" s="439"/>
      <c r="AC143" s="932"/>
      <c r="AD143" s="439"/>
      <c r="AE143" s="439"/>
      <c r="AF143" s="439"/>
      <c r="AG143" s="439"/>
      <c r="AH143" s="439"/>
      <c r="AI143" s="932"/>
      <c r="AJ143" s="439"/>
      <c r="AK143" s="439"/>
      <c r="AL143" s="439"/>
      <c r="AM143" s="439"/>
      <c r="AN143" s="439"/>
      <c r="AO143" s="932"/>
      <c r="AP143" s="439"/>
      <c r="AQ143" s="439"/>
      <c r="AR143" s="439"/>
      <c r="AS143" s="439"/>
      <c r="AT143" s="439"/>
      <c r="AU143" s="932"/>
      <c r="AV143" s="439"/>
      <c r="AW143" s="439"/>
      <c r="AX143" s="439"/>
      <c r="AY143" s="439"/>
      <c r="AZ143" s="439"/>
      <c r="BA143" s="932"/>
      <c r="BB143" s="439"/>
      <c r="BC143" s="439"/>
      <c r="BD143" s="439"/>
      <c r="BE143" s="439"/>
      <c r="BF143" s="439"/>
      <c r="BG143" s="932"/>
      <c r="BH143" s="439"/>
      <c r="BI143" s="439"/>
      <c r="BJ143" s="439"/>
      <c r="BK143" s="439"/>
      <c r="BL143" s="439"/>
      <c r="BM143" s="932"/>
      <c r="BN143" s="439"/>
      <c r="BO143" s="439"/>
      <c r="BP143" s="439"/>
      <c r="BQ143" s="439"/>
      <c r="BR143" s="439"/>
    </row>
    <row r="144" ht="15.75" customHeight="1">
      <c r="A144" s="439"/>
      <c r="B144" s="439"/>
      <c r="C144" s="692"/>
      <c r="D144" s="439"/>
      <c r="E144" s="932"/>
      <c r="F144" s="439"/>
      <c r="G144" s="439"/>
      <c r="H144" s="439"/>
      <c r="I144" s="439"/>
      <c r="J144" s="439"/>
      <c r="K144" s="932"/>
      <c r="L144" s="439"/>
      <c r="M144" s="439"/>
      <c r="N144" s="439"/>
      <c r="O144" s="439"/>
      <c r="P144" s="439"/>
      <c r="Q144" s="932"/>
      <c r="R144" s="439"/>
      <c r="S144" s="439"/>
      <c r="T144" s="439"/>
      <c r="U144" s="439"/>
      <c r="V144" s="439"/>
      <c r="W144" s="932"/>
      <c r="X144" s="439"/>
      <c r="Y144" s="439"/>
      <c r="Z144" s="439"/>
      <c r="AA144" s="439"/>
      <c r="AB144" s="439"/>
      <c r="AC144" s="932"/>
      <c r="AD144" s="439"/>
      <c r="AE144" s="439"/>
      <c r="AF144" s="439"/>
      <c r="AG144" s="439"/>
      <c r="AH144" s="439"/>
      <c r="AI144" s="932"/>
      <c r="AJ144" s="439"/>
      <c r="AK144" s="439"/>
      <c r="AL144" s="439"/>
      <c r="AM144" s="439"/>
      <c r="AN144" s="439"/>
      <c r="AO144" s="932"/>
      <c r="AP144" s="439"/>
      <c r="AQ144" s="439"/>
      <c r="AR144" s="439"/>
      <c r="AS144" s="439"/>
      <c r="AT144" s="439"/>
      <c r="AU144" s="932"/>
      <c r="AV144" s="439"/>
      <c r="AW144" s="439"/>
      <c r="AX144" s="439"/>
      <c r="AY144" s="439"/>
      <c r="AZ144" s="439"/>
      <c r="BA144" s="932"/>
      <c r="BB144" s="439"/>
      <c r="BC144" s="439"/>
      <c r="BD144" s="439"/>
      <c r="BE144" s="439"/>
      <c r="BF144" s="439"/>
      <c r="BG144" s="932"/>
      <c r="BH144" s="439"/>
      <c r="BI144" s="439"/>
      <c r="BJ144" s="439"/>
      <c r="BK144" s="439"/>
      <c r="BL144" s="439"/>
      <c r="BM144" s="932"/>
      <c r="BN144" s="439"/>
      <c r="BO144" s="439"/>
      <c r="BP144" s="439"/>
      <c r="BQ144" s="439"/>
      <c r="BR144" s="439"/>
    </row>
    <row r="145" ht="15.75" customHeight="1">
      <c r="A145" s="439"/>
      <c r="B145" s="439"/>
      <c r="C145" s="439"/>
      <c r="D145" s="439"/>
      <c r="E145" s="932"/>
      <c r="F145" s="439"/>
      <c r="G145" s="439"/>
      <c r="H145" s="439"/>
      <c r="I145" s="439"/>
      <c r="J145" s="439"/>
      <c r="K145" s="932"/>
      <c r="L145" s="439"/>
      <c r="M145" s="439"/>
      <c r="N145" s="439"/>
      <c r="O145" s="439"/>
      <c r="P145" s="439"/>
      <c r="Q145" s="932"/>
      <c r="R145" s="439"/>
      <c r="S145" s="439"/>
      <c r="T145" s="439"/>
      <c r="U145" s="439"/>
      <c r="V145" s="439"/>
      <c r="W145" s="932"/>
      <c r="X145" s="439"/>
      <c r="Y145" s="439"/>
      <c r="Z145" s="439"/>
      <c r="AA145" s="439"/>
      <c r="AB145" s="439"/>
      <c r="AC145" s="932"/>
      <c r="AD145" s="439"/>
      <c r="AE145" s="439"/>
      <c r="AF145" s="439"/>
      <c r="AG145" s="439"/>
      <c r="AH145" s="439"/>
      <c r="AI145" s="932"/>
      <c r="AJ145" s="439"/>
      <c r="AK145" s="439"/>
      <c r="AL145" s="439"/>
      <c r="AM145" s="439"/>
      <c r="AN145" s="439"/>
      <c r="AO145" s="932"/>
      <c r="AP145" s="439"/>
      <c r="AQ145" s="439"/>
      <c r="AR145" s="439"/>
      <c r="AS145" s="439"/>
      <c r="AT145" s="439"/>
      <c r="AU145" s="932"/>
      <c r="AV145" s="439"/>
      <c r="AW145" s="439"/>
      <c r="AX145" s="439"/>
      <c r="AY145" s="439"/>
      <c r="AZ145" s="439"/>
      <c r="BA145" s="932"/>
      <c r="BB145" s="439"/>
      <c r="BC145" s="439"/>
      <c r="BD145" s="439"/>
      <c r="BE145" s="439"/>
      <c r="BF145" s="439"/>
      <c r="BG145" s="932"/>
      <c r="BH145" s="439"/>
      <c r="BI145" s="439"/>
      <c r="BJ145" s="439"/>
      <c r="BK145" s="439"/>
      <c r="BL145" s="439"/>
      <c r="BM145" s="932"/>
      <c r="BN145" s="439"/>
      <c r="BO145" s="439"/>
      <c r="BP145" s="439"/>
      <c r="BQ145" s="439"/>
      <c r="BR145" s="439"/>
    </row>
    <row r="146" ht="15.75" customHeight="1">
      <c r="A146" s="439"/>
      <c r="B146" s="439"/>
      <c r="C146" s="692"/>
      <c r="D146" s="439"/>
      <c r="E146" s="932"/>
      <c r="F146" s="439"/>
      <c r="G146" s="439"/>
      <c r="H146" s="439"/>
      <c r="I146" s="439"/>
      <c r="J146" s="439"/>
      <c r="K146" s="932"/>
      <c r="L146" s="439"/>
      <c r="M146" s="439"/>
      <c r="N146" s="439"/>
      <c r="O146" s="439"/>
      <c r="P146" s="439"/>
      <c r="Q146" s="932"/>
      <c r="R146" s="439"/>
      <c r="S146" s="439"/>
      <c r="T146" s="439"/>
      <c r="U146" s="439"/>
      <c r="V146" s="439"/>
      <c r="W146" s="932"/>
      <c r="X146" s="439"/>
      <c r="Y146" s="439"/>
      <c r="Z146" s="439"/>
      <c r="AA146" s="439"/>
      <c r="AB146" s="439"/>
      <c r="AC146" s="932"/>
      <c r="AD146" s="439"/>
      <c r="AE146" s="439"/>
      <c r="AF146" s="439"/>
      <c r="AG146" s="439"/>
      <c r="AH146" s="439"/>
      <c r="AI146" s="932"/>
      <c r="AJ146" s="439"/>
      <c r="AK146" s="439"/>
      <c r="AL146" s="439"/>
      <c r="AM146" s="439"/>
      <c r="AN146" s="439"/>
      <c r="AO146" s="932"/>
      <c r="AP146" s="439"/>
      <c r="AQ146" s="439"/>
      <c r="AR146" s="439"/>
      <c r="AS146" s="439"/>
      <c r="AT146" s="439"/>
      <c r="AU146" s="932"/>
      <c r="AV146" s="439"/>
      <c r="AW146" s="439"/>
      <c r="AX146" s="439"/>
      <c r="AY146" s="439"/>
      <c r="AZ146" s="439"/>
      <c r="BA146" s="932"/>
      <c r="BB146" s="439"/>
      <c r="BC146" s="439"/>
      <c r="BD146" s="439"/>
      <c r="BE146" s="439"/>
      <c r="BF146" s="439"/>
      <c r="BG146" s="932"/>
      <c r="BH146" s="439"/>
      <c r="BI146" s="439"/>
      <c r="BJ146" s="439"/>
      <c r="BK146" s="439"/>
      <c r="BL146" s="439"/>
      <c r="BM146" s="932"/>
      <c r="BN146" s="439"/>
      <c r="BO146" s="439"/>
      <c r="BP146" s="439"/>
      <c r="BQ146" s="439"/>
      <c r="BR146" s="439"/>
    </row>
    <row r="147" ht="15.75" customHeight="1">
      <c r="A147" s="439"/>
      <c r="B147" s="439"/>
      <c r="C147" s="439"/>
      <c r="D147" s="439"/>
      <c r="E147" s="932"/>
      <c r="F147" s="439"/>
      <c r="G147" s="439"/>
      <c r="H147" s="439"/>
      <c r="I147" s="439"/>
      <c r="J147" s="439"/>
      <c r="K147" s="932"/>
      <c r="L147" s="439"/>
      <c r="M147" s="439"/>
      <c r="N147" s="439"/>
      <c r="O147" s="439"/>
      <c r="P147" s="439"/>
      <c r="Q147" s="932"/>
      <c r="R147" s="439"/>
      <c r="S147" s="439"/>
      <c r="T147" s="439"/>
      <c r="U147" s="439"/>
      <c r="V147" s="439"/>
      <c r="W147" s="932"/>
      <c r="X147" s="439"/>
      <c r="Y147" s="439"/>
      <c r="Z147" s="439"/>
      <c r="AA147" s="439"/>
      <c r="AB147" s="439"/>
      <c r="AC147" s="932"/>
      <c r="AD147" s="439"/>
      <c r="AE147" s="439"/>
      <c r="AF147" s="439"/>
      <c r="AG147" s="439"/>
      <c r="AH147" s="439"/>
      <c r="AI147" s="932"/>
      <c r="AJ147" s="439"/>
      <c r="AK147" s="439"/>
      <c r="AL147" s="439"/>
      <c r="AM147" s="439"/>
      <c r="AN147" s="439"/>
      <c r="AO147" s="932"/>
      <c r="AP147" s="439"/>
      <c r="AQ147" s="439"/>
      <c r="AR147" s="439"/>
      <c r="AS147" s="439"/>
      <c r="AT147" s="439"/>
      <c r="AU147" s="932"/>
      <c r="AV147" s="439"/>
      <c r="AW147" s="439"/>
      <c r="AX147" s="439"/>
      <c r="AY147" s="439"/>
      <c r="AZ147" s="439"/>
      <c r="BA147" s="932"/>
      <c r="BB147" s="439"/>
      <c r="BC147" s="439"/>
      <c r="BD147" s="439"/>
      <c r="BE147" s="439"/>
      <c r="BF147" s="439"/>
      <c r="BG147" s="932"/>
      <c r="BH147" s="439"/>
      <c r="BI147" s="439"/>
      <c r="BJ147" s="439"/>
      <c r="BK147" s="439"/>
      <c r="BL147" s="439"/>
      <c r="BM147" s="932"/>
      <c r="BN147" s="439"/>
      <c r="BO147" s="439"/>
      <c r="BP147" s="439"/>
      <c r="BQ147" s="439"/>
      <c r="BR147" s="439"/>
    </row>
    <row r="148" ht="15.75" customHeight="1">
      <c r="A148" s="439"/>
      <c r="B148" s="439"/>
      <c r="C148" s="439"/>
      <c r="D148" s="439"/>
      <c r="E148" s="932"/>
      <c r="F148" s="439"/>
      <c r="G148" s="439"/>
      <c r="H148" s="439"/>
      <c r="I148" s="439"/>
      <c r="J148" s="439"/>
      <c r="K148" s="932"/>
      <c r="L148" s="439"/>
      <c r="M148" s="439"/>
      <c r="N148" s="439"/>
      <c r="O148" s="439"/>
      <c r="P148" s="439"/>
      <c r="Q148" s="932"/>
      <c r="R148" s="439"/>
      <c r="S148" s="439"/>
      <c r="T148" s="439"/>
      <c r="U148" s="439"/>
      <c r="V148" s="439"/>
      <c r="W148" s="932"/>
      <c r="X148" s="439"/>
      <c r="Y148" s="439"/>
      <c r="Z148" s="439"/>
      <c r="AA148" s="439"/>
      <c r="AB148" s="439"/>
      <c r="AC148" s="932"/>
      <c r="AD148" s="439"/>
      <c r="AE148" s="439"/>
      <c r="AF148" s="439"/>
      <c r="AG148" s="439"/>
      <c r="AH148" s="439"/>
      <c r="AI148" s="932"/>
      <c r="AJ148" s="439"/>
      <c r="AK148" s="439"/>
      <c r="AL148" s="439"/>
      <c r="AM148" s="439"/>
      <c r="AN148" s="439"/>
      <c r="AO148" s="932"/>
      <c r="AP148" s="439"/>
      <c r="AQ148" s="439"/>
      <c r="AR148" s="439"/>
      <c r="AS148" s="439"/>
      <c r="AT148" s="439"/>
      <c r="AU148" s="932"/>
      <c r="AV148" s="439"/>
      <c r="AW148" s="439"/>
      <c r="AX148" s="439"/>
      <c r="AY148" s="439"/>
      <c r="AZ148" s="439"/>
      <c r="BA148" s="932"/>
      <c r="BB148" s="439"/>
      <c r="BC148" s="439"/>
      <c r="BD148" s="439"/>
      <c r="BE148" s="439"/>
      <c r="BF148" s="439"/>
      <c r="BG148" s="932"/>
      <c r="BH148" s="439"/>
      <c r="BI148" s="439"/>
      <c r="BJ148" s="439"/>
      <c r="BK148" s="439"/>
      <c r="BL148" s="439"/>
      <c r="BM148" s="932"/>
      <c r="BN148" s="439"/>
      <c r="BO148" s="439"/>
      <c r="BP148" s="439"/>
      <c r="BQ148" s="439"/>
      <c r="BR148" s="439"/>
    </row>
    <row r="149" ht="15.75" customHeight="1">
      <c r="A149" s="439"/>
      <c r="B149" s="439"/>
      <c r="C149" s="439"/>
      <c r="D149" s="439"/>
      <c r="E149" s="932"/>
      <c r="F149" s="439"/>
      <c r="G149" s="439"/>
      <c r="H149" s="439"/>
      <c r="I149" s="439"/>
      <c r="J149" s="439"/>
      <c r="K149" s="932"/>
      <c r="L149" s="439"/>
      <c r="M149" s="439"/>
      <c r="N149" s="439"/>
      <c r="O149" s="439"/>
      <c r="P149" s="439"/>
      <c r="Q149" s="932"/>
      <c r="R149" s="439"/>
      <c r="S149" s="439"/>
      <c r="T149" s="439"/>
      <c r="U149" s="439"/>
      <c r="V149" s="439"/>
      <c r="W149" s="932"/>
      <c r="X149" s="439"/>
      <c r="Y149" s="439"/>
      <c r="Z149" s="439"/>
      <c r="AA149" s="439"/>
      <c r="AB149" s="439"/>
      <c r="AC149" s="932"/>
      <c r="AD149" s="439"/>
      <c r="AE149" s="439"/>
      <c r="AF149" s="439"/>
      <c r="AG149" s="439"/>
      <c r="AH149" s="439"/>
      <c r="AI149" s="932"/>
      <c r="AJ149" s="439"/>
      <c r="AK149" s="439"/>
      <c r="AL149" s="439"/>
      <c r="AM149" s="439"/>
      <c r="AN149" s="439"/>
      <c r="AO149" s="932"/>
      <c r="AP149" s="439"/>
      <c r="AQ149" s="439"/>
      <c r="AR149" s="439"/>
      <c r="AS149" s="439"/>
      <c r="AT149" s="439"/>
      <c r="AU149" s="932"/>
      <c r="AV149" s="439"/>
      <c r="AW149" s="439"/>
      <c r="AX149" s="439"/>
      <c r="AY149" s="439"/>
      <c r="AZ149" s="439"/>
      <c r="BA149" s="932"/>
      <c r="BB149" s="439"/>
      <c r="BC149" s="439"/>
      <c r="BD149" s="439"/>
      <c r="BE149" s="439"/>
      <c r="BF149" s="439"/>
      <c r="BG149" s="932"/>
      <c r="BH149" s="439"/>
      <c r="BI149" s="439"/>
      <c r="BJ149" s="439"/>
      <c r="BK149" s="439"/>
      <c r="BL149" s="439"/>
      <c r="BM149" s="932"/>
      <c r="BN149" s="439"/>
      <c r="BO149" s="439"/>
      <c r="BP149" s="439"/>
      <c r="BQ149" s="439"/>
      <c r="BR149" s="439"/>
    </row>
    <row r="150" ht="15.75" customHeight="1">
      <c r="A150" s="439"/>
      <c r="B150" s="439"/>
      <c r="C150" s="439"/>
      <c r="D150" s="439"/>
      <c r="E150" s="932"/>
      <c r="F150" s="439"/>
      <c r="G150" s="439"/>
      <c r="H150" s="439"/>
      <c r="I150" s="439"/>
      <c r="J150" s="439"/>
      <c r="K150" s="932"/>
      <c r="L150" s="439"/>
      <c r="M150" s="439"/>
      <c r="N150" s="439"/>
      <c r="O150" s="439"/>
      <c r="P150" s="439"/>
      <c r="Q150" s="932"/>
      <c r="R150" s="439"/>
      <c r="S150" s="439"/>
      <c r="T150" s="439"/>
      <c r="U150" s="439"/>
      <c r="V150" s="439"/>
      <c r="W150" s="932"/>
      <c r="X150" s="439"/>
      <c r="Y150" s="439"/>
      <c r="Z150" s="439"/>
      <c r="AA150" s="439"/>
      <c r="AB150" s="439"/>
      <c r="AC150" s="932"/>
      <c r="AD150" s="439"/>
      <c r="AE150" s="439"/>
      <c r="AF150" s="439"/>
      <c r="AG150" s="439"/>
      <c r="AH150" s="439"/>
      <c r="AI150" s="932"/>
      <c r="AJ150" s="439"/>
      <c r="AK150" s="439"/>
      <c r="AL150" s="439"/>
      <c r="AM150" s="439"/>
      <c r="AN150" s="439"/>
      <c r="AO150" s="932"/>
      <c r="AP150" s="439"/>
      <c r="AQ150" s="439"/>
      <c r="AR150" s="439"/>
      <c r="AS150" s="439"/>
      <c r="AT150" s="439"/>
      <c r="AU150" s="932"/>
      <c r="AV150" s="439"/>
      <c r="AW150" s="439"/>
      <c r="AX150" s="439"/>
      <c r="AY150" s="439"/>
      <c r="AZ150" s="439"/>
      <c r="BA150" s="932"/>
      <c r="BB150" s="439"/>
      <c r="BC150" s="439"/>
      <c r="BD150" s="439"/>
      <c r="BE150" s="439"/>
      <c r="BF150" s="439"/>
      <c r="BG150" s="932"/>
      <c r="BH150" s="439"/>
      <c r="BI150" s="439"/>
      <c r="BJ150" s="439"/>
      <c r="BK150" s="439"/>
      <c r="BL150" s="439"/>
      <c r="BM150" s="932"/>
      <c r="BN150" s="439"/>
      <c r="BO150" s="439"/>
      <c r="BP150" s="439"/>
      <c r="BQ150" s="439"/>
      <c r="BR150" s="439"/>
    </row>
    <row r="151" ht="15.75" customHeight="1">
      <c r="A151" s="439"/>
      <c r="B151" s="439"/>
      <c r="C151" s="439"/>
      <c r="D151" s="439"/>
      <c r="E151" s="932"/>
      <c r="F151" s="439"/>
      <c r="G151" s="439"/>
      <c r="H151" s="439"/>
      <c r="I151" s="439"/>
      <c r="J151" s="439"/>
      <c r="K151" s="932"/>
      <c r="L151" s="439"/>
      <c r="M151" s="439"/>
      <c r="N151" s="439"/>
      <c r="O151" s="439"/>
      <c r="P151" s="439"/>
      <c r="Q151" s="932"/>
      <c r="R151" s="439"/>
      <c r="S151" s="439"/>
      <c r="T151" s="439"/>
      <c r="U151" s="439"/>
      <c r="V151" s="439"/>
      <c r="W151" s="932"/>
      <c r="X151" s="439"/>
      <c r="Y151" s="439"/>
      <c r="Z151" s="439"/>
      <c r="AA151" s="439"/>
      <c r="AB151" s="439"/>
      <c r="AC151" s="932"/>
      <c r="AD151" s="439"/>
      <c r="AE151" s="439"/>
      <c r="AF151" s="439"/>
      <c r="AG151" s="439"/>
      <c r="AH151" s="439"/>
      <c r="AI151" s="932"/>
      <c r="AJ151" s="439"/>
      <c r="AK151" s="439"/>
      <c r="AL151" s="439"/>
      <c r="AM151" s="439"/>
      <c r="AN151" s="439"/>
      <c r="AO151" s="932"/>
      <c r="AP151" s="439"/>
      <c r="AQ151" s="439"/>
      <c r="AR151" s="439"/>
      <c r="AS151" s="439"/>
      <c r="AT151" s="439"/>
      <c r="AU151" s="932"/>
      <c r="AV151" s="439"/>
      <c r="AW151" s="439"/>
      <c r="AX151" s="439"/>
      <c r="AY151" s="439"/>
      <c r="AZ151" s="439"/>
      <c r="BA151" s="932"/>
      <c r="BB151" s="439"/>
      <c r="BC151" s="439"/>
      <c r="BD151" s="439"/>
      <c r="BE151" s="439"/>
      <c r="BF151" s="439"/>
      <c r="BG151" s="932"/>
      <c r="BH151" s="439"/>
      <c r="BI151" s="439"/>
      <c r="BJ151" s="439"/>
      <c r="BK151" s="439"/>
      <c r="BL151" s="439"/>
      <c r="BM151" s="932"/>
      <c r="BN151" s="439"/>
      <c r="BO151" s="439"/>
      <c r="BP151" s="439"/>
      <c r="BQ151" s="439"/>
      <c r="BR151" s="439"/>
    </row>
    <row r="152" ht="15.75" customHeight="1">
      <c r="A152" s="439"/>
      <c r="B152" s="439"/>
      <c r="C152" s="439"/>
      <c r="D152" s="439"/>
      <c r="E152" s="932"/>
      <c r="F152" s="439"/>
      <c r="G152" s="439"/>
      <c r="H152" s="439"/>
      <c r="I152" s="439"/>
      <c r="J152" s="439"/>
      <c r="K152" s="932"/>
      <c r="L152" s="439"/>
      <c r="M152" s="439"/>
      <c r="N152" s="439"/>
      <c r="O152" s="439"/>
      <c r="P152" s="439"/>
      <c r="Q152" s="932"/>
      <c r="R152" s="439"/>
      <c r="S152" s="439"/>
      <c r="T152" s="439"/>
      <c r="U152" s="439"/>
      <c r="V152" s="439"/>
      <c r="W152" s="932"/>
      <c r="X152" s="439"/>
      <c r="Y152" s="439"/>
      <c r="Z152" s="439"/>
      <c r="AA152" s="439"/>
      <c r="AB152" s="439"/>
      <c r="AC152" s="932"/>
      <c r="AD152" s="439"/>
      <c r="AE152" s="439"/>
      <c r="AF152" s="439"/>
      <c r="AG152" s="439"/>
      <c r="AH152" s="439"/>
      <c r="AI152" s="932"/>
      <c r="AJ152" s="439"/>
      <c r="AK152" s="439"/>
      <c r="AL152" s="439"/>
      <c r="AM152" s="439"/>
      <c r="AN152" s="439"/>
      <c r="AO152" s="932"/>
      <c r="AP152" s="439"/>
      <c r="AQ152" s="439"/>
      <c r="AR152" s="439"/>
      <c r="AS152" s="439"/>
      <c r="AT152" s="439"/>
      <c r="AU152" s="932"/>
      <c r="AV152" s="439"/>
      <c r="AW152" s="439"/>
      <c r="AX152" s="439"/>
      <c r="AY152" s="439"/>
      <c r="AZ152" s="439"/>
      <c r="BA152" s="932"/>
      <c r="BB152" s="439"/>
      <c r="BC152" s="439"/>
      <c r="BD152" s="439"/>
      <c r="BE152" s="439"/>
      <c r="BF152" s="439"/>
      <c r="BG152" s="932"/>
      <c r="BH152" s="439"/>
      <c r="BI152" s="439"/>
      <c r="BJ152" s="439"/>
      <c r="BK152" s="439"/>
      <c r="BL152" s="439"/>
      <c r="BM152" s="932"/>
      <c r="BN152" s="439"/>
      <c r="BO152" s="439"/>
      <c r="BP152" s="439"/>
      <c r="BQ152" s="439"/>
      <c r="BR152" s="439"/>
    </row>
    <row r="153" ht="15.75" customHeight="1">
      <c r="A153" s="439"/>
      <c r="B153" s="439"/>
      <c r="C153" s="439"/>
      <c r="D153" s="439"/>
      <c r="E153" s="932"/>
      <c r="F153" s="439"/>
      <c r="G153" s="439"/>
      <c r="H153" s="439"/>
      <c r="I153" s="439"/>
      <c r="J153" s="439"/>
      <c r="K153" s="932"/>
      <c r="L153" s="439"/>
      <c r="M153" s="439"/>
      <c r="N153" s="439"/>
      <c r="O153" s="439"/>
      <c r="P153" s="439"/>
      <c r="Q153" s="932"/>
      <c r="R153" s="439"/>
      <c r="S153" s="439"/>
      <c r="T153" s="439"/>
      <c r="U153" s="439"/>
      <c r="V153" s="439"/>
      <c r="W153" s="932"/>
      <c r="X153" s="439"/>
      <c r="Y153" s="439"/>
      <c r="Z153" s="439"/>
      <c r="AA153" s="439"/>
      <c r="AB153" s="439"/>
      <c r="AC153" s="932"/>
      <c r="AD153" s="439"/>
      <c r="AE153" s="439"/>
      <c r="AF153" s="439"/>
      <c r="AG153" s="439"/>
      <c r="AH153" s="439"/>
      <c r="AI153" s="932"/>
      <c r="AJ153" s="439"/>
      <c r="AK153" s="439"/>
      <c r="AL153" s="439"/>
      <c r="AM153" s="439"/>
      <c r="AN153" s="439"/>
      <c r="AO153" s="932"/>
      <c r="AP153" s="439"/>
      <c r="AQ153" s="439"/>
      <c r="AR153" s="439"/>
      <c r="AS153" s="439"/>
      <c r="AT153" s="439"/>
      <c r="AU153" s="932"/>
      <c r="AV153" s="439"/>
      <c r="AW153" s="439"/>
      <c r="AX153" s="439"/>
      <c r="AY153" s="439"/>
      <c r="AZ153" s="439"/>
      <c r="BA153" s="932"/>
      <c r="BB153" s="439"/>
      <c r="BC153" s="439"/>
      <c r="BD153" s="439"/>
      <c r="BE153" s="439"/>
      <c r="BF153" s="439"/>
      <c r="BG153" s="932"/>
      <c r="BH153" s="439"/>
      <c r="BI153" s="439"/>
      <c r="BJ153" s="439"/>
      <c r="BK153" s="439"/>
      <c r="BL153" s="439"/>
      <c r="BM153" s="932"/>
      <c r="BN153" s="439"/>
      <c r="BO153" s="439"/>
      <c r="BP153" s="439"/>
      <c r="BQ153" s="439"/>
      <c r="BR153" s="439"/>
    </row>
    <row r="154" ht="15.75" customHeight="1">
      <c r="A154" s="439"/>
      <c r="B154" s="439"/>
      <c r="C154" s="439"/>
      <c r="D154" s="439"/>
      <c r="E154" s="932"/>
      <c r="F154" s="439"/>
      <c r="G154" s="439"/>
      <c r="H154" s="439"/>
      <c r="I154" s="439"/>
      <c r="J154" s="439"/>
      <c r="K154" s="932"/>
      <c r="L154" s="439"/>
      <c r="M154" s="439"/>
      <c r="N154" s="439"/>
      <c r="O154" s="439"/>
      <c r="P154" s="439"/>
      <c r="Q154" s="932"/>
      <c r="R154" s="439"/>
      <c r="S154" s="439"/>
      <c r="T154" s="439"/>
      <c r="U154" s="439"/>
      <c r="V154" s="439"/>
      <c r="W154" s="932"/>
      <c r="X154" s="439"/>
      <c r="Y154" s="439"/>
      <c r="Z154" s="439"/>
      <c r="AA154" s="439"/>
      <c r="AB154" s="439"/>
      <c r="AC154" s="932"/>
      <c r="AD154" s="439"/>
      <c r="AE154" s="439"/>
      <c r="AF154" s="439"/>
      <c r="AG154" s="439"/>
      <c r="AH154" s="439"/>
      <c r="AI154" s="932"/>
      <c r="AJ154" s="439"/>
      <c r="AK154" s="439"/>
      <c r="AL154" s="439"/>
      <c r="AM154" s="439"/>
      <c r="AN154" s="439"/>
      <c r="AO154" s="932"/>
      <c r="AP154" s="439"/>
      <c r="AQ154" s="439"/>
      <c r="AR154" s="439"/>
      <c r="AS154" s="439"/>
      <c r="AT154" s="439"/>
      <c r="AU154" s="932"/>
      <c r="AV154" s="439"/>
      <c r="AW154" s="439"/>
      <c r="AX154" s="439"/>
      <c r="AY154" s="439"/>
      <c r="AZ154" s="439"/>
      <c r="BA154" s="932"/>
      <c r="BB154" s="439"/>
      <c r="BC154" s="439"/>
      <c r="BD154" s="439"/>
      <c r="BE154" s="439"/>
      <c r="BF154" s="439"/>
      <c r="BG154" s="932"/>
      <c r="BH154" s="439"/>
      <c r="BI154" s="439"/>
      <c r="BJ154" s="439"/>
      <c r="BK154" s="439"/>
      <c r="BL154" s="439"/>
      <c r="BM154" s="932"/>
      <c r="BN154" s="439"/>
      <c r="BO154" s="439"/>
      <c r="BP154" s="439"/>
      <c r="BQ154" s="439"/>
      <c r="BR154" s="439"/>
    </row>
    <row r="155" ht="15.75" customHeight="1">
      <c r="A155" s="439"/>
      <c r="B155" s="439"/>
      <c r="C155" s="439"/>
      <c r="D155" s="439"/>
      <c r="E155" s="932"/>
      <c r="F155" s="439"/>
      <c r="G155" s="439"/>
      <c r="H155" s="439"/>
      <c r="I155" s="439"/>
      <c r="J155" s="439"/>
      <c r="K155" s="932"/>
      <c r="L155" s="439"/>
      <c r="M155" s="439"/>
      <c r="N155" s="439"/>
      <c r="O155" s="439"/>
      <c r="P155" s="439"/>
      <c r="Q155" s="932"/>
      <c r="R155" s="439"/>
      <c r="S155" s="439"/>
      <c r="T155" s="439"/>
      <c r="U155" s="439"/>
      <c r="V155" s="439"/>
      <c r="W155" s="932"/>
      <c r="X155" s="439"/>
      <c r="Y155" s="439"/>
      <c r="Z155" s="439"/>
      <c r="AA155" s="439"/>
      <c r="AB155" s="439"/>
      <c r="AC155" s="932"/>
      <c r="AD155" s="439"/>
      <c r="AE155" s="439"/>
      <c r="AF155" s="439"/>
      <c r="AG155" s="439"/>
      <c r="AH155" s="439"/>
      <c r="AI155" s="932"/>
      <c r="AJ155" s="439"/>
      <c r="AK155" s="439"/>
      <c r="AL155" s="439"/>
      <c r="AM155" s="439"/>
      <c r="AN155" s="439"/>
      <c r="AO155" s="932"/>
      <c r="AP155" s="439"/>
      <c r="AQ155" s="439"/>
      <c r="AR155" s="439"/>
      <c r="AS155" s="439"/>
      <c r="AT155" s="439"/>
      <c r="AU155" s="932"/>
      <c r="AV155" s="439"/>
      <c r="AW155" s="439"/>
      <c r="AX155" s="439"/>
      <c r="AY155" s="439"/>
      <c r="AZ155" s="439"/>
      <c r="BA155" s="932"/>
      <c r="BB155" s="439"/>
      <c r="BC155" s="439"/>
      <c r="BD155" s="439"/>
      <c r="BE155" s="439"/>
      <c r="BF155" s="439"/>
      <c r="BG155" s="932"/>
      <c r="BH155" s="439"/>
      <c r="BI155" s="439"/>
      <c r="BJ155" s="439"/>
      <c r="BK155" s="439"/>
      <c r="BL155" s="439"/>
      <c r="BM155" s="932"/>
      <c r="BN155" s="439"/>
      <c r="BO155" s="439"/>
      <c r="BP155" s="439"/>
      <c r="BQ155" s="439"/>
      <c r="BR155" s="439"/>
    </row>
    <row r="156" ht="15.75" customHeight="1">
      <c r="A156" s="439"/>
      <c r="B156" s="439"/>
      <c r="C156" s="439"/>
      <c r="D156" s="439"/>
      <c r="E156" s="932"/>
      <c r="F156" s="439"/>
      <c r="G156" s="439"/>
      <c r="H156" s="439"/>
      <c r="I156" s="439"/>
      <c r="J156" s="439"/>
      <c r="K156" s="932"/>
      <c r="L156" s="439"/>
      <c r="M156" s="439"/>
      <c r="N156" s="439"/>
      <c r="O156" s="439"/>
      <c r="P156" s="439"/>
      <c r="Q156" s="932"/>
      <c r="R156" s="439"/>
      <c r="S156" s="439"/>
      <c r="T156" s="439"/>
      <c r="U156" s="439"/>
      <c r="V156" s="439"/>
      <c r="W156" s="932"/>
      <c r="X156" s="439"/>
      <c r="Y156" s="439"/>
      <c r="Z156" s="439"/>
      <c r="AA156" s="439"/>
      <c r="AB156" s="439"/>
      <c r="AC156" s="932"/>
      <c r="AD156" s="439"/>
      <c r="AE156" s="439"/>
      <c r="AF156" s="439"/>
      <c r="AG156" s="439"/>
      <c r="AH156" s="439"/>
      <c r="AI156" s="932"/>
      <c r="AJ156" s="439"/>
      <c r="AK156" s="439"/>
      <c r="AL156" s="439"/>
      <c r="AM156" s="439"/>
      <c r="AN156" s="439"/>
      <c r="AO156" s="932"/>
      <c r="AP156" s="439"/>
      <c r="AQ156" s="439"/>
      <c r="AR156" s="439"/>
      <c r="AS156" s="439"/>
      <c r="AT156" s="439"/>
      <c r="AU156" s="932"/>
      <c r="AV156" s="439"/>
      <c r="AW156" s="439"/>
      <c r="AX156" s="439"/>
      <c r="AY156" s="439"/>
      <c r="AZ156" s="439"/>
      <c r="BA156" s="932"/>
      <c r="BB156" s="439"/>
      <c r="BC156" s="439"/>
      <c r="BD156" s="439"/>
      <c r="BE156" s="439"/>
      <c r="BF156" s="439"/>
      <c r="BG156" s="932"/>
      <c r="BH156" s="439"/>
      <c r="BI156" s="439"/>
      <c r="BJ156" s="439"/>
      <c r="BK156" s="439"/>
      <c r="BL156" s="439"/>
      <c r="BM156" s="932"/>
      <c r="BN156" s="439"/>
      <c r="BO156" s="439"/>
      <c r="BP156" s="439"/>
      <c r="BQ156" s="439"/>
      <c r="BR156" s="439"/>
    </row>
    <row r="157" ht="15.75" customHeight="1">
      <c r="A157" s="439"/>
      <c r="B157" s="439"/>
      <c r="C157" s="439"/>
      <c r="D157" s="439"/>
      <c r="E157" s="932"/>
      <c r="F157" s="439"/>
      <c r="G157" s="439"/>
      <c r="H157" s="439"/>
      <c r="I157" s="439"/>
      <c r="J157" s="439"/>
      <c r="K157" s="932"/>
      <c r="L157" s="439"/>
      <c r="M157" s="439"/>
      <c r="N157" s="439"/>
      <c r="O157" s="439"/>
      <c r="P157" s="439"/>
      <c r="Q157" s="932"/>
      <c r="R157" s="439"/>
      <c r="S157" s="439"/>
      <c r="T157" s="439"/>
      <c r="U157" s="439"/>
      <c r="V157" s="439"/>
      <c r="W157" s="932"/>
      <c r="X157" s="439"/>
      <c r="Y157" s="439"/>
      <c r="Z157" s="439"/>
      <c r="AA157" s="439"/>
      <c r="AB157" s="439"/>
      <c r="AC157" s="932"/>
      <c r="AD157" s="439"/>
      <c r="AE157" s="439"/>
      <c r="AF157" s="439"/>
      <c r="AG157" s="439"/>
      <c r="AH157" s="439"/>
      <c r="AI157" s="932"/>
      <c r="AJ157" s="439"/>
      <c r="AK157" s="439"/>
      <c r="AL157" s="439"/>
      <c r="AM157" s="439"/>
      <c r="AN157" s="439"/>
      <c r="AO157" s="932"/>
      <c r="AP157" s="439"/>
      <c r="AQ157" s="439"/>
      <c r="AR157" s="439"/>
      <c r="AS157" s="439"/>
      <c r="AT157" s="439"/>
      <c r="AU157" s="932"/>
      <c r="AV157" s="439"/>
      <c r="AW157" s="439"/>
      <c r="AX157" s="439"/>
      <c r="AY157" s="439"/>
      <c r="AZ157" s="439"/>
      <c r="BA157" s="932"/>
      <c r="BB157" s="439"/>
      <c r="BC157" s="439"/>
      <c r="BD157" s="439"/>
      <c r="BE157" s="439"/>
      <c r="BF157" s="439"/>
      <c r="BG157" s="932"/>
      <c r="BH157" s="439"/>
      <c r="BI157" s="439"/>
      <c r="BJ157" s="439"/>
      <c r="BK157" s="439"/>
      <c r="BL157" s="439"/>
      <c r="BM157" s="932"/>
      <c r="BN157" s="439"/>
      <c r="BO157" s="439"/>
      <c r="BP157" s="439"/>
      <c r="BQ157" s="439"/>
      <c r="BR157" s="439"/>
    </row>
    <row r="158" ht="15.75" customHeight="1">
      <c r="A158" s="439"/>
      <c r="B158" s="439"/>
      <c r="C158" s="439"/>
      <c r="D158" s="439"/>
      <c r="E158" s="932"/>
      <c r="F158" s="439"/>
      <c r="G158" s="439"/>
      <c r="H158" s="439"/>
      <c r="I158" s="439"/>
      <c r="J158" s="439"/>
      <c r="K158" s="932"/>
      <c r="L158" s="439"/>
      <c r="M158" s="439"/>
      <c r="N158" s="439"/>
      <c r="O158" s="439"/>
      <c r="P158" s="439"/>
      <c r="Q158" s="932"/>
      <c r="R158" s="439"/>
      <c r="S158" s="439"/>
      <c r="T158" s="439"/>
      <c r="U158" s="439"/>
      <c r="V158" s="439"/>
      <c r="W158" s="932"/>
      <c r="X158" s="439"/>
      <c r="Y158" s="439"/>
      <c r="Z158" s="439"/>
      <c r="AA158" s="439"/>
      <c r="AB158" s="439"/>
      <c r="AC158" s="932"/>
      <c r="AD158" s="439"/>
      <c r="AE158" s="439"/>
      <c r="AF158" s="439"/>
      <c r="AG158" s="439"/>
      <c r="AH158" s="439"/>
      <c r="AI158" s="932"/>
      <c r="AJ158" s="439"/>
      <c r="AK158" s="439"/>
      <c r="AL158" s="439"/>
      <c r="AM158" s="439"/>
      <c r="AN158" s="439"/>
      <c r="AO158" s="932"/>
      <c r="AP158" s="439"/>
      <c r="AQ158" s="439"/>
      <c r="AR158" s="439"/>
      <c r="AS158" s="439"/>
      <c r="AT158" s="439"/>
      <c r="AU158" s="932"/>
      <c r="AV158" s="439"/>
      <c r="AW158" s="439"/>
      <c r="AX158" s="439"/>
      <c r="AY158" s="439"/>
      <c r="AZ158" s="439"/>
      <c r="BA158" s="932"/>
      <c r="BB158" s="439"/>
      <c r="BC158" s="439"/>
      <c r="BD158" s="439"/>
      <c r="BE158" s="439"/>
      <c r="BF158" s="439"/>
      <c r="BG158" s="932"/>
      <c r="BH158" s="439"/>
      <c r="BI158" s="439"/>
      <c r="BJ158" s="439"/>
      <c r="BK158" s="439"/>
      <c r="BL158" s="439"/>
      <c r="BM158" s="932"/>
      <c r="BN158" s="439"/>
      <c r="BO158" s="439"/>
      <c r="BP158" s="439"/>
      <c r="BQ158" s="439"/>
      <c r="BR158" s="439"/>
    </row>
    <row r="159" ht="15.75" customHeight="1">
      <c r="A159" s="439"/>
      <c r="B159" s="439"/>
      <c r="C159" s="439"/>
      <c r="D159" s="439"/>
      <c r="E159" s="932"/>
      <c r="F159" s="439"/>
      <c r="G159" s="439"/>
      <c r="H159" s="439"/>
      <c r="I159" s="439"/>
      <c r="J159" s="439"/>
      <c r="K159" s="932"/>
      <c r="L159" s="439"/>
      <c r="M159" s="439"/>
      <c r="N159" s="439"/>
      <c r="O159" s="439"/>
      <c r="P159" s="439"/>
      <c r="Q159" s="932"/>
      <c r="R159" s="439"/>
      <c r="S159" s="439"/>
      <c r="T159" s="439"/>
      <c r="U159" s="439"/>
      <c r="V159" s="439"/>
      <c r="W159" s="932"/>
      <c r="X159" s="439"/>
      <c r="Y159" s="439"/>
      <c r="Z159" s="439"/>
      <c r="AA159" s="439"/>
      <c r="AB159" s="439"/>
      <c r="AC159" s="932"/>
      <c r="AD159" s="439"/>
      <c r="AE159" s="439"/>
      <c r="AF159" s="439"/>
      <c r="AG159" s="439"/>
      <c r="AH159" s="439"/>
      <c r="AI159" s="932"/>
      <c r="AJ159" s="439"/>
      <c r="AK159" s="439"/>
      <c r="AL159" s="439"/>
      <c r="AM159" s="439"/>
      <c r="AN159" s="439"/>
      <c r="AO159" s="932"/>
      <c r="AP159" s="439"/>
      <c r="AQ159" s="439"/>
      <c r="AR159" s="439"/>
      <c r="AS159" s="439"/>
      <c r="AT159" s="439"/>
      <c r="AU159" s="932"/>
      <c r="AV159" s="439"/>
      <c r="AW159" s="439"/>
      <c r="AX159" s="439"/>
      <c r="AY159" s="439"/>
      <c r="AZ159" s="439"/>
      <c r="BA159" s="932"/>
      <c r="BB159" s="439"/>
      <c r="BC159" s="439"/>
      <c r="BD159" s="439"/>
      <c r="BE159" s="439"/>
      <c r="BF159" s="439"/>
      <c r="BG159" s="932"/>
      <c r="BH159" s="439"/>
      <c r="BI159" s="439"/>
      <c r="BJ159" s="439"/>
      <c r="BK159" s="439"/>
      <c r="BL159" s="439"/>
      <c r="BM159" s="932"/>
      <c r="BN159" s="439"/>
      <c r="BO159" s="439"/>
      <c r="BP159" s="439"/>
      <c r="BQ159" s="439"/>
      <c r="BR159" s="439"/>
    </row>
    <row r="160" ht="15.75" customHeight="1">
      <c r="A160" s="439"/>
      <c r="B160" s="439"/>
      <c r="C160" s="439"/>
      <c r="D160" s="439"/>
      <c r="E160" s="932"/>
      <c r="F160" s="439"/>
      <c r="G160" s="439"/>
      <c r="H160" s="439"/>
      <c r="I160" s="439"/>
      <c r="J160" s="439"/>
      <c r="K160" s="932"/>
      <c r="L160" s="439"/>
      <c r="M160" s="439"/>
      <c r="N160" s="439"/>
      <c r="O160" s="439"/>
      <c r="P160" s="439"/>
      <c r="Q160" s="932"/>
      <c r="R160" s="439"/>
      <c r="S160" s="439"/>
      <c r="T160" s="439"/>
      <c r="U160" s="439"/>
      <c r="V160" s="439"/>
      <c r="W160" s="932"/>
      <c r="X160" s="439"/>
      <c r="Y160" s="439"/>
      <c r="Z160" s="439"/>
      <c r="AA160" s="439"/>
      <c r="AB160" s="439"/>
      <c r="AC160" s="932"/>
      <c r="AD160" s="439"/>
      <c r="AE160" s="439"/>
      <c r="AF160" s="439"/>
      <c r="AG160" s="439"/>
      <c r="AH160" s="439"/>
      <c r="AI160" s="932"/>
      <c r="AJ160" s="439"/>
      <c r="AK160" s="439"/>
      <c r="AL160" s="439"/>
      <c r="AM160" s="439"/>
      <c r="AN160" s="439"/>
      <c r="AO160" s="932"/>
      <c r="AP160" s="439"/>
      <c r="AQ160" s="439"/>
      <c r="AR160" s="439"/>
      <c r="AS160" s="439"/>
      <c r="AT160" s="439"/>
      <c r="AU160" s="932"/>
      <c r="AV160" s="439"/>
      <c r="AW160" s="439"/>
      <c r="AX160" s="439"/>
      <c r="AY160" s="439"/>
      <c r="AZ160" s="439"/>
      <c r="BA160" s="932"/>
      <c r="BB160" s="439"/>
      <c r="BC160" s="439"/>
      <c r="BD160" s="439"/>
      <c r="BE160" s="439"/>
      <c r="BF160" s="439"/>
      <c r="BG160" s="932"/>
      <c r="BH160" s="439"/>
      <c r="BI160" s="439"/>
      <c r="BJ160" s="439"/>
      <c r="BK160" s="439"/>
      <c r="BL160" s="439"/>
      <c r="BM160" s="932"/>
      <c r="BN160" s="439"/>
      <c r="BO160" s="439"/>
      <c r="BP160" s="439"/>
      <c r="BQ160" s="439"/>
      <c r="BR160" s="439"/>
    </row>
    <row r="161" ht="15.75" customHeight="1">
      <c r="A161" s="439"/>
      <c r="B161" s="439"/>
      <c r="C161" s="439"/>
      <c r="D161" s="439"/>
      <c r="E161" s="932"/>
      <c r="F161" s="439"/>
      <c r="G161" s="439"/>
      <c r="H161" s="439"/>
      <c r="I161" s="439"/>
      <c r="J161" s="439"/>
      <c r="K161" s="932"/>
      <c r="L161" s="439"/>
      <c r="M161" s="439"/>
      <c r="N161" s="439"/>
      <c r="O161" s="439"/>
      <c r="P161" s="439"/>
      <c r="Q161" s="932"/>
      <c r="R161" s="439"/>
      <c r="S161" s="439"/>
      <c r="T161" s="439"/>
      <c r="U161" s="439"/>
      <c r="V161" s="439"/>
      <c r="W161" s="932"/>
      <c r="X161" s="439"/>
      <c r="Y161" s="439"/>
      <c r="Z161" s="439"/>
      <c r="AA161" s="439"/>
      <c r="AB161" s="439"/>
      <c r="AC161" s="932"/>
      <c r="AD161" s="439"/>
      <c r="AE161" s="439"/>
      <c r="AF161" s="439"/>
      <c r="AG161" s="439"/>
      <c r="AH161" s="439"/>
      <c r="AI161" s="932"/>
      <c r="AJ161" s="439"/>
      <c r="AK161" s="439"/>
      <c r="AL161" s="439"/>
      <c r="AM161" s="439"/>
      <c r="AN161" s="439"/>
      <c r="AO161" s="932"/>
      <c r="AP161" s="439"/>
      <c r="AQ161" s="439"/>
      <c r="AR161" s="439"/>
      <c r="AS161" s="439"/>
      <c r="AT161" s="439"/>
      <c r="AU161" s="932"/>
      <c r="AV161" s="439"/>
      <c r="AW161" s="439"/>
      <c r="AX161" s="439"/>
      <c r="AY161" s="439"/>
      <c r="AZ161" s="439"/>
      <c r="BA161" s="932"/>
      <c r="BB161" s="439"/>
      <c r="BC161" s="439"/>
      <c r="BD161" s="439"/>
      <c r="BE161" s="439"/>
      <c r="BF161" s="439"/>
      <c r="BG161" s="932"/>
      <c r="BH161" s="439"/>
      <c r="BI161" s="439"/>
      <c r="BJ161" s="439"/>
      <c r="BK161" s="439"/>
      <c r="BL161" s="439"/>
      <c r="BM161" s="932"/>
      <c r="BN161" s="439"/>
      <c r="BO161" s="439"/>
      <c r="BP161" s="439"/>
      <c r="BQ161" s="439"/>
      <c r="BR161" s="439"/>
    </row>
    <row r="162" ht="15.75" customHeight="1">
      <c r="A162" s="439"/>
      <c r="B162" s="439"/>
      <c r="C162" s="439"/>
      <c r="D162" s="439"/>
      <c r="E162" s="932"/>
      <c r="F162" s="439"/>
      <c r="G162" s="439"/>
      <c r="H162" s="439"/>
      <c r="I162" s="439"/>
      <c r="J162" s="439"/>
      <c r="K162" s="932"/>
      <c r="L162" s="439"/>
      <c r="M162" s="439"/>
      <c r="N162" s="439"/>
      <c r="O162" s="439"/>
      <c r="P162" s="439"/>
      <c r="Q162" s="932"/>
      <c r="R162" s="439"/>
      <c r="S162" s="439"/>
      <c r="T162" s="439"/>
      <c r="U162" s="439"/>
      <c r="V162" s="439"/>
      <c r="W162" s="932"/>
      <c r="X162" s="439"/>
      <c r="Y162" s="439"/>
      <c r="Z162" s="439"/>
      <c r="AA162" s="439"/>
      <c r="AB162" s="439"/>
      <c r="AC162" s="932"/>
      <c r="AD162" s="439"/>
      <c r="AE162" s="439"/>
      <c r="AF162" s="439"/>
      <c r="AG162" s="439"/>
      <c r="AH162" s="439"/>
      <c r="AI162" s="932"/>
      <c r="AJ162" s="439"/>
      <c r="AK162" s="439"/>
      <c r="AL162" s="439"/>
      <c r="AM162" s="439"/>
      <c r="AN162" s="439"/>
      <c r="AO162" s="932"/>
      <c r="AP162" s="439"/>
      <c r="AQ162" s="439"/>
      <c r="AR162" s="439"/>
      <c r="AS162" s="439"/>
      <c r="AT162" s="439"/>
      <c r="AU162" s="932"/>
      <c r="AV162" s="439"/>
      <c r="AW162" s="439"/>
      <c r="AX162" s="439"/>
      <c r="AY162" s="439"/>
      <c r="AZ162" s="439"/>
      <c r="BA162" s="932"/>
      <c r="BB162" s="439"/>
      <c r="BC162" s="439"/>
      <c r="BD162" s="439"/>
      <c r="BE162" s="439"/>
      <c r="BF162" s="439"/>
      <c r="BG162" s="932"/>
      <c r="BH162" s="439"/>
      <c r="BI162" s="439"/>
      <c r="BJ162" s="439"/>
      <c r="BK162" s="439"/>
      <c r="BL162" s="439"/>
      <c r="BM162" s="932"/>
      <c r="BN162" s="439"/>
      <c r="BO162" s="439"/>
      <c r="BP162" s="439"/>
      <c r="BQ162" s="439"/>
      <c r="BR162" s="439"/>
    </row>
    <row r="163" ht="15.75" customHeight="1">
      <c r="A163" s="439"/>
      <c r="B163" s="439"/>
      <c r="C163" s="439"/>
      <c r="D163" s="439"/>
      <c r="E163" s="932"/>
      <c r="F163" s="439"/>
      <c r="G163" s="439"/>
      <c r="H163" s="439"/>
      <c r="I163" s="439"/>
      <c r="J163" s="439"/>
      <c r="K163" s="932"/>
      <c r="L163" s="439"/>
      <c r="M163" s="439"/>
      <c r="N163" s="439"/>
      <c r="O163" s="439"/>
      <c r="P163" s="439"/>
      <c r="Q163" s="932"/>
      <c r="R163" s="439"/>
      <c r="S163" s="439"/>
      <c r="T163" s="439"/>
      <c r="U163" s="439"/>
      <c r="V163" s="439"/>
      <c r="W163" s="932"/>
      <c r="X163" s="439"/>
      <c r="Y163" s="439"/>
      <c r="Z163" s="439"/>
      <c r="AA163" s="439"/>
      <c r="AB163" s="439"/>
      <c r="AC163" s="932"/>
      <c r="AD163" s="439"/>
      <c r="AE163" s="439"/>
      <c r="AF163" s="439"/>
      <c r="AG163" s="439"/>
      <c r="AH163" s="439"/>
      <c r="AI163" s="932"/>
      <c r="AJ163" s="439"/>
      <c r="AK163" s="439"/>
      <c r="AL163" s="439"/>
      <c r="AM163" s="439"/>
      <c r="AN163" s="439"/>
      <c r="AO163" s="932"/>
      <c r="AP163" s="439"/>
      <c r="AQ163" s="439"/>
      <c r="AR163" s="439"/>
      <c r="AS163" s="439"/>
      <c r="AT163" s="439"/>
      <c r="AU163" s="932"/>
      <c r="AV163" s="439"/>
      <c r="AW163" s="439"/>
      <c r="AX163" s="439"/>
      <c r="AY163" s="439"/>
      <c r="AZ163" s="439"/>
      <c r="BA163" s="932"/>
      <c r="BB163" s="439"/>
      <c r="BC163" s="439"/>
      <c r="BD163" s="439"/>
      <c r="BE163" s="439"/>
      <c r="BF163" s="439"/>
      <c r="BG163" s="932"/>
      <c r="BH163" s="439"/>
      <c r="BI163" s="439"/>
      <c r="BJ163" s="439"/>
      <c r="BK163" s="439"/>
      <c r="BL163" s="439"/>
      <c r="BM163" s="932"/>
      <c r="BN163" s="439"/>
      <c r="BO163" s="439"/>
      <c r="BP163" s="439"/>
      <c r="BQ163" s="439"/>
      <c r="BR163" s="439"/>
    </row>
    <row r="164" ht="15.75" customHeight="1">
      <c r="A164" s="439"/>
      <c r="B164" s="439"/>
      <c r="C164" s="439"/>
      <c r="D164" s="439"/>
      <c r="E164" s="932"/>
      <c r="F164" s="439"/>
      <c r="G164" s="439"/>
      <c r="H164" s="439"/>
      <c r="I164" s="439"/>
      <c r="J164" s="439"/>
      <c r="K164" s="932"/>
      <c r="L164" s="439"/>
      <c r="M164" s="439"/>
      <c r="N164" s="439"/>
      <c r="O164" s="439"/>
      <c r="P164" s="439"/>
      <c r="Q164" s="932"/>
      <c r="R164" s="439"/>
      <c r="S164" s="439"/>
      <c r="T164" s="439"/>
      <c r="U164" s="439"/>
      <c r="V164" s="439"/>
      <c r="W164" s="932"/>
      <c r="X164" s="439"/>
      <c r="Y164" s="439"/>
      <c r="Z164" s="439"/>
      <c r="AA164" s="439"/>
      <c r="AB164" s="439"/>
      <c r="AC164" s="932"/>
      <c r="AD164" s="439"/>
      <c r="AE164" s="439"/>
      <c r="AF164" s="439"/>
      <c r="AG164" s="439"/>
      <c r="AH164" s="439"/>
      <c r="AI164" s="932"/>
      <c r="AJ164" s="439"/>
      <c r="AK164" s="439"/>
      <c r="AL164" s="439"/>
      <c r="AM164" s="439"/>
      <c r="AN164" s="439"/>
      <c r="AO164" s="932"/>
      <c r="AP164" s="439"/>
      <c r="AQ164" s="439"/>
      <c r="AR164" s="439"/>
      <c r="AS164" s="439"/>
      <c r="AT164" s="439"/>
      <c r="AU164" s="932"/>
      <c r="AV164" s="439"/>
      <c r="AW164" s="439"/>
      <c r="AX164" s="439"/>
      <c r="AY164" s="439"/>
      <c r="AZ164" s="439"/>
      <c r="BA164" s="932"/>
      <c r="BB164" s="439"/>
      <c r="BC164" s="439"/>
      <c r="BD164" s="439"/>
      <c r="BE164" s="439"/>
      <c r="BF164" s="439"/>
      <c r="BG164" s="932"/>
      <c r="BH164" s="439"/>
      <c r="BI164" s="439"/>
      <c r="BJ164" s="439"/>
      <c r="BK164" s="439"/>
      <c r="BL164" s="439"/>
      <c r="BM164" s="932"/>
      <c r="BN164" s="439"/>
      <c r="BO164" s="439"/>
      <c r="BP164" s="439"/>
      <c r="BQ164" s="439"/>
      <c r="BR164" s="439"/>
    </row>
    <row r="165" ht="15.75" customHeight="1">
      <c r="A165" s="439"/>
      <c r="B165" s="439"/>
      <c r="C165" s="439"/>
      <c r="D165" s="439"/>
      <c r="E165" s="932"/>
      <c r="F165" s="439"/>
      <c r="G165" s="439"/>
      <c r="H165" s="439"/>
      <c r="I165" s="439"/>
      <c r="J165" s="439"/>
      <c r="K165" s="932"/>
      <c r="L165" s="439"/>
      <c r="M165" s="439"/>
      <c r="N165" s="439"/>
      <c r="O165" s="439"/>
      <c r="P165" s="439"/>
      <c r="Q165" s="932"/>
      <c r="R165" s="439"/>
      <c r="S165" s="439"/>
      <c r="T165" s="439"/>
      <c r="U165" s="439"/>
      <c r="V165" s="439"/>
      <c r="W165" s="932"/>
      <c r="X165" s="439"/>
      <c r="Y165" s="439"/>
      <c r="Z165" s="439"/>
      <c r="AA165" s="439"/>
      <c r="AB165" s="439"/>
      <c r="AC165" s="932"/>
      <c r="AD165" s="439"/>
      <c r="AE165" s="439"/>
      <c r="AF165" s="439"/>
      <c r="AG165" s="439"/>
      <c r="AH165" s="439"/>
      <c r="AI165" s="932"/>
      <c r="AJ165" s="439"/>
      <c r="AK165" s="439"/>
      <c r="AL165" s="439"/>
      <c r="AM165" s="439"/>
      <c r="AN165" s="439"/>
      <c r="AO165" s="932"/>
      <c r="AP165" s="439"/>
      <c r="AQ165" s="439"/>
      <c r="AR165" s="439"/>
      <c r="AS165" s="439"/>
      <c r="AT165" s="439"/>
      <c r="AU165" s="932"/>
      <c r="AV165" s="439"/>
      <c r="AW165" s="439"/>
      <c r="AX165" s="439"/>
      <c r="AY165" s="439"/>
      <c r="AZ165" s="439"/>
      <c r="BA165" s="932"/>
      <c r="BB165" s="439"/>
      <c r="BC165" s="439"/>
      <c r="BD165" s="439"/>
      <c r="BE165" s="439"/>
      <c r="BF165" s="439"/>
      <c r="BG165" s="932"/>
      <c r="BH165" s="439"/>
      <c r="BI165" s="439"/>
      <c r="BJ165" s="439"/>
      <c r="BK165" s="439"/>
      <c r="BL165" s="439"/>
      <c r="BM165" s="932"/>
      <c r="BN165" s="439"/>
      <c r="BO165" s="439"/>
      <c r="BP165" s="439"/>
      <c r="BQ165" s="439"/>
      <c r="BR165" s="439"/>
    </row>
    <row r="166" ht="15.75" customHeight="1">
      <c r="A166" s="439"/>
      <c r="B166" s="439"/>
      <c r="C166" s="439"/>
      <c r="D166" s="439"/>
      <c r="E166" s="932"/>
      <c r="F166" s="439"/>
      <c r="G166" s="439"/>
      <c r="H166" s="439"/>
      <c r="I166" s="439"/>
      <c r="J166" s="439"/>
      <c r="K166" s="932"/>
      <c r="L166" s="439"/>
      <c r="M166" s="439"/>
      <c r="N166" s="439"/>
      <c r="O166" s="439"/>
      <c r="P166" s="439"/>
      <c r="Q166" s="932"/>
      <c r="R166" s="439"/>
      <c r="S166" s="439"/>
      <c r="T166" s="439"/>
      <c r="U166" s="439"/>
      <c r="V166" s="439"/>
      <c r="W166" s="932"/>
      <c r="X166" s="439"/>
      <c r="Y166" s="439"/>
      <c r="Z166" s="439"/>
      <c r="AA166" s="439"/>
      <c r="AB166" s="439"/>
      <c r="AC166" s="932"/>
      <c r="AD166" s="439"/>
      <c r="AE166" s="439"/>
      <c r="AF166" s="439"/>
      <c r="AG166" s="439"/>
      <c r="AH166" s="439"/>
      <c r="AI166" s="932"/>
      <c r="AJ166" s="439"/>
      <c r="AK166" s="439"/>
      <c r="AL166" s="439"/>
      <c r="AM166" s="439"/>
      <c r="AN166" s="439"/>
      <c r="AO166" s="932"/>
      <c r="AP166" s="439"/>
      <c r="AQ166" s="439"/>
      <c r="AR166" s="439"/>
      <c r="AS166" s="439"/>
      <c r="AT166" s="439"/>
      <c r="AU166" s="932"/>
      <c r="AV166" s="439"/>
      <c r="AW166" s="439"/>
      <c r="AX166" s="439"/>
      <c r="AY166" s="439"/>
      <c r="AZ166" s="439"/>
      <c r="BA166" s="932"/>
      <c r="BB166" s="439"/>
      <c r="BC166" s="439"/>
      <c r="BD166" s="439"/>
      <c r="BE166" s="439"/>
      <c r="BF166" s="439"/>
      <c r="BG166" s="932"/>
      <c r="BH166" s="439"/>
      <c r="BI166" s="439"/>
      <c r="BJ166" s="439"/>
      <c r="BK166" s="439"/>
      <c r="BL166" s="439"/>
      <c r="BM166" s="932"/>
      <c r="BN166" s="439"/>
      <c r="BO166" s="439"/>
      <c r="BP166" s="439"/>
      <c r="BQ166" s="439"/>
      <c r="BR166" s="439"/>
    </row>
    <row r="167" ht="15.75" customHeight="1">
      <c r="A167" s="439"/>
      <c r="B167" s="439"/>
      <c r="C167" s="439"/>
      <c r="D167" s="439"/>
      <c r="E167" s="932"/>
      <c r="F167" s="439"/>
      <c r="G167" s="439"/>
      <c r="H167" s="439"/>
      <c r="I167" s="439"/>
      <c r="J167" s="439"/>
      <c r="K167" s="932"/>
      <c r="L167" s="439"/>
      <c r="M167" s="439"/>
      <c r="N167" s="439"/>
      <c r="O167" s="439"/>
      <c r="P167" s="439"/>
      <c r="Q167" s="932"/>
      <c r="R167" s="439"/>
      <c r="S167" s="439"/>
      <c r="T167" s="439"/>
      <c r="U167" s="439"/>
      <c r="V167" s="439"/>
      <c r="W167" s="932"/>
      <c r="X167" s="439"/>
      <c r="Y167" s="439"/>
      <c r="Z167" s="439"/>
      <c r="AA167" s="439"/>
      <c r="AB167" s="439"/>
      <c r="AC167" s="932"/>
      <c r="AD167" s="439"/>
      <c r="AE167" s="439"/>
      <c r="AF167" s="439"/>
      <c r="AG167" s="439"/>
      <c r="AH167" s="439"/>
      <c r="AI167" s="932"/>
      <c r="AJ167" s="439"/>
      <c r="AK167" s="439"/>
      <c r="AL167" s="439"/>
      <c r="AM167" s="439"/>
      <c r="AN167" s="439"/>
      <c r="AO167" s="932"/>
      <c r="AP167" s="439"/>
      <c r="AQ167" s="439"/>
      <c r="AR167" s="439"/>
      <c r="AS167" s="439"/>
      <c r="AT167" s="439"/>
      <c r="AU167" s="932"/>
      <c r="AV167" s="439"/>
      <c r="AW167" s="439"/>
      <c r="AX167" s="439"/>
      <c r="AY167" s="439"/>
      <c r="AZ167" s="439"/>
      <c r="BA167" s="932"/>
      <c r="BB167" s="439"/>
      <c r="BC167" s="439"/>
      <c r="BD167" s="439"/>
      <c r="BE167" s="439"/>
      <c r="BF167" s="439"/>
      <c r="BG167" s="932"/>
      <c r="BH167" s="439"/>
      <c r="BI167" s="439"/>
      <c r="BJ167" s="439"/>
      <c r="BK167" s="439"/>
      <c r="BL167" s="439"/>
      <c r="BM167" s="932"/>
      <c r="BN167" s="439"/>
      <c r="BO167" s="439"/>
      <c r="BP167" s="439"/>
      <c r="BQ167" s="439"/>
      <c r="BR167" s="439"/>
    </row>
    <row r="168" ht="15.75" customHeight="1">
      <c r="A168" s="439"/>
      <c r="B168" s="439"/>
      <c r="C168" s="439"/>
      <c r="D168" s="439"/>
      <c r="E168" s="932"/>
      <c r="F168" s="439"/>
      <c r="G168" s="439"/>
      <c r="H168" s="439"/>
      <c r="I168" s="439"/>
      <c r="J168" s="439"/>
      <c r="K168" s="932"/>
      <c r="L168" s="439"/>
      <c r="M168" s="439"/>
      <c r="N168" s="439"/>
      <c r="O168" s="439"/>
      <c r="P168" s="439"/>
      <c r="Q168" s="932"/>
      <c r="R168" s="439"/>
      <c r="S168" s="439"/>
      <c r="T168" s="439"/>
      <c r="U168" s="439"/>
      <c r="V168" s="439"/>
      <c r="W168" s="932"/>
      <c r="X168" s="439"/>
      <c r="Y168" s="439"/>
      <c r="Z168" s="439"/>
      <c r="AA168" s="439"/>
      <c r="AB168" s="439"/>
      <c r="AC168" s="932"/>
      <c r="AD168" s="439"/>
      <c r="AE168" s="439"/>
      <c r="AF168" s="439"/>
      <c r="AG168" s="439"/>
      <c r="AH168" s="439"/>
      <c r="AI168" s="932"/>
      <c r="AJ168" s="439"/>
      <c r="AK168" s="439"/>
      <c r="AL168" s="439"/>
      <c r="AM168" s="439"/>
      <c r="AN168" s="439"/>
      <c r="AO168" s="932"/>
      <c r="AP168" s="439"/>
      <c r="AQ168" s="439"/>
      <c r="AR168" s="439"/>
      <c r="AS168" s="439"/>
      <c r="AT168" s="439"/>
      <c r="AU168" s="932"/>
      <c r="AV168" s="439"/>
      <c r="AW168" s="439"/>
      <c r="AX168" s="439"/>
      <c r="AY168" s="439"/>
      <c r="AZ168" s="439"/>
      <c r="BA168" s="932"/>
      <c r="BB168" s="439"/>
      <c r="BC168" s="439"/>
      <c r="BD168" s="439"/>
      <c r="BE168" s="439"/>
      <c r="BF168" s="439"/>
      <c r="BG168" s="932"/>
      <c r="BH168" s="439"/>
      <c r="BI168" s="439"/>
      <c r="BJ168" s="439"/>
      <c r="BK168" s="439"/>
      <c r="BL168" s="439"/>
      <c r="BM168" s="932"/>
      <c r="BN168" s="439"/>
      <c r="BO168" s="439"/>
      <c r="BP168" s="439"/>
      <c r="BQ168" s="439"/>
      <c r="BR168" s="439"/>
    </row>
    <row r="169" ht="15.75" customHeight="1">
      <c r="A169" s="439"/>
      <c r="B169" s="439"/>
      <c r="C169" s="439"/>
      <c r="D169" s="439"/>
      <c r="E169" s="932"/>
      <c r="F169" s="439"/>
      <c r="G169" s="439"/>
      <c r="H169" s="439"/>
      <c r="I169" s="439"/>
      <c r="J169" s="439"/>
      <c r="K169" s="932"/>
      <c r="L169" s="439"/>
      <c r="M169" s="439"/>
      <c r="N169" s="439"/>
      <c r="O169" s="439"/>
      <c r="P169" s="439"/>
      <c r="Q169" s="932"/>
      <c r="R169" s="439"/>
      <c r="S169" s="439"/>
      <c r="T169" s="439"/>
      <c r="U169" s="439"/>
      <c r="V169" s="439"/>
      <c r="W169" s="932"/>
      <c r="X169" s="439"/>
      <c r="Y169" s="439"/>
      <c r="Z169" s="439"/>
      <c r="AA169" s="439"/>
      <c r="AB169" s="439"/>
      <c r="AC169" s="932"/>
      <c r="AD169" s="439"/>
      <c r="AE169" s="439"/>
      <c r="AF169" s="439"/>
      <c r="AG169" s="439"/>
      <c r="AH169" s="439"/>
      <c r="AI169" s="932"/>
      <c r="AJ169" s="439"/>
      <c r="AK169" s="439"/>
      <c r="AL169" s="439"/>
      <c r="AM169" s="439"/>
      <c r="AN169" s="439"/>
      <c r="AO169" s="932"/>
      <c r="AP169" s="439"/>
      <c r="AQ169" s="439"/>
      <c r="AR169" s="439"/>
      <c r="AS169" s="439"/>
      <c r="AT169" s="439"/>
      <c r="AU169" s="932"/>
      <c r="AV169" s="439"/>
      <c r="AW169" s="439"/>
      <c r="AX169" s="439"/>
      <c r="AY169" s="439"/>
      <c r="AZ169" s="439"/>
      <c r="BA169" s="932"/>
      <c r="BB169" s="439"/>
      <c r="BC169" s="439"/>
      <c r="BD169" s="439"/>
      <c r="BE169" s="439"/>
      <c r="BF169" s="439"/>
      <c r="BG169" s="932"/>
      <c r="BH169" s="439"/>
      <c r="BI169" s="439"/>
      <c r="BJ169" s="439"/>
      <c r="BK169" s="439"/>
      <c r="BL169" s="439"/>
      <c r="BM169" s="932"/>
      <c r="BN169" s="439"/>
      <c r="BO169" s="439"/>
      <c r="BP169" s="439"/>
      <c r="BQ169" s="439"/>
      <c r="BR169" s="439"/>
    </row>
    <row r="170" ht="15.75" customHeight="1">
      <c r="A170" s="439"/>
      <c r="B170" s="439"/>
      <c r="C170" s="439"/>
      <c r="D170" s="439"/>
      <c r="E170" s="932"/>
      <c r="F170" s="439"/>
      <c r="G170" s="439"/>
      <c r="H170" s="439"/>
      <c r="I170" s="439"/>
      <c r="J170" s="439"/>
      <c r="K170" s="932"/>
      <c r="L170" s="439"/>
      <c r="M170" s="439"/>
      <c r="N170" s="439"/>
      <c r="O170" s="439"/>
      <c r="P170" s="439"/>
      <c r="Q170" s="932"/>
      <c r="R170" s="439"/>
      <c r="S170" s="439"/>
      <c r="T170" s="439"/>
      <c r="U170" s="439"/>
      <c r="V170" s="439"/>
      <c r="W170" s="932"/>
      <c r="X170" s="439"/>
      <c r="Y170" s="439"/>
      <c r="Z170" s="439"/>
      <c r="AA170" s="439"/>
      <c r="AB170" s="439"/>
      <c r="AC170" s="932"/>
      <c r="AD170" s="439"/>
      <c r="AE170" s="439"/>
      <c r="AF170" s="439"/>
      <c r="AG170" s="439"/>
      <c r="AH170" s="439"/>
      <c r="AI170" s="932"/>
      <c r="AJ170" s="439"/>
      <c r="AK170" s="439"/>
      <c r="AL170" s="439"/>
      <c r="AM170" s="439"/>
      <c r="AN170" s="439"/>
      <c r="AO170" s="932"/>
      <c r="AP170" s="439"/>
      <c r="AQ170" s="439"/>
      <c r="AR170" s="439"/>
      <c r="AS170" s="439"/>
      <c r="AT170" s="439"/>
      <c r="AU170" s="932"/>
      <c r="AV170" s="439"/>
      <c r="AW170" s="439"/>
      <c r="AX170" s="439"/>
      <c r="AY170" s="439"/>
      <c r="AZ170" s="439"/>
      <c r="BA170" s="932"/>
      <c r="BB170" s="439"/>
      <c r="BC170" s="439"/>
      <c r="BD170" s="439"/>
      <c r="BE170" s="439"/>
      <c r="BF170" s="439"/>
      <c r="BG170" s="932"/>
      <c r="BH170" s="439"/>
      <c r="BI170" s="439"/>
      <c r="BJ170" s="439"/>
      <c r="BK170" s="439"/>
      <c r="BL170" s="439"/>
      <c r="BM170" s="932"/>
      <c r="BN170" s="439"/>
      <c r="BO170" s="439"/>
      <c r="BP170" s="439"/>
      <c r="BQ170" s="439"/>
      <c r="BR170" s="439"/>
    </row>
    <row r="171" ht="15.75" customHeight="1">
      <c r="A171" s="439"/>
      <c r="B171" s="439"/>
      <c r="C171" s="439"/>
      <c r="D171" s="439"/>
      <c r="E171" s="932"/>
      <c r="F171" s="439"/>
      <c r="G171" s="439"/>
      <c r="H171" s="439"/>
      <c r="I171" s="439"/>
      <c r="J171" s="439"/>
      <c r="K171" s="932"/>
      <c r="L171" s="439"/>
      <c r="M171" s="439"/>
      <c r="N171" s="439"/>
      <c r="O171" s="439"/>
      <c r="P171" s="439"/>
      <c r="Q171" s="932"/>
      <c r="R171" s="439"/>
      <c r="S171" s="439"/>
      <c r="T171" s="439"/>
      <c r="U171" s="439"/>
      <c r="V171" s="439"/>
      <c r="W171" s="932"/>
      <c r="X171" s="439"/>
      <c r="Y171" s="439"/>
      <c r="Z171" s="439"/>
      <c r="AA171" s="439"/>
      <c r="AB171" s="439"/>
      <c r="AC171" s="932"/>
      <c r="AD171" s="439"/>
      <c r="AE171" s="439"/>
      <c r="AF171" s="439"/>
      <c r="AG171" s="439"/>
      <c r="AH171" s="439"/>
      <c r="AI171" s="932"/>
      <c r="AJ171" s="439"/>
      <c r="AK171" s="439"/>
      <c r="AL171" s="439"/>
      <c r="AM171" s="439"/>
      <c r="AN171" s="439"/>
      <c r="AO171" s="932"/>
      <c r="AP171" s="439"/>
      <c r="AQ171" s="439"/>
      <c r="AR171" s="439"/>
      <c r="AS171" s="439"/>
      <c r="AT171" s="439"/>
      <c r="AU171" s="932"/>
      <c r="AV171" s="439"/>
      <c r="AW171" s="439"/>
      <c r="AX171" s="439"/>
      <c r="AY171" s="439"/>
      <c r="AZ171" s="439"/>
      <c r="BA171" s="932"/>
      <c r="BB171" s="439"/>
      <c r="BC171" s="439"/>
      <c r="BD171" s="439"/>
      <c r="BE171" s="439"/>
      <c r="BF171" s="439"/>
      <c r="BG171" s="932"/>
      <c r="BH171" s="439"/>
      <c r="BI171" s="439"/>
      <c r="BJ171" s="439"/>
      <c r="BK171" s="439"/>
      <c r="BL171" s="439"/>
      <c r="BM171" s="932"/>
      <c r="BN171" s="439"/>
      <c r="BO171" s="439"/>
      <c r="BP171" s="439"/>
      <c r="BQ171" s="439"/>
      <c r="BR171" s="439"/>
    </row>
    <row r="172" ht="15.75" customHeight="1">
      <c r="A172" s="439"/>
      <c r="B172" s="439"/>
      <c r="C172" s="439"/>
      <c r="D172" s="439"/>
      <c r="E172" s="932"/>
      <c r="F172" s="439"/>
      <c r="G172" s="439"/>
      <c r="H172" s="439"/>
      <c r="I172" s="439"/>
      <c r="J172" s="439"/>
      <c r="K172" s="932"/>
      <c r="L172" s="439"/>
      <c r="M172" s="439"/>
      <c r="N172" s="439"/>
      <c r="O172" s="439"/>
      <c r="P172" s="439"/>
      <c r="Q172" s="932"/>
      <c r="R172" s="439"/>
      <c r="S172" s="439"/>
      <c r="T172" s="439"/>
      <c r="U172" s="439"/>
      <c r="V172" s="439"/>
      <c r="W172" s="932"/>
      <c r="X172" s="439"/>
      <c r="Y172" s="439"/>
      <c r="Z172" s="439"/>
      <c r="AA172" s="439"/>
      <c r="AB172" s="439"/>
      <c r="AC172" s="932"/>
      <c r="AD172" s="439"/>
      <c r="AE172" s="439"/>
      <c r="AF172" s="439"/>
      <c r="AG172" s="439"/>
      <c r="AH172" s="439"/>
      <c r="AI172" s="932"/>
      <c r="AJ172" s="439"/>
      <c r="AK172" s="439"/>
      <c r="AL172" s="439"/>
      <c r="AM172" s="439"/>
      <c r="AN172" s="439"/>
      <c r="AO172" s="932"/>
      <c r="AP172" s="439"/>
      <c r="AQ172" s="439"/>
      <c r="AR172" s="439"/>
      <c r="AS172" s="439"/>
      <c r="AT172" s="439"/>
      <c r="AU172" s="932"/>
      <c r="AV172" s="439"/>
      <c r="AW172" s="439"/>
      <c r="AX172" s="439"/>
      <c r="AY172" s="439"/>
      <c r="AZ172" s="439"/>
      <c r="BA172" s="932"/>
      <c r="BB172" s="439"/>
      <c r="BC172" s="439"/>
      <c r="BD172" s="439"/>
      <c r="BE172" s="439"/>
      <c r="BF172" s="439"/>
      <c r="BG172" s="932"/>
      <c r="BH172" s="439"/>
      <c r="BI172" s="439"/>
      <c r="BJ172" s="439"/>
      <c r="BK172" s="439"/>
      <c r="BL172" s="439"/>
      <c r="BM172" s="932"/>
      <c r="BN172" s="439"/>
      <c r="BO172" s="439"/>
      <c r="BP172" s="439"/>
      <c r="BQ172" s="439"/>
      <c r="BR172" s="439"/>
    </row>
    <row r="173" ht="15.75" customHeight="1">
      <c r="A173" s="439"/>
      <c r="B173" s="439"/>
      <c r="C173" s="439"/>
      <c r="D173" s="439"/>
      <c r="E173" s="932"/>
      <c r="F173" s="439"/>
      <c r="G173" s="439"/>
      <c r="H173" s="439"/>
      <c r="I173" s="439"/>
      <c r="J173" s="439"/>
      <c r="K173" s="932"/>
      <c r="L173" s="439"/>
      <c r="M173" s="439"/>
      <c r="N173" s="439"/>
      <c r="O173" s="439"/>
      <c r="P173" s="439"/>
      <c r="Q173" s="932"/>
      <c r="R173" s="439"/>
      <c r="S173" s="439"/>
      <c r="T173" s="439"/>
      <c r="U173" s="439"/>
      <c r="V173" s="439"/>
      <c r="W173" s="932"/>
      <c r="X173" s="439"/>
      <c r="Y173" s="439"/>
      <c r="Z173" s="439"/>
      <c r="AA173" s="439"/>
      <c r="AB173" s="439"/>
      <c r="AC173" s="932"/>
      <c r="AD173" s="439"/>
      <c r="AE173" s="439"/>
      <c r="AF173" s="439"/>
      <c r="AG173" s="439"/>
      <c r="AH173" s="439"/>
      <c r="AI173" s="932"/>
      <c r="AJ173" s="439"/>
      <c r="AK173" s="439"/>
      <c r="AL173" s="439"/>
      <c r="AM173" s="439"/>
      <c r="AN173" s="439"/>
      <c r="AO173" s="932"/>
      <c r="AP173" s="439"/>
      <c r="AQ173" s="439"/>
      <c r="AR173" s="439"/>
      <c r="AS173" s="439"/>
      <c r="AT173" s="439"/>
      <c r="AU173" s="932"/>
      <c r="AV173" s="439"/>
      <c r="AW173" s="439"/>
      <c r="AX173" s="439"/>
      <c r="AY173" s="439"/>
      <c r="AZ173" s="439"/>
      <c r="BA173" s="932"/>
      <c r="BB173" s="439"/>
      <c r="BC173" s="439"/>
      <c r="BD173" s="439"/>
      <c r="BE173" s="439"/>
      <c r="BF173" s="439"/>
      <c r="BG173" s="932"/>
      <c r="BH173" s="439"/>
      <c r="BI173" s="439"/>
      <c r="BJ173" s="439"/>
      <c r="BK173" s="439"/>
      <c r="BL173" s="439"/>
      <c r="BM173" s="932"/>
      <c r="BN173" s="439"/>
      <c r="BO173" s="439"/>
      <c r="BP173" s="439"/>
      <c r="BQ173" s="439"/>
      <c r="BR173" s="439"/>
    </row>
    <row r="174" ht="15.75" customHeight="1">
      <c r="A174" s="439"/>
      <c r="B174" s="439"/>
      <c r="C174" s="439"/>
      <c r="D174" s="439"/>
      <c r="E174" s="932"/>
      <c r="F174" s="439"/>
      <c r="G174" s="439"/>
      <c r="H174" s="439"/>
      <c r="I174" s="439"/>
      <c r="J174" s="439"/>
      <c r="K174" s="932"/>
      <c r="L174" s="439"/>
      <c r="M174" s="439"/>
      <c r="N174" s="439"/>
      <c r="O174" s="439"/>
      <c r="P174" s="439"/>
      <c r="Q174" s="932"/>
      <c r="R174" s="439"/>
      <c r="S174" s="439"/>
      <c r="T174" s="439"/>
      <c r="U174" s="439"/>
      <c r="V174" s="439"/>
      <c r="W174" s="932"/>
      <c r="X174" s="439"/>
      <c r="Y174" s="439"/>
      <c r="Z174" s="439"/>
      <c r="AA174" s="439"/>
      <c r="AB174" s="439"/>
      <c r="AC174" s="932"/>
      <c r="AD174" s="439"/>
      <c r="AE174" s="439"/>
      <c r="AF174" s="439"/>
      <c r="AG174" s="439"/>
      <c r="AH174" s="439"/>
      <c r="AI174" s="932"/>
      <c r="AJ174" s="439"/>
      <c r="AK174" s="439"/>
      <c r="AL174" s="439"/>
      <c r="AM174" s="439"/>
      <c r="AN174" s="439"/>
      <c r="AO174" s="932"/>
      <c r="AP174" s="439"/>
      <c r="AQ174" s="439"/>
      <c r="AR174" s="439"/>
      <c r="AS174" s="439"/>
      <c r="AT174" s="439"/>
      <c r="AU174" s="932"/>
      <c r="AV174" s="439"/>
      <c r="AW174" s="439"/>
      <c r="AX174" s="439"/>
      <c r="AY174" s="439"/>
      <c r="AZ174" s="439"/>
      <c r="BA174" s="932"/>
      <c r="BB174" s="439"/>
      <c r="BC174" s="439"/>
      <c r="BD174" s="439"/>
      <c r="BE174" s="439"/>
      <c r="BF174" s="439"/>
      <c r="BG174" s="932"/>
      <c r="BH174" s="439"/>
      <c r="BI174" s="439"/>
      <c r="BJ174" s="439"/>
      <c r="BK174" s="439"/>
      <c r="BL174" s="439"/>
      <c r="BM174" s="932"/>
      <c r="BN174" s="439"/>
      <c r="BO174" s="439"/>
      <c r="BP174" s="439"/>
      <c r="BQ174" s="439"/>
      <c r="BR174" s="439"/>
    </row>
    <row r="175" ht="15.75" customHeight="1">
      <c r="A175" s="439"/>
      <c r="B175" s="439"/>
      <c r="C175" s="439"/>
      <c r="D175" s="439"/>
      <c r="E175" s="932"/>
      <c r="F175" s="439"/>
      <c r="G175" s="439"/>
      <c r="H175" s="439"/>
      <c r="I175" s="439"/>
      <c r="J175" s="439"/>
      <c r="K175" s="932"/>
      <c r="L175" s="439"/>
      <c r="M175" s="439"/>
      <c r="N175" s="439"/>
      <c r="O175" s="439"/>
      <c r="P175" s="439"/>
      <c r="Q175" s="932"/>
      <c r="R175" s="439"/>
      <c r="S175" s="439"/>
      <c r="T175" s="439"/>
      <c r="U175" s="439"/>
      <c r="V175" s="439"/>
      <c r="W175" s="932"/>
      <c r="X175" s="439"/>
      <c r="Y175" s="439"/>
      <c r="Z175" s="439"/>
      <c r="AA175" s="439"/>
      <c r="AB175" s="439"/>
      <c r="AC175" s="932"/>
      <c r="AD175" s="439"/>
      <c r="AE175" s="439"/>
      <c r="AF175" s="439"/>
      <c r="AG175" s="439"/>
      <c r="AH175" s="439"/>
      <c r="AI175" s="932"/>
      <c r="AJ175" s="439"/>
      <c r="AK175" s="439"/>
      <c r="AL175" s="439"/>
      <c r="AM175" s="439"/>
      <c r="AN175" s="439"/>
      <c r="AO175" s="932"/>
      <c r="AP175" s="439"/>
      <c r="AQ175" s="439"/>
      <c r="AR175" s="439"/>
      <c r="AS175" s="439"/>
      <c r="AT175" s="439"/>
      <c r="AU175" s="932"/>
      <c r="AV175" s="439"/>
      <c r="AW175" s="439"/>
      <c r="AX175" s="439"/>
      <c r="AY175" s="439"/>
      <c r="AZ175" s="439"/>
      <c r="BA175" s="932"/>
      <c r="BB175" s="439"/>
      <c r="BC175" s="439"/>
      <c r="BD175" s="439"/>
      <c r="BE175" s="439"/>
      <c r="BF175" s="439"/>
      <c r="BG175" s="932"/>
      <c r="BH175" s="439"/>
      <c r="BI175" s="439"/>
      <c r="BJ175" s="439"/>
      <c r="BK175" s="439"/>
      <c r="BL175" s="439"/>
      <c r="BM175" s="932"/>
      <c r="BN175" s="439"/>
      <c r="BO175" s="439"/>
      <c r="BP175" s="439"/>
      <c r="BQ175" s="439"/>
      <c r="BR175" s="439"/>
    </row>
    <row r="176" ht="15.75" customHeight="1">
      <c r="A176" s="439"/>
      <c r="B176" s="439"/>
      <c r="C176" s="439"/>
      <c r="D176" s="439"/>
      <c r="E176" s="932"/>
      <c r="F176" s="439"/>
      <c r="G176" s="439"/>
      <c r="H176" s="439"/>
      <c r="I176" s="439"/>
      <c r="J176" s="439"/>
      <c r="K176" s="932"/>
      <c r="L176" s="439"/>
      <c r="M176" s="439"/>
      <c r="N176" s="439"/>
      <c r="O176" s="439"/>
      <c r="P176" s="439"/>
      <c r="Q176" s="932"/>
      <c r="R176" s="439"/>
      <c r="S176" s="439"/>
      <c r="T176" s="439"/>
      <c r="U176" s="439"/>
      <c r="V176" s="439"/>
      <c r="W176" s="932"/>
      <c r="X176" s="439"/>
      <c r="Y176" s="439"/>
      <c r="Z176" s="439"/>
      <c r="AA176" s="439"/>
      <c r="AB176" s="439"/>
      <c r="AC176" s="932"/>
      <c r="AD176" s="439"/>
      <c r="AE176" s="439"/>
      <c r="AF176" s="439"/>
      <c r="AG176" s="439"/>
      <c r="AH176" s="439"/>
      <c r="AI176" s="932"/>
      <c r="AJ176" s="439"/>
      <c r="AK176" s="439"/>
      <c r="AL176" s="439"/>
      <c r="AM176" s="439"/>
      <c r="AN176" s="439"/>
      <c r="AO176" s="932"/>
      <c r="AP176" s="439"/>
      <c r="AQ176" s="439"/>
      <c r="AR176" s="439"/>
      <c r="AS176" s="439"/>
      <c r="AT176" s="439"/>
      <c r="AU176" s="932"/>
      <c r="AV176" s="439"/>
      <c r="AW176" s="439"/>
      <c r="AX176" s="439"/>
      <c r="AY176" s="439"/>
      <c r="AZ176" s="439"/>
      <c r="BA176" s="932"/>
      <c r="BB176" s="439"/>
      <c r="BC176" s="439"/>
      <c r="BD176" s="439"/>
      <c r="BE176" s="439"/>
      <c r="BF176" s="439"/>
      <c r="BG176" s="932"/>
      <c r="BH176" s="439"/>
      <c r="BI176" s="439"/>
      <c r="BJ176" s="439"/>
      <c r="BK176" s="439"/>
      <c r="BL176" s="439"/>
      <c r="BM176" s="932"/>
      <c r="BN176" s="439"/>
      <c r="BO176" s="439"/>
      <c r="BP176" s="439"/>
      <c r="BQ176" s="439"/>
      <c r="BR176" s="439"/>
    </row>
    <row r="177" ht="15.75" customHeight="1">
      <c r="A177" s="439"/>
      <c r="B177" s="439"/>
      <c r="C177" s="439"/>
      <c r="D177" s="439"/>
      <c r="E177" s="932"/>
      <c r="F177" s="439"/>
      <c r="G177" s="439"/>
      <c r="H177" s="439"/>
      <c r="I177" s="439"/>
      <c r="J177" s="439"/>
      <c r="K177" s="932"/>
      <c r="L177" s="439"/>
      <c r="M177" s="439"/>
      <c r="N177" s="439"/>
      <c r="O177" s="439"/>
      <c r="P177" s="439"/>
      <c r="Q177" s="932"/>
      <c r="R177" s="439"/>
      <c r="S177" s="439"/>
      <c r="T177" s="439"/>
      <c r="U177" s="439"/>
      <c r="V177" s="439"/>
      <c r="W177" s="932"/>
      <c r="X177" s="439"/>
      <c r="Y177" s="439"/>
      <c r="Z177" s="439"/>
      <c r="AA177" s="439"/>
      <c r="AB177" s="439"/>
      <c r="AC177" s="932"/>
      <c r="AD177" s="439"/>
      <c r="AE177" s="439"/>
      <c r="AF177" s="439"/>
      <c r="AG177" s="439"/>
      <c r="AH177" s="439"/>
      <c r="AI177" s="932"/>
      <c r="AJ177" s="439"/>
      <c r="AK177" s="439"/>
      <c r="AL177" s="439"/>
      <c r="AM177" s="439"/>
      <c r="AN177" s="439"/>
      <c r="AO177" s="932"/>
      <c r="AP177" s="439"/>
      <c r="AQ177" s="439"/>
      <c r="AR177" s="439"/>
      <c r="AS177" s="439"/>
      <c r="AT177" s="439"/>
      <c r="AU177" s="932"/>
      <c r="AV177" s="439"/>
      <c r="AW177" s="439"/>
      <c r="AX177" s="439"/>
      <c r="AY177" s="439"/>
      <c r="AZ177" s="439"/>
      <c r="BA177" s="932"/>
      <c r="BB177" s="439"/>
      <c r="BC177" s="439"/>
      <c r="BD177" s="439"/>
      <c r="BE177" s="439"/>
      <c r="BF177" s="439"/>
      <c r="BG177" s="932"/>
      <c r="BH177" s="439"/>
      <c r="BI177" s="439"/>
      <c r="BJ177" s="439"/>
      <c r="BK177" s="439"/>
      <c r="BL177" s="439"/>
      <c r="BM177" s="932"/>
      <c r="BN177" s="439"/>
      <c r="BO177" s="439"/>
      <c r="BP177" s="439"/>
      <c r="BQ177" s="439"/>
      <c r="BR177" s="439"/>
    </row>
    <row r="178" ht="15.75" customHeight="1">
      <c r="A178" s="439"/>
      <c r="B178" s="439"/>
      <c r="C178" s="439"/>
      <c r="D178" s="439"/>
      <c r="E178" s="932"/>
      <c r="F178" s="439"/>
      <c r="G178" s="439"/>
      <c r="H178" s="439"/>
      <c r="I178" s="439"/>
      <c r="J178" s="439"/>
      <c r="K178" s="932"/>
      <c r="L178" s="439"/>
      <c r="M178" s="439"/>
      <c r="N178" s="439"/>
      <c r="O178" s="439"/>
      <c r="P178" s="439"/>
      <c r="Q178" s="932"/>
      <c r="R178" s="439"/>
      <c r="S178" s="439"/>
      <c r="T178" s="439"/>
      <c r="U178" s="439"/>
      <c r="V178" s="439"/>
      <c r="W178" s="932"/>
      <c r="X178" s="439"/>
      <c r="Y178" s="439"/>
      <c r="Z178" s="439"/>
      <c r="AA178" s="439"/>
      <c r="AB178" s="439"/>
      <c r="AC178" s="932"/>
      <c r="AD178" s="439"/>
      <c r="AE178" s="439"/>
      <c r="AF178" s="439"/>
      <c r="AG178" s="439"/>
      <c r="AH178" s="439"/>
      <c r="AI178" s="932"/>
      <c r="AJ178" s="439"/>
      <c r="AK178" s="439"/>
      <c r="AL178" s="439"/>
      <c r="AM178" s="439"/>
      <c r="AN178" s="439"/>
      <c r="AO178" s="932"/>
      <c r="AP178" s="439"/>
      <c r="AQ178" s="439"/>
      <c r="AR178" s="439"/>
      <c r="AS178" s="439"/>
      <c r="AT178" s="439"/>
      <c r="AU178" s="932"/>
      <c r="AV178" s="439"/>
      <c r="AW178" s="439"/>
      <c r="AX178" s="439"/>
      <c r="AY178" s="439"/>
      <c r="AZ178" s="439"/>
      <c r="BA178" s="932"/>
      <c r="BB178" s="439"/>
      <c r="BC178" s="439"/>
      <c r="BD178" s="439"/>
      <c r="BE178" s="439"/>
      <c r="BF178" s="439"/>
      <c r="BG178" s="932"/>
      <c r="BH178" s="439"/>
      <c r="BI178" s="439"/>
      <c r="BJ178" s="439"/>
      <c r="BK178" s="439"/>
      <c r="BL178" s="439"/>
      <c r="BM178" s="932"/>
      <c r="BN178" s="439"/>
      <c r="BO178" s="439"/>
      <c r="BP178" s="439"/>
      <c r="BQ178" s="439"/>
      <c r="BR178" s="439"/>
    </row>
    <row r="179" ht="15.75" customHeight="1">
      <c r="A179" s="439"/>
      <c r="B179" s="439"/>
      <c r="C179" s="439"/>
      <c r="D179" s="439"/>
      <c r="E179" s="932"/>
      <c r="F179" s="439"/>
      <c r="G179" s="439"/>
      <c r="H179" s="439"/>
      <c r="I179" s="439"/>
      <c r="J179" s="439"/>
      <c r="K179" s="932"/>
      <c r="L179" s="439"/>
      <c r="M179" s="439"/>
      <c r="N179" s="439"/>
      <c r="O179" s="439"/>
      <c r="P179" s="439"/>
      <c r="Q179" s="932"/>
      <c r="R179" s="439"/>
      <c r="S179" s="439"/>
      <c r="T179" s="439"/>
      <c r="U179" s="439"/>
      <c r="V179" s="439"/>
      <c r="W179" s="932"/>
      <c r="X179" s="439"/>
      <c r="Y179" s="439"/>
      <c r="Z179" s="439"/>
      <c r="AA179" s="439"/>
      <c r="AB179" s="439"/>
      <c r="AC179" s="932"/>
      <c r="AD179" s="439"/>
      <c r="AE179" s="439"/>
      <c r="AF179" s="439"/>
      <c r="AG179" s="439"/>
      <c r="AH179" s="439"/>
      <c r="AI179" s="932"/>
      <c r="AJ179" s="439"/>
      <c r="AK179" s="439"/>
      <c r="AL179" s="439"/>
      <c r="AM179" s="439"/>
      <c r="AN179" s="439"/>
      <c r="AO179" s="932"/>
      <c r="AP179" s="439"/>
      <c r="AQ179" s="439"/>
      <c r="AR179" s="439"/>
      <c r="AS179" s="439"/>
      <c r="AT179" s="439"/>
      <c r="AU179" s="932"/>
      <c r="AV179" s="439"/>
      <c r="AW179" s="439"/>
      <c r="AX179" s="439"/>
      <c r="AY179" s="439"/>
      <c r="AZ179" s="439"/>
      <c r="BA179" s="932"/>
      <c r="BB179" s="439"/>
      <c r="BC179" s="439"/>
      <c r="BD179" s="439"/>
      <c r="BE179" s="439"/>
      <c r="BF179" s="439"/>
      <c r="BG179" s="932"/>
      <c r="BH179" s="439"/>
      <c r="BI179" s="439"/>
      <c r="BJ179" s="439"/>
      <c r="BK179" s="439"/>
      <c r="BL179" s="439"/>
      <c r="BM179" s="932"/>
      <c r="BN179" s="439"/>
      <c r="BO179" s="439"/>
      <c r="BP179" s="439"/>
      <c r="BQ179" s="439"/>
      <c r="BR179" s="439"/>
    </row>
    <row r="180" ht="15.75" customHeight="1">
      <c r="A180" s="439"/>
      <c r="B180" s="439"/>
      <c r="C180" s="439"/>
      <c r="D180" s="439"/>
      <c r="E180" s="932"/>
      <c r="F180" s="439"/>
      <c r="G180" s="439"/>
      <c r="H180" s="439"/>
      <c r="I180" s="439"/>
      <c r="J180" s="439"/>
      <c r="K180" s="932"/>
      <c r="L180" s="439"/>
      <c r="M180" s="439"/>
      <c r="N180" s="439"/>
      <c r="O180" s="439"/>
      <c r="P180" s="439"/>
      <c r="Q180" s="932"/>
      <c r="R180" s="439"/>
      <c r="S180" s="439"/>
      <c r="T180" s="439"/>
      <c r="U180" s="439"/>
      <c r="V180" s="439"/>
      <c r="W180" s="932"/>
      <c r="X180" s="439"/>
      <c r="Y180" s="439"/>
      <c r="Z180" s="439"/>
      <c r="AA180" s="439"/>
      <c r="AB180" s="439"/>
      <c r="AC180" s="932"/>
      <c r="AD180" s="439"/>
      <c r="AE180" s="439"/>
      <c r="AF180" s="439"/>
      <c r="AG180" s="439"/>
      <c r="AH180" s="439"/>
      <c r="AI180" s="932"/>
      <c r="AJ180" s="439"/>
      <c r="AK180" s="439"/>
      <c r="AL180" s="439"/>
      <c r="AM180" s="439"/>
      <c r="AN180" s="439"/>
      <c r="AO180" s="932"/>
      <c r="AP180" s="439"/>
      <c r="AQ180" s="439"/>
      <c r="AR180" s="439"/>
      <c r="AS180" s="439"/>
      <c r="AT180" s="439"/>
      <c r="AU180" s="932"/>
      <c r="AV180" s="439"/>
      <c r="AW180" s="439"/>
      <c r="AX180" s="439"/>
      <c r="AY180" s="439"/>
      <c r="AZ180" s="439"/>
      <c r="BA180" s="932"/>
      <c r="BB180" s="439"/>
      <c r="BC180" s="439"/>
      <c r="BD180" s="439"/>
      <c r="BE180" s="439"/>
      <c r="BF180" s="439"/>
      <c r="BG180" s="932"/>
      <c r="BH180" s="439"/>
      <c r="BI180" s="439"/>
      <c r="BJ180" s="439"/>
      <c r="BK180" s="439"/>
      <c r="BL180" s="439"/>
      <c r="BM180" s="932"/>
      <c r="BN180" s="439"/>
      <c r="BO180" s="439"/>
      <c r="BP180" s="439"/>
      <c r="BQ180" s="439"/>
      <c r="BR180" s="439"/>
    </row>
    <row r="181" ht="15.75" customHeight="1">
      <c r="A181" s="439"/>
      <c r="B181" s="439"/>
      <c r="C181" s="439"/>
      <c r="D181" s="439"/>
      <c r="E181" s="932"/>
      <c r="F181" s="439"/>
      <c r="G181" s="439"/>
      <c r="H181" s="439"/>
      <c r="I181" s="439"/>
      <c r="J181" s="439"/>
      <c r="K181" s="932"/>
      <c r="L181" s="439"/>
      <c r="M181" s="439"/>
      <c r="N181" s="439"/>
      <c r="O181" s="439"/>
      <c r="P181" s="439"/>
      <c r="Q181" s="932"/>
      <c r="R181" s="439"/>
      <c r="S181" s="439"/>
      <c r="T181" s="439"/>
      <c r="U181" s="439"/>
      <c r="V181" s="439"/>
      <c r="W181" s="932"/>
      <c r="X181" s="439"/>
      <c r="Y181" s="439"/>
      <c r="Z181" s="439"/>
      <c r="AA181" s="439"/>
      <c r="AB181" s="439"/>
      <c r="AC181" s="932"/>
      <c r="AD181" s="439"/>
      <c r="AE181" s="439"/>
      <c r="AF181" s="439"/>
      <c r="AG181" s="439"/>
      <c r="AH181" s="439"/>
      <c r="AI181" s="932"/>
      <c r="AJ181" s="439"/>
      <c r="AK181" s="439"/>
      <c r="AL181" s="439"/>
      <c r="AM181" s="439"/>
      <c r="AN181" s="439"/>
      <c r="AO181" s="932"/>
      <c r="AP181" s="439"/>
      <c r="AQ181" s="439"/>
      <c r="AR181" s="439"/>
      <c r="AS181" s="439"/>
      <c r="AT181" s="439"/>
      <c r="AU181" s="932"/>
      <c r="AV181" s="439"/>
      <c r="AW181" s="439"/>
      <c r="AX181" s="439"/>
      <c r="AY181" s="439"/>
      <c r="AZ181" s="439"/>
      <c r="BA181" s="932"/>
      <c r="BB181" s="439"/>
      <c r="BC181" s="439"/>
      <c r="BD181" s="439"/>
      <c r="BE181" s="439"/>
      <c r="BF181" s="439"/>
      <c r="BG181" s="932"/>
      <c r="BH181" s="439"/>
      <c r="BI181" s="439"/>
      <c r="BJ181" s="439"/>
      <c r="BK181" s="439"/>
      <c r="BL181" s="439"/>
      <c r="BM181" s="932"/>
      <c r="BN181" s="439"/>
      <c r="BO181" s="439"/>
      <c r="BP181" s="439"/>
      <c r="BQ181" s="439"/>
      <c r="BR181" s="439"/>
    </row>
    <row r="182" ht="15.75" customHeight="1">
      <c r="A182" s="439"/>
      <c r="B182" s="439"/>
      <c r="C182" s="439"/>
      <c r="D182" s="439"/>
      <c r="E182" s="932"/>
      <c r="F182" s="439"/>
      <c r="G182" s="439"/>
      <c r="H182" s="439"/>
      <c r="I182" s="439"/>
      <c r="J182" s="439"/>
      <c r="K182" s="932"/>
      <c r="L182" s="439"/>
      <c r="M182" s="439"/>
      <c r="N182" s="439"/>
      <c r="O182" s="439"/>
      <c r="P182" s="439"/>
      <c r="Q182" s="932"/>
      <c r="R182" s="439"/>
      <c r="S182" s="439"/>
      <c r="T182" s="439"/>
      <c r="U182" s="439"/>
      <c r="V182" s="439"/>
      <c r="W182" s="932"/>
      <c r="X182" s="439"/>
      <c r="Y182" s="439"/>
      <c r="Z182" s="439"/>
      <c r="AA182" s="439"/>
      <c r="AB182" s="439"/>
      <c r="AC182" s="932"/>
      <c r="AD182" s="439"/>
      <c r="AE182" s="439"/>
      <c r="AF182" s="439"/>
      <c r="AG182" s="439"/>
      <c r="AH182" s="439"/>
      <c r="AI182" s="932"/>
      <c r="AJ182" s="439"/>
      <c r="AK182" s="439"/>
      <c r="AL182" s="439"/>
      <c r="AM182" s="439"/>
      <c r="AN182" s="439"/>
      <c r="AO182" s="932"/>
      <c r="AP182" s="439"/>
      <c r="AQ182" s="439"/>
      <c r="AR182" s="439"/>
      <c r="AS182" s="439"/>
      <c r="AT182" s="439"/>
      <c r="AU182" s="932"/>
      <c r="AV182" s="439"/>
      <c r="AW182" s="439"/>
      <c r="AX182" s="439"/>
      <c r="AY182" s="439"/>
      <c r="AZ182" s="439"/>
      <c r="BA182" s="932"/>
      <c r="BB182" s="439"/>
      <c r="BC182" s="439"/>
      <c r="BD182" s="439"/>
      <c r="BE182" s="439"/>
      <c r="BF182" s="439"/>
      <c r="BG182" s="932"/>
      <c r="BH182" s="439"/>
      <c r="BI182" s="439"/>
      <c r="BJ182" s="439"/>
      <c r="BK182" s="439"/>
      <c r="BL182" s="439"/>
      <c r="BM182" s="932"/>
      <c r="BN182" s="439"/>
      <c r="BO182" s="439"/>
      <c r="BP182" s="439"/>
      <c r="BQ182" s="439"/>
      <c r="BR182" s="439"/>
    </row>
    <row r="183" ht="15.75" customHeight="1">
      <c r="A183" s="439"/>
      <c r="B183" s="439"/>
      <c r="C183" s="439"/>
      <c r="D183" s="439"/>
      <c r="E183" s="932"/>
      <c r="F183" s="439"/>
      <c r="G183" s="439"/>
      <c r="H183" s="439"/>
      <c r="I183" s="439"/>
      <c r="J183" s="439"/>
      <c r="K183" s="932"/>
      <c r="L183" s="439"/>
      <c r="M183" s="439"/>
      <c r="N183" s="439"/>
      <c r="O183" s="439"/>
      <c r="P183" s="439"/>
      <c r="Q183" s="932"/>
      <c r="R183" s="439"/>
      <c r="S183" s="439"/>
      <c r="T183" s="439"/>
      <c r="U183" s="439"/>
      <c r="V183" s="439"/>
      <c r="W183" s="932"/>
      <c r="X183" s="439"/>
      <c r="Y183" s="439"/>
      <c r="Z183" s="439"/>
      <c r="AA183" s="439"/>
      <c r="AB183" s="439"/>
      <c r="AC183" s="932"/>
      <c r="AD183" s="439"/>
      <c r="AE183" s="439"/>
      <c r="AF183" s="439"/>
      <c r="AG183" s="439"/>
      <c r="AH183" s="439"/>
      <c r="AI183" s="932"/>
      <c r="AJ183" s="439"/>
      <c r="AK183" s="439"/>
      <c r="AL183" s="439"/>
      <c r="AM183" s="439"/>
      <c r="AN183" s="439"/>
      <c r="AO183" s="932"/>
      <c r="AP183" s="439"/>
      <c r="AQ183" s="439"/>
      <c r="AR183" s="439"/>
      <c r="AS183" s="439"/>
      <c r="AT183" s="439"/>
      <c r="AU183" s="932"/>
      <c r="AV183" s="439"/>
      <c r="AW183" s="439"/>
      <c r="AX183" s="439"/>
      <c r="AY183" s="439"/>
      <c r="AZ183" s="439"/>
      <c r="BA183" s="932"/>
      <c r="BB183" s="439"/>
      <c r="BC183" s="439"/>
      <c r="BD183" s="439"/>
      <c r="BE183" s="439"/>
      <c r="BF183" s="439"/>
      <c r="BG183" s="932"/>
      <c r="BH183" s="439"/>
      <c r="BI183" s="439"/>
      <c r="BJ183" s="439"/>
      <c r="BK183" s="439"/>
      <c r="BL183" s="439"/>
      <c r="BM183" s="932"/>
      <c r="BN183" s="439"/>
      <c r="BO183" s="439"/>
      <c r="BP183" s="439"/>
      <c r="BQ183" s="439"/>
      <c r="BR183" s="439"/>
    </row>
    <row r="184" ht="15.75" customHeight="1">
      <c r="A184" s="439"/>
      <c r="B184" s="439"/>
      <c r="C184" s="439"/>
      <c r="D184" s="439"/>
      <c r="E184" s="932"/>
      <c r="F184" s="439"/>
      <c r="G184" s="439"/>
      <c r="H184" s="439"/>
      <c r="I184" s="439"/>
      <c r="J184" s="439"/>
      <c r="K184" s="932"/>
      <c r="L184" s="439"/>
      <c r="M184" s="439"/>
      <c r="N184" s="439"/>
      <c r="O184" s="439"/>
      <c r="P184" s="439"/>
      <c r="Q184" s="932"/>
      <c r="R184" s="439"/>
      <c r="S184" s="439"/>
      <c r="T184" s="439"/>
      <c r="U184" s="439"/>
      <c r="V184" s="439"/>
      <c r="W184" s="932"/>
      <c r="X184" s="439"/>
      <c r="Y184" s="439"/>
      <c r="Z184" s="439"/>
      <c r="AA184" s="439"/>
      <c r="AB184" s="439"/>
      <c r="AC184" s="932"/>
      <c r="AD184" s="439"/>
      <c r="AE184" s="439"/>
      <c r="AF184" s="439"/>
      <c r="AG184" s="439"/>
      <c r="AH184" s="439"/>
      <c r="AI184" s="932"/>
      <c r="AJ184" s="439"/>
      <c r="AK184" s="439"/>
      <c r="AL184" s="439"/>
      <c r="AM184" s="439"/>
      <c r="AN184" s="439"/>
      <c r="AO184" s="932"/>
      <c r="AP184" s="439"/>
      <c r="AQ184" s="439"/>
      <c r="AR184" s="439"/>
      <c r="AS184" s="439"/>
      <c r="AT184" s="439"/>
      <c r="AU184" s="932"/>
      <c r="AV184" s="439"/>
      <c r="AW184" s="439"/>
      <c r="AX184" s="439"/>
      <c r="AY184" s="439"/>
      <c r="AZ184" s="439"/>
      <c r="BA184" s="932"/>
      <c r="BB184" s="439"/>
      <c r="BC184" s="439"/>
      <c r="BD184" s="439"/>
      <c r="BE184" s="439"/>
      <c r="BF184" s="439"/>
      <c r="BG184" s="932"/>
      <c r="BH184" s="439"/>
      <c r="BI184" s="439"/>
      <c r="BJ184" s="439"/>
      <c r="BK184" s="439"/>
      <c r="BL184" s="439"/>
      <c r="BM184" s="932"/>
      <c r="BN184" s="439"/>
      <c r="BO184" s="439"/>
      <c r="BP184" s="439"/>
      <c r="BQ184" s="439"/>
      <c r="BR184" s="439"/>
    </row>
    <row r="185" ht="15.75" customHeight="1">
      <c r="A185" s="439"/>
      <c r="B185" s="439"/>
      <c r="C185" s="439"/>
      <c r="D185" s="439"/>
      <c r="E185" s="932"/>
      <c r="F185" s="439"/>
      <c r="G185" s="439"/>
      <c r="H185" s="439"/>
      <c r="I185" s="439"/>
      <c r="J185" s="439"/>
      <c r="K185" s="932"/>
      <c r="L185" s="439"/>
      <c r="M185" s="439"/>
      <c r="N185" s="439"/>
      <c r="O185" s="439"/>
      <c r="P185" s="439"/>
      <c r="Q185" s="932"/>
      <c r="R185" s="439"/>
      <c r="S185" s="439"/>
      <c r="T185" s="439"/>
      <c r="U185" s="439"/>
      <c r="V185" s="439"/>
      <c r="W185" s="932"/>
      <c r="X185" s="439"/>
      <c r="Y185" s="439"/>
      <c r="Z185" s="439"/>
      <c r="AA185" s="439"/>
      <c r="AB185" s="439"/>
      <c r="AC185" s="932"/>
      <c r="AD185" s="439"/>
      <c r="AE185" s="439"/>
      <c r="AF185" s="439"/>
      <c r="AG185" s="439"/>
      <c r="AH185" s="439"/>
      <c r="AI185" s="932"/>
      <c r="AJ185" s="439"/>
      <c r="AK185" s="439"/>
      <c r="AL185" s="439"/>
      <c r="AM185" s="439"/>
      <c r="AN185" s="439"/>
      <c r="AO185" s="932"/>
      <c r="AP185" s="439"/>
      <c r="AQ185" s="439"/>
      <c r="AR185" s="439"/>
      <c r="AS185" s="439"/>
      <c r="AT185" s="439"/>
      <c r="AU185" s="932"/>
      <c r="AV185" s="439"/>
      <c r="AW185" s="439"/>
      <c r="AX185" s="439"/>
      <c r="AY185" s="439"/>
      <c r="AZ185" s="439"/>
      <c r="BA185" s="932"/>
      <c r="BB185" s="439"/>
      <c r="BC185" s="439"/>
      <c r="BD185" s="439"/>
      <c r="BE185" s="439"/>
      <c r="BF185" s="439"/>
      <c r="BG185" s="932"/>
      <c r="BH185" s="439"/>
      <c r="BI185" s="439"/>
      <c r="BJ185" s="439"/>
      <c r="BK185" s="439"/>
      <c r="BL185" s="439"/>
      <c r="BM185" s="932"/>
      <c r="BN185" s="439"/>
      <c r="BO185" s="439"/>
      <c r="BP185" s="439"/>
      <c r="BQ185" s="439"/>
      <c r="BR185" s="439"/>
    </row>
    <row r="186" ht="15.75" customHeight="1">
      <c r="A186" s="439"/>
      <c r="B186" s="439"/>
      <c r="C186" s="439"/>
      <c r="D186" s="439"/>
      <c r="E186" s="932"/>
      <c r="F186" s="439"/>
      <c r="G186" s="439"/>
      <c r="H186" s="439"/>
      <c r="I186" s="439"/>
      <c r="J186" s="439"/>
      <c r="K186" s="932"/>
      <c r="L186" s="439"/>
      <c r="M186" s="439"/>
      <c r="N186" s="439"/>
      <c r="O186" s="439"/>
      <c r="P186" s="439"/>
      <c r="Q186" s="932"/>
      <c r="R186" s="439"/>
      <c r="S186" s="439"/>
      <c r="T186" s="439"/>
      <c r="U186" s="439"/>
      <c r="V186" s="439"/>
      <c r="W186" s="932"/>
      <c r="X186" s="439"/>
      <c r="Y186" s="439"/>
      <c r="Z186" s="439"/>
      <c r="AA186" s="439"/>
      <c r="AB186" s="439"/>
      <c r="AC186" s="932"/>
      <c r="AD186" s="439"/>
      <c r="AE186" s="439"/>
      <c r="AF186" s="439"/>
      <c r="AG186" s="439"/>
      <c r="AH186" s="439"/>
      <c r="AI186" s="932"/>
      <c r="AJ186" s="439"/>
      <c r="AK186" s="439"/>
      <c r="AL186" s="439"/>
      <c r="AM186" s="439"/>
      <c r="AN186" s="439"/>
      <c r="AO186" s="932"/>
      <c r="AP186" s="439"/>
      <c r="AQ186" s="439"/>
      <c r="AR186" s="439"/>
      <c r="AS186" s="439"/>
      <c r="AT186" s="439"/>
      <c r="AU186" s="932"/>
      <c r="AV186" s="439"/>
      <c r="AW186" s="439"/>
      <c r="AX186" s="439"/>
      <c r="AY186" s="439"/>
      <c r="AZ186" s="439"/>
      <c r="BA186" s="932"/>
      <c r="BB186" s="439"/>
      <c r="BC186" s="439"/>
      <c r="BD186" s="439"/>
      <c r="BE186" s="439"/>
      <c r="BF186" s="439"/>
      <c r="BG186" s="932"/>
      <c r="BH186" s="439"/>
      <c r="BI186" s="439"/>
      <c r="BJ186" s="439"/>
      <c r="BK186" s="439"/>
      <c r="BL186" s="439"/>
      <c r="BM186" s="932"/>
      <c r="BN186" s="439"/>
      <c r="BO186" s="439"/>
      <c r="BP186" s="439"/>
      <c r="BQ186" s="439"/>
      <c r="BR186" s="439"/>
    </row>
    <row r="187" ht="15.75" customHeight="1">
      <c r="A187" s="439"/>
      <c r="B187" s="439"/>
      <c r="C187" s="439"/>
      <c r="D187" s="439"/>
      <c r="E187" s="932"/>
      <c r="F187" s="439"/>
      <c r="G187" s="439"/>
      <c r="H187" s="439"/>
      <c r="I187" s="439"/>
      <c r="J187" s="439"/>
      <c r="K187" s="932"/>
      <c r="L187" s="439"/>
      <c r="M187" s="439"/>
      <c r="N187" s="439"/>
      <c r="O187" s="439"/>
      <c r="P187" s="439"/>
      <c r="Q187" s="932"/>
      <c r="R187" s="439"/>
      <c r="S187" s="439"/>
      <c r="T187" s="439"/>
      <c r="U187" s="439"/>
      <c r="V187" s="439"/>
      <c r="W187" s="932"/>
      <c r="X187" s="439"/>
      <c r="Y187" s="439"/>
      <c r="Z187" s="439"/>
      <c r="AA187" s="439"/>
      <c r="AB187" s="439"/>
      <c r="AC187" s="932"/>
      <c r="AD187" s="439"/>
      <c r="AE187" s="439"/>
      <c r="AF187" s="439"/>
      <c r="AG187" s="439"/>
      <c r="AH187" s="439"/>
      <c r="AI187" s="932"/>
      <c r="AJ187" s="439"/>
      <c r="AK187" s="439"/>
      <c r="AL187" s="439"/>
      <c r="AM187" s="439"/>
      <c r="AN187" s="439"/>
      <c r="AO187" s="932"/>
      <c r="AP187" s="439"/>
      <c r="AQ187" s="439"/>
      <c r="AR187" s="439"/>
      <c r="AS187" s="439"/>
      <c r="AT187" s="439"/>
      <c r="AU187" s="932"/>
      <c r="AV187" s="439"/>
      <c r="AW187" s="439"/>
      <c r="AX187" s="439"/>
      <c r="AY187" s="439"/>
      <c r="AZ187" s="439"/>
      <c r="BA187" s="932"/>
      <c r="BB187" s="439"/>
      <c r="BC187" s="439"/>
      <c r="BD187" s="439"/>
      <c r="BE187" s="439"/>
      <c r="BF187" s="439"/>
      <c r="BG187" s="932"/>
      <c r="BH187" s="439"/>
      <c r="BI187" s="439"/>
      <c r="BJ187" s="439"/>
      <c r="BK187" s="439"/>
      <c r="BL187" s="439"/>
      <c r="BM187" s="932"/>
      <c r="BN187" s="439"/>
      <c r="BO187" s="439"/>
      <c r="BP187" s="439"/>
      <c r="BQ187" s="439"/>
      <c r="BR187" s="439"/>
    </row>
    <row r="188" ht="15.75" customHeight="1">
      <c r="A188" s="439"/>
      <c r="B188" s="439"/>
      <c r="C188" s="439"/>
      <c r="D188" s="439"/>
      <c r="E188" s="932"/>
      <c r="F188" s="439"/>
      <c r="G188" s="439"/>
      <c r="H188" s="439"/>
      <c r="I188" s="439"/>
      <c r="J188" s="439"/>
      <c r="K188" s="932"/>
      <c r="L188" s="439"/>
      <c r="M188" s="439"/>
      <c r="N188" s="439"/>
      <c r="O188" s="439"/>
      <c r="P188" s="439"/>
      <c r="Q188" s="932"/>
      <c r="R188" s="439"/>
      <c r="S188" s="439"/>
      <c r="T188" s="439"/>
      <c r="U188" s="439"/>
      <c r="V188" s="439"/>
      <c r="W188" s="932"/>
      <c r="X188" s="439"/>
      <c r="Y188" s="439"/>
      <c r="Z188" s="439"/>
      <c r="AA188" s="439"/>
      <c r="AB188" s="439"/>
      <c r="AC188" s="932"/>
      <c r="AD188" s="439"/>
      <c r="AE188" s="439"/>
      <c r="AF188" s="439"/>
      <c r="AG188" s="439"/>
      <c r="AH188" s="439"/>
      <c r="AI188" s="932"/>
      <c r="AJ188" s="439"/>
      <c r="AK188" s="439"/>
      <c r="AL188" s="439"/>
      <c r="AM188" s="439"/>
      <c r="AN188" s="439"/>
      <c r="AO188" s="932"/>
      <c r="AP188" s="439"/>
      <c r="AQ188" s="439"/>
      <c r="AR188" s="439"/>
      <c r="AS188" s="439"/>
      <c r="AT188" s="439"/>
      <c r="AU188" s="932"/>
      <c r="AV188" s="439"/>
      <c r="AW188" s="439"/>
      <c r="AX188" s="439"/>
      <c r="AY188" s="439"/>
      <c r="AZ188" s="439"/>
      <c r="BA188" s="932"/>
      <c r="BB188" s="439"/>
      <c r="BC188" s="439"/>
      <c r="BD188" s="439"/>
      <c r="BE188" s="439"/>
      <c r="BF188" s="439"/>
      <c r="BG188" s="932"/>
      <c r="BH188" s="439"/>
      <c r="BI188" s="439"/>
      <c r="BJ188" s="439"/>
      <c r="BK188" s="439"/>
      <c r="BL188" s="439"/>
      <c r="BM188" s="932"/>
      <c r="BN188" s="439"/>
      <c r="BO188" s="439"/>
      <c r="BP188" s="439"/>
      <c r="BQ188" s="439"/>
      <c r="BR188" s="439"/>
    </row>
    <row r="189" ht="15.75" customHeight="1">
      <c r="A189" s="439"/>
      <c r="B189" s="439"/>
      <c r="C189" s="439"/>
      <c r="D189" s="439"/>
      <c r="E189" s="932"/>
      <c r="F189" s="439"/>
      <c r="G189" s="439"/>
      <c r="H189" s="439"/>
      <c r="I189" s="439"/>
      <c r="J189" s="439"/>
      <c r="K189" s="932"/>
      <c r="L189" s="439"/>
      <c r="M189" s="439"/>
      <c r="N189" s="439"/>
      <c r="O189" s="439"/>
      <c r="P189" s="439"/>
      <c r="Q189" s="932"/>
      <c r="R189" s="439"/>
      <c r="S189" s="439"/>
      <c r="T189" s="439"/>
      <c r="U189" s="439"/>
      <c r="V189" s="439"/>
      <c r="W189" s="932"/>
      <c r="X189" s="439"/>
      <c r="Y189" s="439"/>
      <c r="Z189" s="439"/>
      <c r="AA189" s="439"/>
      <c r="AB189" s="439"/>
      <c r="AC189" s="932"/>
      <c r="AD189" s="439"/>
      <c r="AE189" s="439"/>
      <c r="AF189" s="439"/>
      <c r="AG189" s="439"/>
      <c r="AH189" s="439"/>
      <c r="AI189" s="932"/>
      <c r="AJ189" s="439"/>
      <c r="AK189" s="439"/>
      <c r="AL189" s="439"/>
      <c r="AM189" s="439"/>
      <c r="AN189" s="439"/>
      <c r="AO189" s="932"/>
      <c r="AP189" s="439"/>
      <c r="AQ189" s="439"/>
      <c r="AR189" s="439"/>
      <c r="AS189" s="439"/>
      <c r="AT189" s="439"/>
      <c r="AU189" s="932"/>
      <c r="AV189" s="439"/>
      <c r="AW189" s="439"/>
      <c r="AX189" s="439"/>
      <c r="AY189" s="439"/>
      <c r="AZ189" s="439"/>
      <c r="BA189" s="932"/>
      <c r="BB189" s="439"/>
      <c r="BC189" s="439"/>
      <c r="BD189" s="439"/>
      <c r="BE189" s="439"/>
      <c r="BF189" s="439"/>
      <c r="BG189" s="932"/>
      <c r="BH189" s="439"/>
      <c r="BI189" s="439"/>
      <c r="BJ189" s="439"/>
      <c r="BK189" s="439"/>
      <c r="BL189" s="439"/>
      <c r="BM189" s="932"/>
      <c r="BN189" s="439"/>
      <c r="BO189" s="439"/>
      <c r="BP189" s="439"/>
      <c r="BQ189" s="439"/>
      <c r="BR189" s="439"/>
    </row>
    <row r="190" ht="15.75" customHeight="1">
      <c r="A190" s="439"/>
      <c r="B190" s="439"/>
      <c r="C190" s="439"/>
      <c r="D190" s="439"/>
      <c r="E190" s="932"/>
      <c r="F190" s="439"/>
      <c r="G190" s="439"/>
      <c r="H190" s="439"/>
      <c r="I190" s="439"/>
      <c r="J190" s="439"/>
      <c r="K190" s="932"/>
      <c r="L190" s="439"/>
      <c r="M190" s="439"/>
      <c r="N190" s="439"/>
      <c r="O190" s="439"/>
      <c r="P190" s="439"/>
      <c r="Q190" s="932"/>
      <c r="R190" s="439"/>
      <c r="S190" s="439"/>
      <c r="T190" s="439"/>
      <c r="U190" s="439"/>
      <c r="V190" s="439"/>
      <c r="W190" s="932"/>
      <c r="X190" s="439"/>
      <c r="Y190" s="439"/>
      <c r="Z190" s="439"/>
      <c r="AA190" s="439"/>
      <c r="AB190" s="439"/>
      <c r="AC190" s="932"/>
      <c r="AD190" s="439"/>
      <c r="AE190" s="439"/>
      <c r="AF190" s="439"/>
      <c r="AG190" s="439"/>
      <c r="AH190" s="439"/>
      <c r="AI190" s="932"/>
      <c r="AJ190" s="439"/>
      <c r="AK190" s="439"/>
      <c r="AL190" s="439"/>
      <c r="AM190" s="439"/>
      <c r="AN190" s="439"/>
      <c r="AO190" s="932"/>
      <c r="AP190" s="439"/>
      <c r="AQ190" s="439"/>
      <c r="AR190" s="439"/>
      <c r="AS190" s="439"/>
      <c r="AT190" s="439"/>
      <c r="AU190" s="932"/>
      <c r="AV190" s="439"/>
      <c r="AW190" s="439"/>
      <c r="AX190" s="439"/>
      <c r="AY190" s="439"/>
      <c r="AZ190" s="439"/>
      <c r="BA190" s="932"/>
      <c r="BB190" s="439"/>
      <c r="BC190" s="439"/>
      <c r="BD190" s="439"/>
      <c r="BE190" s="439"/>
      <c r="BF190" s="439"/>
      <c r="BG190" s="932"/>
      <c r="BH190" s="439"/>
      <c r="BI190" s="439"/>
      <c r="BJ190" s="439"/>
      <c r="BK190" s="439"/>
      <c r="BL190" s="439"/>
      <c r="BM190" s="932"/>
      <c r="BN190" s="439"/>
      <c r="BO190" s="439"/>
      <c r="BP190" s="439"/>
      <c r="BQ190" s="439"/>
      <c r="BR190" s="439"/>
    </row>
    <row r="191" ht="15.75" customHeight="1">
      <c r="A191" s="439"/>
      <c r="B191" s="439"/>
      <c r="C191" s="439"/>
      <c r="D191" s="439"/>
      <c r="E191" s="932"/>
      <c r="F191" s="439"/>
      <c r="G191" s="439"/>
      <c r="H191" s="439"/>
      <c r="I191" s="439"/>
      <c r="J191" s="439"/>
      <c r="K191" s="932"/>
      <c r="L191" s="439"/>
      <c r="M191" s="439"/>
      <c r="N191" s="439"/>
      <c r="O191" s="439"/>
      <c r="P191" s="439"/>
      <c r="Q191" s="932"/>
      <c r="R191" s="439"/>
      <c r="S191" s="439"/>
      <c r="T191" s="439"/>
      <c r="U191" s="439"/>
      <c r="V191" s="439"/>
      <c r="W191" s="932"/>
      <c r="X191" s="439"/>
      <c r="Y191" s="439"/>
      <c r="Z191" s="439"/>
      <c r="AA191" s="439"/>
      <c r="AB191" s="439"/>
      <c r="AC191" s="932"/>
      <c r="AD191" s="439"/>
      <c r="AE191" s="439"/>
      <c r="AF191" s="439"/>
      <c r="AG191" s="439"/>
      <c r="AH191" s="439"/>
      <c r="AI191" s="932"/>
      <c r="AJ191" s="439"/>
      <c r="AK191" s="439"/>
      <c r="AL191" s="439"/>
      <c r="AM191" s="439"/>
      <c r="AN191" s="439"/>
      <c r="AO191" s="932"/>
      <c r="AP191" s="439"/>
      <c r="AQ191" s="439"/>
      <c r="AR191" s="439"/>
      <c r="AS191" s="439"/>
      <c r="AT191" s="439"/>
      <c r="AU191" s="932"/>
      <c r="AV191" s="439"/>
      <c r="AW191" s="439"/>
      <c r="AX191" s="439"/>
      <c r="AY191" s="439"/>
      <c r="AZ191" s="439"/>
      <c r="BA191" s="932"/>
      <c r="BB191" s="439"/>
      <c r="BC191" s="439"/>
      <c r="BD191" s="439"/>
      <c r="BE191" s="439"/>
      <c r="BF191" s="439"/>
      <c r="BG191" s="932"/>
      <c r="BH191" s="439"/>
      <c r="BI191" s="439"/>
      <c r="BJ191" s="439"/>
      <c r="BK191" s="439"/>
      <c r="BL191" s="439"/>
      <c r="BM191" s="932"/>
      <c r="BN191" s="439"/>
      <c r="BO191" s="439"/>
      <c r="BP191" s="439"/>
      <c r="BQ191" s="439"/>
      <c r="BR191" s="439"/>
    </row>
    <row r="192" ht="15.75" customHeight="1">
      <c r="A192" s="439"/>
      <c r="B192" s="439"/>
      <c r="C192" s="439"/>
      <c r="D192" s="439"/>
      <c r="E192" s="932"/>
      <c r="F192" s="439"/>
      <c r="G192" s="439"/>
      <c r="H192" s="439"/>
      <c r="I192" s="439"/>
      <c r="J192" s="439"/>
      <c r="K192" s="932"/>
      <c r="L192" s="439"/>
      <c r="M192" s="439"/>
      <c r="N192" s="439"/>
      <c r="O192" s="439"/>
      <c r="P192" s="439"/>
      <c r="Q192" s="932"/>
      <c r="R192" s="439"/>
      <c r="S192" s="439"/>
      <c r="T192" s="439"/>
      <c r="U192" s="439"/>
      <c r="V192" s="439"/>
      <c r="W192" s="932"/>
      <c r="X192" s="439"/>
      <c r="Y192" s="439"/>
      <c r="Z192" s="439"/>
      <c r="AA192" s="439"/>
      <c r="AB192" s="439"/>
      <c r="AC192" s="932"/>
      <c r="AD192" s="439"/>
      <c r="AE192" s="439"/>
      <c r="AF192" s="439"/>
      <c r="AG192" s="439"/>
      <c r="AH192" s="439"/>
      <c r="AI192" s="932"/>
      <c r="AJ192" s="439"/>
      <c r="AK192" s="439"/>
      <c r="AL192" s="439"/>
      <c r="AM192" s="439"/>
      <c r="AN192" s="439"/>
      <c r="AO192" s="932"/>
      <c r="AP192" s="439"/>
      <c r="AQ192" s="439"/>
      <c r="AR192" s="439"/>
      <c r="AS192" s="439"/>
      <c r="AT192" s="439"/>
      <c r="AU192" s="932"/>
      <c r="AV192" s="439"/>
      <c r="AW192" s="439"/>
      <c r="AX192" s="439"/>
      <c r="AY192" s="439"/>
      <c r="AZ192" s="439"/>
      <c r="BA192" s="932"/>
      <c r="BB192" s="439"/>
      <c r="BC192" s="439"/>
      <c r="BD192" s="439"/>
      <c r="BE192" s="439"/>
      <c r="BF192" s="439"/>
      <c r="BG192" s="932"/>
      <c r="BH192" s="439"/>
      <c r="BI192" s="439"/>
      <c r="BJ192" s="439"/>
      <c r="BK192" s="439"/>
      <c r="BL192" s="439"/>
      <c r="BM192" s="932"/>
      <c r="BN192" s="439"/>
      <c r="BO192" s="439"/>
      <c r="BP192" s="439"/>
      <c r="BQ192" s="439"/>
      <c r="BR192" s="439"/>
    </row>
    <row r="193" ht="15.75" customHeight="1">
      <c r="A193" s="439"/>
      <c r="B193" s="439"/>
      <c r="C193" s="439"/>
      <c r="D193" s="439"/>
      <c r="E193" s="932"/>
      <c r="F193" s="439"/>
      <c r="G193" s="439"/>
      <c r="H193" s="439"/>
      <c r="I193" s="439"/>
      <c r="J193" s="439"/>
      <c r="K193" s="932"/>
      <c r="L193" s="439"/>
      <c r="M193" s="439"/>
      <c r="N193" s="439"/>
      <c r="O193" s="439"/>
      <c r="P193" s="439"/>
      <c r="Q193" s="932"/>
      <c r="R193" s="439"/>
      <c r="S193" s="439"/>
      <c r="T193" s="439"/>
      <c r="U193" s="439"/>
      <c r="V193" s="439"/>
      <c r="W193" s="932"/>
      <c r="X193" s="439"/>
      <c r="Y193" s="439"/>
      <c r="Z193" s="439"/>
      <c r="AA193" s="439"/>
      <c r="AB193" s="439"/>
      <c r="AC193" s="932"/>
      <c r="AD193" s="439"/>
      <c r="AE193" s="439"/>
      <c r="AF193" s="439"/>
      <c r="AG193" s="439"/>
      <c r="AH193" s="439"/>
      <c r="AI193" s="932"/>
      <c r="AJ193" s="439"/>
      <c r="AK193" s="439"/>
      <c r="AL193" s="439"/>
      <c r="AM193" s="439"/>
      <c r="AN193" s="439"/>
      <c r="AO193" s="932"/>
      <c r="AP193" s="439"/>
      <c r="AQ193" s="439"/>
      <c r="AR193" s="439"/>
      <c r="AS193" s="439"/>
      <c r="AT193" s="439"/>
      <c r="AU193" s="932"/>
      <c r="AV193" s="439"/>
      <c r="AW193" s="439"/>
      <c r="AX193" s="439"/>
      <c r="AY193" s="439"/>
      <c r="AZ193" s="439"/>
      <c r="BA193" s="932"/>
      <c r="BB193" s="439"/>
      <c r="BC193" s="439"/>
      <c r="BD193" s="439"/>
      <c r="BE193" s="439"/>
      <c r="BF193" s="439"/>
      <c r="BG193" s="932"/>
      <c r="BH193" s="439"/>
      <c r="BI193" s="439"/>
      <c r="BJ193" s="439"/>
      <c r="BK193" s="439"/>
      <c r="BL193" s="439"/>
      <c r="BM193" s="932"/>
      <c r="BN193" s="439"/>
      <c r="BO193" s="439"/>
      <c r="BP193" s="439"/>
      <c r="BQ193" s="439"/>
      <c r="BR193" s="439"/>
    </row>
    <row r="194" ht="15.75" customHeight="1">
      <c r="A194" s="439"/>
      <c r="B194" s="439"/>
      <c r="C194" s="439"/>
      <c r="D194" s="439"/>
      <c r="E194" s="932"/>
      <c r="F194" s="439"/>
      <c r="G194" s="439"/>
      <c r="H194" s="439"/>
      <c r="I194" s="439"/>
      <c r="J194" s="439"/>
      <c r="K194" s="932"/>
      <c r="L194" s="439"/>
      <c r="M194" s="439"/>
      <c r="N194" s="439"/>
      <c r="O194" s="439"/>
      <c r="P194" s="439"/>
      <c r="Q194" s="932"/>
      <c r="R194" s="439"/>
      <c r="S194" s="439"/>
      <c r="T194" s="439"/>
      <c r="U194" s="439"/>
      <c r="V194" s="439"/>
      <c r="W194" s="932"/>
      <c r="X194" s="439"/>
      <c r="Y194" s="439"/>
      <c r="Z194" s="439"/>
      <c r="AA194" s="439"/>
      <c r="AB194" s="439"/>
      <c r="AC194" s="932"/>
      <c r="AD194" s="439"/>
      <c r="AE194" s="439"/>
      <c r="AF194" s="439"/>
      <c r="AG194" s="439"/>
      <c r="AH194" s="439"/>
      <c r="AI194" s="932"/>
      <c r="AJ194" s="439"/>
      <c r="AK194" s="439"/>
      <c r="AL194" s="439"/>
      <c r="AM194" s="439"/>
      <c r="AN194" s="439"/>
      <c r="AO194" s="932"/>
      <c r="AP194" s="439"/>
      <c r="AQ194" s="439"/>
      <c r="AR194" s="439"/>
      <c r="AS194" s="439"/>
      <c r="AT194" s="439"/>
      <c r="AU194" s="932"/>
      <c r="AV194" s="439"/>
      <c r="AW194" s="439"/>
      <c r="AX194" s="439"/>
      <c r="AY194" s="439"/>
      <c r="AZ194" s="439"/>
      <c r="BA194" s="932"/>
      <c r="BB194" s="439"/>
      <c r="BC194" s="439"/>
      <c r="BD194" s="439"/>
      <c r="BE194" s="439"/>
      <c r="BF194" s="439"/>
      <c r="BG194" s="932"/>
      <c r="BH194" s="439"/>
      <c r="BI194" s="439"/>
      <c r="BJ194" s="439"/>
      <c r="BK194" s="439"/>
      <c r="BL194" s="439"/>
      <c r="BM194" s="932"/>
      <c r="BN194" s="439"/>
      <c r="BO194" s="439"/>
      <c r="BP194" s="439"/>
      <c r="BQ194" s="439"/>
      <c r="BR194" s="439"/>
    </row>
    <row r="195" ht="15.75" customHeight="1">
      <c r="A195" s="439"/>
      <c r="B195" s="439"/>
      <c r="C195" s="439"/>
      <c r="D195" s="439"/>
      <c r="E195" s="932"/>
      <c r="F195" s="439"/>
      <c r="G195" s="439"/>
      <c r="H195" s="439"/>
      <c r="I195" s="439"/>
      <c r="J195" s="439"/>
      <c r="K195" s="932"/>
      <c r="L195" s="439"/>
      <c r="M195" s="439"/>
      <c r="N195" s="439"/>
      <c r="O195" s="439"/>
      <c r="P195" s="439"/>
      <c r="Q195" s="932"/>
      <c r="R195" s="439"/>
      <c r="S195" s="439"/>
      <c r="T195" s="439"/>
      <c r="U195" s="439"/>
      <c r="V195" s="439"/>
      <c r="W195" s="932"/>
      <c r="X195" s="439"/>
      <c r="Y195" s="439"/>
      <c r="Z195" s="439"/>
      <c r="AA195" s="439"/>
      <c r="AB195" s="439"/>
      <c r="AC195" s="932"/>
      <c r="AD195" s="439"/>
      <c r="AE195" s="439"/>
      <c r="AF195" s="439"/>
      <c r="AG195" s="439"/>
      <c r="AH195" s="439"/>
      <c r="AI195" s="932"/>
      <c r="AJ195" s="439"/>
      <c r="AK195" s="439"/>
      <c r="AL195" s="439"/>
      <c r="AM195" s="439"/>
      <c r="AN195" s="439"/>
      <c r="AO195" s="932"/>
      <c r="AP195" s="439"/>
      <c r="AQ195" s="439"/>
      <c r="AR195" s="439"/>
      <c r="AS195" s="439"/>
      <c r="AT195" s="439"/>
      <c r="AU195" s="932"/>
      <c r="AV195" s="439"/>
      <c r="AW195" s="439"/>
      <c r="AX195" s="439"/>
      <c r="AY195" s="439"/>
      <c r="AZ195" s="439"/>
      <c r="BA195" s="932"/>
      <c r="BB195" s="439"/>
      <c r="BC195" s="439"/>
      <c r="BD195" s="439"/>
      <c r="BE195" s="439"/>
      <c r="BF195" s="439"/>
      <c r="BG195" s="932"/>
      <c r="BH195" s="439"/>
      <c r="BI195" s="439"/>
      <c r="BJ195" s="439"/>
      <c r="BK195" s="439"/>
      <c r="BL195" s="439"/>
      <c r="BM195" s="932"/>
      <c r="BN195" s="439"/>
      <c r="BO195" s="439"/>
      <c r="BP195" s="439"/>
      <c r="BQ195" s="439"/>
      <c r="BR195" s="439"/>
    </row>
    <row r="196" ht="15.75" customHeight="1">
      <c r="A196" s="439"/>
      <c r="B196" s="439"/>
      <c r="C196" s="439"/>
      <c r="D196" s="439"/>
      <c r="E196" s="932"/>
      <c r="F196" s="439"/>
      <c r="G196" s="439"/>
      <c r="H196" s="439"/>
      <c r="I196" s="439"/>
      <c r="J196" s="439"/>
      <c r="K196" s="932"/>
      <c r="L196" s="439"/>
      <c r="M196" s="439"/>
      <c r="N196" s="439"/>
      <c r="O196" s="439"/>
      <c r="P196" s="439"/>
      <c r="Q196" s="932"/>
      <c r="R196" s="439"/>
      <c r="S196" s="439"/>
      <c r="T196" s="439"/>
      <c r="U196" s="439"/>
      <c r="V196" s="439"/>
      <c r="W196" s="932"/>
      <c r="X196" s="439"/>
      <c r="Y196" s="439"/>
      <c r="Z196" s="439"/>
      <c r="AA196" s="439"/>
      <c r="AB196" s="439"/>
      <c r="AC196" s="932"/>
      <c r="AD196" s="439"/>
      <c r="AE196" s="439"/>
      <c r="AF196" s="439"/>
      <c r="AG196" s="439"/>
      <c r="AH196" s="439"/>
      <c r="AI196" s="932"/>
      <c r="AJ196" s="439"/>
      <c r="AK196" s="439"/>
      <c r="AL196" s="439"/>
      <c r="AM196" s="439"/>
      <c r="AN196" s="439"/>
      <c r="AO196" s="932"/>
      <c r="AP196" s="439"/>
      <c r="AQ196" s="439"/>
      <c r="AR196" s="439"/>
      <c r="AS196" s="439"/>
      <c r="AT196" s="439"/>
      <c r="AU196" s="932"/>
      <c r="AV196" s="439"/>
      <c r="AW196" s="439"/>
      <c r="AX196" s="439"/>
      <c r="AY196" s="439"/>
      <c r="AZ196" s="439"/>
      <c r="BA196" s="932"/>
      <c r="BB196" s="439"/>
      <c r="BC196" s="439"/>
      <c r="BD196" s="439"/>
      <c r="BE196" s="439"/>
      <c r="BF196" s="439"/>
      <c r="BG196" s="932"/>
      <c r="BH196" s="439"/>
      <c r="BI196" s="439"/>
      <c r="BJ196" s="439"/>
      <c r="BK196" s="439"/>
      <c r="BL196" s="439"/>
      <c r="BM196" s="932"/>
      <c r="BN196" s="439"/>
      <c r="BO196" s="439"/>
      <c r="BP196" s="439"/>
      <c r="BQ196" s="439"/>
      <c r="BR196" s="439"/>
    </row>
    <row r="197" ht="15.75" customHeight="1">
      <c r="A197" s="439"/>
      <c r="B197" s="439"/>
      <c r="C197" s="439"/>
      <c r="D197" s="439"/>
      <c r="E197" s="932"/>
      <c r="F197" s="439"/>
      <c r="G197" s="439"/>
      <c r="H197" s="439"/>
      <c r="I197" s="439"/>
      <c r="J197" s="439"/>
      <c r="K197" s="932"/>
      <c r="L197" s="439"/>
      <c r="M197" s="439"/>
      <c r="N197" s="439"/>
      <c r="O197" s="439"/>
      <c r="P197" s="439"/>
      <c r="Q197" s="932"/>
      <c r="R197" s="439"/>
      <c r="S197" s="439"/>
      <c r="T197" s="439"/>
      <c r="U197" s="439"/>
      <c r="V197" s="439"/>
      <c r="W197" s="932"/>
      <c r="X197" s="439"/>
      <c r="Y197" s="439"/>
      <c r="Z197" s="439"/>
      <c r="AA197" s="439"/>
      <c r="AB197" s="439"/>
      <c r="AC197" s="932"/>
      <c r="AD197" s="439"/>
      <c r="AE197" s="439"/>
      <c r="AF197" s="439"/>
      <c r="AG197" s="439"/>
      <c r="AH197" s="439"/>
      <c r="AI197" s="932"/>
      <c r="AJ197" s="439"/>
      <c r="AK197" s="439"/>
      <c r="AL197" s="439"/>
      <c r="AM197" s="439"/>
      <c r="AN197" s="439"/>
      <c r="AO197" s="932"/>
      <c r="AP197" s="439"/>
      <c r="AQ197" s="439"/>
      <c r="AR197" s="439"/>
      <c r="AS197" s="439"/>
      <c r="AT197" s="439"/>
      <c r="AU197" s="932"/>
      <c r="AV197" s="439"/>
      <c r="AW197" s="439"/>
      <c r="AX197" s="439"/>
      <c r="AY197" s="439"/>
      <c r="AZ197" s="439"/>
      <c r="BA197" s="932"/>
      <c r="BB197" s="439"/>
      <c r="BC197" s="439"/>
      <c r="BD197" s="439"/>
      <c r="BE197" s="439"/>
      <c r="BF197" s="439"/>
      <c r="BG197" s="932"/>
      <c r="BH197" s="439"/>
      <c r="BI197" s="439"/>
      <c r="BJ197" s="439"/>
      <c r="BK197" s="439"/>
      <c r="BL197" s="439"/>
      <c r="BM197" s="932"/>
      <c r="BN197" s="439"/>
      <c r="BO197" s="439"/>
      <c r="BP197" s="439"/>
      <c r="BQ197" s="439"/>
      <c r="BR197" s="439"/>
    </row>
    <row r="198" ht="15.75" customHeight="1">
      <c r="A198" s="439"/>
      <c r="B198" s="439"/>
      <c r="C198" s="439"/>
      <c r="D198" s="439"/>
      <c r="E198" s="932"/>
      <c r="F198" s="439"/>
      <c r="G198" s="439"/>
      <c r="H198" s="439"/>
      <c r="I198" s="439"/>
      <c r="J198" s="439"/>
      <c r="K198" s="932"/>
      <c r="L198" s="439"/>
      <c r="M198" s="439"/>
      <c r="N198" s="439"/>
      <c r="O198" s="439"/>
      <c r="P198" s="439"/>
      <c r="Q198" s="932"/>
      <c r="R198" s="439"/>
      <c r="S198" s="439"/>
      <c r="T198" s="439"/>
      <c r="U198" s="439"/>
      <c r="V198" s="439"/>
      <c r="W198" s="932"/>
      <c r="X198" s="439"/>
      <c r="Y198" s="439"/>
      <c r="Z198" s="439"/>
      <c r="AA198" s="439"/>
      <c r="AB198" s="439"/>
      <c r="AC198" s="932"/>
      <c r="AD198" s="439"/>
      <c r="AE198" s="439"/>
      <c r="AF198" s="439"/>
      <c r="AG198" s="439"/>
      <c r="AH198" s="439"/>
      <c r="AI198" s="932"/>
      <c r="AJ198" s="439"/>
      <c r="AK198" s="439"/>
      <c r="AL198" s="439"/>
      <c r="AM198" s="439"/>
      <c r="AN198" s="439"/>
      <c r="AO198" s="932"/>
      <c r="AP198" s="439"/>
      <c r="AQ198" s="439"/>
      <c r="AR198" s="439"/>
      <c r="AS198" s="439"/>
      <c r="AT198" s="439"/>
      <c r="AU198" s="932"/>
      <c r="AV198" s="439"/>
      <c r="AW198" s="439"/>
      <c r="AX198" s="439"/>
      <c r="AY198" s="439"/>
      <c r="AZ198" s="439"/>
      <c r="BA198" s="932"/>
      <c r="BB198" s="439"/>
      <c r="BC198" s="439"/>
      <c r="BD198" s="439"/>
      <c r="BE198" s="439"/>
      <c r="BF198" s="439"/>
      <c r="BG198" s="932"/>
      <c r="BH198" s="439"/>
      <c r="BI198" s="439"/>
      <c r="BJ198" s="439"/>
      <c r="BK198" s="439"/>
      <c r="BL198" s="439"/>
      <c r="BM198" s="932"/>
      <c r="BN198" s="439"/>
      <c r="BO198" s="439"/>
      <c r="BP198" s="439"/>
      <c r="BQ198" s="439"/>
      <c r="BR198" s="439"/>
    </row>
    <row r="199" ht="15.75" customHeight="1">
      <c r="A199" s="439"/>
      <c r="B199" s="439"/>
      <c r="C199" s="439"/>
      <c r="D199" s="439"/>
      <c r="E199" s="932"/>
      <c r="F199" s="439"/>
      <c r="G199" s="439"/>
      <c r="H199" s="439"/>
      <c r="I199" s="439"/>
      <c r="J199" s="439"/>
      <c r="K199" s="932"/>
      <c r="L199" s="439"/>
      <c r="M199" s="439"/>
      <c r="N199" s="439"/>
      <c r="O199" s="439"/>
      <c r="P199" s="439"/>
      <c r="Q199" s="932"/>
      <c r="R199" s="439"/>
      <c r="S199" s="439"/>
      <c r="T199" s="439"/>
      <c r="U199" s="439"/>
      <c r="V199" s="439"/>
      <c r="W199" s="932"/>
      <c r="X199" s="439"/>
      <c r="Y199" s="439"/>
      <c r="Z199" s="439"/>
      <c r="AA199" s="439"/>
      <c r="AB199" s="439"/>
      <c r="AC199" s="932"/>
      <c r="AD199" s="439"/>
      <c r="AE199" s="439"/>
      <c r="AF199" s="439"/>
      <c r="AG199" s="439"/>
      <c r="AH199" s="439"/>
      <c r="AI199" s="932"/>
      <c r="AJ199" s="439"/>
      <c r="AK199" s="439"/>
      <c r="AL199" s="439"/>
      <c r="AM199" s="439"/>
      <c r="AN199" s="439"/>
      <c r="AO199" s="932"/>
      <c r="AP199" s="439"/>
      <c r="AQ199" s="439"/>
      <c r="AR199" s="439"/>
      <c r="AS199" s="439"/>
      <c r="AT199" s="439"/>
      <c r="AU199" s="932"/>
      <c r="AV199" s="439"/>
      <c r="AW199" s="439"/>
      <c r="AX199" s="439"/>
      <c r="AY199" s="439"/>
      <c r="AZ199" s="439"/>
      <c r="BA199" s="932"/>
      <c r="BB199" s="439"/>
      <c r="BC199" s="439"/>
      <c r="BD199" s="439"/>
      <c r="BE199" s="439"/>
      <c r="BF199" s="439"/>
      <c r="BG199" s="932"/>
      <c r="BH199" s="439"/>
      <c r="BI199" s="439"/>
      <c r="BJ199" s="439"/>
      <c r="BK199" s="439"/>
      <c r="BL199" s="439"/>
      <c r="BM199" s="932"/>
      <c r="BN199" s="439"/>
      <c r="BO199" s="439"/>
      <c r="BP199" s="439"/>
      <c r="BQ199" s="439"/>
      <c r="BR199" s="439"/>
    </row>
    <row r="200" ht="15.75" customHeight="1">
      <c r="A200" s="439"/>
      <c r="B200" s="439"/>
      <c r="C200" s="439"/>
      <c r="D200" s="439"/>
      <c r="E200" s="932"/>
      <c r="F200" s="439"/>
      <c r="G200" s="439"/>
      <c r="H200" s="439"/>
      <c r="I200" s="439"/>
      <c r="J200" s="439"/>
      <c r="K200" s="932"/>
      <c r="L200" s="439"/>
      <c r="M200" s="439"/>
      <c r="N200" s="439"/>
      <c r="O200" s="439"/>
      <c r="P200" s="439"/>
      <c r="Q200" s="932"/>
      <c r="R200" s="439"/>
      <c r="S200" s="439"/>
      <c r="T200" s="439"/>
      <c r="U200" s="439"/>
      <c r="V200" s="439"/>
      <c r="W200" s="932"/>
      <c r="X200" s="439"/>
      <c r="Y200" s="439"/>
      <c r="Z200" s="439"/>
      <c r="AA200" s="439"/>
      <c r="AB200" s="439"/>
      <c r="AC200" s="932"/>
      <c r="AD200" s="439"/>
      <c r="AE200" s="439"/>
      <c r="AF200" s="439"/>
      <c r="AG200" s="439"/>
      <c r="AH200" s="439"/>
      <c r="AI200" s="932"/>
      <c r="AJ200" s="439"/>
      <c r="AK200" s="439"/>
      <c r="AL200" s="439"/>
      <c r="AM200" s="439"/>
      <c r="AN200" s="439"/>
      <c r="AO200" s="932"/>
      <c r="AP200" s="439"/>
      <c r="AQ200" s="439"/>
      <c r="AR200" s="439"/>
      <c r="AS200" s="439"/>
      <c r="AT200" s="439"/>
      <c r="AU200" s="932"/>
      <c r="AV200" s="439"/>
      <c r="AW200" s="439"/>
      <c r="AX200" s="439"/>
      <c r="AY200" s="439"/>
      <c r="AZ200" s="439"/>
      <c r="BA200" s="932"/>
      <c r="BB200" s="439"/>
      <c r="BC200" s="439"/>
      <c r="BD200" s="439"/>
      <c r="BE200" s="439"/>
      <c r="BF200" s="439"/>
      <c r="BG200" s="932"/>
      <c r="BH200" s="439"/>
      <c r="BI200" s="439"/>
      <c r="BJ200" s="439"/>
      <c r="BK200" s="439"/>
      <c r="BL200" s="439"/>
      <c r="BM200" s="932"/>
      <c r="BN200" s="439"/>
      <c r="BO200" s="439"/>
      <c r="BP200" s="439"/>
      <c r="BQ200" s="439"/>
      <c r="BR200" s="439"/>
    </row>
    <row r="201" ht="15.75" customHeight="1">
      <c r="A201" s="439"/>
      <c r="B201" s="439"/>
      <c r="C201" s="439"/>
      <c r="D201" s="439"/>
      <c r="E201" s="932"/>
      <c r="F201" s="439"/>
      <c r="G201" s="439"/>
      <c r="H201" s="439"/>
      <c r="I201" s="439"/>
      <c r="J201" s="439"/>
      <c r="K201" s="932"/>
      <c r="L201" s="439"/>
      <c r="M201" s="439"/>
      <c r="N201" s="439"/>
      <c r="O201" s="439"/>
      <c r="P201" s="439"/>
      <c r="Q201" s="932"/>
      <c r="R201" s="439"/>
      <c r="S201" s="439"/>
      <c r="T201" s="439"/>
      <c r="U201" s="439"/>
      <c r="V201" s="439"/>
      <c r="W201" s="932"/>
      <c r="X201" s="439"/>
      <c r="Y201" s="439"/>
      <c r="Z201" s="439"/>
      <c r="AA201" s="439"/>
      <c r="AB201" s="439"/>
      <c r="AC201" s="932"/>
      <c r="AD201" s="439"/>
      <c r="AE201" s="439"/>
      <c r="AF201" s="439"/>
      <c r="AG201" s="439"/>
      <c r="AH201" s="439"/>
      <c r="AI201" s="932"/>
      <c r="AJ201" s="439"/>
      <c r="AK201" s="439"/>
      <c r="AL201" s="439"/>
      <c r="AM201" s="439"/>
      <c r="AN201" s="439"/>
      <c r="AO201" s="932"/>
      <c r="AP201" s="439"/>
      <c r="AQ201" s="439"/>
      <c r="AR201" s="439"/>
      <c r="AS201" s="439"/>
      <c r="AT201" s="439"/>
      <c r="AU201" s="932"/>
      <c r="AV201" s="439"/>
      <c r="AW201" s="439"/>
      <c r="AX201" s="439"/>
      <c r="AY201" s="439"/>
      <c r="AZ201" s="439"/>
      <c r="BA201" s="932"/>
      <c r="BB201" s="439"/>
      <c r="BC201" s="439"/>
      <c r="BD201" s="439"/>
      <c r="BE201" s="439"/>
      <c r="BF201" s="439"/>
      <c r="BG201" s="932"/>
      <c r="BH201" s="439"/>
      <c r="BI201" s="439"/>
      <c r="BJ201" s="439"/>
      <c r="BK201" s="439"/>
      <c r="BL201" s="439"/>
      <c r="BM201" s="932"/>
      <c r="BN201" s="439"/>
      <c r="BO201" s="439"/>
      <c r="BP201" s="439"/>
      <c r="BQ201" s="439"/>
      <c r="BR201" s="439"/>
    </row>
    <row r="202" ht="15.75" customHeight="1">
      <c r="A202" s="439"/>
      <c r="B202" s="439"/>
      <c r="C202" s="439"/>
      <c r="D202" s="439"/>
      <c r="E202" s="932"/>
      <c r="F202" s="439"/>
      <c r="G202" s="439"/>
      <c r="H202" s="439"/>
      <c r="I202" s="439"/>
      <c r="J202" s="439"/>
      <c r="K202" s="932"/>
      <c r="L202" s="439"/>
      <c r="M202" s="439"/>
      <c r="N202" s="439"/>
      <c r="O202" s="439"/>
      <c r="P202" s="439"/>
      <c r="Q202" s="932"/>
      <c r="R202" s="439"/>
      <c r="S202" s="439"/>
      <c r="T202" s="439"/>
      <c r="U202" s="439"/>
      <c r="V202" s="439"/>
      <c r="W202" s="932"/>
      <c r="X202" s="439"/>
      <c r="Y202" s="439"/>
      <c r="Z202" s="439"/>
      <c r="AA202" s="439"/>
      <c r="AB202" s="439"/>
      <c r="AC202" s="932"/>
      <c r="AD202" s="439"/>
      <c r="AE202" s="439"/>
      <c r="AF202" s="439"/>
      <c r="AG202" s="439"/>
      <c r="AH202" s="439"/>
      <c r="AI202" s="932"/>
      <c r="AJ202" s="439"/>
      <c r="AK202" s="439"/>
      <c r="AL202" s="439"/>
      <c r="AM202" s="439"/>
      <c r="AN202" s="439"/>
      <c r="AO202" s="932"/>
      <c r="AP202" s="439"/>
      <c r="AQ202" s="439"/>
      <c r="AR202" s="439"/>
      <c r="AS202" s="439"/>
      <c r="AT202" s="439"/>
      <c r="AU202" s="932"/>
      <c r="AV202" s="439"/>
      <c r="AW202" s="439"/>
      <c r="AX202" s="439"/>
      <c r="AY202" s="439"/>
      <c r="AZ202" s="439"/>
      <c r="BA202" s="932"/>
      <c r="BB202" s="439"/>
      <c r="BC202" s="439"/>
      <c r="BD202" s="439"/>
      <c r="BE202" s="439"/>
      <c r="BF202" s="439"/>
      <c r="BG202" s="932"/>
      <c r="BH202" s="439"/>
      <c r="BI202" s="439"/>
      <c r="BJ202" s="439"/>
      <c r="BK202" s="439"/>
      <c r="BL202" s="439"/>
      <c r="BM202" s="932"/>
      <c r="BN202" s="439"/>
      <c r="BO202" s="439"/>
      <c r="BP202" s="439"/>
      <c r="BQ202" s="439"/>
      <c r="BR202" s="439"/>
    </row>
    <row r="203" ht="15.75" customHeight="1">
      <c r="A203" s="439"/>
      <c r="B203" s="439"/>
      <c r="C203" s="439"/>
      <c r="D203" s="439"/>
      <c r="E203" s="932"/>
      <c r="F203" s="439"/>
      <c r="G203" s="439"/>
      <c r="H203" s="439"/>
      <c r="I203" s="439"/>
      <c r="J203" s="439"/>
      <c r="K203" s="932"/>
      <c r="L203" s="439"/>
      <c r="M203" s="439"/>
      <c r="N203" s="439"/>
      <c r="O203" s="439"/>
      <c r="P203" s="439"/>
      <c r="Q203" s="932"/>
      <c r="R203" s="439"/>
      <c r="S203" s="439"/>
      <c r="T203" s="439"/>
      <c r="U203" s="439"/>
      <c r="V203" s="439"/>
      <c r="W203" s="932"/>
      <c r="X203" s="439"/>
      <c r="Y203" s="439"/>
      <c r="Z203" s="439"/>
      <c r="AA203" s="439"/>
      <c r="AB203" s="439"/>
      <c r="AC203" s="932"/>
      <c r="AD203" s="439"/>
      <c r="AE203" s="439"/>
      <c r="AF203" s="439"/>
      <c r="AG203" s="439"/>
      <c r="AH203" s="439"/>
      <c r="AI203" s="932"/>
      <c r="AJ203" s="439"/>
      <c r="AK203" s="439"/>
      <c r="AL203" s="439"/>
      <c r="AM203" s="439"/>
      <c r="AN203" s="439"/>
      <c r="AO203" s="932"/>
      <c r="AP203" s="439"/>
      <c r="AQ203" s="439"/>
      <c r="AR203" s="439"/>
      <c r="AS203" s="439"/>
      <c r="AT203" s="439"/>
      <c r="AU203" s="932"/>
      <c r="AV203" s="439"/>
      <c r="AW203" s="439"/>
      <c r="AX203" s="439"/>
      <c r="AY203" s="439"/>
      <c r="AZ203" s="439"/>
      <c r="BA203" s="932"/>
      <c r="BB203" s="439"/>
      <c r="BC203" s="439"/>
      <c r="BD203" s="439"/>
      <c r="BE203" s="439"/>
      <c r="BF203" s="439"/>
      <c r="BG203" s="932"/>
      <c r="BH203" s="439"/>
      <c r="BI203" s="439"/>
      <c r="BJ203" s="439"/>
      <c r="BK203" s="439"/>
      <c r="BL203" s="439"/>
      <c r="BM203" s="932"/>
      <c r="BN203" s="439"/>
      <c r="BO203" s="439"/>
      <c r="BP203" s="439"/>
      <c r="BQ203" s="439"/>
      <c r="BR203" s="439"/>
    </row>
    <row r="204" ht="15.75" customHeight="1">
      <c r="A204" s="439"/>
      <c r="B204" s="439"/>
      <c r="C204" s="439"/>
      <c r="D204" s="439"/>
      <c r="E204" s="932"/>
      <c r="F204" s="439"/>
      <c r="G204" s="439"/>
      <c r="H204" s="439"/>
      <c r="I204" s="439"/>
      <c r="J204" s="439"/>
      <c r="K204" s="932"/>
      <c r="L204" s="439"/>
      <c r="M204" s="439"/>
      <c r="N204" s="439"/>
      <c r="O204" s="439"/>
      <c r="P204" s="439"/>
      <c r="Q204" s="932"/>
      <c r="R204" s="439"/>
      <c r="S204" s="439"/>
      <c r="T204" s="439"/>
      <c r="U204" s="439"/>
      <c r="V204" s="439"/>
      <c r="W204" s="932"/>
      <c r="X204" s="439"/>
      <c r="Y204" s="439"/>
      <c r="Z204" s="439"/>
      <c r="AA204" s="439"/>
      <c r="AB204" s="439"/>
      <c r="AC204" s="932"/>
      <c r="AD204" s="439"/>
      <c r="AE204" s="439"/>
      <c r="AF204" s="439"/>
      <c r="AG204" s="439"/>
      <c r="AH204" s="439"/>
      <c r="AI204" s="932"/>
      <c r="AJ204" s="439"/>
      <c r="AK204" s="439"/>
      <c r="AL204" s="439"/>
      <c r="AM204" s="439"/>
      <c r="AN204" s="439"/>
      <c r="AO204" s="932"/>
      <c r="AP204" s="439"/>
      <c r="AQ204" s="439"/>
      <c r="AR204" s="439"/>
      <c r="AS204" s="439"/>
      <c r="AT204" s="439"/>
      <c r="AU204" s="932"/>
      <c r="AV204" s="439"/>
      <c r="AW204" s="439"/>
      <c r="AX204" s="439"/>
      <c r="AY204" s="439"/>
      <c r="AZ204" s="439"/>
      <c r="BA204" s="932"/>
      <c r="BB204" s="439"/>
      <c r="BC204" s="439"/>
      <c r="BD204" s="439"/>
      <c r="BE204" s="439"/>
      <c r="BF204" s="439"/>
      <c r="BG204" s="932"/>
      <c r="BH204" s="439"/>
      <c r="BI204" s="439"/>
      <c r="BJ204" s="439"/>
      <c r="BK204" s="439"/>
      <c r="BL204" s="439"/>
      <c r="BM204" s="932"/>
      <c r="BN204" s="439"/>
      <c r="BO204" s="439"/>
      <c r="BP204" s="439"/>
      <c r="BQ204" s="439"/>
      <c r="BR204" s="439"/>
    </row>
    <row r="205" ht="15.75" customHeight="1">
      <c r="A205" s="439"/>
      <c r="B205" s="439"/>
      <c r="C205" s="439"/>
      <c r="D205" s="439"/>
      <c r="E205" s="932"/>
      <c r="F205" s="439"/>
      <c r="G205" s="439"/>
      <c r="H205" s="439"/>
      <c r="I205" s="439"/>
      <c r="J205" s="439"/>
      <c r="K205" s="932"/>
      <c r="L205" s="439"/>
      <c r="M205" s="439"/>
      <c r="N205" s="439"/>
      <c r="O205" s="439"/>
      <c r="P205" s="439"/>
      <c r="Q205" s="932"/>
      <c r="R205" s="439"/>
      <c r="S205" s="439"/>
      <c r="T205" s="439"/>
      <c r="U205" s="439"/>
      <c r="V205" s="439"/>
      <c r="W205" s="932"/>
      <c r="X205" s="439"/>
      <c r="Y205" s="439"/>
      <c r="Z205" s="439"/>
      <c r="AA205" s="439"/>
      <c r="AB205" s="439"/>
      <c r="AC205" s="932"/>
      <c r="AD205" s="439"/>
      <c r="AE205" s="439"/>
      <c r="AF205" s="439"/>
      <c r="AG205" s="439"/>
      <c r="AH205" s="439"/>
      <c r="AI205" s="932"/>
      <c r="AJ205" s="439"/>
      <c r="AK205" s="439"/>
      <c r="AL205" s="439"/>
      <c r="AM205" s="439"/>
      <c r="AN205" s="439"/>
      <c r="AO205" s="932"/>
      <c r="AP205" s="439"/>
      <c r="AQ205" s="439"/>
      <c r="AR205" s="439"/>
      <c r="AS205" s="439"/>
      <c r="AT205" s="439"/>
      <c r="AU205" s="932"/>
      <c r="AV205" s="439"/>
      <c r="AW205" s="439"/>
      <c r="AX205" s="439"/>
      <c r="AY205" s="439"/>
      <c r="AZ205" s="439"/>
      <c r="BA205" s="932"/>
      <c r="BB205" s="439"/>
      <c r="BC205" s="439"/>
      <c r="BD205" s="439"/>
      <c r="BE205" s="439"/>
      <c r="BF205" s="439"/>
      <c r="BG205" s="932"/>
      <c r="BH205" s="439"/>
      <c r="BI205" s="439"/>
      <c r="BJ205" s="439"/>
      <c r="BK205" s="439"/>
      <c r="BL205" s="439"/>
      <c r="BM205" s="932"/>
      <c r="BN205" s="439"/>
      <c r="BO205" s="439"/>
      <c r="BP205" s="439"/>
      <c r="BQ205" s="439"/>
      <c r="BR205" s="439"/>
    </row>
    <row r="206" ht="15.75" customHeight="1">
      <c r="A206" s="439"/>
      <c r="B206" s="439"/>
      <c r="C206" s="439"/>
      <c r="D206" s="439"/>
      <c r="E206" s="932"/>
      <c r="F206" s="439"/>
      <c r="G206" s="439"/>
      <c r="H206" s="439"/>
      <c r="I206" s="439"/>
      <c r="J206" s="439"/>
      <c r="K206" s="932"/>
      <c r="L206" s="439"/>
      <c r="M206" s="439"/>
      <c r="N206" s="439"/>
      <c r="O206" s="439"/>
      <c r="P206" s="439"/>
      <c r="Q206" s="932"/>
      <c r="R206" s="439"/>
      <c r="S206" s="439"/>
      <c r="T206" s="439"/>
      <c r="U206" s="439"/>
      <c r="V206" s="439"/>
      <c r="W206" s="932"/>
      <c r="X206" s="439"/>
      <c r="Y206" s="439"/>
      <c r="Z206" s="439"/>
      <c r="AA206" s="439"/>
      <c r="AB206" s="439"/>
      <c r="AC206" s="932"/>
      <c r="AD206" s="439"/>
      <c r="AE206" s="439"/>
      <c r="AF206" s="439"/>
      <c r="AG206" s="439"/>
      <c r="AH206" s="439"/>
      <c r="AI206" s="932"/>
      <c r="AJ206" s="439"/>
      <c r="AK206" s="439"/>
      <c r="AL206" s="439"/>
      <c r="AM206" s="439"/>
      <c r="AN206" s="439"/>
      <c r="AO206" s="932"/>
      <c r="AP206" s="439"/>
      <c r="AQ206" s="439"/>
      <c r="AR206" s="439"/>
      <c r="AS206" s="439"/>
      <c r="AT206" s="439"/>
      <c r="AU206" s="932"/>
      <c r="AV206" s="439"/>
      <c r="AW206" s="439"/>
      <c r="AX206" s="439"/>
      <c r="AY206" s="439"/>
      <c r="AZ206" s="439"/>
      <c r="BA206" s="932"/>
      <c r="BB206" s="439"/>
      <c r="BC206" s="439"/>
      <c r="BD206" s="439"/>
      <c r="BE206" s="439"/>
      <c r="BF206" s="439"/>
      <c r="BG206" s="932"/>
      <c r="BH206" s="439"/>
      <c r="BI206" s="439"/>
      <c r="BJ206" s="439"/>
      <c r="BK206" s="439"/>
      <c r="BL206" s="439"/>
      <c r="BM206" s="932"/>
      <c r="BN206" s="439"/>
      <c r="BO206" s="439"/>
      <c r="BP206" s="439"/>
      <c r="BQ206" s="439"/>
      <c r="BR206" s="439"/>
    </row>
    <row r="207" ht="15.75" customHeight="1">
      <c r="A207" s="439"/>
      <c r="B207" s="439"/>
      <c r="C207" s="439"/>
      <c r="D207" s="439"/>
      <c r="E207" s="932"/>
      <c r="F207" s="439"/>
      <c r="G207" s="439"/>
      <c r="H207" s="439"/>
      <c r="I207" s="439"/>
      <c r="J207" s="439"/>
      <c r="K207" s="932"/>
      <c r="L207" s="439"/>
      <c r="M207" s="439"/>
      <c r="N207" s="439"/>
      <c r="O207" s="439"/>
      <c r="P207" s="439"/>
      <c r="Q207" s="932"/>
      <c r="R207" s="439"/>
      <c r="S207" s="439"/>
      <c r="T207" s="439"/>
      <c r="U207" s="439"/>
      <c r="V207" s="439"/>
      <c r="W207" s="932"/>
      <c r="X207" s="439"/>
      <c r="Y207" s="439"/>
      <c r="Z207" s="439"/>
      <c r="AA207" s="439"/>
      <c r="AB207" s="439"/>
      <c r="AC207" s="932"/>
      <c r="AD207" s="439"/>
      <c r="AE207" s="439"/>
      <c r="AF207" s="439"/>
      <c r="AG207" s="439"/>
      <c r="AH207" s="439"/>
      <c r="AI207" s="932"/>
      <c r="AJ207" s="439"/>
      <c r="AK207" s="439"/>
      <c r="AL207" s="439"/>
      <c r="AM207" s="439"/>
      <c r="AN207" s="439"/>
      <c r="AO207" s="932"/>
      <c r="AP207" s="439"/>
      <c r="AQ207" s="439"/>
      <c r="AR207" s="439"/>
      <c r="AS207" s="439"/>
      <c r="AT207" s="439"/>
      <c r="AU207" s="932"/>
      <c r="AV207" s="439"/>
      <c r="AW207" s="439"/>
      <c r="AX207" s="439"/>
      <c r="AY207" s="439"/>
      <c r="AZ207" s="439"/>
      <c r="BA207" s="932"/>
      <c r="BB207" s="439"/>
      <c r="BC207" s="439"/>
      <c r="BD207" s="439"/>
      <c r="BE207" s="439"/>
      <c r="BF207" s="439"/>
      <c r="BG207" s="932"/>
      <c r="BH207" s="439"/>
      <c r="BI207" s="439"/>
      <c r="BJ207" s="439"/>
      <c r="BK207" s="439"/>
      <c r="BL207" s="439"/>
      <c r="BM207" s="932"/>
      <c r="BN207" s="439"/>
      <c r="BO207" s="439"/>
      <c r="BP207" s="439"/>
      <c r="BQ207" s="439"/>
      <c r="BR207" s="439"/>
    </row>
    <row r="208" ht="15.75" customHeight="1">
      <c r="A208" s="439"/>
      <c r="B208" s="439"/>
      <c r="C208" s="439"/>
      <c r="D208" s="439"/>
      <c r="E208" s="932"/>
      <c r="F208" s="439"/>
      <c r="G208" s="439"/>
      <c r="H208" s="439"/>
      <c r="I208" s="439"/>
      <c r="J208" s="439"/>
      <c r="K208" s="932"/>
      <c r="L208" s="439"/>
      <c r="M208" s="439"/>
      <c r="N208" s="439"/>
      <c r="O208" s="439"/>
      <c r="P208" s="439"/>
      <c r="Q208" s="932"/>
      <c r="R208" s="439"/>
      <c r="S208" s="439"/>
      <c r="T208" s="439"/>
      <c r="U208" s="439"/>
      <c r="V208" s="439"/>
      <c r="W208" s="932"/>
      <c r="X208" s="439"/>
      <c r="Y208" s="439"/>
      <c r="Z208" s="439"/>
      <c r="AA208" s="439"/>
      <c r="AB208" s="439"/>
      <c r="AC208" s="932"/>
      <c r="AD208" s="439"/>
      <c r="AE208" s="439"/>
      <c r="AF208" s="439"/>
      <c r="AG208" s="439"/>
      <c r="AH208" s="439"/>
      <c r="AI208" s="932"/>
      <c r="AJ208" s="439"/>
      <c r="AK208" s="439"/>
      <c r="AL208" s="439"/>
      <c r="AM208" s="439"/>
      <c r="AN208" s="439"/>
      <c r="AO208" s="932"/>
      <c r="AP208" s="439"/>
      <c r="AQ208" s="439"/>
      <c r="AR208" s="439"/>
      <c r="AS208" s="439"/>
      <c r="AT208" s="439"/>
      <c r="AU208" s="932"/>
      <c r="AV208" s="439"/>
      <c r="AW208" s="439"/>
      <c r="AX208" s="439"/>
      <c r="AY208" s="439"/>
      <c r="AZ208" s="439"/>
      <c r="BA208" s="932"/>
      <c r="BB208" s="439"/>
      <c r="BC208" s="439"/>
      <c r="BD208" s="439"/>
      <c r="BE208" s="439"/>
      <c r="BF208" s="439"/>
      <c r="BG208" s="932"/>
      <c r="BH208" s="439"/>
      <c r="BI208" s="439"/>
      <c r="BJ208" s="439"/>
      <c r="BK208" s="439"/>
      <c r="BL208" s="439"/>
      <c r="BM208" s="932"/>
      <c r="BN208" s="439"/>
      <c r="BO208" s="439"/>
      <c r="BP208" s="439"/>
      <c r="BQ208" s="439"/>
      <c r="BR208" s="439"/>
    </row>
    <row r="209" ht="15.75" customHeight="1">
      <c r="A209" s="439"/>
      <c r="B209" s="439"/>
      <c r="C209" s="439"/>
      <c r="D209" s="439"/>
      <c r="E209" s="932"/>
      <c r="F209" s="439"/>
      <c r="G209" s="439"/>
      <c r="H209" s="439"/>
      <c r="I209" s="439"/>
      <c r="J209" s="439"/>
      <c r="K209" s="932"/>
      <c r="L209" s="439"/>
      <c r="M209" s="439"/>
      <c r="N209" s="439"/>
      <c r="O209" s="439"/>
      <c r="P209" s="439"/>
      <c r="Q209" s="932"/>
      <c r="R209" s="439"/>
      <c r="S209" s="439"/>
      <c r="T209" s="439"/>
      <c r="U209" s="439"/>
      <c r="V209" s="439"/>
      <c r="W209" s="932"/>
      <c r="X209" s="439"/>
      <c r="Y209" s="439"/>
      <c r="Z209" s="439"/>
      <c r="AA209" s="439"/>
      <c r="AB209" s="439"/>
      <c r="AC209" s="932"/>
      <c r="AD209" s="439"/>
      <c r="AE209" s="439"/>
      <c r="AF209" s="439"/>
      <c r="AG209" s="439"/>
      <c r="AH209" s="439"/>
      <c r="AI209" s="932"/>
      <c r="AJ209" s="439"/>
      <c r="AK209" s="439"/>
      <c r="AL209" s="439"/>
      <c r="AM209" s="439"/>
      <c r="AN209" s="439"/>
      <c r="AO209" s="932"/>
      <c r="AP209" s="439"/>
      <c r="AQ209" s="439"/>
      <c r="AR209" s="439"/>
      <c r="AS209" s="439"/>
      <c r="AT209" s="439"/>
      <c r="AU209" s="932"/>
      <c r="AV209" s="439"/>
      <c r="AW209" s="439"/>
      <c r="AX209" s="439"/>
      <c r="AY209" s="439"/>
      <c r="AZ209" s="439"/>
      <c r="BA209" s="932"/>
      <c r="BB209" s="439"/>
      <c r="BC209" s="439"/>
      <c r="BD209" s="439"/>
      <c r="BE209" s="439"/>
      <c r="BF209" s="439"/>
      <c r="BG209" s="932"/>
      <c r="BH209" s="439"/>
      <c r="BI209" s="439"/>
      <c r="BJ209" s="439"/>
      <c r="BK209" s="439"/>
      <c r="BL209" s="439"/>
      <c r="BM209" s="932"/>
      <c r="BN209" s="439"/>
      <c r="BO209" s="439"/>
      <c r="BP209" s="439"/>
      <c r="BQ209" s="439"/>
      <c r="BR209" s="439"/>
    </row>
    <row r="210" ht="15.75" customHeight="1">
      <c r="A210" s="439"/>
      <c r="B210" s="439"/>
      <c r="C210" s="439"/>
      <c r="D210" s="439"/>
      <c r="E210" s="932"/>
      <c r="F210" s="439"/>
      <c r="G210" s="439"/>
      <c r="H210" s="439"/>
      <c r="I210" s="439"/>
      <c r="J210" s="439"/>
      <c r="K210" s="932"/>
      <c r="L210" s="439"/>
      <c r="M210" s="439"/>
      <c r="N210" s="439"/>
      <c r="O210" s="439"/>
      <c r="P210" s="439"/>
      <c r="Q210" s="932"/>
      <c r="R210" s="439"/>
      <c r="S210" s="439"/>
      <c r="T210" s="439"/>
      <c r="U210" s="439"/>
      <c r="V210" s="439"/>
      <c r="W210" s="932"/>
      <c r="X210" s="439"/>
      <c r="Y210" s="439"/>
      <c r="Z210" s="439"/>
      <c r="AA210" s="439"/>
      <c r="AB210" s="439"/>
      <c r="AC210" s="932"/>
      <c r="AD210" s="439"/>
      <c r="AE210" s="439"/>
      <c r="AF210" s="439"/>
      <c r="AG210" s="439"/>
      <c r="AH210" s="439"/>
      <c r="AI210" s="932"/>
      <c r="AJ210" s="439"/>
      <c r="AK210" s="439"/>
      <c r="AL210" s="439"/>
      <c r="AM210" s="439"/>
      <c r="AN210" s="439"/>
      <c r="AO210" s="932"/>
      <c r="AP210" s="439"/>
      <c r="AQ210" s="439"/>
      <c r="AR210" s="439"/>
      <c r="AS210" s="439"/>
      <c r="AT210" s="439"/>
      <c r="AU210" s="932"/>
      <c r="AV210" s="439"/>
      <c r="AW210" s="439"/>
      <c r="AX210" s="439"/>
      <c r="AY210" s="439"/>
      <c r="AZ210" s="439"/>
      <c r="BA210" s="932"/>
      <c r="BB210" s="439"/>
      <c r="BC210" s="439"/>
      <c r="BD210" s="439"/>
      <c r="BE210" s="439"/>
      <c r="BF210" s="439"/>
      <c r="BG210" s="932"/>
      <c r="BH210" s="439"/>
      <c r="BI210" s="439"/>
      <c r="BJ210" s="439"/>
      <c r="BK210" s="439"/>
      <c r="BL210" s="439"/>
      <c r="BM210" s="932"/>
      <c r="BN210" s="439"/>
      <c r="BO210" s="439"/>
      <c r="BP210" s="439"/>
      <c r="BQ210" s="439"/>
      <c r="BR210" s="439"/>
    </row>
    <row r="211" ht="15.75" customHeight="1">
      <c r="A211" s="439"/>
      <c r="B211" s="439"/>
      <c r="C211" s="439"/>
      <c r="D211" s="439"/>
      <c r="E211" s="932"/>
      <c r="F211" s="439"/>
      <c r="G211" s="439"/>
      <c r="H211" s="439"/>
      <c r="I211" s="439"/>
      <c r="J211" s="439"/>
      <c r="K211" s="932"/>
      <c r="L211" s="439"/>
      <c r="M211" s="439"/>
      <c r="N211" s="439"/>
      <c r="O211" s="439"/>
      <c r="P211" s="439"/>
      <c r="Q211" s="932"/>
      <c r="R211" s="439"/>
      <c r="S211" s="439"/>
      <c r="T211" s="439"/>
      <c r="U211" s="439"/>
      <c r="V211" s="439"/>
      <c r="W211" s="932"/>
      <c r="X211" s="439"/>
      <c r="Y211" s="439"/>
      <c r="Z211" s="439"/>
      <c r="AA211" s="439"/>
      <c r="AB211" s="439"/>
      <c r="AC211" s="932"/>
      <c r="AD211" s="439"/>
      <c r="AE211" s="439"/>
      <c r="AF211" s="439"/>
      <c r="AG211" s="439"/>
      <c r="AH211" s="439"/>
      <c r="AI211" s="932"/>
      <c r="AJ211" s="439"/>
      <c r="AK211" s="439"/>
      <c r="AL211" s="439"/>
      <c r="AM211" s="439"/>
      <c r="AN211" s="439"/>
      <c r="AO211" s="932"/>
      <c r="AP211" s="439"/>
      <c r="AQ211" s="439"/>
      <c r="AR211" s="439"/>
      <c r="AS211" s="439"/>
      <c r="AT211" s="439"/>
      <c r="AU211" s="932"/>
      <c r="AV211" s="439"/>
      <c r="AW211" s="439"/>
      <c r="AX211" s="439"/>
      <c r="AY211" s="439"/>
      <c r="AZ211" s="439"/>
      <c r="BA211" s="932"/>
      <c r="BB211" s="439"/>
      <c r="BC211" s="439"/>
      <c r="BD211" s="439"/>
      <c r="BE211" s="439"/>
      <c r="BF211" s="439"/>
      <c r="BG211" s="932"/>
      <c r="BH211" s="439"/>
      <c r="BI211" s="439"/>
      <c r="BJ211" s="439"/>
      <c r="BK211" s="439"/>
      <c r="BL211" s="439"/>
      <c r="BM211" s="932"/>
      <c r="BN211" s="439"/>
      <c r="BO211" s="439"/>
      <c r="BP211" s="439"/>
      <c r="BQ211" s="439"/>
      <c r="BR211" s="439"/>
    </row>
    <row r="212" ht="15.75" customHeight="1">
      <c r="A212" s="439"/>
      <c r="B212" s="439"/>
      <c r="C212" s="439"/>
      <c r="D212" s="439"/>
      <c r="E212" s="932"/>
      <c r="F212" s="439"/>
      <c r="G212" s="439"/>
      <c r="H212" s="439"/>
      <c r="I212" s="439"/>
      <c r="J212" s="439"/>
      <c r="K212" s="932"/>
      <c r="L212" s="439"/>
      <c r="M212" s="439"/>
      <c r="N212" s="439"/>
      <c r="O212" s="439"/>
      <c r="P212" s="439"/>
      <c r="Q212" s="932"/>
      <c r="R212" s="439"/>
      <c r="S212" s="439"/>
      <c r="T212" s="439"/>
      <c r="U212" s="439"/>
      <c r="V212" s="439"/>
      <c r="W212" s="932"/>
      <c r="X212" s="439"/>
      <c r="Y212" s="439"/>
      <c r="Z212" s="439"/>
      <c r="AA212" s="439"/>
      <c r="AB212" s="439"/>
      <c r="AC212" s="932"/>
      <c r="AD212" s="439"/>
      <c r="AE212" s="439"/>
      <c r="AF212" s="439"/>
      <c r="AG212" s="439"/>
      <c r="AH212" s="439"/>
      <c r="AI212" s="932"/>
      <c r="AJ212" s="439"/>
      <c r="AK212" s="439"/>
      <c r="AL212" s="439"/>
      <c r="AM212" s="439"/>
      <c r="AN212" s="439"/>
      <c r="AO212" s="932"/>
      <c r="AP212" s="439"/>
      <c r="AQ212" s="439"/>
      <c r="AR212" s="439"/>
      <c r="AS212" s="439"/>
      <c r="AT212" s="439"/>
      <c r="AU212" s="932"/>
      <c r="AV212" s="439"/>
      <c r="AW212" s="439"/>
      <c r="AX212" s="439"/>
      <c r="AY212" s="439"/>
      <c r="AZ212" s="439"/>
      <c r="BA212" s="932"/>
      <c r="BB212" s="439"/>
      <c r="BC212" s="439"/>
      <c r="BD212" s="439"/>
      <c r="BE212" s="439"/>
      <c r="BF212" s="439"/>
      <c r="BG212" s="932"/>
      <c r="BH212" s="439"/>
      <c r="BI212" s="439"/>
      <c r="BJ212" s="439"/>
      <c r="BK212" s="439"/>
      <c r="BL212" s="439"/>
      <c r="BM212" s="932"/>
      <c r="BN212" s="439"/>
      <c r="BO212" s="439"/>
      <c r="BP212" s="439"/>
      <c r="BQ212" s="439"/>
      <c r="BR212" s="439"/>
    </row>
    <row r="213" ht="15.75" customHeight="1">
      <c r="A213" s="439"/>
      <c r="B213" s="439"/>
      <c r="C213" s="439"/>
      <c r="D213" s="439"/>
      <c r="E213" s="932"/>
      <c r="F213" s="439"/>
      <c r="G213" s="439"/>
      <c r="H213" s="439"/>
      <c r="I213" s="439"/>
      <c r="J213" s="439"/>
      <c r="K213" s="932"/>
      <c r="L213" s="439"/>
      <c r="M213" s="439"/>
      <c r="N213" s="439"/>
      <c r="O213" s="439"/>
      <c r="P213" s="439"/>
      <c r="Q213" s="932"/>
      <c r="R213" s="439"/>
      <c r="S213" s="439"/>
      <c r="T213" s="439"/>
      <c r="U213" s="439"/>
      <c r="V213" s="439"/>
      <c r="W213" s="932"/>
      <c r="X213" s="439"/>
      <c r="Y213" s="439"/>
      <c r="Z213" s="439"/>
      <c r="AA213" s="439"/>
      <c r="AB213" s="439"/>
      <c r="AC213" s="932"/>
      <c r="AD213" s="439"/>
      <c r="AE213" s="439"/>
      <c r="AF213" s="439"/>
      <c r="AG213" s="439"/>
      <c r="AH213" s="439"/>
      <c r="AI213" s="932"/>
      <c r="AJ213" s="439"/>
      <c r="AK213" s="439"/>
      <c r="AL213" s="439"/>
      <c r="AM213" s="439"/>
      <c r="AN213" s="439"/>
      <c r="AO213" s="932"/>
      <c r="AP213" s="439"/>
      <c r="AQ213" s="439"/>
      <c r="AR213" s="439"/>
      <c r="AS213" s="439"/>
      <c r="AT213" s="439"/>
      <c r="AU213" s="932"/>
      <c r="AV213" s="439"/>
      <c r="AW213" s="439"/>
      <c r="AX213" s="439"/>
      <c r="AY213" s="439"/>
      <c r="AZ213" s="439"/>
      <c r="BA213" s="932"/>
      <c r="BB213" s="439"/>
      <c r="BC213" s="439"/>
      <c r="BD213" s="439"/>
      <c r="BE213" s="439"/>
      <c r="BF213" s="439"/>
      <c r="BG213" s="932"/>
      <c r="BH213" s="439"/>
      <c r="BI213" s="439"/>
      <c r="BJ213" s="439"/>
      <c r="BK213" s="439"/>
      <c r="BL213" s="439"/>
      <c r="BM213" s="932"/>
      <c r="BN213" s="439"/>
      <c r="BO213" s="439"/>
      <c r="BP213" s="439"/>
      <c r="BQ213" s="439"/>
      <c r="BR213" s="439"/>
    </row>
    <row r="214" ht="15.75" customHeight="1">
      <c r="A214" s="439"/>
      <c r="B214" s="439"/>
      <c r="C214" s="439"/>
      <c r="D214" s="439"/>
      <c r="E214" s="932"/>
      <c r="F214" s="439"/>
      <c r="G214" s="439"/>
      <c r="H214" s="439"/>
      <c r="I214" s="439"/>
      <c r="J214" s="439"/>
      <c r="K214" s="932"/>
      <c r="L214" s="439"/>
      <c r="M214" s="439"/>
      <c r="N214" s="439"/>
      <c r="O214" s="439"/>
      <c r="P214" s="439"/>
      <c r="Q214" s="932"/>
      <c r="R214" s="439"/>
      <c r="S214" s="439"/>
      <c r="T214" s="439"/>
      <c r="U214" s="439"/>
      <c r="V214" s="439"/>
      <c r="W214" s="932"/>
      <c r="X214" s="439"/>
      <c r="Y214" s="439"/>
      <c r="Z214" s="439"/>
      <c r="AA214" s="439"/>
      <c r="AB214" s="439"/>
      <c r="AC214" s="932"/>
      <c r="AD214" s="439"/>
      <c r="AE214" s="439"/>
      <c r="AF214" s="439"/>
      <c r="AG214" s="439"/>
      <c r="AH214" s="439"/>
      <c r="AI214" s="932"/>
      <c r="AJ214" s="439"/>
      <c r="AK214" s="439"/>
      <c r="AL214" s="439"/>
      <c r="AM214" s="439"/>
      <c r="AN214" s="439"/>
      <c r="AO214" s="932"/>
      <c r="AP214" s="439"/>
      <c r="AQ214" s="439"/>
      <c r="AR214" s="439"/>
      <c r="AS214" s="439"/>
      <c r="AT214" s="439"/>
      <c r="AU214" s="932"/>
      <c r="AV214" s="439"/>
      <c r="AW214" s="439"/>
      <c r="AX214" s="439"/>
      <c r="AY214" s="439"/>
      <c r="AZ214" s="439"/>
      <c r="BA214" s="932"/>
      <c r="BB214" s="439"/>
      <c r="BC214" s="439"/>
      <c r="BD214" s="439"/>
      <c r="BE214" s="439"/>
      <c r="BF214" s="439"/>
      <c r="BG214" s="932"/>
      <c r="BH214" s="439"/>
      <c r="BI214" s="439"/>
      <c r="BJ214" s="439"/>
      <c r="BK214" s="439"/>
      <c r="BL214" s="439"/>
      <c r="BM214" s="932"/>
      <c r="BN214" s="439"/>
      <c r="BO214" s="439"/>
      <c r="BP214" s="439"/>
      <c r="BQ214" s="439"/>
      <c r="BR214" s="439"/>
    </row>
    <row r="215" ht="15.75" customHeight="1">
      <c r="A215" s="439"/>
      <c r="B215" s="439"/>
      <c r="C215" s="439"/>
      <c r="D215" s="439"/>
      <c r="E215" s="932"/>
      <c r="F215" s="439"/>
      <c r="G215" s="439"/>
      <c r="H215" s="439"/>
      <c r="I215" s="439"/>
      <c r="J215" s="439"/>
      <c r="K215" s="932"/>
      <c r="L215" s="439"/>
      <c r="M215" s="439"/>
      <c r="N215" s="439"/>
      <c r="O215" s="439"/>
      <c r="P215" s="439"/>
      <c r="Q215" s="932"/>
      <c r="R215" s="439"/>
      <c r="S215" s="439"/>
      <c r="T215" s="439"/>
      <c r="U215" s="439"/>
      <c r="V215" s="439"/>
      <c r="W215" s="932"/>
      <c r="X215" s="439"/>
      <c r="Y215" s="439"/>
      <c r="Z215" s="439"/>
      <c r="AA215" s="439"/>
      <c r="AB215" s="439"/>
      <c r="AC215" s="932"/>
      <c r="AD215" s="439"/>
      <c r="AE215" s="439"/>
      <c r="AF215" s="439"/>
      <c r="AG215" s="439"/>
      <c r="AH215" s="439"/>
      <c r="AI215" s="932"/>
      <c r="AJ215" s="439"/>
      <c r="AK215" s="439"/>
      <c r="AL215" s="439"/>
      <c r="AM215" s="439"/>
      <c r="AN215" s="439"/>
      <c r="AO215" s="932"/>
      <c r="AP215" s="439"/>
      <c r="AQ215" s="439"/>
      <c r="AR215" s="439"/>
      <c r="AS215" s="439"/>
      <c r="AT215" s="439"/>
      <c r="AU215" s="932"/>
      <c r="AV215" s="439"/>
      <c r="AW215" s="439"/>
      <c r="AX215" s="439"/>
      <c r="AY215" s="439"/>
      <c r="AZ215" s="439"/>
      <c r="BA215" s="932"/>
      <c r="BB215" s="439"/>
      <c r="BC215" s="439"/>
      <c r="BD215" s="439"/>
      <c r="BE215" s="439"/>
      <c r="BF215" s="439"/>
      <c r="BG215" s="932"/>
      <c r="BH215" s="439"/>
      <c r="BI215" s="439"/>
      <c r="BJ215" s="439"/>
      <c r="BK215" s="439"/>
      <c r="BL215" s="439"/>
      <c r="BM215" s="932"/>
      <c r="BN215" s="439"/>
      <c r="BO215" s="439"/>
      <c r="BP215" s="439"/>
      <c r="BQ215" s="439"/>
      <c r="BR215" s="439"/>
    </row>
    <row r="216" ht="15.75" customHeight="1">
      <c r="A216" s="439"/>
      <c r="B216" s="439"/>
      <c r="C216" s="439"/>
      <c r="D216" s="439"/>
      <c r="E216" s="932"/>
      <c r="F216" s="439"/>
      <c r="G216" s="439"/>
      <c r="H216" s="439"/>
      <c r="I216" s="439"/>
      <c r="J216" s="439"/>
      <c r="K216" s="932"/>
      <c r="L216" s="439"/>
      <c r="M216" s="439"/>
      <c r="N216" s="439"/>
      <c r="O216" s="439"/>
      <c r="P216" s="439"/>
      <c r="Q216" s="932"/>
      <c r="R216" s="439"/>
      <c r="S216" s="439"/>
      <c r="T216" s="439"/>
      <c r="U216" s="439"/>
      <c r="V216" s="439"/>
      <c r="W216" s="932"/>
      <c r="X216" s="439"/>
      <c r="Y216" s="439"/>
      <c r="Z216" s="439"/>
      <c r="AA216" s="439"/>
      <c r="AB216" s="439"/>
      <c r="AC216" s="932"/>
      <c r="AD216" s="439"/>
      <c r="AE216" s="439"/>
      <c r="AF216" s="439"/>
      <c r="AG216" s="439"/>
      <c r="AH216" s="439"/>
      <c r="AI216" s="932"/>
      <c r="AJ216" s="439"/>
      <c r="AK216" s="439"/>
      <c r="AL216" s="439"/>
      <c r="AM216" s="439"/>
      <c r="AN216" s="439"/>
      <c r="AO216" s="932"/>
      <c r="AP216" s="439"/>
      <c r="AQ216" s="439"/>
      <c r="AR216" s="439"/>
      <c r="AS216" s="439"/>
      <c r="AT216" s="439"/>
      <c r="AU216" s="932"/>
      <c r="AV216" s="439"/>
      <c r="AW216" s="439"/>
      <c r="AX216" s="439"/>
      <c r="AY216" s="439"/>
      <c r="AZ216" s="439"/>
      <c r="BA216" s="932"/>
      <c r="BB216" s="439"/>
      <c r="BC216" s="439"/>
      <c r="BD216" s="439"/>
      <c r="BE216" s="439"/>
      <c r="BF216" s="439"/>
      <c r="BG216" s="932"/>
      <c r="BH216" s="439"/>
      <c r="BI216" s="439"/>
      <c r="BJ216" s="439"/>
      <c r="BK216" s="439"/>
      <c r="BL216" s="439"/>
      <c r="BM216" s="932"/>
      <c r="BN216" s="439"/>
      <c r="BO216" s="439"/>
      <c r="BP216" s="439"/>
      <c r="BQ216" s="439"/>
      <c r="BR216" s="439"/>
    </row>
    <row r="217" ht="15.75" customHeight="1">
      <c r="A217" s="439"/>
      <c r="B217" s="439"/>
      <c r="C217" s="439"/>
      <c r="D217" s="439"/>
      <c r="E217" s="932"/>
      <c r="F217" s="439"/>
      <c r="G217" s="439"/>
      <c r="H217" s="439"/>
      <c r="I217" s="439"/>
      <c r="J217" s="439"/>
      <c r="K217" s="932"/>
      <c r="L217" s="439"/>
      <c r="M217" s="439"/>
      <c r="N217" s="439"/>
      <c r="O217" s="439"/>
      <c r="P217" s="439"/>
      <c r="Q217" s="932"/>
      <c r="R217" s="439"/>
      <c r="S217" s="439"/>
      <c r="T217" s="439"/>
      <c r="U217" s="439"/>
      <c r="V217" s="439"/>
      <c r="W217" s="932"/>
      <c r="X217" s="439"/>
      <c r="Y217" s="439"/>
      <c r="Z217" s="439"/>
      <c r="AA217" s="439"/>
      <c r="AB217" s="439"/>
      <c r="AC217" s="932"/>
      <c r="AD217" s="439"/>
      <c r="AE217" s="439"/>
      <c r="AF217" s="439"/>
      <c r="AG217" s="439"/>
      <c r="AH217" s="439"/>
      <c r="AI217" s="932"/>
      <c r="AJ217" s="439"/>
      <c r="AK217" s="439"/>
      <c r="AL217" s="439"/>
      <c r="AM217" s="439"/>
      <c r="AN217" s="439"/>
      <c r="AO217" s="932"/>
      <c r="AP217" s="439"/>
      <c r="AQ217" s="439"/>
      <c r="AR217" s="439"/>
      <c r="AS217" s="439"/>
      <c r="AT217" s="439"/>
      <c r="AU217" s="932"/>
      <c r="AV217" s="439"/>
      <c r="AW217" s="439"/>
      <c r="AX217" s="439"/>
      <c r="AY217" s="439"/>
      <c r="AZ217" s="439"/>
      <c r="BA217" s="932"/>
      <c r="BB217" s="439"/>
      <c r="BC217" s="439"/>
      <c r="BD217" s="439"/>
      <c r="BE217" s="439"/>
      <c r="BF217" s="439"/>
      <c r="BG217" s="932"/>
      <c r="BH217" s="439"/>
      <c r="BI217" s="439"/>
      <c r="BJ217" s="439"/>
      <c r="BK217" s="439"/>
      <c r="BL217" s="439"/>
      <c r="BM217" s="932"/>
      <c r="BN217" s="439"/>
      <c r="BO217" s="439"/>
      <c r="BP217" s="439"/>
      <c r="BQ217" s="439"/>
      <c r="BR217" s="439"/>
    </row>
    <row r="218" ht="15.75" customHeight="1">
      <c r="A218" s="439"/>
      <c r="B218" s="439"/>
      <c r="C218" s="439"/>
      <c r="D218" s="439"/>
      <c r="E218" s="932"/>
      <c r="F218" s="439"/>
      <c r="G218" s="439"/>
      <c r="H218" s="439"/>
      <c r="I218" s="439"/>
      <c r="J218" s="439"/>
      <c r="K218" s="932"/>
      <c r="L218" s="439"/>
      <c r="M218" s="439"/>
      <c r="N218" s="439"/>
      <c r="O218" s="439"/>
      <c r="P218" s="439"/>
      <c r="Q218" s="932"/>
      <c r="R218" s="439"/>
      <c r="S218" s="439"/>
      <c r="T218" s="439"/>
      <c r="U218" s="439"/>
      <c r="V218" s="439"/>
      <c r="W218" s="932"/>
      <c r="X218" s="439"/>
      <c r="Y218" s="439"/>
      <c r="Z218" s="439"/>
      <c r="AA218" s="439"/>
      <c r="AB218" s="439"/>
      <c r="AC218" s="932"/>
      <c r="AD218" s="439"/>
      <c r="AE218" s="439"/>
      <c r="AF218" s="439"/>
      <c r="AG218" s="439"/>
      <c r="AH218" s="439"/>
      <c r="AI218" s="932"/>
      <c r="AJ218" s="439"/>
      <c r="AK218" s="439"/>
      <c r="AL218" s="439"/>
      <c r="AM218" s="439"/>
      <c r="AN218" s="439"/>
      <c r="AO218" s="932"/>
      <c r="AP218" s="439"/>
      <c r="AQ218" s="439"/>
      <c r="AR218" s="439"/>
      <c r="AS218" s="439"/>
      <c r="AT218" s="439"/>
      <c r="AU218" s="932"/>
      <c r="AV218" s="439"/>
      <c r="AW218" s="439"/>
      <c r="AX218" s="439"/>
      <c r="AY218" s="439"/>
      <c r="AZ218" s="439"/>
      <c r="BA218" s="932"/>
      <c r="BB218" s="439"/>
      <c r="BC218" s="439"/>
      <c r="BD218" s="439"/>
      <c r="BE218" s="439"/>
      <c r="BF218" s="439"/>
      <c r="BG218" s="932"/>
      <c r="BH218" s="439"/>
      <c r="BI218" s="439"/>
      <c r="BJ218" s="439"/>
      <c r="BK218" s="439"/>
      <c r="BL218" s="439"/>
      <c r="BM218" s="932"/>
      <c r="BN218" s="439"/>
      <c r="BO218" s="439"/>
      <c r="BP218" s="439"/>
      <c r="BQ218" s="439"/>
      <c r="BR218" s="439"/>
    </row>
    <row r="219" ht="15.75" customHeight="1">
      <c r="A219" s="439"/>
      <c r="B219" s="439"/>
      <c r="C219" s="439"/>
      <c r="D219" s="439"/>
      <c r="E219" s="932"/>
      <c r="F219" s="439"/>
      <c r="G219" s="439"/>
      <c r="H219" s="439"/>
      <c r="I219" s="439"/>
      <c r="J219" s="439"/>
      <c r="K219" s="932"/>
      <c r="L219" s="439"/>
      <c r="M219" s="439"/>
      <c r="N219" s="439"/>
      <c r="O219" s="439"/>
      <c r="P219" s="439"/>
      <c r="Q219" s="932"/>
      <c r="R219" s="439"/>
      <c r="S219" s="439"/>
      <c r="T219" s="439"/>
      <c r="U219" s="439"/>
      <c r="V219" s="439"/>
      <c r="W219" s="932"/>
      <c r="X219" s="439"/>
      <c r="Y219" s="439"/>
      <c r="Z219" s="439"/>
      <c r="AA219" s="439"/>
      <c r="AB219" s="439"/>
      <c r="AC219" s="932"/>
      <c r="AD219" s="439"/>
      <c r="AE219" s="439"/>
      <c r="AF219" s="439"/>
      <c r="AG219" s="439"/>
      <c r="AH219" s="439"/>
      <c r="AI219" s="932"/>
      <c r="AJ219" s="439"/>
      <c r="AK219" s="439"/>
      <c r="AL219" s="439"/>
      <c r="AM219" s="439"/>
      <c r="AN219" s="439"/>
      <c r="AO219" s="932"/>
      <c r="AP219" s="439"/>
      <c r="AQ219" s="439"/>
      <c r="AR219" s="439"/>
      <c r="AS219" s="439"/>
      <c r="AT219" s="439"/>
      <c r="AU219" s="932"/>
      <c r="AV219" s="439"/>
      <c r="AW219" s="439"/>
      <c r="AX219" s="439"/>
      <c r="AY219" s="439"/>
      <c r="AZ219" s="439"/>
      <c r="BA219" s="932"/>
      <c r="BB219" s="439"/>
      <c r="BC219" s="439"/>
      <c r="BD219" s="439"/>
      <c r="BE219" s="439"/>
      <c r="BF219" s="439"/>
      <c r="BG219" s="932"/>
      <c r="BH219" s="439"/>
      <c r="BI219" s="439"/>
      <c r="BJ219" s="439"/>
      <c r="BK219" s="439"/>
      <c r="BL219" s="439"/>
      <c r="BM219" s="932"/>
      <c r="BN219" s="439"/>
      <c r="BO219" s="439"/>
      <c r="BP219" s="439"/>
      <c r="BQ219" s="439"/>
      <c r="BR219" s="439"/>
    </row>
    <row r="220" ht="15.75" customHeight="1">
      <c r="A220" s="439"/>
      <c r="B220" s="439"/>
      <c r="C220" s="439"/>
      <c r="D220" s="439"/>
      <c r="E220" s="932"/>
      <c r="F220" s="439"/>
      <c r="G220" s="439"/>
      <c r="H220" s="439"/>
      <c r="I220" s="439"/>
      <c r="J220" s="439"/>
      <c r="K220" s="932"/>
      <c r="L220" s="439"/>
      <c r="M220" s="439"/>
      <c r="N220" s="439"/>
      <c r="O220" s="439"/>
      <c r="P220" s="439"/>
      <c r="Q220" s="932"/>
      <c r="R220" s="439"/>
      <c r="S220" s="439"/>
      <c r="T220" s="439"/>
      <c r="U220" s="439"/>
      <c r="V220" s="439"/>
      <c r="W220" s="932"/>
      <c r="X220" s="439"/>
      <c r="Y220" s="439"/>
      <c r="Z220" s="439"/>
      <c r="AA220" s="439"/>
      <c r="AB220" s="439"/>
      <c r="AC220" s="932"/>
      <c r="AD220" s="439"/>
      <c r="AE220" s="439"/>
      <c r="AF220" s="439"/>
      <c r="AG220" s="439"/>
      <c r="AH220" s="439"/>
      <c r="AI220" s="932"/>
      <c r="AJ220" s="439"/>
      <c r="AK220" s="439"/>
      <c r="AL220" s="439"/>
      <c r="AM220" s="439"/>
      <c r="AN220" s="439"/>
      <c r="AO220" s="932"/>
      <c r="AP220" s="439"/>
      <c r="AQ220" s="439"/>
      <c r="AR220" s="439"/>
      <c r="AS220" s="439"/>
      <c r="AT220" s="439"/>
      <c r="AU220" s="932"/>
      <c r="AV220" s="439"/>
      <c r="AW220" s="439"/>
      <c r="AX220" s="439"/>
      <c r="AY220" s="439"/>
      <c r="AZ220" s="439"/>
      <c r="BA220" s="932"/>
      <c r="BB220" s="439"/>
      <c r="BC220" s="439"/>
      <c r="BD220" s="439"/>
      <c r="BE220" s="439"/>
      <c r="BF220" s="439"/>
      <c r="BG220" s="932"/>
      <c r="BH220" s="439"/>
      <c r="BI220" s="439"/>
      <c r="BJ220" s="439"/>
      <c r="BK220" s="439"/>
      <c r="BL220" s="439"/>
      <c r="BM220" s="932"/>
      <c r="BN220" s="439"/>
      <c r="BO220" s="439"/>
      <c r="BP220" s="439"/>
      <c r="BQ220" s="439"/>
      <c r="BR220" s="439"/>
    </row>
    <row r="221" ht="15.75" customHeight="1">
      <c r="A221" s="439"/>
      <c r="B221" s="439"/>
      <c r="C221" s="439"/>
      <c r="D221" s="439"/>
      <c r="E221" s="932"/>
      <c r="F221" s="439"/>
      <c r="G221" s="439"/>
      <c r="H221" s="439"/>
      <c r="I221" s="439"/>
      <c r="J221" s="439"/>
      <c r="K221" s="932"/>
      <c r="L221" s="439"/>
      <c r="M221" s="439"/>
      <c r="N221" s="439"/>
      <c r="O221" s="439"/>
      <c r="P221" s="439"/>
      <c r="Q221" s="932"/>
      <c r="R221" s="439"/>
      <c r="S221" s="439"/>
      <c r="T221" s="439"/>
      <c r="U221" s="439"/>
      <c r="V221" s="439"/>
      <c r="W221" s="932"/>
      <c r="X221" s="439"/>
      <c r="Y221" s="439"/>
      <c r="Z221" s="439"/>
      <c r="AA221" s="439"/>
      <c r="AB221" s="439"/>
      <c r="AC221" s="932"/>
      <c r="AD221" s="439"/>
      <c r="AE221" s="439"/>
      <c r="AF221" s="439"/>
      <c r="AG221" s="439"/>
      <c r="AH221" s="439"/>
      <c r="AI221" s="932"/>
      <c r="AJ221" s="439"/>
      <c r="AK221" s="439"/>
      <c r="AL221" s="439"/>
      <c r="AM221" s="439"/>
      <c r="AN221" s="439"/>
      <c r="AO221" s="932"/>
      <c r="AP221" s="439"/>
      <c r="AQ221" s="439"/>
      <c r="AR221" s="439"/>
      <c r="AS221" s="439"/>
      <c r="AT221" s="439"/>
      <c r="AU221" s="932"/>
      <c r="AV221" s="439"/>
      <c r="AW221" s="439"/>
      <c r="AX221" s="439"/>
      <c r="AY221" s="439"/>
      <c r="AZ221" s="439"/>
      <c r="BA221" s="932"/>
      <c r="BB221" s="439"/>
      <c r="BC221" s="439"/>
      <c r="BD221" s="439"/>
      <c r="BE221" s="439"/>
      <c r="BF221" s="439"/>
      <c r="BG221" s="932"/>
      <c r="BH221" s="439"/>
      <c r="BI221" s="439"/>
      <c r="BJ221" s="439"/>
      <c r="BK221" s="439"/>
      <c r="BL221" s="439"/>
      <c r="BM221" s="932"/>
      <c r="BN221" s="439"/>
      <c r="BO221" s="439"/>
      <c r="BP221" s="439"/>
      <c r="BQ221" s="439"/>
      <c r="BR221" s="439"/>
    </row>
    <row r="222" ht="15.75" customHeight="1">
      <c r="A222" s="439"/>
      <c r="B222" s="439"/>
      <c r="C222" s="439"/>
      <c r="D222" s="439"/>
      <c r="E222" s="932"/>
      <c r="F222" s="439"/>
      <c r="G222" s="439"/>
      <c r="H222" s="439"/>
      <c r="I222" s="439"/>
      <c r="J222" s="439"/>
      <c r="K222" s="932"/>
      <c r="L222" s="439"/>
      <c r="M222" s="439"/>
      <c r="N222" s="439"/>
      <c r="O222" s="439"/>
      <c r="P222" s="439"/>
      <c r="Q222" s="932"/>
      <c r="R222" s="439"/>
      <c r="S222" s="439"/>
      <c r="T222" s="439"/>
      <c r="U222" s="439"/>
      <c r="V222" s="439"/>
      <c r="W222" s="932"/>
      <c r="X222" s="439"/>
      <c r="Y222" s="439"/>
      <c r="Z222" s="439"/>
      <c r="AA222" s="439"/>
      <c r="AB222" s="439"/>
      <c r="AC222" s="932"/>
      <c r="AD222" s="439"/>
      <c r="AE222" s="439"/>
      <c r="AF222" s="439"/>
      <c r="AG222" s="439"/>
      <c r="AH222" s="439"/>
      <c r="AI222" s="932"/>
      <c r="AJ222" s="439"/>
      <c r="AK222" s="439"/>
      <c r="AL222" s="439"/>
      <c r="AM222" s="439"/>
      <c r="AN222" s="439"/>
      <c r="AO222" s="932"/>
      <c r="AP222" s="439"/>
      <c r="AQ222" s="439"/>
      <c r="AR222" s="439"/>
      <c r="AS222" s="439"/>
      <c r="AT222" s="439"/>
      <c r="AU222" s="932"/>
      <c r="AV222" s="439"/>
      <c r="AW222" s="439"/>
      <c r="AX222" s="439"/>
      <c r="AY222" s="439"/>
      <c r="AZ222" s="439"/>
      <c r="BA222" s="932"/>
      <c r="BB222" s="439"/>
      <c r="BC222" s="439"/>
      <c r="BD222" s="439"/>
      <c r="BE222" s="439"/>
      <c r="BF222" s="439"/>
      <c r="BG222" s="932"/>
      <c r="BH222" s="439"/>
      <c r="BI222" s="439"/>
      <c r="BJ222" s="439"/>
      <c r="BK222" s="439"/>
      <c r="BL222" s="439"/>
      <c r="BM222" s="932"/>
      <c r="BN222" s="439"/>
      <c r="BO222" s="439"/>
      <c r="BP222" s="439"/>
      <c r="BQ222" s="439"/>
      <c r="BR222" s="439"/>
    </row>
    <row r="223" ht="15.75" customHeight="1">
      <c r="A223" s="439"/>
      <c r="B223" s="439"/>
      <c r="C223" s="439"/>
      <c r="D223" s="439"/>
      <c r="E223" s="932"/>
      <c r="F223" s="439"/>
      <c r="G223" s="439"/>
      <c r="H223" s="439"/>
      <c r="I223" s="439"/>
      <c r="J223" s="439"/>
      <c r="K223" s="932"/>
      <c r="L223" s="439"/>
      <c r="M223" s="439"/>
      <c r="N223" s="439"/>
      <c r="O223" s="439"/>
      <c r="P223" s="439"/>
      <c r="Q223" s="932"/>
      <c r="R223" s="439"/>
      <c r="S223" s="439"/>
      <c r="T223" s="439"/>
      <c r="U223" s="439"/>
      <c r="V223" s="439"/>
      <c r="W223" s="932"/>
      <c r="X223" s="439"/>
      <c r="Y223" s="439"/>
      <c r="Z223" s="439"/>
      <c r="AA223" s="439"/>
      <c r="AB223" s="439"/>
      <c r="AC223" s="932"/>
      <c r="AD223" s="439"/>
      <c r="AE223" s="439"/>
      <c r="AF223" s="439"/>
      <c r="AG223" s="439"/>
      <c r="AH223" s="439"/>
      <c r="AI223" s="932"/>
      <c r="AJ223" s="439"/>
      <c r="AK223" s="439"/>
      <c r="AL223" s="439"/>
      <c r="AM223" s="439"/>
      <c r="AN223" s="439"/>
      <c r="AO223" s="932"/>
      <c r="AP223" s="439"/>
      <c r="AQ223" s="439"/>
      <c r="AR223" s="439"/>
      <c r="AS223" s="439"/>
      <c r="AT223" s="439"/>
      <c r="AU223" s="932"/>
      <c r="AV223" s="439"/>
      <c r="AW223" s="439"/>
      <c r="AX223" s="439"/>
      <c r="AY223" s="439"/>
      <c r="AZ223" s="439"/>
      <c r="BA223" s="932"/>
      <c r="BB223" s="439"/>
      <c r="BC223" s="439"/>
      <c r="BD223" s="439"/>
      <c r="BE223" s="439"/>
      <c r="BF223" s="439"/>
      <c r="BG223" s="932"/>
      <c r="BH223" s="439"/>
      <c r="BI223" s="439"/>
      <c r="BJ223" s="439"/>
      <c r="BK223" s="439"/>
      <c r="BL223" s="439"/>
      <c r="BM223" s="932"/>
      <c r="BN223" s="439"/>
      <c r="BO223" s="439"/>
      <c r="BP223" s="439"/>
      <c r="BQ223" s="439"/>
      <c r="BR223" s="439"/>
    </row>
    <row r="224" ht="15.75" customHeight="1">
      <c r="A224" s="439"/>
      <c r="B224" s="439"/>
      <c r="C224" s="439"/>
      <c r="D224" s="439"/>
      <c r="E224" s="932"/>
      <c r="F224" s="439"/>
      <c r="G224" s="439"/>
      <c r="H224" s="439"/>
      <c r="I224" s="439"/>
      <c r="J224" s="439"/>
      <c r="K224" s="932"/>
      <c r="L224" s="439"/>
      <c r="M224" s="439"/>
      <c r="N224" s="439"/>
      <c r="O224" s="439"/>
      <c r="P224" s="439"/>
      <c r="Q224" s="932"/>
      <c r="R224" s="439"/>
      <c r="S224" s="439"/>
      <c r="T224" s="439"/>
      <c r="U224" s="439"/>
      <c r="V224" s="439"/>
      <c r="W224" s="932"/>
      <c r="X224" s="439"/>
      <c r="Y224" s="439"/>
      <c r="Z224" s="439"/>
      <c r="AA224" s="439"/>
      <c r="AB224" s="439"/>
      <c r="AC224" s="932"/>
      <c r="AD224" s="439"/>
      <c r="AE224" s="439"/>
      <c r="AF224" s="439"/>
      <c r="AG224" s="439"/>
      <c r="AH224" s="439"/>
      <c r="AI224" s="932"/>
      <c r="AJ224" s="439"/>
      <c r="AK224" s="439"/>
      <c r="AL224" s="439"/>
      <c r="AM224" s="439"/>
      <c r="AN224" s="439"/>
      <c r="AO224" s="932"/>
      <c r="AP224" s="439"/>
      <c r="AQ224" s="439"/>
      <c r="AR224" s="439"/>
      <c r="AS224" s="439"/>
      <c r="AT224" s="439"/>
      <c r="AU224" s="932"/>
      <c r="AV224" s="439"/>
      <c r="AW224" s="439"/>
      <c r="AX224" s="439"/>
      <c r="AY224" s="439"/>
      <c r="AZ224" s="439"/>
      <c r="BA224" s="932"/>
      <c r="BB224" s="439"/>
      <c r="BC224" s="439"/>
      <c r="BD224" s="439"/>
      <c r="BE224" s="439"/>
      <c r="BF224" s="439"/>
      <c r="BG224" s="932"/>
      <c r="BH224" s="439"/>
      <c r="BI224" s="439"/>
      <c r="BJ224" s="439"/>
      <c r="BK224" s="439"/>
      <c r="BL224" s="439"/>
      <c r="BM224" s="932"/>
      <c r="BN224" s="439"/>
      <c r="BO224" s="439"/>
      <c r="BP224" s="439"/>
      <c r="BQ224" s="439"/>
      <c r="BR224" s="439"/>
    </row>
    <row r="225" ht="15.75" customHeight="1">
      <c r="A225" s="439"/>
      <c r="B225" s="439"/>
      <c r="C225" s="439"/>
      <c r="D225" s="439"/>
      <c r="E225" s="932"/>
      <c r="F225" s="439"/>
      <c r="G225" s="439"/>
      <c r="H225" s="439"/>
      <c r="I225" s="439"/>
      <c r="J225" s="439"/>
      <c r="K225" s="932"/>
      <c r="L225" s="439"/>
      <c r="M225" s="439"/>
      <c r="N225" s="439"/>
      <c r="O225" s="439"/>
      <c r="P225" s="439"/>
      <c r="Q225" s="932"/>
      <c r="R225" s="439"/>
      <c r="S225" s="439"/>
      <c r="T225" s="439"/>
      <c r="U225" s="439"/>
      <c r="V225" s="439"/>
      <c r="W225" s="932"/>
      <c r="X225" s="439"/>
      <c r="Y225" s="439"/>
      <c r="Z225" s="439"/>
      <c r="AA225" s="439"/>
      <c r="AB225" s="439"/>
      <c r="AC225" s="932"/>
      <c r="AD225" s="439"/>
      <c r="AE225" s="439"/>
      <c r="AF225" s="439"/>
      <c r="AG225" s="439"/>
      <c r="AH225" s="439"/>
      <c r="AI225" s="932"/>
      <c r="AJ225" s="439"/>
      <c r="AK225" s="439"/>
      <c r="AL225" s="439"/>
      <c r="AM225" s="439"/>
      <c r="AN225" s="439"/>
      <c r="AO225" s="932"/>
      <c r="AP225" s="439"/>
      <c r="AQ225" s="439"/>
      <c r="AR225" s="439"/>
      <c r="AS225" s="439"/>
      <c r="AT225" s="439"/>
      <c r="AU225" s="932"/>
      <c r="AV225" s="439"/>
      <c r="AW225" s="439"/>
      <c r="AX225" s="439"/>
      <c r="AY225" s="439"/>
      <c r="AZ225" s="439"/>
      <c r="BA225" s="932"/>
      <c r="BB225" s="439"/>
      <c r="BC225" s="439"/>
      <c r="BD225" s="439"/>
      <c r="BE225" s="439"/>
      <c r="BF225" s="439"/>
      <c r="BG225" s="932"/>
      <c r="BH225" s="439"/>
      <c r="BI225" s="439"/>
      <c r="BJ225" s="439"/>
      <c r="BK225" s="439"/>
      <c r="BL225" s="439"/>
      <c r="BM225" s="932"/>
      <c r="BN225" s="439"/>
      <c r="BO225" s="439"/>
      <c r="BP225" s="439"/>
      <c r="BQ225" s="439"/>
      <c r="BR225" s="439"/>
    </row>
    <row r="226" ht="15.75" customHeight="1">
      <c r="A226" s="439"/>
      <c r="B226" s="439"/>
      <c r="C226" s="439"/>
      <c r="D226" s="439"/>
      <c r="E226" s="932"/>
      <c r="F226" s="439"/>
      <c r="G226" s="439"/>
      <c r="H226" s="439"/>
      <c r="I226" s="439"/>
      <c r="J226" s="439"/>
      <c r="K226" s="932"/>
      <c r="L226" s="439"/>
      <c r="M226" s="439"/>
      <c r="N226" s="439"/>
      <c r="O226" s="439"/>
      <c r="P226" s="439"/>
      <c r="Q226" s="932"/>
      <c r="R226" s="439"/>
      <c r="S226" s="439"/>
      <c r="T226" s="439"/>
      <c r="U226" s="439"/>
      <c r="V226" s="439"/>
      <c r="W226" s="932"/>
      <c r="X226" s="439"/>
      <c r="Y226" s="439"/>
      <c r="Z226" s="439"/>
      <c r="AA226" s="439"/>
      <c r="AB226" s="439"/>
      <c r="AC226" s="932"/>
      <c r="AD226" s="439"/>
      <c r="AE226" s="439"/>
      <c r="AF226" s="439"/>
      <c r="AG226" s="439"/>
      <c r="AH226" s="439"/>
      <c r="AI226" s="932"/>
      <c r="AJ226" s="439"/>
      <c r="AK226" s="439"/>
      <c r="AL226" s="439"/>
      <c r="AM226" s="439"/>
      <c r="AN226" s="439"/>
      <c r="AO226" s="932"/>
      <c r="AP226" s="439"/>
      <c r="AQ226" s="439"/>
      <c r="AR226" s="439"/>
      <c r="AS226" s="439"/>
      <c r="AT226" s="439"/>
      <c r="AU226" s="932"/>
      <c r="AV226" s="439"/>
      <c r="AW226" s="439"/>
      <c r="AX226" s="439"/>
      <c r="AY226" s="439"/>
      <c r="AZ226" s="439"/>
      <c r="BA226" s="932"/>
      <c r="BB226" s="439"/>
      <c r="BC226" s="439"/>
      <c r="BD226" s="439"/>
      <c r="BE226" s="439"/>
      <c r="BF226" s="439"/>
      <c r="BG226" s="932"/>
      <c r="BH226" s="439"/>
      <c r="BI226" s="439"/>
      <c r="BJ226" s="439"/>
      <c r="BK226" s="439"/>
      <c r="BL226" s="439"/>
      <c r="BM226" s="932"/>
      <c r="BN226" s="439"/>
      <c r="BO226" s="439"/>
      <c r="BP226" s="439"/>
      <c r="BQ226" s="439"/>
      <c r="BR226" s="439"/>
    </row>
    <row r="227" ht="15.75" customHeight="1">
      <c r="A227" s="439"/>
      <c r="B227" s="439"/>
      <c r="C227" s="439"/>
      <c r="D227" s="439"/>
      <c r="E227" s="932"/>
      <c r="F227" s="439"/>
      <c r="G227" s="439"/>
      <c r="H227" s="439"/>
      <c r="I227" s="439"/>
      <c r="J227" s="439"/>
      <c r="K227" s="932"/>
      <c r="L227" s="439"/>
      <c r="M227" s="439"/>
      <c r="N227" s="439"/>
      <c r="O227" s="439"/>
      <c r="P227" s="439"/>
      <c r="Q227" s="932"/>
      <c r="R227" s="439"/>
      <c r="S227" s="439"/>
      <c r="T227" s="439"/>
      <c r="U227" s="439"/>
      <c r="V227" s="439"/>
      <c r="W227" s="932"/>
      <c r="X227" s="439"/>
      <c r="Y227" s="439"/>
      <c r="Z227" s="439"/>
      <c r="AA227" s="439"/>
      <c r="AB227" s="439"/>
      <c r="AC227" s="932"/>
      <c r="AD227" s="439"/>
      <c r="AE227" s="439"/>
      <c r="AF227" s="439"/>
      <c r="AG227" s="439"/>
      <c r="AH227" s="439"/>
      <c r="AI227" s="932"/>
      <c r="AJ227" s="439"/>
      <c r="AK227" s="439"/>
      <c r="AL227" s="439"/>
      <c r="AM227" s="439"/>
      <c r="AN227" s="439"/>
      <c r="AO227" s="932"/>
      <c r="AP227" s="439"/>
      <c r="AQ227" s="439"/>
      <c r="AR227" s="439"/>
      <c r="AS227" s="439"/>
      <c r="AT227" s="439"/>
      <c r="AU227" s="932"/>
      <c r="AV227" s="439"/>
      <c r="AW227" s="439"/>
      <c r="AX227" s="439"/>
      <c r="AY227" s="439"/>
      <c r="AZ227" s="439"/>
      <c r="BA227" s="932"/>
      <c r="BB227" s="439"/>
      <c r="BC227" s="439"/>
      <c r="BD227" s="439"/>
      <c r="BE227" s="439"/>
      <c r="BF227" s="439"/>
      <c r="BG227" s="932"/>
      <c r="BH227" s="439"/>
      <c r="BI227" s="439"/>
      <c r="BJ227" s="439"/>
      <c r="BK227" s="439"/>
      <c r="BL227" s="439"/>
      <c r="BM227" s="932"/>
      <c r="BN227" s="439"/>
      <c r="BO227" s="439"/>
      <c r="BP227" s="439"/>
      <c r="BQ227" s="439"/>
      <c r="BR227" s="439"/>
    </row>
    <row r="228" ht="15.75" customHeight="1">
      <c r="A228" s="439"/>
      <c r="B228" s="439"/>
      <c r="C228" s="439"/>
      <c r="D228" s="439"/>
      <c r="E228" s="932"/>
      <c r="F228" s="439"/>
      <c r="G228" s="439"/>
      <c r="H228" s="439"/>
      <c r="I228" s="439"/>
      <c r="J228" s="439"/>
      <c r="K228" s="932"/>
      <c r="L228" s="439"/>
      <c r="M228" s="439"/>
      <c r="N228" s="439"/>
      <c r="O228" s="439"/>
      <c r="P228" s="439"/>
      <c r="Q228" s="932"/>
      <c r="R228" s="439"/>
      <c r="S228" s="439"/>
      <c r="T228" s="439"/>
      <c r="U228" s="439"/>
      <c r="V228" s="439"/>
      <c r="W228" s="932"/>
      <c r="X228" s="439"/>
      <c r="Y228" s="439"/>
      <c r="Z228" s="439"/>
      <c r="AA228" s="439"/>
      <c r="AB228" s="439"/>
      <c r="AC228" s="932"/>
      <c r="AD228" s="439"/>
      <c r="AE228" s="439"/>
      <c r="AF228" s="439"/>
      <c r="AG228" s="439"/>
      <c r="AH228" s="439"/>
      <c r="AI228" s="932"/>
      <c r="AJ228" s="439"/>
      <c r="AK228" s="439"/>
      <c r="AL228" s="439"/>
      <c r="AM228" s="439"/>
      <c r="AN228" s="439"/>
      <c r="AO228" s="932"/>
      <c r="AP228" s="439"/>
      <c r="AQ228" s="439"/>
      <c r="AR228" s="439"/>
      <c r="AS228" s="439"/>
      <c r="AT228" s="439"/>
      <c r="AU228" s="932"/>
      <c r="AV228" s="439"/>
      <c r="AW228" s="439"/>
      <c r="AX228" s="439"/>
      <c r="AY228" s="439"/>
      <c r="AZ228" s="439"/>
      <c r="BA228" s="932"/>
      <c r="BB228" s="439"/>
      <c r="BC228" s="439"/>
      <c r="BD228" s="439"/>
      <c r="BE228" s="439"/>
      <c r="BF228" s="439"/>
      <c r="BG228" s="932"/>
      <c r="BH228" s="439"/>
      <c r="BI228" s="439"/>
      <c r="BJ228" s="439"/>
      <c r="BK228" s="439"/>
      <c r="BL228" s="439"/>
      <c r="BM228" s="932"/>
      <c r="BN228" s="439"/>
      <c r="BO228" s="439"/>
      <c r="BP228" s="439"/>
      <c r="BQ228" s="439"/>
      <c r="BR228" s="439"/>
    </row>
    <row r="229" ht="15.75" customHeight="1">
      <c r="A229" s="439"/>
      <c r="B229" s="439"/>
      <c r="C229" s="439"/>
      <c r="D229" s="439"/>
      <c r="E229" s="932"/>
      <c r="F229" s="439"/>
      <c r="G229" s="439"/>
      <c r="H229" s="439"/>
      <c r="I229" s="439"/>
      <c r="J229" s="439"/>
      <c r="K229" s="932"/>
      <c r="L229" s="439"/>
      <c r="M229" s="439"/>
      <c r="N229" s="439"/>
      <c r="O229" s="439"/>
      <c r="P229" s="439"/>
      <c r="Q229" s="932"/>
      <c r="R229" s="439"/>
      <c r="S229" s="439"/>
      <c r="T229" s="439"/>
      <c r="U229" s="439"/>
      <c r="V229" s="439"/>
      <c r="W229" s="932"/>
      <c r="X229" s="439"/>
      <c r="Y229" s="439"/>
      <c r="Z229" s="439"/>
      <c r="AA229" s="439"/>
      <c r="AB229" s="439"/>
      <c r="AC229" s="932"/>
      <c r="AD229" s="439"/>
      <c r="AE229" s="439"/>
      <c r="AF229" s="439"/>
      <c r="AG229" s="439"/>
      <c r="AH229" s="439"/>
      <c r="AI229" s="932"/>
      <c r="AJ229" s="439"/>
      <c r="AK229" s="439"/>
      <c r="AL229" s="439"/>
      <c r="AM229" s="439"/>
      <c r="AN229" s="439"/>
      <c r="AO229" s="932"/>
      <c r="AP229" s="439"/>
      <c r="AQ229" s="439"/>
      <c r="AR229" s="439"/>
      <c r="AS229" s="439"/>
      <c r="AT229" s="439"/>
      <c r="AU229" s="932"/>
      <c r="AV229" s="439"/>
      <c r="AW229" s="439"/>
      <c r="AX229" s="439"/>
      <c r="AY229" s="439"/>
      <c r="AZ229" s="439"/>
      <c r="BA229" s="932"/>
      <c r="BB229" s="439"/>
      <c r="BC229" s="439"/>
      <c r="BD229" s="439"/>
      <c r="BE229" s="439"/>
      <c r="BF229" s="439"/>
      <c r="BG229" s="932"/>
      <c r="BH229" s="439"/>
      <c r="BI229" s="439"/>
      <c r="BJ229" s="439"/>
      <c r="BK229" s="439"/>
      <c r="BL229" s="439"/>
      <c r="BM229" s="932"/>
      <c r="BN229" s="439"/>
      <c r="BO229" s="439"/>
      <c r="BP229" s="439"/>
      <c r="BQ229" s="439"/>
      <c r="BR229" s="439"/>
    </row>
    <row r="230" ht="15.75" customHeight="1">
      <c r="A230" s="439"/>
      <c r="B230" s="439"/>
      <c r="C230" s="439"/>
      <c r="D230" s="439"/>
      <c r="E230" s="932"/>
      <c r="F230" s="439"/>
      <c r="G230" s="439"/>
      <c r="H230" s="439"/>
      <c r="I230" s="439"/>
      <c r="J230" s="439"/>
      <c r="K230" s="932"/>
      <c r="L230" s="439"/>
      <c r="M230" s="439"/>
      <c r="N230" s="439"/>
      <c r="O230" s="439"/>
      <c r="P230" s="439"/>
      <c r="Q230" s="932"/>
      <c r="R230" s="439"/>
      <c r="S230" s="439"/>
      <c r="T230" s="439"/>
      <c r="U230" s="439"/>
      <c r="V230" s="439"/>
      <c r="W230" s="932"/>
      <c r="X230" s="439"/>
      <c r="Y230" s="439"/>
      <c r="Z230" s="439"/>
      <c r="AA230" s="439"/>
      <c r="AB230" s="439"/>
      <c r="AC230" s="932"/>
      <c r="AD230" s="439"/>
      <c r="AE230" s="439"/>
      <c r="AF230" s="439"/>
      <c r="AG230" s="439"/>
      <c r="AH230" s="439"/>
      <c r="AI230" s="932"/>
      <c r="AJ230" s="439"/>
      <c r="AK230" s="439"/>
      <c r="AL230" s="439"/>
      <c r="AM230" s="439"/>
      <c r="AN230" s="439"/>
      <c r="AO230" s="932"/>
      <c r="AP230" s="439"/>
      <c r="AQ230" s="439"/>
      <c r="AR230" s="439"/>
      <c r="AS230" s="439"/>
      <c r="AT230" s="439"/>
      <c r="AU230" s="932"/>
      <c r="AV230" s="439"/>
      <c r="AW230" s="439"/>
      <c r="AX230" s="439"/>
      <c r="AY230" s="439"/>
      <c r="AZ230" s="439"/>
      <c r="BA230" s="932"/>
      <c r="BB230" s="439"/>
      <c r="BC230" s="439"/>
      <c r="BD230" s="439"/>
      <c r="BE230" s="439"/>
      <c r="BF230" s="439"/>
      <c r="BG230" s="932"/>
      <c r="BH230" s="439"/>
      <c r="BI230" s="439"/>
      <c r="BJ230" s="439"/>
      <c r="BK230" s="439"/>
      <c r="BL230" s="439"/>
      <c r="BM230" s="932"/>
      <c r="BN230" s="439"/>
      <c r="BO230" s="439"/>
      <c r="BP230" s="439"/>
      <c r="BQ230" s="439"/>
      <c r="BR230" s="439"/>
    </row>
    <row r="231" ht="15.75" customHeight="1">
      <c r="A231" s="439"/>
      <c r="B231" s="439"/>
      <c r="C231" s="439"/>
      <c r="D231" s="439"/>
      <c r="E231" s="932"/>
      <c r="F231" s="439"/>
      <c r="G231" s="439"/>
      <c r="H231" s="439"/>
      <c r="I231" s="439"/>
      <c r="J231" s="439"/>
      <c r="K231" s="932"/>
      <c r="L231" s="439"/>
      <c r="M231" s="439"/>
      <c r="N231" s="439"/>
      <c r="O231" s="439"/>
      <c r="P231" s="439"/>
      <c r="Q231" s="932"/>
      <c r="R231" s="439"/>
      <c r="S231" s="439"/>
      <c r="T231" s="439"/>
      <c r="U231" s="439"/>
      <c r="V231" s="439"/>
      <c r="W231" s="932"/>
      <c r="X231" s="439"/>
      <c r="Y231" s="439"/>
      <c r="Z231" s="439"/>
      <c r="AA231" s="439"/>
      <c r="AB231" s="439"/>
      <c r="AC231" s="932"/>
      <c r="AD231" s="439"/>
      <c r="AE231" s="439"/>
      <c r="AF231" s="439"/>
      <c r="AG231" s="439"/>
      <c r="AH231" s="439"/>
      <c r="AI231" s="932"/>
      <c r="AJ231" s="439"/>
      <c r="AK231" s="439"/>
      <c r="AL231" s="439"/>
      <c r="AM231" s="439"/>
      <c r="AN231" s="439"/>
      <c r="AO231" s="932"/>
      <c r="AP231" s="439"/>
      <c r="AQ231" s="439"/>
      <c r="AR231" s="439"/>
      <c r="AS231" s="439"/>
      <c r="AT231" s="439"/>
      <c r="AU231" s="932"/>
      <c r="AV231" s="439"/>
      <c r="AW231" s="439"/>
      <c r="AX231" s="439"/>
      <c r="AY231" s="439"/>
      <c r="AZ231" s="439"/>
      <c r="BA231" s="932"/>
      <c r="BB231" s="439"/>
      <c r="BC231" s="439"/>
      <c r="BD231" s="439"/>
      <c r="BE231" s="439"/>
      <c r="BF231" s="439"/>
      <c r="BG231" s="932"/>
      <c r="BH231" s="439"/>
      <c r="BI231" s="439"/>
      <c r="BJ231" s="439"/>
      <c r="BK231" s="439"/>
      <c r="BL231" s="439"/>
      <c r="BM231" s="932"/>
      <c r="BN231" s="439"/>
      <c r="BO231" s="439"/>
      <c r="BP231" s="439"/>
      <c r="BQ231" s="439"/>
      <c r="BR231" s="439"/>
    </row>
    <row r="232" ht="15.75" customHeight="1">
      <c r="A232" s="439"/>
      <c r="B232" s="439"/>
      <c r="C232" s="439"/>
      <c r="D232" s="439"/>
      <c r="E232" s="932"/>
      <c r="F232" s="439"/>
      <c r="G232" s="439"/>
      <c r="H232" s="439"/>
      <c r="I232" s="439"/>
      <c r="J232" s="439"/>
      <c r="K232" s="932"/>
      <c r="L232" s="439"/>
      <c r="M232" s="439"/>
      <c r="N232" s="439"/>
      <c r="O232" s="439"/>
      <c r="P232" s="439"/>
      <c r="Q232" s="932"/>
      <c r="R232" s="439"/>
      <c r="S232" s="439"/>
      <c r="T232" s="439"/>
      <c r="U232" s="439"/>
      <c r="V232" s="439"/>
      <c r="W232" s="932"/>
      <c r="X232" s="439"/>
      <c r="Y232" s="439"/>
      <c r="Z232" s="439"/>
      <c r="AA232" s="439"/>
      <c r="AB232" s="439"/>
      <c r="AC232" s="932"/>
      <c r="AD232" s="439"/>
      <c r="AE232" s="439"/>
      <c r="AF232" s="439"/>
      <c r="AG232" s="439"/>
      <c r="AH232" s="439"/>
      <c r="AI232" s="932"/>
      <c r="AJ232" s="439"/>
      <c r="AK232" s="439"/>
      <c r="AL232" s="439"/>
      <c r="AM232" s="439"/>
      <c r="AN232" s="439"/>
      <c r="AO232" s="932"/>
      <c r="AP232" s="439"/>
      <c r="AQ232" s="439"/>
      <c r="AR232" s="439"/>
      <c r="AS232" s="439"/>
      <c r="AT232" s="439"/>
      <c r="AU232" s="932"/>
      <c r="AV232" s="439"/>
      <c r="AW232" s="439"/>
      <c r="AX232" s="439"/>
      <c r="AY232" s="439"/>
      <c r="AZ232" s="439"/>
      <c r="BA232" s="932"/>
      <c r="BB232" s="439"/>
      <c r="BC232" s="439"/>
      <c r="BD232" s="439"/>
      <c r="BE232" s="439"/>
      <c r="BF232" s="439"/>
      <c r="BG232" s="932"/>
      <c r="BH232" s="439"/>
      <c r="BI232" s="439"/>
      <c r="BJ232" s="439"/>
      <c r="BK232" s="439"/>
      <c r="BL232" s="439"/>
      <c r="BM232" s="932"/>
      <c r="BN232" s="439"/>
      <c r="BO232" s="439"/>
      <c r="BP232" s="439"/>
      <c r="BQ232" s="439"/>
      <c r="BR232" s="439"/>
    </row>
    <row r="233" ht="15.75" customHeight="1">
      <c r="A233" s="439"/>
      <c r="B233" s="439"/>
      <c r="C233" s="439"/>
      <c r="D233" s="439"/>
      <c r="E233" s="932"/>
      <c r="F233" s="439"/>
      <c r="G233" s="439"/>
      <c r="H233" s="439"/>
      <c r="I233" s="439"/>
      <c r="J233" s="439"/>
      <c r="K233" s="932"/>
      <c r="L233" s="439"/>
      <c r="M233" s="439"/>
      <c r="N233" s="439"/>
      <c r="O233" s="439"/>
      <c r="P233" s="439"/>
      <c r="Q233" s="932"/>
      <c r="R233" s="439"/>
      <c r="S233" s="439"/>
      <c r="T233" s="439"/>
      <c r="U233" s="439"/>
      <c r="V233" s="439"/>
      <c r="W233" s="932"/>
      <c r="X233" s="439"/>
      <c r="Y233" s="439"/>
      <c r="Z233" s="439"/>
      <c r="AA233" s="439"/>
      <c r="AB233" s="439"/>
      <c r="AC233" s="932"/>
      <c r="AD233" s="439"/>
      <c r="AE233" s="439"/>
      <c r="AF233" s="439"/>
      <c r="AG233" s="439"/>
      <c r="AH233" s="439"/>
      <c r="AI233" s="932"/>
      <c r="AJ233" s="439"/>
      <c r="AK233" s="439"/>
      <c r="AL233" s="439"/>
      <c r="AM233" s="439"/>
      <c r="AN233" s="439"/>
      <c r="AO233" s="932"/>
      <c r="AP233" s="439"/>
      <c r="AQ233" s="439"/>
      <c r="AR233" s="439"/>
      <c r="AS233" s="439"/>
      <c r="AT233" s="439"/>
      <c r="AU233" s="932"/>
      <c r="AV233" s="439"/>
      <c r="AW233" s="439"/>
      <c r="AX233" s="439"/>
      <c r="AY233" s="439"/>
      <c r="AZ233" s="439"/>
      <c r="BA233" s="932"/>
      <c r="BB233" s="439"/>
      <c r="BC233" s="439"/>
      <c r="BD233" s="439"/>
      <c r="BE233" s="439"/>
      <c r="BF233" s="439"/>
      <c r="BG233" s="932"/>
      <c r="BH233" s="439"/>
      <c r="BI233" s="439"/>
      <c r="BJ233" s="439"/>
      <c r="BK233" s="439"/>
      <c r="BL233" s="439"/>
      <c r="BM233" s="932"/>
      <c r="BN233" s="439"/>
      <c r="BO233" s="439"/>
      <c r="BP233" s="439"/>
      <c r="BQ233" s="439"/>
      <c r="BR233" s="439"/>
    </row>
    <row r="234" ht="15.75" customHeight="1">
      <c r="A234" s="439"/>
      <c r="B234" s="439"/>
      <c r="C234" s="439"/>
      <c r="D234" s="439"/>
      <c r="E234" s="932"/>
      <c r="F234" s="439"/>
      <c r="G234" s="439"/>
      <c r="H234" s="439"/>
      <c r="I234" s="439"/>
      <c r="J234" s="439"/>
      <c r="K234" s="932"/>
      <c r="L234" s="439"/>
      <c r="M234" s="439"/>
      <c r="N234" s="439"/>
      <c r="O234" s="439"/>
      <c r="P234" s="439"/>
      <c r="Q234" s="932"/>
      <c r="R234" s="439"/>
      <c r="S234" s="439"/>
      <c r="T234" s="439"/>
      <c r="U234" s="439"/>
      <c r="V234" s="439"/>
      <c r="W234" s="932"/>
      <c r="X234" s="439"/>
      <c r="Y234" s="439"/>
      <c r="Z234" s="439"/>
      <c r="AA234" s="439"/>
      <c r="AB234" s="439"/>
      <c r="AC234" s="932"/>
      <c r="AD234" s="439"/>
      <c r="AE234" s="439"/>
      <c r="AF234" s="439"/>
      <c r="AG234" s="439"/>
      <c r="AH234" s="439"/>
      <c r="AI234" s="932"/>
      <c r="AJ234" s="439"/>
      <c r="AK234" s="439"/>
      <c r="AL234" s="439"/>
      <c r="AM234" s="439"/>
      <c r="AN234" s="439"/>
      <c r="AO234" s="932"/>
      <c r="AP234" s="439"/>
      <c r="AQ234" s="439"/>
      <c r="AR234" s="439"/>
      <c r="AS234" s="439"/>
      <c r="AT234" s="439"/>
      <c r="AU234" s="932"/>
      <c r="AV234" s="439"/>
      <c r="AW234" s="439"/>
      <c r="AX234" s="439"/>
      <c r="AY234" s="439"/>
      <c r="AZ234" s="439"/>
      <c r="BA234" s="932"/>
      <c r="BB234" s="439"/>
      <c r="BC234" s="439"/>
      <c r="BD234" s="439"/>
      <c r="BE234" s="439"/>
      <c r="BF234" s="439"/>
      <c r="BG234" s="932"/>
      <c r="BH234" s="439"/>
      <c r="BI234" s="439"/>
      <c r="BJ234" s="439"/>
      <c r="BK234" s="439"/>
      <c r="BL234" s="439"/>
      <c r="BM234" s="932"/>
      <c r="BN234" s="439"/>
      <c r="BO234" s="439"/>
      <c r="BP234" s="439"/>
      <c r="BQ234" s="439"/>
      <c r="BR234" s="439"/>
    </row>
    <row r="235" ht="15.75" customHeight="1">
      <c r="A235" s="439"/>
      <c r="B235" s="439"/>
      <c r="C235" s="439"/>
      <c r="D235" s="439"/>
      <c r="E235" s="932"/>
      <c r="F235" s="439"/>
      <c r="G235" s="439"/>
      <c r="H235" s="439"/>
      <c r="I235" s="439"/>
      <c r="J235" s="439"/>
      <c r="K235" s="932"/>
      <c r="L235" s="439"/>
      <c r="M235" s="439"/>
      <c r="N235" s="439"/>
      <c r="O235" s="439"/>
      <c r="P235" s="439"/>
      <c r="Q235" s="932"/>
      <c r="R235" s="439"/>
      <c r="S235" s="439"/>
      <c r="T235" s="439"/>
      <c r="U235" s="439"/>
      <c r="V235" s="439"/>
      <c r="W235" s="932"/>
      <c r="X235" s="439"/>
      <c r="Y235" s="439"/>
      <c r="Z235" s="439"/>
      <c r="AA235" s="439"/>
      <c r="AB235" s="439"/>
      <c r="AC235" s="932"/>
      <c r="AD235" s="439"/>
      <c r="AE235" s="439"/>
      <c r="AF235" s="439"/>
      <c r="AG235" s="439"/>
      <c r="AH235" s="439"/>
      <c r="AI235" s="932"/>
      <c r="AJ235" s="439"/>
      <c r="AK235" s="439"/>
      <c r="AL235" s="439"/>
      <c r="AM235" s="439"/>
      <c r="AN235" s="439"/>
      <c r="AO235" s="932"/>
      <c r="AP235" s="439"/>
      <c r="AQ235" s="439"/>
      <c r="AR235" s="439"/>
      <c r="AS235" s="439"/>
      <c r="AT235" s="439"/>
      <c r="AU235" s="932"/>
      <c r="AV235" s="439"/>
      <c r="AW235" s="439"/>
      <c r="AX235" s="439"/>
      <c r="AY235" s="439"/>
      <c r="AZ235" s="439"/>
      <c r="BA235" s="932"/>
      <c r="BB235" s="439"/>
      <c r="BC235" s="439"/>
      <c r="BD235" s="439"/>
      <c r="BE235" s="439"/>
      <c r="BF235" s="439"/>
      <c r="BG235" s="932"/>
      <c r="BH235" s="439"/>
      <c r="BI235" s="439"/>
      <c r="BJ235" s="439"/>
      <c r="BK235" s="439"/>
      <c r="BL235" s="439"/>
      <c r="BM235" s="932"/>
      <c r="BN235" s="439"/>
      <c r="BO235" s="439"/>
      <c r="BP235" s="439"/>
      <c r="BQ235" s="439"/>
      <c r="BR235" s="439"/>
    </row>
    <row r="236" ht="15.75" customHeight="1">
      <c r="A236" s="439"/>
      <c r="B236" s="439"/>
      <c r="C236" s="439"/>
      <c r="D236" s="439"/>
      <c r="E236" s="932"/>
      <c r="F236" s="439"/>
      <c r="G236" s="439"/>
      <c r="H236" s="439"/>
      <c r="I236" s="439"/>
      <c r="J236" s="439"/>
      <c r="K236" s="932"/>
      <c r="L236" s="439"/>
      <c r="M236" s="439"/>
      <c r="N236" s="439"/>
      <c r="O236" s="439"/>
      <c r="P236" s="439"/>
      <c r="Q236" s="932"/>
      <c r="R236" s="439"/>
      <c r="S236" s="439"/>
      <c r="T236" s="439"/>
      <c r="U236" s="439"/>
      <c r="V236" s="439"/>
      <c r="W236" s="932"/>
      <c r="X236" s="439"/>
      <c r="Y236" s="439"/>
      <c r="Z236" s="439"/>
      <c r="AA236" s="439"/>
      <c r="AB236" s="439"/>
      <c r="AC236" s="932"/>
      <c r="AD236" s="439"/>
      <c r="AE236" s="439"/>
      <c r="AF236" s="439"/>
      <c r="AG236" s="439"/>
      <c r="AH236" s="439"/>
      <c r="AI236" s="932"/>
      <c r="AJ236" s="439"/>
      <c r="AK236" s="439"/>
      <c r="AL236" s="439"/>
      <c r="AM236" s="439"/>
      <c r="AN236" s="439"/>
      <c r="AO236" s="932"/>
      <c r="AP236" s="439"/>
      <c r="AQ236" s="439"/>
      <c r="AR236" s="439"/>
      <c r="AS236" s="439"/>
      <c r="AT236" s="439"/>
      <c r="AU236" s="932"/>
      <c r="AV236" s="439"/>
      <c r="AW236" s="439"/>
      <c r="AX236" s="439"/>
      <c r="AY236" s="439"/>
      <c r="AZ236" s="439"/>
      <c r="BA236" s="932"/>
      <c r="BB236" s="439"/>
      <c r="BC236" s="439"/>
      <c r="BD236" s="439"/>
      <c r="BE236" s="439"/>
      <c r="BF236" s="439"/>
      <c r="BG236" s="932"/>
      <c r="BH236" s="439"/>
      <c r="BI236" s="439"/>
      <c r="BJ236" s="439"/>
      <c r="BK236" s="439"/>
      <c r="BL236" s="439"/>
      <c r="BM236" s="932"/>
      <c r="BN236" s="439"/>
      <c r="BO236" s="439"/>
      <c r="BP236" s="439"/>
      <c r="BQ236" s="439"/>
      <c r="BR236" s="439"/>
    </row>
    <row r="237" ht="15.75" customHeight="1">
      <c r="A237" s="439"/>
      <c r="B237" s="439"/>
      <c r="C237" s="439"/>
      <c r="D237" s="439"/>
      <c r="E237" s="932"/>
      <c r="F237" s="439"/>
      <c r="G237" s="439"/>
      <c r="H237" s="439"/>
      <c r="I237" s="439"/>
      <c r="J237" s="439"/>
      <c r="K237" s="932"/>
      <c r="L237" s="439"/>
      <c r="M237" s="439"/>
      <c r="N237" s="439"/>
      <c r="O237" s="439"/>
      <c r="P237" s="439"/>
      <c r="Q237" s="932"/>
      <c r="R237" s="439"/>
      <c r="S237" s="439"/>
      <c r="T237" s="439"/>
      <c r="U237" s="439"/>
      <c r="V237" s="439"/>
      <c r="W237" s="932"/>
      <c r="X237" s="439"/>
      <c r="Y237" s="439"/>
      <c r="Z237" s="439"/>
      <c r="AA237" s="439"/>
      <c r="AB237" s="439"/>
      <c r="AC237" s="932"/>
      <c r="AD237" s="439"/>
      <c r="AE237" s="439"/>
      <c r="AF237" s="439"/>
      <c r="AG237" s="439"/>
      <c r="AH237" s="439"/>
      <c r="AI237" s="932"/>
      <c r="AJ237" s="439"/>
      <c r="AK237" s="439"/>
      <c r="AL237" s="439"/>
      <c r="AM237" s="439"/>
      <c r="AN237" s="439"/>
      <c r="AO237" s="932"/>
      <c r="AP237" s="439"/>
      <c r="AQ237" s="439"/>
      <c r="AR237" s="439"/>
      <c r="AS237" s="439"/>
      <c r="AT237" s="439"/>
      <c r="AU237" s="932"/>
      <c r="AV237" s="439"/>
      <c r="AW237" s="439"/>
      <c r="AX237" s="439"/>
      <c r="AY237" s="439"/>
      <c r="AZ237" s="439"/>
      <c r="BA237" s="932"/>
      <c r="BB237" s="439"/>
      <c r="BC237" s="439"/>
      <c r="BD237" s="439"/>
      <c r="BE237" s="439"/>
      <c r="BF237" s="439"/>
      <c r="BG237" s="932"/>
      <c r="BH237" s="439"/>
      <c r="BI237" s="439"/>
      <c r="BJ237" s="439"/>
      <c r="BK237" s="439"/>
      <c r="BL237" s="439"/>
      <c r="BM237" s="932"/>
      <c r="BN237" s="439"/>
      <c r="BO237" s="439"/>
      <c r="BP237" s="439"/>
      <c r="BQ237" s="439"/>
      <c r="BR237" s="439"/>
    </row>
    <row r="238" ht="15.75" customHeight="1">
      <c r="A238" s="439"/>
      <c r="B238" s="439"/>
      <c r="C238" s="439"/>
      <c r="D238" s="439"/>
      <c r="E238" s="932"/>
      <c r="F238" s="439"/>
      <c r="G238" s="439"/>
      <c r="H238" s="439"/>
      <c r="I238" s="439"/>
      <c r="J238" s="439"/>
      <c r="K238" s="932"/>
      <c r="L238" s="439"/>
      <c r="M238" s="439"/>
      <c r="N238" s="439"/>
      <c r="O238" s="439"/>
      <c r="P238" s="439"/>
      <c r="Q238" s="932"/>
      <c r="R238" s="439"/>
      <c r="S238" s="439"/>
      <c r="T238" s="439"/>
      <c r="U238" s="439"/>
      <c r="V238" s="439"/>
      <c r="W238" s="932"/>
      <c r="X238" s="439"/>
      <c r="Y238" s="439"/>
      <c r="Z238" s="439"/>
      <c r="AA238" s="439"/>
      <c r="AB238" s="439"/>
      <c r="AC238" s="932"/>
      <c r="AD238" s="439"/>
      <c r="AE238" s="439"/>
      <c r="AF238" s="439"/>
      <c r="AG238" s="439"/>
      <c r="AH238" s="439"/>
      <c r="AI238" s="932"/>
      <c r="AJ238" s="439"/>
      <c r="AK238" s="439"/>
      <c r="AL238" s="439"/>
      <c r="AM238" s="439"/>
      <c r="AN238" s="439"/>
      <c r="AO238" s="932"/>
      <c r="AP238" s="439"/>
      <c r="AQ238" s="439"/>
      <c r="AR238" s="439"/>
      <c r="AS238" s="439"/>
      <c r="AT238" s="439"/>
      <c r="AU238" s="932"/>
      <c r="AV238" s="439"/>
      <c r="AW238" s="439"/>
      <c r="AX238" s="439"/>
      <c r="AY238" s="439"/>
      <c r="AZ238" s="439"/>
      <c r="BA238" s="932"/>
      <c r="BB238" s="439"/>
      <c r="BC238" s="439"/>
      <c r="BD238" s="439"/>
      <c r="BE238" s="439"/>
      <c r="BF238" s="439"/>
      <c r="BG238" s="932"/>
      <c r="BH238" s="439"/>
      <c r="BI238" s="439"/>
      <c r="BJ238" s="439"/>
      <c r="BK238" s="439"/>
      <c r="BL238" s="439"/>
      <c r="BM238" s="932"/>
      <c r="BN238" s="439"/>
      <c r="BO238" s="439"/>
      <c r="BP238" s="439"/>
      <c r="BQ238" s="439"/>
      <c r="BR238" s="439"/>
    </row>
    <row r="239" ht="15.75" customHeight="1">
      <c r="A239" s="439"/>
      <c r="B239" s="439"/>
      <c r="C239" s="439"/>
      <c r="D239" s="439"/>
      <c r="E239" s="932"/>
      <c r="F239" s="439"/>
      <c r="G239" s="439"/>
      <c r="H239" s="439"/>
      <c r="I239" s="439"/>
      <c r="J239" s="439"/>
      <c r="K239" s="932"/>
      <c r="L239" s="439"/>
      <c r="M239" s="439"/>
      <c r="N239" s="439"/>
      <c r="O239" s="439"/>
      <c r="P239" s="439"/>
      <c r="Q239" s="932"/>
      <c r="R239" s="439"/>
      <c r="S239" s="439"/>
      <c r="T239" s="439"/>
      <c r="U239" s="439"/>
      <c r="V239" s="439"/>
      <c r="W239" s="932"/>
      <c r="X239" s="439"/>
      <c r="Y239" s="439"/>
      <c r="Z239" s="439"/>
      <c r="AA239" s="439"/>
      <c r="AB239" s="439"/>
      <c r="AC239" s="932"/>
      <c r="AD239" s="439"/>
      <c r="AE239" s="439"/>
      <c r="AF239" s="439"/>
      <c r="AG239" s="439"/>
      <c r="AH239" s="439"/>
      <c r="AI239" s="932"/>
      <c r="AJ239" s="439"/>
      <c r="AK239" s="439"/>
      <c r="AL239" s="439"/>
      <c r="AM239" s="439"/>
      <c r="AN239" s="439"/>
      <c r="AO239" s="932"/>
      <c r="AP239" s="439"/>
      <c r="AQ239" s="439"/>
      <c r="AR239" s="439"/>
      <c r="AS239" s="439"/>
      <c r="AT239" s="439"/>
      <c r="AU239" s="932"/>
      <c r="AV239" s="439"/>
      <c r="AW239" s="439"/>
      <c r="AX239" s="439"/>
      <c r="AY239" s="439"/>
      <c r="AZ239" s="439"/>
      <c r="BA239" s="932"/>
      <c r="BB239" s="439"/>
      <c r="BC239" s="439"/>
      <c r="BD239" s="439"/>
      <c r="BE239" s="439"/>
      <c r="BF239" s="439"/>
      <c r="BG239" s="932"/>
      <c r="BH239" s="439"/>
      <c r="BI239" s="439"/>
      <c r="BJ239" s="439"/>
      <c r="BK239" s="439"/>
      <c r="BL239" s="439"/>
      <c r="BM239" s="932"/>
      <c r="BN239" s="439"/>
      <c r="BO239" s="439"/>
      <c r="BP239" s="439"/>
      <c r="BQ239" s="439"/>
      <c r="BR239" s="439"/>
    </row>
    <row r="240" ht="15.75" customHeight="1">
      <c r="A240" s="439"/>
      <c r="B240" s="439"/>
      <c r="C240" s="439"/>
      <c r="D240" s="439"/>
      <c r="E240" s="932"/>
      <c r="F240" s="439"/>
      <c r="G240" s="439"/>
      <c r="H240" s="439"/>
      <c r="I240" s="439"/>
      <c r="J240" s="439"/>
      <c r="K240" s="932"/>
      <c r="L240" s="439"/>
      <c r="M240" s="439"/>
      <c r="N240" s="439"/>
      <c r="O240" s="439"/>
      <c r="P240" s="439"/>
      <c r="Q240" s="932"/>
      <c r="R240" s="439"/>
      <c r="S240" s="439"/>
      <c r="T240" s="439"/>
      <c r="U240" s="439"/>
      <c r="V240" s="439"/>
      <c r="W240" s="932"/>
      <c r="X240" s="439"/>
      <c r="Y240" s="439"/>
      <c r="Z240" s="439"/>
      <c r="AA240" s="439"/>
      <c r="AB240" s="439"/>
      <c r="AC240" s="932"/>
      <c r="AD240" s="439"/>
      <c r="AE240" s="439"/>
      <c r="AF240" s="439"/>
      <c r="AG240" s="439"/>
      <c r="AH240" s="439"/>
      <c r="AI240" s="932"/>
      <c r="AJ240" s="439"/>
      <c r="AK240" s="439"/>
      <c r="AL240" s="439"/>
      <c r="AM240" s="439"/>
      <c r="AN240" s="439"/>
      <c r="AO240" s="932"/>
      <c r="AP240" s="439"/>
      <c r="AQ240" s="439"/>
      <c r="AR240" s="439"/>
      <c r="AS240" s="439"/>
      <c r="AT240" s="439"/>
      <c r="AU240" s="932"/>
      <c r="AV240" s="439"/>
      <c r="AW240" s="439"/>
      <c r="AX240" s="439"/>
      <c r="AY240" s="439"/>
      <c r="AZ240" s="439"/>
      <c r="BA240" s="932"/>
      <c r="BB240" s="439"/>
      <c r="BC240" s="439"/>
      <c r="BD240" s="439"/>
      <c r="BE240" s="439"/>
      <c r="BF240" s="439"/>
      <c r="BG240" s="932"/>
      <c r="BH240" s="439"/>
      <c r="BI240" s="439"/>
      <c r="BJ240" s="439"/>
      <c r="BK240" s="439"/>
      <c r="BL240" s="439"/>
      <c r="BM240" s="932"/>
      <c r="BN240" s="439"/>
      <c r="BO240" s="439"/>
      <c r="BP240" s="439"/>
      <c r="BQ240" s="439"/>
      <c r="BR240" s="439"/>
    </row>
    <row r="241" ht="15.75" customHeight="1">
      <c r="A241" s="439"/>
      <c r="B241" s="439"/>
      <c r="C241" s="439"/>
      <c r="D241" s="439"/>
      <c r="E241" s="932"/>
      <c r="F241" s="439"/>
      <c r="G241" s="439"/>
      <c r="H241" s="439"/>
      <c r="I241" s="439"/>
      <c r="J241" s="439"/>
      <c r="K241" s="932"/>
      <c r="L241" s="439"/>
      <c r="M241" s="439"/>
      <c r="N241" s="439"/>
      <c r="O241" s="439"/>
      <c r="P241" s="439"/>
      <c r="Q241" s="932"/>
      <c r="R241" s="439"/>
      <c r="S241" s="439"/>
      <c r="T241" s="439"/>
      <c r="U241" s="439"/>
      <c r="V241" s="439"/>
      <c r="W241" s="932"/>
      <c r="X241" s="439"/>
      <c r="Y241" s="439"/>
      <c r="Z241" s="439"/>
      <c r="AA241" s="439"/>
      <c r="AB241" s="439"/>
      <c r="AC241" s="932"/>
      <c r="AD241" s="439"/>
      <c r="AE241" s="439"/>
      <c r="AF241" s="439"/>
      <c r="AG241" s="439"/>
      <c r="AH241" s="439"/>
      <c r="AI241" s="932"/>
      <c r="AJ241" s="439"/>
      <c r="AK241" s="439"/>
      <c r="AL241" s="439"/>
      <c r="AM241" s="439"/>
      <c r="AN241" s="439"/>
      <c r="AO241" s="932"/>
      <c r="AP241" s="439"/>
      <c r="AQ241" s="439"/>
      <c r="AR241" s="439"/>
      <c r="AS241" s="439"/>
      <c r="AT241" s="439"/>
      <c r="AU241" s="932"/>
      <c r="AV241" s="439"/>
      <c r="AW241" s="439"/>
      <c r="AX241" s="439"/>
      <c r="AY241" s="439"/>
      <c r="AZ241" s="439"/>
      <c r="BA241" s="932"/>
      <c r="BB241" s="439"/>
      <c r="BC241" s="439"/>
      <c r="BD241" s="439"/>
      <c r="BE241" s="439"/>
      <c r="BF241" s="439"/>
      <c r="BG241" s="932"/>
      <c r="BH241" s="439"/>
      <c r="BI241" s="439"/>
      <c r="BJ241" s="439"/>
      <c r="BK241" s="439"/>
      <c r="BL241" s="439"/>
      <c r="BM241" s="932"/>
      <c r="BN241" s="439"/>
      <c r="BO241" s="439"/>
      <c r="BP241" s="439"/>
      <c r="BQ241" s="439"/>
      <c r="BR241" s="439"/>
    </row>
    <row r="242" ht="15.75" customHeight="1">
      <c r="A242" s="439"/>
      <c r="B242" s="439"/>
      <c r="C242" s="439"/>
      <c r="D242" s="439"/>
      <c r="E242" s="932"/>
      <c r="F242" s="439"/>
      <c r="G242" s="439"/>
      <c r="H242" s="439"/>
      <c r="I242" s="439"/>
      <c r="J242" s="439"/>
      <c r="K242" s="932"/>
      <c r="L242" s="439"/>
      <c r="M242" s="439"/>
      <c r="N242" s="439"/>
      <c r="O242" s="439"/>
      <c r="P242" s="439"/>
      <c r="Q242" s="932"/>
      <c r="R242" s="439"/>
      <c r="S242" s="439"/>
      <c r="T242" s="439"/>
      <c r="U242" s="439"/>
      <c r="V242" s="439"/>
      <c r="W242" s="932"/>
      <c r="X242" s="439"/>
      <c r="Y242" s="439"/>
      <c r="Z242" s="439"/>
      <c r="AA242" s="439"/>
      <c r="AB242" s="439"/>
      <c r="AC242" s="932"/>
      <c r="AD242" s="439"/>
      <c r="AE242" s="439"/>
      <c r="AF242" s="439"/>
      <c r="AG242" s="439"/>
      <c r="AH242" s="439"/>
      <c r="AI242" s="932"/>
      <c r="AJ242" s="439"/>
      <c r="AK242" s="439"/>
      <c r="AL242" s="439"/>
      <c r="AM242" s="439"/>
      <c r="AN242" s="439"/>
      <c r="AO242" s="932"/>
      <c r="AP242" s="439"/>
      <c r="AQ242" s="439"/>
      <c r="AR242" s="439"/>
      <c r="AS242" s="439"/>
      <c r="AT242" s="439"/>
      <c r="AU242" s="932"/>
      <c r="AV242" s="439"/>
      <c r="AW242" s="439"/>
      <c r="AX242" s="439"/>
      <c r="AY242" s="439"/>
      <c r="AZ242" s="439"/>
      <c r="BA242" s="932"/>
      <c r="BB242" s="439"/>
      <c r="BC242" s="439"/>
      <c r="BD242" s="439"/>
      <c r="BE242" s="439"/>
      <c r="BF242" s="439"/>
      <c r="BG242" s="932"/>
      <c r="BH242" s="439"/>
      <c r="BI242" s="439"/>
      <c r="BJ242" s="439"/>
      <c r="BK242" s="439"/>
      <c r="BL242" s="439"/>
      <c r="BM242" s="932"/>
      <c r="BN242" s="439"/>
      <c r="BO242" s="439"/>
      <c r="BP242" s="439"/>
      <c r="BQ242" s="439"/>
      <c r="BR242" s="439"/>
    </row>
    <row r="243" ht="15.75" customHeight="1">
      <c r="A243" s="439"/>
      <c r="B243" s="439"/>
      <c r="C243" s="439"/>
      <c r="D243" s="439"/>
      <c r="E243" s="932"/>
      <c r="F243" s="439"/>
      <c r="G243" s="439"/>
      <c r="H243" s="439"/>
      <c r="I243" s="439"/>
      <c r="J243" s="439"/>
      <c r="K243" s="932"/>
      <c r="L243" s="439"/>
      <c r="M243" s="439"/>
      <c r="N243" s="439"/>
      <c r="O243" s="439"/>
      <c r="P243" s="439"/>
      <c r="Q243" s="932"/>
      <c r="R243" s="439"/>
      <c r="S243" s="439"/>
      <c r="T243" s="439"/>
      <c r="U243" s="439"/>
      <c r="V243" s="439"/>
      <c r="W243" s="932"/>
      <c r="X243" s="439"/>
      <c r="Y243" s="439"/>
      <c r="Z243" s="439"/>
      <c r="AA243" s="439"/>
      <c r="AB243" s="439"/>
      <c r="AC243" s="932"/>
      <c r="AD243" s="439"/>
      <c r="AE243" s="439"/>
      <c r="AF243" s="439"/>
      <c r="AG243" s="439"/>
      <c r="AH243" s="439"/>
      <c r="AI243" s="932"/>
      <c r="AJ243" s="439"/>
      <c r="AK243" s="439"/>
      <c r="AL243" s="439"/>
      <c r="AM243" s="439"/>
      <c r="AN243" s="439"/>
      <c r="AO243" s="932"/>
      <c r="AP243" s="439"/>
      <c r="AQ243" s="439"/>
      <c r="AR243" s="439"/>
      <c r="AS243" s="439"/>
      <c r="AT243" s="439"/>
      <c r="AU243" s="932"/>
      <c r="AV243" s="439"/>
      <c r="AW243" s="439"/>
      <c r="AX243" s="439"/>
      <c r="AY243" s="439"/>
      <c r="AZ243" s="439"/>
      <c r="BA243" s="932"/>
      <c r="BB243" s="439"/>
      <c r="BC243" s="439"/>
      <c r="BD243" s="439"/>
      <c r="BE243" s="439"/>
      <c r="BF243" s="439"/>
      <c r="BG243" s="932"/>
      <c r="BH243" s="439"/>
      <c r="BI243" s="439"/>
      <c r="BJ243" s="439"/>
      <c r="BK243" s="439"/>
      <c r="BL243" s="439"/>
      <c r="BM243" s="932"/>
      <c r="BN243" s="439"/>
      <c r="BO243" s="439"/>
      <c r="BP243" s="439"/>
      <c r="BQ243" s="439"/>
      <c r="BR243" s="439"/>
    </row>
    <row r="244" ht="15.75" customHeight="1">
      <c r="A244" s="439"/>
      <c r="B244" s="439"/>
      <c r="C244" s="439"/>
      <c r="D244" s="439"/>
      <c r="E244" s="932"/>
      <c r="F244" s="439"/>
      <c r="G244" s="439"/>
      <c r="H244" s="439"/>
      <c r="I244" s="439"/>
      <c r="J244" s="439"/>
      <c r="K244" s="932"/>
      <c r="L244" s="439"/>
      <c r="M244" s="439"/>
      <c r="N244" s="439"/>
      <c r="O244" s="439"/>
      <c r="P244" s="439"/>
      <c r="Q244" s="932"/>
      <c r="R244" s="439"/>
      <c r="S244" s="439"/>
      <c r="T244" s="439"/>
      <c r="U244" s="439"/>
      <c r="V244" s="439"/>
      <c r="W244" s="932"/>
      <c r="X244" s="439"/>
      <c r="Y244" s="439"/>
      <c r="Z244" s="439"/>
      <c r="AA244" s="439"/>
      <c r="AB244" s="439"/>
      <c r="AC244" s="932"/>
      <c r="AD244" s="439"/>
      <c r="AE244" s="439"/>
      <c r="AF244" s="439"/>
      <c r="AG244" s="439"/>
      <c r="AH244" s="439"/>
      <c r="AI244" s="932"/>
      <c r="AJ244" s="439"/>
      <c r="AK244" s="439"/>
      <c r="AL244" s="439"/>
      <c r="AM244" s="439"/>
      <c r="AN244" s="439"/>
      <c r="AO244" s="932"/>
      <c r="AP244" s="439"/>
      <c r="AQ244" s="439"/>
      <c r="AR244" s="439"/>
      <c r="AS244" s="439"/>
      <c r="AT244" s="439"/>
      <c r="AU244" s="932"/>
      <c r="AV244" s="439"/>
      <c r="AW244" s="439"/>
      <c r="AX244" s="439"/>
      <c r="AY244" s="439"/>
      <c r="AZ244" s="439"/>
      <c r="BA244" s="932"/>
      <c r="BB244" s="439"/>
      <c r="BC244" s="439"/>
      <c r="BD244" s="439"/>
      <c r="BE244" s="439"/>
      <c r="BF244" s="439"/>
      <c r="BG244" s="932"/>
      <c r="BH244" s="439"/>
      <c r="BI244" s="439"/>
      <c r="BJ244" s="439"/>
      <c r="BK244" s="439"/>
      <c r="BL244" s="439"/>
      <c r="BM244" s="932"/>
      <c r="BN244" s="439"/>
      <c r="BO244" s="439"/>
      <c r="BP244" s="439"/>
      <c r="BQ244" s="439"/>
      <c r="BR244" s="439"/>
    </row>
    <row r="245" ht="15.75" customHeight="1">
      <c r="A245" s="439"/>
      <c r="B245" s="439"/>
      <c r="C245" s="439"/>
      <c r="D245" s="439"/>
      <c r="E245" s="932"/>
      <c r="F245" s="439"/>
      <c r="G245" s="439"/>
      <c r="H245" s="439"/>
      <c r="I245" s="439"/>
      <c r="J245" s="439"/>
      <c r="K245" s="932"/>
      <c r="L245" s="439"/>
      <c r="M245" s="439"/>
      <c r="N245" s="439"/>
      <c r="O245" s="439"/>
      <c r="P245" s="439"/>
      <c r="Q245" s="932"/>
      <c r="R245" s="439"/>
      <c r="S245" s="439"/>
      <c r="T245" s="439"/>
      <c r="U245" s="439"/>
      <c r="V245" s="439"/>
      <c r="W245" s="932"/>
      <c r="X245" s="439"/>
      <c r="Y245" s="439"/>
      <c r="Z245" s="439"/>
      <c r="AA245" s="439"/>
      <c r="AB245" s="439"/>
      <c r="AC245" s="932"/>
      <c r="AD245" s="439"/>
      <c r="AE245" s="439"/>
      <c r="AF245" s="439"/>
      <c r="AG245" s="439"/>
      <c r="AH245" s="439"/>
      <c r="AI245" s="932"/>
      <c r="AJ245" s="439"/>
      <c r="AK245" s="439"/>
      <c r="AL245" s="439"/>
      <c r="AM245" s="439"/>
      <c r="AN245" s="439"/>
      <c r="AO245" s="932"/>
      <c r="AP245" s="439"/>
      <c r="AQ245" s="439"/>
      <c r="AR245" s="439"/>
      <c r="AS245" s="439"/>
      <c r="AT245" s="439"/>
      <c r="AU245" s="932"/>
      <c r="AV245" s="439"/>
      <c r="AW245" s="439"/>
      <c r="AX245" s="439"/>
      <c r="AY245" s="439"/>
      <c r="AZ245" s="439"/>
      <c r="BA245" s="932"/>
      <c r="BB245" s="439"/>
      <c r="BC245" s="439"/>
      <c r="BD245" s="439"/>
      <c r="BE245" s="439"/>
      <c r="BF245" s="439"/>
      <c r="BG245" s="932"/>
      <c r="BH245" s="439"/>
      <c r="BI245" s="439"/>
      <c r="BJ245" s="439"/>
      <c r="BK245" s="439"/>
      <c r="BL245" s="439"/>
      <c r="BM245" s="932"/>
      <c r="BN245" s="439"/>
      <c r="BO245" s="439"/>
      <c r="BP245" s="439"/>
      <c r="BQ245" s="439"/>
      <c r="BR245" s="439"/>
    </row>
    <row r="246" ht="15.75" customHeight="1">
      <c r="A246" s="439"/>
      <c r="B246" s="439"/>
      <c r="C246" s="439"/>
      <c r="D246" s="439"/>
      <c r="E246" s="932"/>
      <c r="F246" s="439"/>
      <c r="G246" s="439"/>
      <c r="H246" s="439"/>
      <c r="I246" s="439"/>
      <c r="J246" s="439"/>
      <c r="K246" s="932"/>
      <c r="L246" s="439"/>
      <c r="M246" s="439"/>
      <c r="N246" s="439"/>
      <c r="O246" s="439"/>
      <c r="P246" s="439"/>
      <c r="Q246" s="932"/>
      <c r="R246" s="439"/>
      <c r="S246" s="439"/>
      <c r="T246" s="439"/>
      <c r="U246" s="439"/>
      <c r="V246" s="439"/>
      <c r="W246" s="932"/>
      <c r="X246" s="439"/>
      <c r="Y246" s="439"/>
      <c r="Z246" s="439"/>
      <c r="AA246" s="439"/>
      <c r="AB246" s="439"/>
      <c r="AC246" s="932"/>
      <c r="AD246" s="439"/>
      <c r="AE246" s="439"/>
      <c r="AF246" s="439"/>
      <c r="AG246" s="439"/>
      <c r="AH246" s="439"/>
      <c r="AI246" s="932"/>
      <c r="AJ246" s="439"/>
      <c r="AK246" s="439"/>
      <c r="AL246" s="439"/>
      <c r="AM246" s="439"/>
      <c r="AN246" s="439"/>
      <c r="AO246" s="932"/>
      <c r="AP246" s="439"/>
      <c r="AQ246" s="439"/>
      <c r="AR246" s="439"/>
      <c r="AS246" s="439"/>
      <c r="AT246" s="439"/>
      <c r="AU246" s="932"/>
      <c r="AV246" s="439"/>
      <c r="AW246" s="439"/>
      <c r="AX246" s="439"/>
      <c r="AY246" s="439"/>
      <c r="AZ246" s="439"/>
      <c r="BA246" s="932"/>
      <c r="BB246" s="439"/>
      <c r="BC246" s="439"/>
      <c r="BD246" s="439"/>
      <c r="BE246" s="439"/>
      <c r="BF246" s="439"/>
      <c r="BG246" s="932"/>
      <c r="BH246" s="439"/>
      <c r="BI246" s="439"/>
      <c r="BJ246" s="439"/>
      <c r="BK246" s="439"/>
      <c r="BL246" s="439"/>
      <c r="BM246" s="932"/>
      <c r="BN246" s="439"/>
      <c r="BO246" s="439"/>
      <c r="BP246" s="439"/>
      <c r="BQ246" s="439"/>
      <c r="BR246" s="439"/>
    </row>
    <row r="247" ht="15.75" customHeight="1">
      <c r="A247" s="439"/>
      <c r="B247" s="439"/>
      <c r="C247" s="439"/>
      <c r="D247" s="439"/>
      <c r="E247" s="932"/>
      <c r="F247" s="439"/>
      <c r="G247" s="439"/>
      <c r="H247" s="439"/>
      <c r="I247" s="439"/>
      <c r="J247" s="439"/>
      <c r="K247" s="932"/>
      <c r="L247" s="439"/>
      <c r="M247" s="439"/>
      <c r="N247" s="439"/>
      <c r="O247" s="439"/>
      <c r="P247" s="439"/>
      <c r="Q247" s="932"/>
      <c r="R247" s="439"/>
      <c r="S247" s="439"/>
      <c r="T247" s="439"/>
      <c r="U247" s="439"/>
      <c r="V247" s="439"/>
      <c r="W247" s="932"/>
      <c r="X247" s="439"/>
      <c r="Y247" s="439"/>
      <c r="Z247" s="439"/>
      <c r="AA247" s="439"/>
      <c r="AB247" s="439"/>
      <c r="AC247" s="932"/>
      <c r="AD247" s="439"/>
      <c r="AE247" s="439"/>
      <c r="AF247" s="439"/>
      <c r="AG247" s="439"/>
      <c r="AH247" s="439"/>
      <c r="AI247" s="932"/>
      <c r="AJ247" s="439"/>
      <c r="AK247" s="439"/>
      <c r="AL247" s="439"/>
      <c r="AM247" s="439"/>
      <c r="AN247" s="439"/>
      <c r="AO247" s="932"/>
      <c r="AP247" s="439"/>
      <c r="AQ247" s="439"/>
      <c r="AR247" s="439"/>
      <c r="AS247" s="439"/>
      <c r="AT247" s="439"/>
      <c r="AU247" s="932"/>
      <c r="AV247" s="439"/>
      <c r="AW247" s="439"/>
      <c r="AX247" s="439"/>
      <c r="AY247" s="439"/>
      <c r="AZ247" s="439"/>
      <c r="BA247" s="932"/>
      <c r="BB247" s="439"/>
      <c r="BC247" s="439"/>
      <c r="BD247" s="439"/>
      <c r="BE247" s="439"/>
      <c r="BF247" s="439"/>
      <c r="BG247" s="932"/>
      <c r="BH247" s="439"/>
      <c r="BI247" s="439"/>
      <c r="BJ247" s="439"/>
      <c r="BK247" s="439"/>
      <c r="BL247" s="439"/>
      <c r="BM247" s="932"/>
      <c r="BN247" s="439"/>
      <c r="BO247" s="439"/>
      <c r="BP247" s="439"/>
      <c r="BQ247" s="439"/>
      <c r="BR247" s="439"/>
    </row>
    <row r="248" ht="15.75" customHeight="1">
      <c r="A248" s="439"/>
      <c r="B248" s="439"/>
      <c r="C248" s="439"/>
      <c r="D248" s="439"/>
      <c r="E248" s="932"/>
      <c r="F248" s="439"/>
      <c r="G248" s="439"/>
      <c r="H248" s="439"/>
      <c r="I248" s="439"/>
      <c r="J248" s="439"/>
      <c r="K248" s="932"/>
      <c r="L248" s="439"/>
      <c r="M248" s="439"/>
      <c r="N248" s="439"/>
      <c r="O248" s="439"/>
      <c r="P248" s="439"/>
      <c r="Q248" s="932"/>
      <c r="R248" s="439"/>
      <c r="S248" s="439"/>
      <c r="T248" s="439"/>
      <c r="U248" s="439"/>
      <c r="V248" s="439"/>
      <c r="W248" s="932"/>
      <c r="X248" s="439"/>
      <c r="Y248" s="439"/>
      <c r="Z248" s="439"/>
      <c r="AA248" s="439"/>
      <c r="AB248" s="439"/>
      <c r="AC248" s="932"/>
      <c r="AD248" s="439"/>
      <c r="AE248" s="439"/>
      <c r="AF248" s="439"/>
      <c r="AG248" s="439"/>
      <c r="AH248" s="439"/>
      <c r="AI248" s="932"/>
      <c r="AJ248" s="439"/>
      <c r="AK248" s="439"/>
      <c r="AL248" s="439"/>
      <c r="AM248" s="439"/>
      <c r="AN248" s="439"/>
      <c r="AO248" s="932"/>
      <c r="AP248" s="439"/>
      <c r="AQ248" s="439"/>
      <c r="AR248" s="439"/>
      <c r="AS248" s="439"/>
      <c r="AT248" s="439"/>
      <c r="AU248" s="932"/>
      <c r="AV248" s="439"/>
      <c r="AW248" s="439"/>
      <c r="AX248" s="439"/>
      <c r="AY248" s="439"/>
      <c r="AZ248" s="439"/>
      <c r="BA248" s="932"/>
      <c r="BB248" s="439"/>
      <c r="BC248" s="439"/>
      <c r="BD248" s="439"/>
      <c r="BE248" s="439"/>
      <c r="BF248" s="439"/>
      <c r="BG248" s="932"/>
      <c r="BH248" s="439"/>
      <c r="BI248" s="439"/>
      <c r="BJ248" s="439"/>
      <c r="BK248" s="439"/>
      <c r="BL248" s="439"/>
      <c r="BM248" s="932"/>
      <c r="BN248" s="439"/>
      <c r="BO248" s="439"/>
      <c r="BP248" s="439"/>
      <c r="BQ248" s="439"/>
      <c r="BR248" s="439"/>
    </row>
    <row r="249" ht="15.75" customHeight="1">
      <c r="A249" s="439"/>
      <c r="B249" s="439"/>
      <c r="C249" s="439"/>
      <c r="D249" s="439"/>
      <c r="E249" s="932"/>
      <c r="F249" s="439"/>
      <c r="G249" s="439"/>
      <c r="H249" s="439"/>
      <c r="I249" s="439"/>
      <c r="J249" s="439"/>
      <c r="K249" s="932"/>
      <c r="L249" s="439"/>
      <c r="M249" s="439"/>
      <c r="N249" s="439"/>
      <c r="O249" s="439"/>
      <c r="P249" s="439"/>
      <c r="Q249" s="932"/>
      <c r="R249" s="439"/>
      <c r="S249" s="439"/>
      <c r="T249" s="439"/>
      <c r="U249" s="439"/>
      <c r="V249" s="439"/>
      <c r="W249" s="932"/>
      <c r="X249" s="439"/>
      <c r="Y249" s="439"/>
      <c r="Z249" s="439"/>
      <c r="AA249" s="439"/>
      <c r="AB249" s="439"/>
      <c r="AC249" s="932"/>
      <c r="AD249" s="439"/>
      <c r="AE249" s="439"/>
      <c r="AF249" s="439"/>
      <c r="AG249" s="439"/>
      <c r="AH249" s="439"/>
      <c r="AI249" s="932"/>
      <c r="AJ249" s="439"/>
      <c r="AK249" s="439"/>
      <c r="AL249" s="439"/>
      <c r="AM249" s="439"/>
      <c r="AN249" s="439"/>
      <c r="AO249" s="932"/>
      <c r="AP249" s="439"/>
      <c r="AQ249" s="439"/>
      <c r="AR249" s="439"/>
      <c r="AS249" s="439"/>
      <c r="AT249" s="439"/>
      <c r="AU249" s="932"/>
      <c r="AV249" s="439"/>
      <c r="AW249" s="439"/>
      <c r="AX249" s="439"/>
      <c r="AY249" s="439"/>
      <c r="AZ249" s="439"/>
      <c r="BA249" s="932"/>
      <c r="BB249" s="439"/>
      <c r="BC249" s="439"/>
      <c r="BD249" s="439"/>
      <c r="BE249" s="439"/>
      <c r="BF249" s="439"/>
      <c r="BG249" s="932"/>
      <c r="BH249" s="439"/>
      <c r="BI249" s="439"/>
      <c r="BJ249" s="439"/>
      <c r="BK249" s="439"/>
      <c r="BL249" s="439"/>
      <c r="BM249" s="932"/>
      <c r="BN249" s="439"/>
      <c r="BO249" s="439"/>
      <c r="BP249" s="439"/>
      <c r="BQ249" s="439"/>
      <c r="BR249" s="439"/>
    </row>
    <row r="250" ht="15.75" customHeight="1">
      <c r="A250" s="439"/>
      <c r="B250" s="439"/>
      <c r="C250" s="439"/>
      <c r="D250" s="439"/>
      <c r="E250" s="932"/>
      <c r="F250" s="439"/>
      <c r="G250" s="439"/>
      <c r="H250" s="439"/>
      <c r="I250" s="439"/>
      <c r="J250" s="439"/>
      <c r="K250" s="932"/>
      <c r="L250" s="439"/>
      <c r="M250" s="439"/>
      <c r="N250" s="439"/>
      <c r="O250" s="439"/>
      <c r="P250" s="439"/>
      <c r="Q250" s="932"/>
      <c r="R250" s="439"/>
      <c r="S250" s="439"/>
      <c r="T250" s="439"/>
      <c r="U250" s="439"/>
      <c r="V250" s="439"/>
      <c r="W250" s="932"/>
      <c r="X250" s="439"/>
      <c r="Y250" s="439"/>
      <c r="Z250" s="439"/>
      <c r="AA250" s="439"/>
      <c r="AB250" s="439"/>
      <c r="AC250" s="932"/>
      <c r="AD250" s="439"/>
      <c r="AE250" s="439"/>
      <c r="AF250" s="439"/>
      <c r="AG250" s="439"/>
      <c r="AH250" s="439"/>
      <c r="AI250" s="932"/>
      <c r="AJ250" s="439"/>
      <c r="AK250" s="439"/>
      <c r="AL250" s="439"/>
      <c r="AM250" s="439"/>
      <c r="AN250" s="439"/>
      <c r="AO250" s="932"/>
      <c r="AP250" s="439"/>
      <c r="AQ250" s="439"/>
      <c r="AR250" s="439"/>
      <c r="AS250" s="439"/>
      <c r="AT250" s="439"/>
      <c r="AU250" s="932"/>
      <c r="AV250" s="439"/>
      <c r="AW250" s="439"/>
      <c r="AX250" s="439"/>
      <c r="AY250" s="439"/>
      <c r="AZ250" s="439"/>
      <c r="BA250" s="932"/>
      <c r="BB250" s="439"/>
      <c r="BC250" s="439"/>
      <c r="BD250" s="439"/>
      <c r="BE250" s="439"/>
      <c r="BF250" s="439"/>
      <c r="BG250" s="932"/>
      <c r="BH250" s="439"/>
      <c r="BI250" s="439"/>
      <c r="BJ250" s="439"/>
      <c r="BK250" s="439"/>
      <c r="BL250" s="439"/>
      <c r="BM250" s="932"/>
      <c r="BN250" s="439"/>
      <c r="BO250" s="439"/>
      <c r="BP250" s="439"/>
      <c r="BQ250" s="439"/>
      <c r="BR250" s="439"/>
    </row>
    <row r="251" ht="15.75" customHeight="1">
      <c r="A251" s="439"/>
      <c r="B251" s="439"/>
      <c r="C251" s="439"/>
      <c r="D251" s="439"/>
      <c r="E251" s="932"/>
      <c r="F251" s="439"/>
      <c r="G251" s="439"/>
      <c r="H251" s="439"/>
      <c r="I251" s="439"/>
      <c r="J251" s="439"/>
      <c r="K251" s="932"/>
      <c r="L251" s="439"/>
      <c r="M251" s="439"/>
      <c r="N251" s="439"/>
      <c r="O251" s="439"/>
      <c r="P251" s="439"/>
      <c r="Q251" s="932"/>
      <c r="R251" s="439"/>
      <c r="S251" s="439"/>
      <c r="T251" s="439"/>
      <c r="U251" s="439"/>
      <c r="V251" s="439"/>
      <c r="W251" s="932"/>
      <c r="X251" s="439"/>
      <c r="Y251" s="439"/>
      <c r="Z251" s="439"/>
      <c r="AA251" s="439"/>
      <c r="AB251" s="439"/>
      <c r="AC251" s="932"/>
      <c r="AD251" s="439"/>
      <c r="AE251" s="439"/>
      <c r="AF251" s="439"/>
      <c r="AG251" s="439"/>
      <c r="AH251" s="439"/>
      <c r="AI251" s="932"/>
      <c r="AJ251" s="439"/>
      <c r="AK251" s="439"/>
      <c r="AL251" s="439"/>
      <c r="AM251" s="439"/>
      <c r="AN251" s="439"/>
      <c r="AO251" s="932"/>
      <c r="AP251" s="439"/>
      <c r="AQ251" s="439"/>
      <c r="AR251" s="439"/>
      <c r="AS251" s="439"/>
      <c r="AT251" s="439"/>
      <c r="AU251" s="932"/>
      <c r="AV251" s="439"/>
      <c r="AW251" s="439"/>
      <c r="AX251" s="439"/>
      <c r="AY251" s="439"/>
      <c r="AZ251" s="439"/>
      <c r="BA251" s="932"/>
      <c r="BB251" s="439"/>
      <c r="BC251" s="439"/>
      <c r="BD251" s="439"/>
      <c r="BE251" s="439"/>
      <c r="BF251" s="439"/>
      <c r="BG251" s="932"/>
      <c r="BH251" s="439"/>
      <c r="BI251" s="439"/>
      <c r="BJ251" s="439"/>
      <c r="BK251" s="439"/>
      <c r="BL251" s="439"/>
      <c r="BM251" s="932"/>
      <c r="BN251" s="439"/>
      <c r="BO251" s="439"/>
      <c r="BP251" s="439"/>
      <c r="BQ251" s="439"/>
      <c r="BR251" s="439"/>
    </row>
    <row r="252" ht="15.75" customHeight="1">
      <c r="A252" s="439"/>
      <c r="B252" s="439"/>
      <c r="C252" s="439"/>
      <c r="D252" s="439"/>
      <c r="E252" s="932"/>
      <c r="F252" s="439"/>
      <c r="G252" s="439"/>
      <c r="H252" s="439"/>
      <c r="I252" s="439"/>
      <c r="J252" s="439"/>
      <c r="K252" s="932"/>
      <c r="L252" s="439"/>
      <c r="M252" s="439"/>
      <c r="N252" s="439"/>
      <c r="O252" s="439"/>
      <c r="P252" s="439"/>
      <c r="Q252" s="932"/>
      <c r="R252" s="439"/>
      <c r="S252" s="439"/>
      <c r="T252" s="439"/>
      <c r="U252" s="439"/>
      <c r="V252" s="439"/>
      <c r="W252" s="932"/>
      <c r="X252" s="439"/>
      <c r="Y252" s="439"/>
      <c r="Z252" s="439"/>
      <c r="AA252" s="439"/>
      <c r="AB252" s="439"/>
      <c r="AC252" s="932"/>
      <c r="AD252" s="439"/>
      <c r="AE252" s="439"/>
      <c r="AF252" s="439"/>
      <c r="AG252" s="439"/>
      <c r="AH252" s="439"/>
      <c r="AI252" s="932"/>
      <c r="AJ252" s="439"/>
      <c r="AK252" s="439"/>
      <c r="AL252" s="439"/>
      <c r="AM252" s="439"/>
      <c r="AN252" s="439"/>
      <c r="AO252" s="932"/>
      <c r="AP252" s="439"/>
      <c r="AQ252" s="439"/>
      <c r="AR252" s="439"/>
      <c r="AS252" s="439"/>
      <c r="AT252" s="439"/>
      <c r="AU252" s="932"/>
      <c r="AV252" s="439"/>
      <c r="AW252" s="439"/>
      <c r="AX252" s="439"/>
      <c r="AY252" s="439"/>
      <c r="AZ252" s="439"/>
      <c r="BA252" s="932"/>
      <c r="BB252" s="439"/>
      <c r="BC252" s="439"/>
      <c r="BD252" s="439"/>
      <c r="BE252" s="439"/>
      <c r="BF252" s="439"/>
      <c r="BG252" s="932"/>
      <c r="BH252" s="439"/>
      <c r="BI252" s="439"/>
      <c r="BJ252" s="439"/>
      <c r="BK252" s="439"/>
      <c r="BL252" s="439"/>
      <c r="BM252" s="932"/>
      <c r="BN252" s="439"/>
      <c r="BO252" s="439"/>
      <c r="BP252" s="439"/>
      <c r="BQ252" s="439"/>
      <c r="BR252" s="439"/>
    </row>
    <row r="253" ht="15.75" customHeight="1">
      <c r="A253" s="439"/>
      <c r="B253" s="439"/>
      <c r="C253" s="439"/>
      <c r="D253" s="439"/>
      <c r="E253" s="932"/>
      <c r="F253" s="439"/>
      <c r="G253" s="439"/>
      <c r="H253" s="439"/>
      <c r="I253" s="439"/>
      <c r="J253" s="439"/>
      <c r="K253" s="932"/>
      <c r="L253" s="439"/>
      <c r="M253" s="439"/>
      <c r="N253" s="439"/>
      <c r="O253" s="439"/>
      <c r="P253" s="439"/>
      <c r="Q253" s="932"/>
      <c r="R253" s="439"/>
      <c r="S253" s="439"/>
      <c r="T253" s="439"/>
      <c r="U253" s="439"/>
      <c r="V253" s="439"/>
      <c r="W253" s="932"/>
      <c r="X253" s="439"/>
      <c r="Y253" s="439"/>
      <c r="Z253" s="439"/>
      <c r="AA253" s="439"/>
      <c r="AB253" s="439"/>
      <c r="AC253" s="932"/>
      <c r="AD253" s="439"/>
      <c r="AE253" s="439"/>
      <c r="AF253" s="439"/>
      <c r="AG253" s="439"/>
      <c r="AH253" s="439"/>
      <c r="AI253" s="932"/>
      <c r="AJ253" s="439"/>
      <c r="AK253" s="439"/>
      <c r="AL253" s="439"/>
      <c r="AM253" s="439"/>
      <c r="AN253" s="439"/>
      <c r="AO253" s="932"/>
      <c r="AP253" s="439"/>
      <c r="AQ253" s="439"/>
      <c r="AR253" s="439"/>
      <c r="AS253" s="439"/>
      <c r="AT253" s="439"/>
      <c r="AU253" s="932"/>
      <c r="AV253" s="439"/>
      <c r="AW253" s="439"/>
      <c r="AX253" s="439"/>
      <c r="AY253" s="439"/>
      <c r="AZ253" s="439"/>
      <c r="BA253" s="932"/>
      <c r="BB253" s="439"/>
      <c r="BC253" s="439"/>
      <c r="BD253" s="439"/>
      <c r="BE253" s="439"/>
      <c r="BF253" s="439"/>
      <c r="BG253" s="932"/>
      <c r="BH253" s="439"/>
      <c r="BI253" s="439"/>
      <c r="BJ253" s="439"/>
      <c r="BK253" s="439"/>
      <c r="BL253" s="439"/>
      <c r="BM253" s="932"/>
      <c r="BN253" s="439"/>
      <c r="BO253" s="439"/>
      <c r="BP253" s="439"/>
      <c r="BQ253" s="439"/>
      <c r="BR253" s="439"/>
    </row>
    <row r="254" ht="15.75" customHeight="1">
      <c r="A254" s="439"/>
      <c r="B254" s="439"/>
      <c r="C254" s="439"/>
      <c r="D254" s="439"/>
      <c r="E254" s="932"/>
      <c r="F254" s="439"/>
      <c r="G254" s="439"/>
      <c r="H254" s="439"/>
      <c r="I254" s="439"/>
      <c r="J254" s="439"/>
      <c r="K254" s="932"/>
      <c r="L254" s="439"/>
      <c r="M254" s="439"/>
      <c r="N254" s="439"/>
      <c r="O254" s="439"/>
      <c r="P254" s="439"/>
      <c r="Q254" s="932"/>
      <c r="R254" s="439"/>
      <c r="S254" s="439"/>
      <c r="T254" s="439"/>
      <c r="U254" s="439"/>
      <c r="V254" s="439"/>
      <c r="W254" s="932"/>
      <c r="X254" s="439"/>
      <c r="Y254" s="439"/>
      <c r="Z254" s="439"/>
      <c r="AA254" s="439"/>
      <c r="AB254" s="439"/>
      <c r="AC254" s="932"/>
      <c r="AD254" s="439"/>
      <c r="AE254" s="439"/>
      <c r="AF254" s="439"/>
      <c r="AG254" s="439"/>
      <c r="AH254" s="439"/>
      <c r="AI254" s="932"/>
      <c r="AJ254" s="439"/>
      <c r="AK254" s="439"/>
      <c r="AL254" s="439"/>
      <c r="AM254" s="439"/>
      <c r="AN254" s="439"/>
      <c r="AO254" s="932"/>
      <c r="AP254" s="439"/>
      <c r="AQ254" s="439"/>
      <c r="AR254" s="439"/>
      <c r="AS254" s="439"/>
      <c r="AT254" s="439"/>
      <c r="AU254" s="932"/>
      <c r="AV254" s="439"/>
      <c r="AW254" s="439"/>
      <c r="AX254" s="439"/>
      <c r="AY254" s="439"/>
      <c r="AZ254" s="439"/>
      <c r="BA254" s="932"/>
      <c r="BB254" s="439"/>
      <c r="BC254" s="439"/>
      <c r="BD254" s="439"/>
      <c r="BE254" s="439"/>
      <c r="BF254" s="439"/>
      <c r="BG254" s="932"/>
      <c r="BH254" s="439"/>
      <c r="BI254" s="439"/>
      <c r="BJ254" s="439"/>
      <c r="BK254" s="439"/>
      <c r="BL254" s="439"/>
      <c r="BM254" s="932"/>
      <c r="BN254" s="439"/>
      <c r="BO254" s="439"/>
      <c r="BP254" s="439"/>
      <c r="BQ254" s="439"/>
      <c r="BR254" s="439"/>
    </row>
    <row r="255" ht="15.75" customHeight="1">
      <c r="A255" s="439"/>
      <c r="B255" s="439"/>
      <c r="C255" s="439"/>
      <c r="D255" s="439"/>
      <c r="E255" s="932"/>
      <c r="F255" s="439"/>
      <c r="G255" s="439"/>
      <c r="H255" s="439"/>
      <c r="I255" s="439"/>
      <c r="J255" s="439"/>
      <c r="K255" s="932"/>
      <c r="L255" s="439"/>
      <c r="M255" s="439"/>
      <c r="N255" s="439"/>
      <c r="O255" s="439"/>
      <c r="P255" s="439"/>
      <c r="Q255" s="932"/>
      <c r="R255" s="439"/>
      <c r="S255" s="439"/>
      <c r="T255" s="439"/>
      <c r="U255" s="439"/>
      <c r="V255" s="439"/>
      <c r="W255" s="932"/>
      <c r="X255" s="439"/>
      <c r="Y255" s="439"/>
      <c r="Z255" s="439"/>
      <c r="AA255" s="439"/>
      <c r="AB255" s="439"/>
      <c r="AC255" s="932"/>
      <c r="AD255" s="439"/>
      <c r="AE255" s="439"/>
      <c r="AF255" s="439"/>
      <c r="AG255" s="439"/>
      <c r="AH255" s="439"/>
      <c r="AI255" s="932"/>
      <c r="AJ255" s="439"/>
      <c r="AK255" s="439"/>
      <c r="AL255" s="439"/>
      <c r="AM255" s="439"/>
      <c r="AN255" s="439"/>
      <c r="AO255" s="932"/>
      <c r="AP255" s="439"/>
      <c r="AQ255" s="439"/>
      <c r="AR255" s="439"/>
      <c r="AS255" s="439"/>
      <c r="AT255" s="439"/>
      <c r="AU255" s="932"/>
      <c r="AV255" s="439"/>
      <c r="AW255" s="439"/>
      <c r="AX255" s="439"/>
      <c r="AY255" s="439"/>
      <c r="AZ255" s="439"/>
      <c r="BA255" s="932"/>
      <c r="BB255" s="439"/>
      <c r="BC255" s="439"/>
      <c r="BD255" s="439"/>
      <c r="BE255" s="439"/>
      <c r="BF255" s="439"/>
      <c r="BG255" s="932"/>
      <c r="BH255" s="439"/>
      <c r="BI255" s="439"/>
      <c r="BJ255" s="439"/>
      <c r="BK255" s="439"/>
      <c r="BL255" s="439"/>
      <c r="BM255" s="932"/>
      <c r="BN255" s="439"/>
      <c r="BO255" s="439"/>
      <c r="BP255" s="439"/>
      <c r="BQ255" s="439"/>
      <c r="BR255" s="439"/>
    </row>
    <row r="256" ht="15.75" customHeight="1">
      <c r="A256" s="439"/>
      <c r="B256" s="439"/>
      <c r="C256" s="439"/>
      <c r="D256" s="439"/>
      <c r="E256" s="932"/>
      <c r="F256" s="439"/>
      <c r="G256" s="439"/>
      <c r="H256" s="439"/>
      <c r="I256" s="439"/>
      <c r="J256" s="439"/>
      <c r="K256" s="932"/>
      <c r="L256" s="439"/>
      <c r="M256" s="439"/>
      <c r="N256" s="439"/>
      <c r="O256" s="439"/>
      <c r="P256" s="439"/>
      <c r="Q256" s="932"/>
      <c r="R256" s="439"/>
      <c r="S256" s="439"/>
      <c r="T256" s="439"/>
      <c r="U256" s="439"/>
      <c r="V256" s="439"/>
      <c r="W256" s="932"/>
      <c r="X256" s="439"/>
      <c r="Y256" s="439"/>
      <c r="Z256" s="439"/>
      <c r="AA256" s="439"/>
      <c r="AB256" s="439"/>
      <c r="AC256" s="932"/>
      <c r="AD256" s="439"/>
      <c r="AE256" s="439"/>
      <c r="AF256" s="439"/>
      <c r="AG256" s="439"/>
      <c r="AH256" s="439"/>
      <c r="AI256" s="932"/>
      <c r="AJ256" s="439"/>
      <c r="AK256" s="439"/>
      <c r="AL256" s="439"/>
      <c r="AM256" s="439"/>
      <c r="AN256" s="439"/>
      <c r="AO256" s="932"/>
      <c r="AP256" s="439"/>
      <c r="AQ256" s="439"/>
      <c r="AR256" s="439"/>
      <c r="AS256" s="439"/>
      <c r="AT256" s="439"/>
      <c r="AU256" s="932"/>
      <c r="AV256" s="439"/>
      <c r="AW256" s="439"/>
      <c r="AX256" s="439"/>
      <c r="AY256" s="439"/>
      <c r="AZ256" s="439"/>
      <c r="BA256" s="932"/>
      <c r="BB256" s="439"/>
      <c r="BC256" s="439"/>
      <c r="BD256" s="439"/>
      <c r="BE256" s="439"/>
      <c r="BF256" s="439"/>
      <c r="BG256" s="932"/>
      <c r="BH256" s="439"/>
      <c r="BI256" s="439"/>
      <c r="BJ256" s="439"/>
      <c r="BK256" s="439"/>
      <c r="BL256" s="439"/>
      <c r="BM256" s="932"/>
      <c r="BN256" s="439"/>
      <c r="BO256" s="439"/>
      <c r="BP256" s="439"/>
      <c r="BQ256" s="439"/>
      <c r="BR256" s="439"/>
    </row>
    <row r="257" ht="15.75" customHeight="1">
      <c r="A257" s="439"/>
      <c r="B257" s="439"/>
      <c r="C257" s="439"/>
      <c r="D257" s="439"/>
      <c r="E257" s="932"/>
      <c r="F257" s="439"/>
      <c r="G257" s="439"/>
      <c r="H257" s="439"/>
      <c r="I257" s="439"/>
      <c r="J257" s="439"/>
      <c r="K257" s="932"/>
      <c r="L257" s="439"/>
      <c r="M257" s="439"/>
      <c r="N257" s="439"/>
      <c r="O257" s="439"/>
      <c r="P257" s="439"/>
      <c r="Q257" s="932"/>
      <c r="R257" s="439"/>
      <c r="S257" s="439"/>
      <c r="T257" s="439"/>
      <c r="U257" s="439"/>
      <c r="V257" s="439"/>
      <c r="W257" s="932"/>
      <c r="X257" s="439"/>
      <c r="Y257" s="439"/>
      <c r="Z257" s="439"/>
      <c r="AA257" s="439"/>
      <c r="AB257" s="439"/>
      <c r="AC257" s="932"/>
      <c r="AD257" s="439"/>
      <c r="AE257" s="439"/>
      <c r="AF257" s="439"/>
      <c r="AG257" s="439"/>
      <c r="AH257" s="439"/>
      <c r="AI257" s="932"/>
      <c r="AJ257" s="439"/>
      <c r="AK257" s="439"/>
      <c r="AL257" s="439"/>
      <c r="AM257" s="439"/>
      <c r="AN257" s="439"/>
      <c r="AO257" s="932"/>
      <c r="AP257" s="439"/>
      <c r="AQ257" s="439"/>
      <c r="AR257" s="439"/>
      <c r="AS257" s="439"/>
      <c r="AT257" s="439"/>
      <c r="AU257" s="932"/>
      <c r="AV257" s="439"/>
      <c r="AW257" s="439"/>
      <c r="AX257" s="439"/>
      <c r="AY257" s="439"/>
      <c r="AZ257" s="439"/>
      <c r="BA257" s="932"/>
      <c r="BB257" s="439"/>
      <c r="BC257" s="439"/>
      <c r="BD257" s="439"/>
      <c r="BE257" s="439"/>
      <c r="BF257" s="439"/>
      <c r="BG257" s="932"/>
      <c r="BH257" s="439"/>
      <c r="BI257" s="439"/>
      <c r="BJ257" s="439"/>
      <c r="BK257" s="439"/>
      <c r="BL257" s="439"/>
      <c r="BM257" s="932"/>
      <c r="BN257" s="439"/>
      <c r="BO257" s="439"/>
      <c r="BP257" s="439"/>
      <c r="BQ257" s="439"/>
      <c r="BR257" s="439"/>
    </row>
    <row r="258" ht="15.75" customHeight="1">
      <c r="A258" s="439"/>
      <c r="B258" s="439"/>
      <c r="C258" s="439"/>
      <c r="D258" s="439"/>
      <c r="E258" s="932"/>
      <c r="F258" s="439"/>
      <c r="G258" s="439"/>
      <c r="H258" s="439"/>
      <c r="I258" s="439"/>
      <c r="J258" s="439"/>
      <c r="K258" s="932"/>
      <c r="L258" s="439"/>
      <c r="M258" s="439"/>
      <c r="N258" s="439"/>
      <c r="O258" s="439"/>
      <c r="P258" s="439"/>
      <c r="Q258" s="932"/>
      <c r="R258" s="439"/>
      <c r="S258" s="439"/>
      <c r="T258" s="439"/>
      <c r="U258" s="439"/>
      <c r="V258" s="439"/>
      <c r="W258" s="932"/>
      <c r="X258" s="439"/>
      <c r="Y258" s="439"/>
      <c r="Z258" s="439"/>
      <c r="AA258" s="439"/>
      <c r="AB258" s="439"/>
      <c r="AC258" s="932"/>
      <c r="AD258" s="439"/>
      <c r="AE258" s="439"/>
      <c r="AF258" s="439"/>
      <c r="AG258" s="439"/>
      <c r="AH258" s="439"/>
      <c r="AI258" s="932"/>
      <c r="AJ258" s="439"/>
      <c r="AK258" s="439"/>
      <c r="AL258" s="439"/>
      <c r="AM258" s="439"/>
      <c r="AN258" s="439"/>
      <c r="AO258" s="932"/>
      <c r="AP258" s="439"/>
      <c r="AQ258" s="439"/>
      <c r="AR258" s="439"/>
      <c r="AS258" s="439"/>
      <c r="AT258" s="439"/>
      <c r="AU258" s="932"/>
      <c r="AV258" s="439"/>
      <c r="AW258" s="439"/>
      <c r="AX258" s="439"/>
      <c r="AY258" s="439"/>
      <c r="AZ258" s="439"/>
      <c r="BA258" s="932"/>
      <c r="BB258" s="439"/>
      <c r="BC258" s="439"/>
      <c r="BD258" s="439"/>
      <c r="BE258" s="439"/>
      <c r="BF258" s="439"/>
      <c r="BG258" s="932"/>
      <c r="BH258" s="439"/>
      <c r="BI258" s="439"/>
      <c r="BJ258" s="439"/>
      <c r="BK258" s="439"/>
      <c r="BL258" s="439"/>
      <c r="BM258" s="932"/>
      <c r="BN258" s="439"/>
      <c r="BO258" s="439"/>
      <c r="BP258" s="439"/>
      <c r="BQ258" s="439"/>
      <c r="BR258" s="439"/>
    </row>
    <row r="259" ht="15.75" customHeight="1">
      <c r="A259" s="439"/>
      <c r="B259" s="439"/>
      <c r="C259" s="439"/>
      <c r="D259" s="439"/>
      <c r="E259" s="932"/>
      <c r="F259" s="439"/>
      <c r="G259" s="439"/>
      <c r="H259" s="439"/>
      <c r="I259" s="439"/>
      <c r="J259" s="439"/>
      <c r="K259" s="932"/>
      <c r="L259" s="439"/>
      <c r="M259" s="439"/>
      <c r="N259" s="439"/>
      <c r="O259" s="439"/>
      <c r="P259" s="439"/>
      <c r="Q259" s="932"/>
      <c r="R259" s="439"/>
      <c r="S259" s="439"/>
      <c r="T259" s="439"/>
      <c r="U259" s="439"/>
      <c r="V259" s="439"/>
      <c r="W259" s="932"/>
      <c r="X259" s="439"/>
      <c r="Y259" s="439"/>
      <c r="Z259" s="439"/>
      <c r="AA259" s="439"/>
      <c r="AB259" s="439"/>
      <c r="AC259" s="932"/>
      <c r="AD259" s="439"/>
      <c r="AE259" s="439"/>
      <c r="AF259" s="439"/>
      <c r="AG259" s="439"/>
      <c r="AH259" s="439"/>
      <c r="AI259" s="932"/>
      <c r="AJ259" s="439"/>
      <c r="AK259" s="439"/>
      <c r="AL259" s="439"/>
      <c r="AM259" s="439"/>
      <c r="AN259" s="439"/>
      <c r="AO259" s="932"/>
      <c r="AP259" s="439"/>
      <c r="AQ259" s="439"/>
      <c r="AR259" s="439"/>
      <c r="AS259" s="439"/>
      <c r="AT259" s="439"/>
      <c r="AU259" s="932"/>
      <c r="AV259" s="439"/>
      <c r="AW259" s="439"/>
      <c r="AX259" s="439"/>
      <c r="AY259" s="439"/>
      <c r="AZ259" s="439"/>
      <c r="BA259" s="932"/>
      <c r="BB259" s="439"/>
      <c r="BC259" s="439"/>
      <c r="BD259" s="439"/>
      <c r="BE259" s="439"/>
      <c r="BF259" s="439"/>
      <c r="BG259" s="932"/>
      <c r="BH259" s="439"/>
      <c r="BI259" s="439"/>
      <c r="BJ259" s="439"/>
      <c r="BK259" s="439"/>
      <c r="BL259" s="439"/>
      <c r="BM259" s="932"/>
      <c r="BN259" s="439"/>
      <c r="BO259" s="439"/>
      <c r="BP259" s="439"/>
      <c r="BQ259" s="439"/>
      <c r="BR259" s="439"/>
    </row>
    <row r="260" ht="15.75" customHeight="1">
      <c r="A260" s="439"/>
      <c r="B260" s="439"/>
      <c r="C260" s="439"/>
      <c r="D260" s="439"/>
      <c r="E260" s="932"/>
      <c r="F260" s="439"/>
      <c r="G260" s="439"/>
      <c r="H260" s="439"/>
      <c r="I260" s="439"/>
      <c r="J260" s="439"/>
      <c r="K260" s="932"/>
      <c r="L260" s="439"/>
      <c r="M260" s="439"/>
      <c r="N260" s="439"/>
      <c r="O260" s="439"/>
      <c r="P260" s="439"/>
      <c r="Q260" s="932"/>
      <c r="R260" s="439"/>
      <c r="S260" s="439"/>
      <c r="T260" s="439"/>
      <c r="U260" s="439"/>
      <c r="V260" s="439"/>
      <c r="W260" s="932"/>
      <c r="X260" s="439"/>
      <c r="Y260" s="439"/>
      <c r="Z260" s="439"/>
      <c r="AA260" s="439"/>
      <c r="AB260" s="439"/>
      <c r="AC260" s="932"/>
      <c r="AD260" s="439"/>
      <c r="AE260" s="439"/>
      <c r="AF260" s="439"/>
      <c r="AG260" s="439"/>
      <c r="AH260" s="439"/>
      <c r="AI260" s="932"/>
      <c r="AJ260" s="439"/>
      <c r="AK260" s="439"/>
      <c r="AL260" s="439"/>
      <c r="AM260" s="439"/>
      <c r="AN260" s="439"/>
      <c r="AO260" s="932"/>
      <c r="AP260" s="439"/>
      <c r="AQ260" s="439"/>
      <c r="AR260" s="439"/>
      <c r="AS260" s="439"/>
      <c r="AT260" s="439"/>
      <c r="AU260" s="932"/>
      <c r="AV260" s="439"/>
      <c r="AW260" s="439"/>
      <c r="AX260" s="439"/>
      <c r="AY260" s="439"/>
      <c r="AZ260" s="439"/>
      <c r="BA260" s="932"/>
      <c r="BB260" s="439"/>
      <c r="BC260" s="439"/>
      <c r="BD260" s="439"/>
      <c r="BE260" s="439"/>
      <c r="BF260" s="439"/>
      <c r="BG260" s="932"/>
      <c r="BH260" s="439"/>
      <c r="BI260" s="439"/>
      <c r="BJ260" s="439"/>
      <c r="BK260" s="439"/>
      <c r="BL260" s="439"/>
      <c r="BM260" s="932"/>
      <c r="BN260" s="439"/>
      <c r="BO260" s="439"/>
      <c r="BP260" s="439"/>
      <c r="BQ260" s="439"/>
      <c r="BR260" s="439"/>
    </row>
    <row r="261" ht="15.75" customHeight="1">
      <c r="A261" s="439"/>
      <c r="B261" s="439"/>
      <c r="C261" s="439"/>
      <c r="D261" s="439"/>
      <c r="E261" s="932"/>
      <c r="F261" s="439"/>
      <c r="G261" s="439"/>
      <c r="H261" s="439"/>
      <c r="I261" s="439"/>
      <c r="J261" s="439"/>
      <c r="K261" s="932"/>
      <c r="L261" s="439"/>
      <c r="M261" s="439"/>
      <c r="N261" s="439"/>
      <c r="O261" s="439"/>
      <c r="P261" s="439"/>
      <c r="Q261" s="932"/>
      <c r="R261" s="439"/>
      <c r="S261" s="439"/>
      <c r="T261" s="439"/>
      <c r="U261" s="439"/>
      <c r="V261" s="439"/>
      <c r="W261" s="932"/>
      <c r="X261" s="439"/>
      <c r="Y261" s="439"/>
      <c r="Z261" s="439"/>
      <c r="AA261" s="439"/>
      <c r="AB261" s="439"/>
      <c r="AC261" s="932"/>
      <c r="AD261" s="439"/>
      <c r="AE261" s="439"/>
      <c r="AF261" s="439"/>
      <c r="AG261" s="439"/>
      <c r="AH261" s="439"/>
      <c r="AI261" s="932"/>
      <c r="AJ261" s="439"/>
      <c r="AK261" s="439"/>
      <c r="AL261" s="439"/>
      <c r="AM261" s="439"/>
      <c r="AN261" s="439"/>
      <c r="AO261" s="932"/>
      <c r="AP261" s="439"/>
      <c r="AQ261" s="439"/>
      <c r="AR261" s="439"/>
      <c r="AS261" s="439"/>
      <c r="AT261" s="439"/>
      <c r="AU261" s="932"/>
      <c r="AV261" s="439"/>
      <c r="AW261" s="439"/>
      <c r="AX261" s="439"/>
      <c r="AY261" s="439"/>
      <c r="AZ261" s="439"/>
      <c r="BA261" s="932"/>
      <c r="BB261" s="439"/>
      <c r="BC261" s="439"/>
      <c r="BD261" s="439"/>
      <c r="BE261" s="439"/>
      <c r="BF261" s="439"/>
      <c r="BG261" s="932"/>
      <c r="BH261" s="439"/>
      <c r="BI261" s="439"/>
      <c r="BJ261" s="439"/>
      <c r="BK261" s="439"/>
      <c r="BL261" s="439"/>
      <c r="BM261" s="932"/>
      <c r="BN261" s="439"/>
      <c r="BO261" s="439"/>
      <c r="BP261" s="439"/>
      <c r="BQ261" s="439"/>
      <c r="BR261" s="439"/>
    </row>
    <row r="262" ht="15.75" customHeight="1">
      <c r="A262" s="439"/>
      <c r="B262" s="439"/>
      <c r="C262" s="439"/>
      <c r="D262" s="439"/>
      <c r="E262" s="932"/>
      <c r="F262" s="439"/>
      <c r="G262" s="439"/>
      <c r="H262" s="439"/>
      <c r="I262" s="439"/>
      <c r="J262" s="439"/>
      <c r="K262" s="932"/>
      <c r="L262" s="439"/>
      <c r="M262" s="439"/>
      <c r="N262" s="439"/>
      <c r="O262" s="439"/>
      <c r="P262" s="439"/>
      <c r="Q262" s="932"/>
      <c r="R262" s="439"/>
      <c r="S262" s="439"/>
      <c r="T262" s="439"/>
      <c r="U262" s="439"/>
      <c r="V262" s="439"/>
      <c r="W262" s="932"/>
      <c r="X262" s="439"/>
      <c r="Y262" s="439"/>
      <c r="Z262" s="439"/>
      <c r="AA262" s="439"/>
      <c r="AB262" s="439"/>
      <c r="AC262" s="932"/>
      <c r="AD262" s="439"/>
      <c r="AE262" s="439"/>
      <c r="AF262" s="439"/>
      <c r="AG262" s="439"/>
      <c r="AH262" s="439"/>
      <c r="AI262" s="932"/>
      <c r="AJ262" s="439"/>
      <c r="AK262" s="439"/>
      <c r="AL262" s="439"/>
      <c r="AM262" s="439"/>
      <c r="AN262" s="439"/>
      <c r="AO262" s="932"/>
      <c r="AP262" s="439"/>
      <c r="AQ262" s="439"/>
      <c r="AR262" s="439"/>
      <c r="AS262" s="439"/>
      <c r="AT262" s="439"/>
      <c r="AU262" s="932"/>
      <c r="AV262" s="439"/>
      <c r="AW262" s="439"/>
      <c r="AX262" s="439"/>
      <c r="AY262" s="439"/>
      <c r="AZ262" s="439"/>
      <c r="BA262" s="932"/>
      <c r="BB262" s="439"/>
      <c r="BC262" s="439"/>
      <c r="BD262" s="439"/>
      <c r="BE262" s="439"/>
      <c r="BF262" s="439"/>
      <c r="BG262" s="932"/>
      <c r="BH262" s="439"/>
      <c r="BI262" s="439"/>
      <c r="BJ262" s="439"/>
      <c r="BK262" s="439"/>
      <c r="BL262" s="439"/>
      <c r="BM262" s="932"/>
      <c r="BN262" s="439"/>
      <c r="BO262" s="439"/>
      <c r="BP262" s="439"/>
      <c r="BQ262" s="439"/>
      <c r="BR262" s="439"/>
    </row>
    <row r="263" ht="15.75" customHeight="1">
      <c r="A263" s="439"/>
      <c r="B263" s="439"/>
      <c r="C263" s="439"/>
      <c r="D263" s="439"/>
      <c r="E263" s="932"/>
      <c r="F263" s="439"/>
      <c r="G263" s="439"/>
      <c r="H263" s="439"/>
      <c r="I263" s="439"/>
      <c r="J263" s="439"/>
      <c r="K263" s="932"/>
      <c r="L263" s="439"/>
      <c r="M263" s="439"/>
      <c r="N263" s="439"/>
      <c r="O263" s="439"/>
      <c r="P263" s="439"/>
      <c r="Q263" s="932"/>
      <c r="R263" s="439"/>
      <c r="S263" s="439"/>
      <c r="T263" s="439"/>
      <c r="U263" s="439"/>
      <c r="V263" s="439"/>
      <c r="W263" s="932"/>
      <c r="X263" s="439"/>
      <c r="Y263" s="439"/>
      <c r="Z263" s="439"/>
      <c r="AA263" s="439"/>
      <c r="AB263" s="439"/>
      <c r="AC263" s="932"/>
      <c r="AD263" s="439"/>
      <c r="AE263" s="439"/>
      <c r="AF263" s="439"/>
      <c r="AG263" s="439"/>
      <c r="AH263" s="439"/>
      <c r="AI263" s="932"/>
      <c r="AJ263" s="439"/>
      <c r="AK263" s="439"/>
      <c r="AL263" s="439"/>
      <c r="AM263" s="439"/>
      <c r="AN263" s="439"/>
      <c r="AO263" s="932"/>
      <c r="AP263" s="439"/>
      <c r="AQ263" s="439"/>
      <c r="AR263" s="439"/>
      <c r="AS263" s="439"/>
      <c r="AT263" s="439"/>
      <c r="AU263" s="932"/>
      <c r="AV263" s="439"/>
      <c r="AW263" s="439"/>
      <c r="AX263" s="439"/>
      <c r="AY263" s="439"/>
      <c r="AZ263" s="439"/>
      <c r="BA263" s="932"/>
      <c r="BB263" s="439"/>
      <c r="BC263" s="439"/>
      <c r="BD263" s="439"/>
      <c r="BE263" s="439"/>
      <c r="BF263" s="439"/>
      <c r="BG263" s="932"/>
      <c r="BH263" s="439"/>
      <c r="BI263" s="439"/>
      <c r="BJ263" s="439"/>
      <c r="BK263" s="439"/>
      <c r="BL263" s="439"/>
      <c r="BM263" s="932"/>
      <c r="BN263" s="439"/>
      <c r="BO263" s="439"/>
      <c r="BP263" s="439"/>
      <c r="BQ263" s="439"/>
      <c r="BR263" s="439"/>
    </row>
    <row r="264" ht="15.75" customHeight="1">
      <c r="A264" s="439"/>
      <c r="B264" s="439"/>
      <c r="C264" s="439"/>
      <c r="D264" s="439"/>
      <c r="E264" s="932"/>
      <c r="F264" s="439"/>
      <c r="G264" s="439"/>
      <c r="H264" s="439"/>
      <c r="I264" s="439"/>
      <c r="J264" s="439"/>
      <c r="K264" s="932"/>
      <c r="L264" s="439"/>
      <c r="M264" s="439"/>
      <c r="N264" s="439"/>
      <c r="O264" s="439"/>
      <c r="P264" s="439"/>
      <c r="Q264" s="932"/>
      <c r="R264" s="439"/>
      <c r="S264" s="439"/>
      <c r="T264" s="439"/>
      <c r="U264" s="439"/>
      <c r="V264" s="439"/>
      <c r="W264" s="932"/>
      <c r="X264" s="439"/>
      <c r="Y264" s="439"/>
      <c r="Z264" s="439"/>
      <c r="AA264" s="439"/>
      <c r="AB264" s="439"/>
      <c r="AC264" s="932"/>
      <c r="AD264" s="439"/>
      <c r="AE264" s="439"/>
      <c r="AF264" s="439"/>
      <c r="AG264" s="439"/>
      <c r="AH264" s="439"/>
      <c r="AI264" s="932"/>
      <c r="AJ264" s="439"/>
      <c r="AK264" s="439"/>
      <c r="AL264" s="439"/>
      <c r="AM264" s="439"/>
      <c r="AN264" s="439"/>
      <c r="AO264" s="932"/>
      <c r="AP264" s="439"/>
      <c r="AQ264" s="439"/>
      <c r="AR264" s="439"/>
      <c r="AS264" s="439"/>
      <c r="AT264" s="439"/>
      <c r="AU264" s="932"/>
      <c r="AV264" s="439"/>
      <c r="AW264" s="439"/>
      <c r="AX264" s="439"/>
      <c r="AY264" s="439"/>
      <c r="AZ264" s="439"/>
      <c r="BA264" s="932"/>
      <c r="BB264" s="439"/>
      <c r="BC264" s="439"/>
      <c r="BD264" s="439"/>
      <c r="BE264" s="439"/>
      <c r="BF264" s="439"/>
      <c r="BG264" s="932"/>
      <c r="BH264" s="439"/>
      <c r="BI264" s="439"/>
      <c r="BJ264" s="439"/>
      <c r="BK264" s="439"/>
      <c r="BL264" s="439"/>
      <c r="BM264" s="932"/>
      <c r="BN264" s="439"/>
      <c r="BO264" s="439"/>
      <c r="BP264" s="439"/>
      <c r="BQ264" s="439"/>
      <c r="BR264" s="439"/>
    </row>
    <row r="265" ht="15.75" customHeight="1">
      <c r="A265" s="439"/>
      <c r="B265" s="439"/>
      <c r="C265" s="439"/>
      <c r="D265" s="439"/>
      <c r="E265" s="932"/>
      <c r="F265" s="439"/>
      <c r="G265" s="439"/>
      <c r="H265" s="439"/>
      <c r="I265" s="439"/>
      <c r="J265" s="439"/>
      <c r="K265" s="932"/>
      <c r="L265" s="439"/>
      <c r="M265" s="439"/>
      <c r="N265" s="439"/>
      <c r="O265" s="439"/>
      <c r="P265" s="439"/>
      <c r="Q265" s="932"/>
      <c r="R265" s="439"/>
      <c r="S265" s="439"/>
      <c r="T265" s="439"/>
      <c r="U265" s="439"/>
      <c r="V265" s="439"/>
      <c r="W265" s="932"/>
      <c r="X265" s="439"/>
      <c r="Y265" s="439"/>
      <c r="Z265" s="439"/>
      <c r="AA265" s="439"/>
      <c r="AB265" s="439"/>
      <c r="AC265" s="932"/>
      <c r="AD265" s="439"/>
      <c r="AE265" s="439"/>
      <c r="AF265" s="439"/>
      <c r="AG265" s="439"/>
      <c r="AH265" s="439"/>
      <c r="AI265" s="932"/>
      <c r="AJ265" s="439"/>
      <c r="AK265" s="439"/>
      <c r="AL265" s="439"/>
      <c r="AM265" s="439"/>
      <c r="AN265" s="439"/>
      <c r="AO265" s="932"/>
      <c r="AP265" s="439"/>
      <c r="AQ265" s="439"/>
      <c r="AR265" s="439"/>
      <c r="AS265" s="439"/>
      <c r="AT265" s="439"/>
      <c r="AU265" s="932"/>
      <c r="AV265" s="439"/>
      <c r="AW265" s="439"/>
      <c r="AX265" s="439"/>
      <c r="AY265" s="439"/>
      <c r="AZ265" s="439"/>
      <c r="BA265" s="932"/>
      <c r="BB265" s="439"/>
      <c r="BC265" s="439"/>
      <c r="BD265" s="439"/>
      <c r="BE265" s="439"/>
      <c r="BF265" s="439"/>
      <c r="BG265" s="932"/>
      <c r="BH265" s="439"/>
      <c r="BI265" s="439"/>
      <c r="BJ265" s="439"/>
      <c r="BK265" s="439"/>
      <c r="BL265" s="439"/>
      <c r="BM265" s="932"/>
      <c r="BN265" s="439"/>
      <c r="BO265" s="439"/>
      <c r="BP265" s="439"/>
      <c r="BQ265" s="439"/>
      <c r="BR265" s="439"/>
    </row>
    <row r="266" ht="15.75" customHeight="1">
      <c r="A266" s="439"/>
      <c r="B266" s="439"/>
      <c r="C266" s="439"/>
      <c r="D266" s="439"/>
      <c r="E266" s="932"/>
      <c r="F266" s="439"/>
      <c r="G266" s="439"/>
      <c r="H266" s="439"/>
      <c r="I266" s="439"/>
      <c r="J266" s="439"/>
      <c r="K266" s="932"/>
      <c r="L266" s="439"/>
      <c r="M266" s="439"/>
      <c r="N266" s="439"/>
      <c r="O266" s="439"/>
      <c r="P266" s="439"/>
      <c r="Q266" s="932"/>
      <c r="R266" s="439"/>
      <c r="S266" s="439"/>
      <c r="T266" s="439"/>
      <c r="U266" s="439"/>
      <c r="V266" s="439"/>
      <c r="W266" s="932"/>
      <c r="X266" s="439"/>
      <c r="Y266" s="439"/>
      <c r="Z266" s="439"/>
      <c r="AA266" s="439"/>
      <c r="AB266" s="439"/>
      <c r="AC266" s="932"/>
      <c r="AD266" s="439"/>
      <c r="AE266" s="439"/>
      <c r="AF266" s="439"/>
      <c r="AG266" s="439"/>
      <c r="AH266" s="439"/>
      <c r="AI266" s="932"/>
      <c r="AJ266" s="439"/>
      <c r="AK266" s="439"/>
      <c r="AL266" s="439"/>
      <c r="AM266" s="439"/>
      <c r="AN266" s="439"/>
      <c r="AO266" s="932"/>
      <c r="AP266" s="439"/>
      <c r="AQ266" s="439"/>
      <c r="AR266" s="439"/>
      <c r="AS266" s="439"/>
      <c r="AT266" s="439"/>
      <c r="AU266" s="932"/>
      <c r="AV266" s="439"/>
      <c r="AW266" s="439"/>
      <c r="AX266" s="439"/>
      <c r="AY266" s="439"/>
      <c r="AZ266" s="439"/>
      <c r="BA266" s="932"/>
      <c r="BB266" s="439"/>
      <c r="BC266" s="439"/>
      <c r="BD266" s="439"/>
      <c r="BE266" s="439"/>
      <c r="BF266" s="439"/>
      <c r="BG266" s="932"/>
      <c r="BH266" s="439"/>
      <c r="BI266" s="439"/>
      <c r="BJ266" s="439"/>
      <c r="BK266" s="439"/>
      <c r="BL266" s="439"/>
      <c r="BM266" s="932"/>
      <c r="BN266" s="439"/>
      <c r="BO266" s="439"/>
      <c r="BP266" s="439"/>
      <c r="BQ266" s="439"/>
      <c r="BR266" s="439"/>
    </row>
    <row r="267" ht="15.75" customHeight="1">
      <c r="A267" s="439"/>
      <c r="B267" s="439"/>
      <c r="C267" s="439"/>
      <c r="D267" s="439"/>
      <c r="E267" s="932"/>
      <c r="F267" s="439"/>
      <c r="G267" s="439"/>
      <c r="H267" s="439"/>
      <c r="I267" s="439"/>
      <c r="J267" s="439"/>
      <c r="K267" s="932"/>
      <c r="L267" s="439"/>
      <c r="M267" s="439"/>
      <c r="N267" s="439"/>
      <c r="O267" s="439"/>
      <c r="P267" s="439"/>
      <c r="Q267" s="932"/>
      <c r="R267" s="439"/>
      <c r="S267" s="439"/>
      <c r="T267" s="439"/>
      <c r="U267" s="439"/>
      <c r="V267" s="439"/>
      <c r="W267" s="932"/>
      <c r="X267" s="439"/>
      <c r="Y267" s="439"/>
      <c r="Z267" s="439"/>
      <c r="AA267" s="439"/>
      <c r="AB267" s="439"/>
      <c r="AC267" s="932"/>
      <c r="AD267" s="439"/>
      <c r="AE267" s="439"/>
      <c r="AF267" s="439"/>
      <c r="AG267" s="439"/>
      <c r="AH267" s="439"/>
      <c r="AI267" s="932"/>
      <c r="AJ267" s="439"/>
      <c r="AK267" s="439"/>
      <c r="AL267" s="439"/>
      <c r="AM267" s="439"/>
      <c r="AN267" s="439"/>
      <c r="AO267" s="932"/>
      <c r="AP267" s="439"/>
      <c r="AQ267" s="439"/>
      <c r="AR267" s="439"/>
      <c r="AS267" s="439"/>
      <c r="AT267" s="439"/>
      <c r="AU267" s="932"/>
      <c r="AV267" s="439"/>
      <c r="AW267" s="439"/>
      <c r="AX267" s="439"/>
      <c r="AY267" s="439"/>
      <c r="AZ267" s="439"/>
      <c r="BA267" s="932"/>
      <c r="BB267" s="439"/>
      <c r="BC267" s="439"/>
      <c r="BD267" s="439"/>
      <c r="BE267" s="439"/>
      <c r="BF267" s="439"/>
      <c r="BG267" s="932"/>
      <c r="BH267" s="439"/>
      <c r="BI267" s="439"/>
      <c r="BJ267" s="439"/>
      <c r="BK267" s="439"/>
      <c r="BL267" s="439"/>
      <c r="BM267" s="932"/>
      <c r="BN267" s="439"/>
      <c r="BO267" s="439"/>
      <c r="BP267" s="439"/>
      <c r="BQ267" s="439"/>
      <c r="BR267" s="439"/>
    </row>
    <row r="268" ht="15.75" customHeight="1">
      <c r="A268" s="439"/>
      <c r="B268" s="439"/>
      <c r="C268" s="439"/>
      <c r="D268" s="439"/>
      <c r="E268" s="932"/>
      <c r="F268" s="439"/>
      <c r="G268" s="439"/>
      <c r="H268" s="439"/>
      <c r="I268" s="439"/>
      <c r="J268" s="439"/>
      <c r="K268" s="932"/>
      <c r="L268" s="439"/>
      <c r="M268" s="439"/>
      <c r="N268" s="439"/>
      <c r="O268" s="439"/>
      <c r="P268" s="439"/>
      <c r="Q268" s="932"/>
      <c r="R268" s="439"/>
      <c r="S268" s="439"/>
      <c r="T268" s="439"/>
      <c r="U268" s="439"/>
      <c r="V268" s="439"/>
      <c r="W268" s="932"/>
      <c r="X268" s="439"/>
      <c r="Y268" s="439"/>
      <c r="Z268" s="439"/>
      <c r="AA268" s="439"/>
      <c r="AB268" s="439"/>
      <c r="AC268" s="932"/>
      <c r="AD268" s="439"/>
      <c r="AE268" s="439"/>
      <c r="AF268" s="439"/>
      <c r="AG268" s="439"/>
      <c r="AH268" s="439"/>
      <c r="AI268" s="932"/>
      <c r="AJ268" s="439"/>
      <c r="AK268" s="439"/>
      <c r="AL268" s="439"/>
      <c r="AM268" s="439"/>
      <c r="AN268" s="439"/>
      <c r="AO268" s="932"/>
      <c r="AP268" s="439"/>
      <c r="AQ268" s="439"/>
      <c r="AR268" s="439"/>
      <c r="AS268" s="439"/>
      <c r="AT268" s="439"/>
      <c r="AU268" s="932"/>
      <c r="AV268" s="439"/>
      <c r="AW268" s="439"/>
      <c r="AX268" s="439"/>
      <c r="AY268" s="439"/>
      <c r="AZ268" s="439"/>
      <c r="BA268" s="932"/>
      <c r="BB268" s="439"/>
      <c r="BC268" s="439"/>
      <c r="BD268" s="439"/>
      <c r="BE268" s="439"/>
      <c r="BF268" s="439"/>
      <c r="BG268" s="932"/>
      <c r="BH268" s="439"/>
      <c r="BI268" s="439"/>
      <c r="BJ268" s="439"/>
      <c r="BK268" s="439"/>
      <c r="BL268" s="439"/>
      <c r="BM268" s="932"/>
      <c r="BN268" s="439"/>
      <c r="BO268" s="439"/>
      <c r="BP268" s="439"/>
      <c r="BQ268" s="439"/>
      <c r="BR268" s="439"/>
    </row>
    <row r="269" ht="15.75" customHeight="1">
      <c r="A269" s="439"/>
      <c r="B269" s="439"/>
      <c r="C269" s="439"/>
      <c r="D269" s="439"/>
      <c r="E269" s="932"/>
      <c r="F269" s="439"/>
      <c r="G269" s="439"/>
      <c r="H269" s="439"/>
      <c r="I269" s="439"/>
      <c r="J269" s="439"/>
      <c r="K269" s="932"/>
      <c r="L269" s="439"/>
      <c r="M269" s="439"/>
      <c r="N269" s="439"/>
      <c r="O269" s="439"/>
      <c r="P269" s="439"/>
      <c r="Q269" s="932"/>
      <c r="R269" s="439"/>
      <c r="S269" s="439"/>
      <c r="T269" s="439"/>
      <c r="U269" s="439"/>
      <c r="V269" s="439"/>
      <c r="W269" s="932"/>
      <c r="X269" s="439"/>
      <c r="Y269" s="439"/>
      <c r="Z269" s="439"/>
      <c r="AA269" s="439"/>
      <c r="AB269" s="439"/>
      <c r="AC269" s="932"/>
      <c r="AD269" s="439"/>
      <c r="AE269" s="439"/>
      <c r="AF269" s="439"/>
      <c r="AG269" s="439"/>
      <c r="AH269" s="439"/>
      <c r="AI269" s="932"/>
      <c r="AJ269" s="439"/>
      <c r="AK269" s="439"/>
      <c r="AL269" s="439"/>
      <c r="AM269" s="439"/>
      <c r="AN269" s="439"/>
      <c r="AO269" s="932"/>
      <c r="AP269" s="439"/>
      <c r="AQ269" s="439"/>
      <c r="AR269" s="439"/>
      <c r="AS269" s="439"/>
      <c r="AT269" s="439"/>
      <c r="AU269" s="932"/>
      <c r="AV269" s="439"/>
      <c r="AW269" s="439"/>
      <c r="AX269" s="439"/>
      <c r="AY269" s="439"/>
      <c r="AZ269" s="439"/>
      <c r="BA269" s="932"/>
      <c r="BB269" s="439"/>
      <c r="BC269" s="439"/>
      <c r="BD269" s="439"/>
      <c r="BE269" s="439"/>
      <c r="BF269" s="439"/>
      <c r="BG269" s="932"/>
      <c r="BH269" s="439"/>
      <c r="BI269" s="439"/>
      <c r="BJ269" s="439"/>
      <c r="BK269" s="439"/>
      <c r="BL269" s="439"/>
      <c r="BM269" s="932"/>
      <c r="BN269" s="439"/>
      <c r="BO269" s="439"/>
      <c r="BP269" s="439"/>
      <c r="BQ269" s="439"/>
      <c r="BR269" s="439"/>
    </row>
    <row r="270" ht="15.75" customHeight="1">
      <c r="A270" s="439"/>
      <c r="B270" s="439"/>
      <c r="C270" s="439"/>
      <c r="D270" s="439"/>
      <c r="E270" s="932"/>
      <c r="F270" s="439"/>
      <c r="G270" s="439"/>
      <c r="H270" s="439"/>
      <c r="I270" s="439"/>
      <c r="J270" s="439"/>
      <c r="K270" s="932"/>
      <c r="L270" s="439"/>
      <c r="M270" s="439"/>
      <c r="N270" s="439"/>
      <c r="O270" s="439"/>
      <c r="P270" s="439"/>
      <c r="Q270" s="932"/>
      <c r="R270" s="439"/>
      <c r="S270" s="439"/>
      <c r="T270" s="439"/>
      <c r="U270" s="439"/>
      <c r="V270" s="439"/>
      <c r="W270" s="932"/>
      <c r="X270" s="439"/>
      <c r="Y270" s="439"/>
      <c r="Z270" s="439"/>
      <c r="AA270" s="439"/>
      <c r="AB270" s="439"/>
      <c r="AC270" s="932"/>
      <c r="AD270" s="439"/>
      <c r="AE270" s="439"/>
      <c r="AF270" s="439"/>
      <c r="AG270" s="439"/>
      <c r="AH270" s="439"/>
      <c r="AI270" s="932"/>
      <c r="AJ270" s="439"/>
      <c r="AK270" s="439"/>
      <c r="AL270" s="439"/>
      <c r="AM270" s="439"/>
      <c r="AN270" s="439"/>
      <c r="AO270" s="932"/>
      <c r="AP270" s="439"/>
      <c r="AQ270" s="439"/>
      <c r="AR270" s="439"/>
      <c r="AS270" s="439"/>
      <c r="AT270" s="439"/>
      <c r="AU270" s="932"/>
      <c r="AV270" s="439"/>
      <c r="AW270" s="439"/>
      <c r="AX270" s="439"/>
      <c r="AY270" s="439"/>
      <c r="AZ270" s="439"/>
      <c r="BA270" s="932"/>
      <c r="BB270" s="439"/>
      <c r="BC270" s="439"/>
      <c r="BD270" s="439"/>
      <c r="BE270" s="439"/>
      <c r="BF270" s="439"/>
      <c r="BG270" s="932"/>
      <c r="BH270" s="439"/>
      <c r="BI270" s="439"/>
      <c r="BJ270" s="439"/>
      <c r="BK270" s="439"/>
      <c r="BL270" s="439"/>
      <c r="BM270" s="932"/>
      <c r="BN270" s="439"/>
      <c r="BO270" s="439"/>
      <c r="BP270" s="439"/>
      <c r="BQ270" s="439"/>
      <c r="BR270" s="439"/>
    </row>
    <row r="271" ht="15.75" customHeight="1">
      <c r="A271" s="439"/>
      <c r="B271" s="439"/>
      <c r="C271" s="439"/>
      <c r="D271" s="439"/>
      <c r="E271" s="932"/>
      <c r="F271" s="439"/>
      <c r="G271" s="439"/>
      <c r="H271" s="439"/>
      <c r="I271" s="439"/>
      <c r="J271" s="439"/>
      <c r="K271" s="932"/>
      <c r="L271" s="439"/>
      <c r="M271" s="439"/>
      <c r="N271" s="439"/>
      <c r="O271" s="439"/>
      <c r="P271" s="439"/>
      <c r="Q271" s="932"/>
      <c r="R271" s="439"/>
      <c r="S271" s="439"/>
      <c r="T271" s="439"/>
      <c r="U271" s="439"/>
      <c r="V271" s="439"/>
      <c r="W271" s="932"/>
      <c r="X271" s="439"/>
      <c r="Y271" s="439"/>
      <c r="Z271" s="439"/>
      <c r="AA271" s="439"/>
      <c r="AB271" s="439"/>
      <c r="AC271" s="932"/>
      <c r="AD271" s="439"/>
      <c r="AE271" s="439"/>
      <c r="AF271" s="439"/>
      <c r="AG271" s="439"/>
      <c r="AH271" s="439"/>
      <c r="AI271" s="932"/>
      <c r="AJ271" s="439"/>
      <c r="AK271" s="439"/>
      <c r="AL271" s="439"/>
      <c r="AM271" s="439"/>
      <c r="AN271" s="439"/>
      <c r="AO271" s="932"/>
      <c r="AP271" s="439"/>
      <c r="AQ271" s="439"/>
      <c r="AR271" s="439"/>
      <c r="AS271" s="439"/>
      <c r="AT271" s="439"/>
      <c r="AU271" s="932"/>
      <c r="AV271" s="439"/>
      <c r="AW271" s="439"/>
      <c r="AX271" s="439"/>
      <c r="AY271" s="439"/>
      <c r="AZ271" s="439"/>
      <c r="BA271" s="932"/>
      <c r="BB271" s="439"/>
      <c r="BC271" s="439"/>
      <c r="BD271" s="439"/>
      <c r="BE271" s="439"/>
      <c r="BF271" s="439"/>
      <c r="BG271" s="932"/>
      <c r="BH271" s="439"/>
      <c r="BI271" s="439"/>
      <c r="BJ271" s="439"/>
      <c r="BK271" s="439"/>
      <c r="BL271" s="439"/>
      <c r="BM271" s="932"/>
      <c r="BN271" s="439"/>
      <c r="BO271" s="439"/>
      <c r="BP271" s="439"/>
      <c r="BQ271" s="439"/>
      <c r="BR271" s="439"/>
    </row>
    <row r="272" ht="15.75" customHeight="1">
      <c r="A272" s="439"/>
      <c r="B272" s="439"/>
      <c r="C272" s="439"/>
      <c r="D272" s="439"/>
      <c r="E272" s="932"/>
      <c r="F272" s="439"/>
      <c r="G272" s="439"/>
      <c r="H272" s="439"/>
      <c r="I272" s="439"/>
      <c r="J272" s="439"/>
      <c r="K272" s="932"/>
      <c r="L272" s="439"/>
      <c r="M272" s="439"/>
      <c r="N272" s="439"/>
      <c r="O272" s="439"/>
      <c r="P272" s="439"/>
      <c r="Q272" s="932"/>
      <c r="R272" s="439"/>
      <c r="S272" s="439"/>
      <c r="T272" s="439"/>
      <c r="U272" s="439"/>
      <c r="V272" s="439"/>
      <c r="W272" s="932"/>
      <c r="X272" s="439"/>
      <c r="Y272" s="439"/>
      <c r="Z272" s="439"/>
      <c r="AA272" s="439"/>
      <c r="AB272" s="439"/>
      <c r="AC272" s="932"/>
      <c r="AD272" s="439"/>
      <c r="AE272" s="439"/>
      <c r="AF272" s="439"/>
      <c r="AG272" s="439"/>
      <c r="AH272" s="439"/>
      <c r="AI272" s="932"/>
      <c r="AJ272" s="439"/>
      <c r="AK272" s="439"/>
      <c r="AL272" s="439"/>
      <c r="AM272" s="439"/>
      <c r="AN272" s="439"/>
      <c r="AO272" s="932"/>
      <c r="AP272" s="439"/>
      <c r="AQ272" s="439"/>
      <c r="AR272" s="439"/>
      <c r="AS272" s="439"/>
      <c r="AT272" s="439"/>
      <c r="AU272" s="932"/>
      <c r="AV272" s="439"/>
      <c r="AW272" s="439"/>
      <c r="AX272" s="439"/>
      <c r="AY272" s="439"/>
      <c r="AZ272" s="439"/>
      <c r="BA272" s="932"/>
      <c r="BB272" s="439"/>
      <c r="BC272" s="439"/>
      <c r="BD272" s="439"/>
      <c r="BE272" s="439"/>
      <c r="BF272" s="439"/>
      <c r="BG272" s="932"/>
      <c r="BH272" s="439"/>
      <c r="BI272" s="439"/>
      <c r="BJ272" s="439"/>
      <c r="BK272" s="439"/>
      <c r="BL272" s="439"/>
      <c r="BM272" s="932"/>
      <c r="BN272" s="439"/>
      <c r="BO272" s="439"/>
      <c r="BP272" s="439"/>
      <c r="BQ272" s="439"/>
      <c r="BR272" s="439"/>
    </row>
    <row r="273" ht="15.75" customHeight="1">
      <c r="A273" s="439"/>
      <c r="B273" s="439"/>
      <c r="C273" s="439"/>
      <c r="D273" s="439"/>
      <c r="E273" s="932"/>
      <c r="F273" s="439"/>
      <c r="G273" s="439"/>
      <c r="H273" s="439"/>
      <c r="I273" s="439"/>
      <c r="J273" s="439"/>
      <c r="K273" s="932"/>
      <c r="L273" s="439"/>
      <c r="M273" s="439"/>
      <c r="N273" s="439"/>
      <c r="O273" s="439"/>
      <c r="P273" s="439"/>
      <c r="Q273" s="932"/>
      <c r="R273" s="439"/>
      <c r="S273" s="439"/>
      <c r="T273" s="439"/>
      <c r="U273" s="439"/>
      <c r="V273" s="439"/>
      <c r="W273" s="932"/>
      <c r="X273" s="439"/>
      <c r="Y273" s="439"/>
      <c r="Z273" s="439"/>
      <c r="AA273" s="439"/>
      <c r="AB273" s="439"/>
      <c r="AC273" s="932"/>
      <c r="AD273" s="439"/>
      <c r="AE273" s="439"/>
      <c r="AF273" s="439"/>
      <c r="AG273" s="439"/>
      <c r="AH273" s="439"/>
      <c r="AI273" s="932"/>
      <c r="AJ273" s="439"/>
      <c r="AK273" s="439"/>
      <c r="AL273" s="439"/>
      <c r="AM273" s="439"/>
      <c r="AN273" s="439"/>
      <c r="AO273" s="932"/>
      <c r="AP273" s="439"/>
      <c r="AQ273" s="439"/>
      <c r="AR273" s="439"/>
      <c r="AS273" s="439"/>
      <c r="AT273" s="439"/>
      <c r="AU273" s="932"/>
      <c r="AV273" s="439"/>
      <c r="AW273" s="439"/>
      <c r="AX273" s="439"/>
      <c r="AY273" s="439"/>
      <c r="AZ273" s="439"/>
      <c r="BA273" s="932"/>
      <c r="BB273" s="439"/>
      <c r="BC273" s="439"/>
      <c r="BD273" s="439"/>
      <c r="BE273" s="439"/>
      <c r="BF273" s="439"/>
      <c r="BG273" s="932"/>
      <c r="BH273" s="439"/>
      <c r="BI273" s="439"/>
      <c r="BJ273" s="439"/>
      <c r="BK273" s="439"/>
      <c r="BL273" s="439"/>
      <c r="BM273" s="932"/>
      <c r="BN273" s="439"/>
      <c r="BO273" s="439"/>
      <c r="BP273" s="439"/>
      <c r="BQ273" s="439"/>
      <c r="BR273" s="439"/>
    </row>
    <row r="274" ht="15.75" customHeight="1">
      <c r="A274" s="439"/>
      <c r="B274" s="439"/>
      <c r="C274" s="439"/>
      <c r="D274" s="439"/>
      <c r="E274" s="932"/>
      <c r="F274" s="439"/>
      <c r="G274" s="439"/>
      <c r="H274" s="439"/>
      <c r="I274" s="439"/>
      <c r="J274" s="439"/>
      <c r="K274" s="932"/>
      <c r="L274" s="439"/>
      <c r="M274" s="439"/>
      <c r="N274" s="439"/>
      <c r="O274" s="439"/>
      <c r="P274" s="439"/>
      <c r="Q274" s="932"/>
      <c r="R274" s="439"/>
      <c r="S274" s="439"/>
      <c r="T274" s="439"/>
      <c r="U274" s="439"/>
      <c r="V274" s="439"/>
      <c r="W274" s="932"/>
      <c r="X274" s="439"/>
      <c r="Y274" s="439"/>
      <c r="Z274" s="439"/>
      <c r="AA274" s="439"/>
      <c r="AB274" s="439"/>
      <c r="AC274" s="932"/>
      <c r="AD274" s="439"/>
      <c r="AE274" s="439"/>
      <c r="AF274" s="439"/>
      <c r="AG274" s="439"/>
      <c r="AH274" s="439"/>
      <c r="AI274" s="932"/>
      <c r="AJ274" s="439"/>
      <c r="AK274" s="439"/>
      <c r="AL274" s="439"/>
      <c r="AM274" s="439"/>
      <c r="AN274" s="439"/>
      <c r="AO274" s="932"/>
      <c r="AP274" s="439"/>
      <c r="AQ274" s="439"/>
      <c r="AR274" s="439"/>
      <c r="AS274" s="439"/>
      <c r="AT274" s="439"/>
      <c r="AU274" s="932"/>
      <c r="AV274" s="439"/>
      <c r="AW274" s="439"/>
      <c r="AX274" s="439"/>
      <c r="AY274" s="439"/>
      <c r="AZ274" s="439"/>
      <c r="BA274" s="932"/>
      <c r="BB274" s="439"/>
      <c r="BC274" s="439"/>
      <c r="BD274" s="439"/>
      <c r="BE274" s="439"/>
      <c r="BF274" s="439"/>
      <c r="BG274" s="932"/>
      <c r="BH274" s="439"/>
      <c r="BI274" s="439"/>
      <c r="BJ274" s="439"/>
      <c r="BK274" s="439"/>
      <c r="BL274" s="439"/>
      <c r="BM274" s="932"/>
      <c r="BN274" s="439"/>
      <c r="BO274" s="439"/>
      <c r="BP274" s="439"/>
      <c r="BQ274" s="439"/>
      <c r="BR274" s="439"/>
    </row>
    <row r="275" ht="15.75" customHeight="1">
      <c r="A275" s="439"/>
      <c r="B275" s="439"/>
      <c r="C275" s="439"/>
      <c r="D275" s="439"/>
      <c r="E275" s="932"/>
      <c r="F275" s="439"/>
      <c r="G275" s="439"/>
      <c r="H275" s="439"/>
      <c r="I275" s="439"/>
      <c r="J275" s="439"/>
      <c r="K275" s="932"/>
      <c r="L275" s="439"/>
      <c r="M275" s="439"/>
      <c r="N275" s="439"/>
      <c r="O275" s="439"/>
      <c r="P275" s="439"/>
      <c r="Q275" s="932"/>
      <c r="R275" s="439"/>
      <c r="S275" s="439"/>
      <c r="T275" s="439"/>
      <c r="U275" s="439"/>
      <c r="V275" s="439"/>
      <c r="W275" s="932"/>
      <c r="X275" s="439"/>
      <c r="Y275" s="439"/>
      <c r="Z275" s="439"/>
      <c r="AA275" s="439"/>
      <c r="AB275" s="439"/>
      <c r="AC275" s="932"/>
      <c r="AD275" s="439"/>
      <c r="AE275" s="439"/>
      <c r="AF275" s="439"/>
      <c r="AG275" s="439"/>
      <c r="AH275" s="439"/>
      <c r="AI275" s="932"/>
      <c r="AJ275" s="439"/>
      <c r="AK275" s="439"/>
      <c r="AL275" s="439"/>
      <c r="AM275" s="439"/>
      <c r="AN275" s="439"/>
      <c r="AO275" s="932"/>
      <c r="AP275" s="439"/>
      <c r="AQ275" s="439"/>
      <c r="AR275" s="439"/>
      <c r="AS275" s="439"/>
      <c r="AT275" s="439"/>
      <c r="AU275" s="932"/>
      <c r="AV275" s="439"/>
      <c r="AW275" s="439"/>
      <c r="AX275" s="439"/>
      <c r="AY275" s="439"/>
      <c r="AZ275" s="439"/>
      <c r="BA275" s="932"/>
      <c r="BB275" s="439"/>
      <c r="BC275" s="439"/>
      <c r="BD275" s="439"/>
      <c r="BE275" s="439"/>
      <c r="BF275" s="439"/>
      <c r="BG275" s="932"/>
      <c r="BH275" s="439"/>
      <c r="BI275" s="439"/>
      <c r="BJ275" s="439"/>
      <c r="BK275" s="439"/>
      <c r="BL275" s="439"/>
      <c r="BM275" s="932"/>
      <c r="BN275" s="439"/>
      <c r="BO275" s="439"/>
      <c r="BP275" s="439"/>
      <c r="BQ275" s="439"/>
      <c r="BR275" s="439"/>
    </row>
    <row r="276" ht="15.75" customHeight="1">
      <c r="A276" s="439"/>
      <c r="B276" s="439"/>
      <c r="C276" s="439"/>
      <c r="D276" s="439"/>
      <c r="E276" s="932"/>
      <c r="F276" s="439"/>
      <c r="G276" s="439"/>
      <c r="H276" s="439"/>
      <c r="I276" s="439"/>
      <c r="J276" s="439"/>
      <c r="K276" s="932"/>
      <c r="L276" s="439"/>
      <c r="M276" s="439"/>
      <c r="N276" s="439"/>
      <c r="O276" s="439"/>
      <c r="P276" s="439"/>
      <c r="Q276" s="932"/>
      <c r="R276" s="439"/>
      <c r="S276" s="439"/>
      <c r="T276" s="439"/>
      <c r="U276" s="439"/>
      <c r="V276" s="439"/>
      <c r="W276" s="932"/>
      <c r="X276" s="439"/>
      <c r="Y276" s="439"/>
      <c r="Z276" s="439"/>
      <c r="AA276" s="439"/>
      <c r="AB276" s="439"/>
      <c r="AC276" s="932"/>
      <c r="AD276" s="439"/>
      <c r="AE276" s="439"/>
      <c r="AF276" s="439"/>
      <c r="AG276" s="439"/>
      <c r="AH276" s="439"/>
      <c r="AI276" s="932"/>
      <c r="AJ276" s="439"/>
      <c r="AK276" s="439"/>
      <c r="AL276" s="439"/>
      <c r="AM276" s="439"/>
      <c r="AN276" s="439"/>
      <c r="AO276" s="932"/>
      <c r="AP276" s="439"/>
      <c r="AQ276" s="439"/>
      <c r="AR276" s="439"/>
      <c r="AS276" s="439"/>
      <c r="AT276" s="439"/>
      <c r="AU276" s="932"/>
      <c r="AV276" s="439"/>
      <c r="AW276" s="439"/>
      <c r="AX276" s="439"/>
      <c r="AY276" s="439"/>
      <c r="AZ276" s="439"/>
      <c r="BA276" s="932"/>
      <c r="BB276" s="439"/>
      <c r="BC276" s="439"/>
      <c r="BD276" s="439"/>
      <c r="BE276" s="439"/>
      <c r="BF276" s="439"/>
      <c r="BG276" s="932"/>
      <c r="BH276" s="439"/>
      <c r="BI276" s="439"/>
      <c r="BJ276" s="439"/>
      <c r="BK276" s="439"/>
      <c r="BL276" s="439"/>
      <c r="BM276" s="932"/>
      <c r="BN276" s="439"/>
      <c r="BO276" s="439"/>
      <c r="BP276" s="439"/>
      <c r="BQ276" s="439"/>
      <c r="BR276" s="439"/>
    </row>
    <row r="277" ht="15.75" customHeight="1">
      <c r="A277" s="439"/>
      <c r="B277" s="439"/>
      <c r="C277" s="439"/>
      <c r="D277" s="439"/>
      <c r="E277" s="932"/>
      <c r="F277" s="439"/>
      <c r="G277" s="439"/>
      <c r="H277" s="439"/>
      <c r="I277" s="439"/>
      <c r="J277" s="439"/>
      <c r="K277" s="932"/>
      <c r="L277" s="439"/>
      <c r="M277" s="439"/>
      <c r="N277" s="439"/>
      <c r="O277" s="439"/>
      <c r="P277" s="439"/>
      <c r="Q277" s="932"/>
      <c r="R277" s="439"/>
      <c r="S277" s="439"/>
      <c r="T277" s="439"/>
      <c r="U277" s="439"/>
      <c r="V277" s="439"/>
      <c r="W277" s="932"/>
      <c r="X277" s="439"/>
      <c r="Y277" s="439"/>
      <c r="Z277" s="439"/>
      <c r="AA277" s="439"/>
      <c r="AB277" s="439"/>
      <c r="AC277" s="932"/>
      <c r="AD277" s="439"/>
      <c r="AE277" s="439"/>
      <c r="AF277" s="439"/>
      <c r="AG277" s="439"/>
      <c r="AH277" s="439"/>
      <c r="AI277" s="932"/>
      <c r="AJ277" s="439"/>
      <c r="AK277" s="439"/>
      <c r="AL277" s="439"/>
      <c r="AM277" s="439"/>
      <c r="AN277" s="439"/>
      <c r="AO277" s="932"/>
      <c r="AP277" s="439"/>
      <c r="AQ277" s="439"/>
      <c r="AR277" s="439"/>
      <c r="AS277" s="439"/>
      <c r="AT277" s="439"/>
      <c r="AU277" s="932"/>
      <c r="AV277" s="439"/>
      <c r="AW277" s="439"/>
      <c r="AX277" s="439"/>
      <c r="AY277" s="439"/>
      <c r="AZ277" s="439"/>
      <c r="BA277" s="932"/>
      <c r="BB277" s="439"/>
      <c r="BC277" s="439"/>
      <c r="BD277" s="439"/>
      <c r="BE277" s="439"/>
      <c r="BF277" s="439"/>
      <c r="BG277" s="932"/>
      <c r="BH277" s="439"/>
      <c r="BI277" s="439"/>
      <c r="BJ277" s="439"/>
      <c r="BK277" s="439"/>
      <c r="BL277" s="439"/>
      <c r="BM277" s="932"/>
      <c r="BN277" s="439"/>
      <c r="BO277" s="439"/>
      <c r="BP277" s="439"/>
      <c r="BQ277" s="439"/>
      <c r="BR277" s="439"/>
    </row>
    <row r="278" ht="15.75" customHeight="1">
      <c r="A278" s="439"/>
      <c r="B278" s="439"/>
      <c r="C278" s="439"/>
      <c r="D278" s="439"/>
      <c r="E278" s="932"/>
      <c r="F278" s="439"/>
      <c r="G278" s="439"/>
      <c r="H278" s="439"/>
      <c r="I278" s="439"/>
      <c r="J278" s="439"/>
      <c r="K278" s="932"/>
      <c r="L278" s="439"/>
      <c r="M278" s="439"/>
      <c r="N278" s="439"/>
      <c r="O278" s="439"/>
      <c r="P278" s="439"/>
      <c r="Q278" s="932"/>
      <c r="R278" s="439"/>
      <c r="S278" s="439"/>
      <c r="T278" s="439"/>
      <c r="U278" s="439"/>
      <c r="V278" s="439"/>
      <c r="W278" s="932"/>
      <c r="X278" s="439"/>
      <c r="Y278" s="439"/>
      <c r="Z278" s="439"/>
      <c r="AA278" s="439"/>
      <c r="AB278" s="439"/>
      <c r="AC278" s="932"/>
      <c r="AD278" s="439"/>
      <c r="AE278" s="439"/>
      <c r="AF278" s="439"/>
      <c r="AG278" s="439"/>
      <c r="AH278" s="439"/>
      <c r="AI278" s="932"/>
      <c r="AJ278" s="439"/>
      <c r="AK278" s="439"/>
      <c r="AL278" s="439"/>
      <c r="AM278" s="439"/>
      <c r="AN278" s="439"/>
      <c r="AO278" s="932"/>
      <c r="AP278" s="439"/>
      <c r="AQ278" s="439"/>
      <c r="AR278" s="439"/>
      <c r="AS278" s="439"/>
      <c r="AT278" s="439"/>
      <c r="AU278" s="932"/>
      <c r="AV278" s="439"/>
      <c r="AW278" s="439"/>
      <c r="AX278" s="439"/>
      <c r="AY278" s="439"/>
      <c r="AZ278" s="439"/>
      <c r="BA278" s="932"/>
      <c r="BB278" s="439"/>
      <c r="BC278" s="439"/>
      <c r="BD278" s="439"/>
      <c r="BE278" s="439"/>
      <c r="BF278" s="439"/>
      <c r="BG278" s="932"/>
      <c r="BH278" s="439"/>
      <c r="BI278" s="439"/>
      <c r="BJ278" s="439"/>
      <c r="BK278" s="439"/>
      <c r="BL278" s="439"/>
      <c r="BM278" s="932"/>
      <c r="BN278" s="439"/>
      <c r="BO278" s="439"/>
      <c r="BP278" s="439"/>
      <c r="BQ278" s="439"/>
      <c r="BR278" s="439"/>
    </row>
    <row r="279" ht="15.75" customHeight="1">
      <c r="A279" s="439"/>
      <c r="B279" s="439"/>
      <c r="C279" s="439"/>
      <c r="D279" s="439"/>
      <c r="E279" s="932"/>
      <c r="F279" s="439"/>
      <c r="G279" s="439"/>
      <c r="H279" s="439"/>
      <c r="I279" s="439"/>
      <c r="J279" s="439"/>
      <c r="K279" s="932"/>
      <c r="L279" s="439"/>
      <c r="M279" s="439"/>
      <c r="N279" s="439"/>
      <c r="O279" s="439"/>
      <c r="P279" s="439"/>
      <c r="Q279" s="932"/>
      <c r="R279" s="439"/>
      <c r="S279" s="439"/>
      <c r="T279" s="439"/>
      <c r="U279" s="439"/>
      <c r="V279" s="439"/>
      <c r="W279" s="932"/>
      <c r="X279" s="439"/>
      <c r="Y279" s="439"/>
      <c r="Z279" s="439"/>
      <c r="AA279" s="439"/>
      <c r="AB279" s="439"/>
      <c r="AC279" s="932"/>
      <c r="AD279" s="439"/>
      <c r="AE279" s="439"/>
      <c r="AF279" s="439"/>
      <c r="AG279" s="439"/>
      <c r="AH279" s="439"/>
      <c r="AI279" s="932"/>
      <c r="AJ279" s="439"/>
      <c r="AK279" s="439"/>
      <c r="AL279" s="439"/>
      <c r="AM279" s="439"/>
      <c r="AN279" s="439"/>
      <c r="AO279" s="932"/>
      <c r="AP279" s="439"/>
      <c r="AQ279" s="439"/>
      <c r="AR279" s="439"/>
      <c r="AS279" s="439"/>
      <c r="AT279" s="439"/>
      <c r="AU279" s="932"/>
      <c r="AV279" s="439"/>
      <c r="AW279" s="439"/>
      <c r="AX279" s="439"/>
      <c r="AY279" s="439"/>
      <c r="AZ279" s="439"/>
      <c r="BA279" s="932"/>
      <c r="BB279" s="439"/>
      <c r="BC279" s="439"/>
      <c r="BD279" s="439"/>
      <c r="BE279" s="439"/>
      <c r="BF279" s="439"/>
      <c r="BG279" s="932"/>
      <c r="BH279" s="439"/>
      <c r="BI279" s="439"/>
      <c r="BJ279" s="439"/>
      <c r="BK279" s="439"/>
      <c r="BL279" s="439"/>
      <c r="BM279" s="932"/>
      <c r="BN279" s="439"/>
      <c r="BO279" s="439"/>
      <c r="BP279" s="439"/>
      <c r="BQ279" s="439"/>
      <c r="BR279" s="439"/>
    </row>
    <row r="280" ht="15.75" customHeight="1">
      <c r="A280" s="439"/>
      <c r="B280" s="439"/>
      <c r="C280" s="439"/>
      <c r="D280" s="439"/>
      <c r="E280" s="932"/>
      <c r="F280" s="439"/>
      <c r="G280" s="439"/>
      <c r="H280" s="439"/>
      <c r="I280" s="439"/>
      <c r="J280" s="439"/>
      <c r="K280" s="932"/>
      <c r="L280" s="439"/>
      <c r="M280" s="439"/>
      <c r="N280" s="439"/>
      <c r="O280" s="439"/>
      <c r="P280" s="439"/>
      <c r="Q280" s="932"/>
      <c r="R280" s="439"/>
      <c r="S280" s="439"/>
      <c r="T280" s="439"/>
      <c r="U280" s="439"/>
      <c r="V280" s="439"/>
      <c r="W280" s="932"/>
      <c r="X280" s="439"/>
      <c r="Y280" s="439"/>
      <c r="Z280" s="439"/>
      <c r="AA280" s="439"/>
      <c r="AB280" s="439"/>
      <c r="AC280" s="932"/>
      <c r="AD280" s="439"/>
      <c r="AE280" s="439"/>
      <c r="AF280" s="439"/>
      <c r="AG280" s="439"/>
      <c r="AH280" s="439"/>
      <c r="AI280" s="932"/>
      <c r="AJ280" s="439"/>
      <c r="AK280" s="439"/>
      <c r="AL280" s="439"/>
      <c r="AM280" s="439"/>
      <c r="AN280" s="439"/>
      <c r="AO280" s="932"/>
      <c r="AP280" s="439"/>
      <c r="AQ280" s="439"/>
      <c r="AR280" s="439"/>
      <c r="AS280" s="439"/>
      <c r="AT280" s="439"/>
      <c r="AU280" s="932"/>
      <c r="AV280" s="439"/>
      <c r="AW280" s="439"/>
      <c r="AX280" s="439"/>
      <c r="AY280" s="439"/>
      <c r="AZ280" s="439"/>
      <c r="BA280" s="932"/>
      <c r="BB280" s="439"/>
      <c r="BC280" s="439"/>
      <c r="BD280" s="439"/>
      <c r="BE280" s="439"/>
      <c r="BF280" s="439"/>
      <c r="BG280" s="932"/>
      <c r="BH280" s="439"/>
      <c r="BI280" s="439"/>
      <c r="BJ280" s="439"/>
      <c r="BK280" s="439"/>
      <c r="BL280" s="439"/>
      <c r="BM280" s="932"/>
      <c r="BN280" s="439"/>
      <c r="BO280" s="439"/>
      <c r="BP280" s="439"/>
      <c r="BQ280" s="439"/>
      <c r="BR280" s="439"/>
    </row>
    <row r="281" ht="15.75" customHeight="1">
      <c r="A281" s="439"/>
      <c r="B281" s="439"/>
      <c r="C281" s="439"/>
      <c r="D281" s="439"/>
      <c r="E281" s="932"/>
      <c r="F281" s="439"/>
      <c r="G281" s="439"/>
      <c r="H281" s="439"/>
      <c r="I281" s="439"/>
      <c r="J281" s="439"/>
      <c r="K281" s="932"/>
      <c r="L281" s="439"/>
      <c r="M281" s="439"/>
      <c r="N281" s="439"/>
      <c r="O281" s="439"/>
      <c r="P281" s="439"/>
      <c r="Q281" s="932"/>
      <c r="R281" s="439"/>
      <c r="S281" s="439"/>
      <c r="T281" s="439"/>
      <c r="U281" s="439"/>
      <c r="V281" s="439"/>
      <c r="W281" s="932"/>
      <c r="X281" s="439"/>
      <c r="Y281" s="439"/>
      <c r="Z281" s="439"/>
      <c r="AA281" s="439"/>
      <c r="AB281" s="439"/>
      <c r="AC281" s="932"/>
      <c r="AD281" s="439"/>
      <c r="AE281" s="439"/>
      <c r="AF281" s="439"/>
      <c r="AG281" s="439"/>
      <c r="AH281" s="439"/>
      <c r="AI281" s="932"/>
      <c r="AJ281" s="439"/>
      <c r="AK281" s="439"/>
      <c r="AL281" s="439"/>
      <c r="AM281" s="439"/>
      <c r="AN281" s="439"/>
      <c r="AO281" s="932"/>
      <c r="AP281" s="439"/>
      <c r="AQ281" s="439"/>
      <c r="AR281" s="439"/>
      <c r="AS281" s="439"/>
      <c r="AT281" s="439"/>
      <c r="AU281" s="932"/>
      <c r="AV281" s="439"/>
      <c r="AW281" s="439"/>
      <c r="AX281" s="439"/>
      <c r="AY281" s="439"/>
      <c r="AZ281" s="439"/>
      <c r="BA281" s="932"/>
      <c r="BB281" s="439"/>
      <c r="BC281" s="439"/>
      <c r="BD281" s="439"/>
      <c r="BE281" s="439"/>
      <c r="BF281" s="439"/>
      <c r="BG281" s="932"/>
      <c r="BH281" s="439"/>
      <c r="BI281" s="439"/>
      <c r="BJ281" s="439"/>
      <c r="BK281" s="439"/>
      <c r="BL281" s="439"/>
      <c r="BM281" s="932"/>
      <c r="BN281" s="439"/>
      <c r="BO281" s="439"/>
      <c r="BP281" s="439"/>
      <c r="BQ281" s="439"/>
      <c r="BR281" s="439"/>
    </row>
    <row r="282" ht="15.75" customHeight="1">
      <c r="A282" s="439"/>
      <c r="B282" s="439"/>
      <c r="C282" s="439"/>
      <c r="D282" s="439"/>
      <c r="E282" s="932"/>
      <c r="F282" s="439"/>
      <c r="G282" s="439"/>
      <c r="H282" s="439"/>
      <c r="I282" s="439"/>
      <c r="J282" s="439"/>
      <c r="K282" s="932"/>
      <c r="L282" s="439"/>
      <c r="M282" s="439"/>
      <c r="N282" s="439"/>
      <c r="O282" s="439"/>
      <c r="P282" s="439"/>
      <c r="Q282" s="932"/>
      <c r="R282" s="439"/>
      <c r="S282" s="439"/>
      <c r="T282" s="439"/>
      <c r="U282" s="439"/>
      <c r="V282" s="439"/>
      <c r="W282" s="932"/>
      <c r="X282" s="439"/>
      <c r="Y282" s="439"/>
      <c r="Z282" s="439"/>
      <c r="AA282" s="439"/>
      <c r="AB282" s="439"/>
      <c r="AC282" s="932"/>
      <c r="AD282" s="439"/>
      <c r="AE282" s="439"/>
      <c r="AF282" s="439"/>
      <c r="AG282" s="439"/>
      <c r="AH282" s="439"/>
      <c r="AI282" s="932"/>
      <c r="AJ282" s="439"/>
      <c r="AK282" s="439"/>
      <c r="AL282" s="439"/>
      <c r="AM282" s="439"/>
      <c r="AN282" s="439"/>
      <c r="AO282" s="932"/>
      <c r="AP282" s="439"/>
      <c r="AQ282" s="439"/>
      <c r="AR282" s="439"/>
      <c r="AS282" s="439"/>
      <c r="AT282" s="439"/>
      <c r="AU282" s="932"/>
      <c r="AV282" s="439"/>
      <c r="AW282" s="439"/>
      <c r="AX282" s="439"/>
      <c r="AY282" s="439"/>
      <c r="AZ282" s="439"/>
      <c r="BA282" s="932"/>
      <c r="BB282" s="439"/>
      <c r="BC282" s="439"/>
      <c r="BD282" s="439"/>
      <c r="BE282" s="439"/>
      <c r="BF282" s="439"/>
      <c r="BG282" s="932"/>
      <c r="BH282" s="439"/>
      <c r="BI282" s="439"/>
      <c r="BJ282" s="439"/>
      <c r="BK282" s="439"/>
      <c r="BL282" s="439"/>
      <c r="BM282" s="932"/>
      <c r="BN282" s="439"/>
      <c r="BO282" s="439"/>
      <c r="BP282" s="439"/>
      <c r="BQ282" s="439"/>
      <c r="BR282" s="439"/>
    </row>
    <row r="283" ht="15.75" customHeight="1">
      <c r="A283" s="439"/>
      <c r="B283" s="439"/>
      <c r="C283" s="439"/>
      <c r="D283" s="439"/>
      <c r="E283" s="932"/>
      <c r="F283" s="439"/>
      <c r="G283" s="439"/>
      <c r="H283" s="439"/>
      <c r="I283" s="439"/>
      <c r="J283" s="439"/>
      <c r="K283" s="932"/>
      <c r="L283" s="439"/>
      <c r="M283" s="439"/>
      <c r="N283" s="439"/>
      <c r="O283" s="439"/>
      <c r="P283" s="439"/>
      <c r="Q283" s="932"/>
      <c r="R283" s="439"/>
      <c r="S283" s="439"/>
      <c r="T283" s="439"/>
      <c r="U283" s="439"/>
      <c r="V283" s="439"/>
      <c r="W283" s="932"/>
      <c r="X283" s="439"/>
      <c r="Y283" s="439"/>
      <c r="Z283" s="439"/>
      <c r="AA283" s="439"/>
      <c r="AB283" s="439"/>
      <c r="AC283" s="932"/>
      <c r="AD283" s="439"/>
      <c r="AE283" s="439"/>
      <c r="AF283" s="439"/>
      <c r="AG283" s="439"/>
      <c r="AH283" s="439"/>
      <c r="AI283" s="932"/>
      <c r="AJ283" s="439"/>
      <c r="AK283" s="439"/>
      <c r="AL283" s="439"/>
      <c r="AM283" s="439"/>
      <c r="AN283" s="439"/>
      <c r="AO283" s="932"/>
      <c r="AP283" s="439"/>
      <c r="AQ283" s="439"/>
      <c r="AR283" s="439"/>
      <c r="AS283" s="439"/>
      <c r="AT283" s="439"/>
      <c r="AU283" s="932"/>
      <c r="AV283" s="439"/>
      <c r="AW283" s="439"/>
      <c r="AX283" s="439"/>
      <c r="AY283" s="439"/>
      <c r="AZ283" s="439"/>
      <c r="BA283" s="932"/>
      <c r="BB283" s="439"/>
      <c r="BC283" s="439"/>
      <c r="BD283" s="439"/>
      <c r="BE283" s="439"/>
      <c r="BF283" s="439"/>
      <c r="BG283" s="932"/>
      <c r="BH283" s="439"/>
      <c r="BI283" s="439"/>
      <c r="BJ283" s="439"/>
      <c r="BK283" s="439"/>
      <c r="BL283" s="439"/>
      <c r="BM283" s="932"/>
      <c r="BN283" s="439"/>
      <c r="BO283" s="439"/>
      <c r="BP283" s="439"/>
      <c r="BQ283" s="439"/>
      <c r="BR283" s="439"/>
    </row>
    <row r="284" ht="15.75" customHeight="1">
      <c r="A284" s="439"/>
      <c r="B284" s="439"/>
      <c r="C284" s="439"/>
      <c r="D284" s="439"/>
      <c r="E284" s="932"/>
      <c r="F284" s="439"/>
      <c r="G284" s="439"/>
      <c r="H284" s="439"/>
      <c r="I284" s="439"/>
      <c r="J284" s="439"/>
      <c r="K284" s="932"/>
      <c r="L284" s="439"/>
      <c r="M284" s="439"/>
      <c r="N284" s="439"/>
      <c r="O284" s="439"/>
      <c r="P284" s="439"/>
      <c r="Q284" s="932"/>
      <c r="R284" s="439"/>
      <c r="S284" s="439"/>
      <c r="T284" s="439"/>
      <c r="U284" s="439"/>
      <c r="V284" s="439"/>
      <c r="W284" s="932"/>
      <c r="X284" s="439"/>
      <c r="Y284" s="439"/>
      <c r="Z284" s="439"/>
      <c r="AA284" s="439"/>
      <c r="AB284" s="439"/>
      <c r="AC284" s="932"/>
      <c r="AD284" s="439"/>
      <c r="AE284" s="439"/>
      <c r="AF284" s="439"/>
      <c r="AG284" s="439"/>
      <c r="AH284" s="439"/>
      <c r="AI284" s="932"/>
      <c r="AJ284" s="439"/>
      <c r="AK284" s="439"/>
      <c r="AL284" s="439"/>
      <c r="AM284" s="439"/>
      <c r="AN284" s="439"/>
      <c r="AO284" s="932"/>
      <c r="AP284" s="439"/>
      <c r="AQ284" s="439"/>
      <c r="AR284" s="439"/>
      <c r="AS284" s="439"/>
      <c r="AT284" s="439"/>
      <c r="AU284" s="932"/>
      <c r="AV284" s="439"/>
      <c r="AW284" s="439"/>
      <c r="AX284" s="439"/>
      <c r="AY284" s="439"/>
      <c r="AZ284" s="439"/>
      <c r="BA284" s="932"/>
      <c r="BB284" s="439"/>
      <c r="BC284" s="439"/>
      <c r="BD284" s="439"/>
      <c r="BE284" s="439"/>
      <c r="BF284" s="439"/>
      <c r="BG284" s="932"/>
      <c r="BH284" s="439"/>
      <c r="BI284" s="439"/>
      <c r="BJ284" s="439"/>
      <c r="BK284" s="439"/>
      <c r="BL284" s="439"/>
      <c r="BM284" s="932"/>
      <c r="BN284" s="439"/>
      <c r="BO284" s="439"/>
      <c r="BP284" s="439"/>
      <c r="BQ284" s="439"/>
      <c r="BR284" s="439"/>
    </row>
    <row r="285" ht="15.75" customHeight="1">
      <c r="A285" s="439"/>
      <c r="B285" s="439"/>
      <c r="C285" s="439"/>
      <c r="D285" s="439"/>
      <c r="E285" s="932"/>
      <c r="F285" s="439"/>
      <c r="G285" s="439"/>
      <c r="H285" s="439"/>
      <c r="I285" s="439"/>
      <c r="J285" s="439"/>
      <c r="K285" s="932"/>
      <c r="L285" s="439"/>
      <c r="M285" s="439"/>
      <c r="N285" s="439"/>
      <c r="O285" s="439"/>
      <c r="P285" s="439"/>
      <c r="Q285" s="932"/>
      <c r="R285" s="439"/>
      <c r="S285" s="439"/>
      <c r="T285" s="439"/>
      <c r="U285" s="439"/>
      <c r="V285" s="439"/>
      <c r="W285" s="932"/>
      <c r="X285" s="439"/>
      <c r="Y285" s="439"/>
      <c r="Z285" s="439"/>
      <c r="AA285" s="439"/>
      <c r="AB285" s="439"/>
      <c r="AC285" s="932"/>
      <c r="AD285" s="439"/>
      <c r="AE285" s="439"/>
      <c r="AF285" s="439"/>
      <c r="AG285" s="439"/>
      <c r="AH285" s="439"/>
      <c r="AI285" s="932"/>
      <c r="AJ285" s="439"/>
      <c r="AK285" s="439"/>
      <c r="AL285" s="439"/>
      <c r="AM285" s="439"/>
      <c r="AN285" s="439"/>
      <c r="AO285" s="932"/>
      <c r="AP285" s="439"/>
      <c r="AQ285" s="439"/>
      <c r="AR285" s="439"/>
      <c r="AS285" s="439"/>
      <c r="AT285" s="439"/>
      <c r="AU285" s="932"/>
      <c r="AV285" s="439"/>
      <c r="AW285" s="439"/>
      <c r="AX285" s="439"/>
      <c r="AY285" s="439"/>
      <c r="AZ285" s="439"/>
      <c r="BA285" s="932"/>
      <c r="BB285" s="439"/>
      <c r="BC285" s="439"/>
      <c r="BD285" s="439"/>
      <c r="BE285" s="439"/>
      <c r="BF285" s="439"/>
      <c r="BG285" s="932"/>
      <c r="BH285" s="439"/>
      <c r="BI285" s="439"/>
      <c r="BJ285" s="439"/>
      <c r="BK285" s="439"/>
      <c r="BL285" s="439"/>
      <c r="BM285" s="932"/>
      <c r="BN285" s="439"/>
      <c r="BO285" s="439"/>
      <c r="BP285" s="439"/>
      <c r="BQ285" s="439"/>
      <c r="BR285" s="439"/>
    </row>
    <row r="286" ht="15.75" customHeight="1">
      <c r="A286" s="439"/>
      <c r="B286" s="439"/>
      <c r="C286" s="439"/>
      <c r="D286" s="439"/>
      <c r="E286" s="932"/>
      <c r="F286" s="439"/>
      <c r="G286" s="439"/>
      <c r="H286" s="439"/>
      <c r="I286" s="439"/>
      <c r="J286" s="439"/>
      <c r="K286" s="932"/>
      <c r="L286" s="439"/>
      <c r="M286" s="439"/>
      <c r="N286" s="439"/>
      <c r="O286" s="439"/>
      <c r="P286" s="439"/>
      <c r="Q286" s="932"/>
      <c r="R286" s="439"/>
      <c r="S286" s="439"/>
      <c r="T286" s="439"/>
      <c r="U286" s="439"/>
      <c r="V286" s="439"/>
      <c r="W286" s="932"/>
      <c r="X286" s="439"/>
      <c r="Y286" s="439"/>
      <c r="Z286" s="439"/>
      <c r="AA286" s="439"/>
      <c r="AB286" s="439"/>
      <c r="AC286" s="932"/>
      <c r="AD286" s="439"/>
      <c r="AE286" s="439"/>
      <c r="AF286" s="439"/>
      <c r="AG286" s="439"/>
      <c r="AH286" s="439"/>
      <c r="AI286" s="932"/>
      <c r="AJ286" s="439"/>
      <c r="AK286" s="439"/>
      <c r="AL286" s="439"/>
      <c r="AM286" s="439"/>
      <c r="AN286" s="439"/>
      <c r="AO286" s="932"/>
      <c r="AP286" s="439"/>
      <c r="AQ286" s="439"/>
      <c r="AR286" s="439"/>
      <c r="AS286" s="439"/>
      <c r="AT286" s="439"/>
      <c r="AU286" s="932"/>
      <c r="AV286" s="439"/>
      <c r="AW286" s="439"/>
      <c r="AX286" s="439"/>
      <c r="AY286" s="439"/>
      <c r="AZ286" s="439"/>
      <c r="BA286" s="932"/>
      <c r="BB286" s="439"/>
      <c r="BC286" s="439"/>
      <c r="BD286" s="439"/>
      <c r="BE286" s="439"/>
      <c r="BF286" s="439"/>
      <c r="BG286" s="932"/>
      <c r="BH286" s="439"/>
      <c r="BI286" s="439"/>
      <c r="BJ286" s="439"/>
      <c r="BK286" s="439"/>
      <c r="BL286" s="439"/>
      <c r="BM286" s="932"/>
      <c r="BN286" s="439"/>
      <c r="BO286" s="439"/>
      <c r="BP286" s="439"/>
      <c r="BQ286" s="439"/>
      <c r="BR286" s="439"/>
    </row>
    <row r="287" ht="15.75" customHeight="1">
      <c r="A287" s="439"/>
      <c r="B287" s="439"/>
      <c r="C287" s="439"/>
      <c r="D287" s="439"/>
      <c r="E287" s="932"/>
      <c r="F287" s="439"/>
      <c r="G287" s="439"/>
      <c r="H287" s="439"/>
      <c r="I287" s="439"/>
      <c r="J287" s="439"/>
      <c r="K287" s="932"/>
      <c r="L287" s="439"/>
      <c r="M287" s="439"/>
      <c r="N287" s="439"/>
      <c r="O287" s="439"/>
      <c r="P287" s="439"/>
      <c r="Q287" s="932"/>
      <c r="R287" s="439"/>
      <c r="S287" s="439"/>
      <c r="T287" s="439"/>
      <c r="U287" s="439"/>
      <c r="V287" s="439"/>
      <c r="W287" s="932"/>
      <c r="X287" s="439"/>
      <c r="Y287" s="439"/>
      <c r="Z287" s="439"/>
      <c r="AA287" s="439"/>
      <c r="AB287" s="439"/>
      <c r="AC287" s="932"/>
      <c r="AD287" s="439"/>
      <c r="AE287" s="439"/>
      <c r="AF287" s="439"/>
      <c r="AG287" s="439"/>
      <c r="AH287" s="439"/>
      <c r="AI287" s="932"/>
      <c r="AJ287" s="439"/>
      <c r="AK287" s="439"/>
      <c r="AL287" s="439"/>
      <c r="AM287" s="439"/>
      <c r="AN287" s="439"/>
      <c r="AO287" s="932"/>
      <c r="AP287" s="439"/>
      <c r="AQ287" s="439"/>
      <c r="AR287" s="439"/>
      <c r="AS287" s="439"/>
      <c r="AT287" s="439"/>
      <c r="AU287" s="932"/>
      <c r="AV287" s="439"/>
      <c r="AW287" s="439"/>
      <c r="AX287" s="439"/>
      <c r="AY287" s="439"/>
      <c r="AZ287" s="439"/>
      <c r="BA287" s="932"/>
      <c r="BB287" s="439"/>
      <c r="BC287" s="439"/>
      <c r="BD287" s="439"/>
      <c r="BE287" s="439"/>
      <c r="BF287" s="439"/>
      <c r="BG287" s="932"/>
      <c r="BH287" s="439"/>
      <c r="BI287" s="439"/>
      <c r="BJ287" s="439"/>
      <c r="BK287" s="439"/>
      <c r="BL287" s="439"/>
      <c r="BM287" s="932"/>
      <c r="BN287" s="439"/>
      <c r="BO287" s="439"/>
      <c r="BP287" s="439"/>
      <c r="BQ287" s="439"/>
      <c r="BR287" s="439"/>
    </row>
    <row r="288" ht="15.75" customHeight="1">
      <c r="A288" s="439"/>
      <c r="B288" s="439"/>
      <c r="C288" s="439"/>
      <c r="D288" s="439"/>
      <c r="E288" s="932"/>
      <c r="F288" s="439"/>
      <c r="G288" s="439"/>
      <c r="H288" s="439"/>
      <c r="I288" s="439"/>
      <c r="J288" s="439"/>
      <c r="K288" s="932"/>
      <c r="L288" s="439"/>
      <c r="M288" s="439"/>
      <c r="N288" s="439"/>
      <c r="O288" s="439"/>
      <c r="P288" s="439"/>
      <c r="Q288" s="932"/>
      <c r="R288" s="439"/>
      <c r="S288" s="439"/>
      <c r="T288" s="439"/>
      <c r="U288" s="439"/>
      <c r="V288" s="439"/>
      <c r="W288" s="932"/>
      <c r="X288" s="439"/>
      <c r="Y288" s="439"/>
      <c r="Z288" s="439"/>
      <c r="AA288" s="439"/>
      <c r="AB288" s="439"/>
      <c r="AC288" s="932"/>
      <c r="AD288" s="439"/>
      <c r="AE288" s="439"/>
      <c r="AF288" s="439"/>
      <c r="AG288" s="439"/>
      <c r="AH288" s="439"/>
      <c r="AI288" s="932"/>
      <c r="AJ288" s="439"/>
      <c r="AK288" s="439"/>
      <c r="AL288" s="439"/>
      <c r="AM288" s="439"/>
      <c r="AN288" s="439"/>
      <c r="AO288" s="932"/>
      <c r="AP288" s="439"/>
      <c r="AQ288" s="439"/>
      <c r="AR288" s="439"/>
      <c r="AS288" s="439"/>
      <c r="AT288" s="439"/>
      <c r="AU288" s="932"/>
      <c r="AV288" s="439"/>
      <c r="AW288" s="439"/>
      <c r="AX288" s="439"/>
      <c r="AY288" s="439"/>
      <c r="AZ288" s="439"/>
      <c r="BA288" s="932"/>
      <c r="BB288" s="439"/>
      <c r="BC288" s="439"/>
      <c r="BD288" s="439"/>
      <c r="BE288" s="439"/>
      <c r="BF288" s="439"/>
      <c r="BG288" s="932"/>
      <c r="BH288" s="439"/>
      <c r="BI288" s="439"/>
      <c r="BJ288" s="439"/>
      <c r="BK288" s="439"/>
      <c r="BL288" s="439"/>
      <c r="BM288" s="932"/>
      <c r="BN288" s="439"/>
      <c r="BO288" s="439"/>
      <c r="BP288" s="439"/>
      <c r="BQ288" s="439"/>
      <c r="BR288" s="439"/>
    </row>
    <row r="289" ht="15.75" customHeight="1">
      <c r="A289" s="439"/>
      <c r="B289" s="439"/>
      <c r="C289" s="439"/>
      <c r="D289" s="439"/>
      <c r="E289" s="932"/>
      <c r="F289" s="439"/>
      <c r="G289" s="439"/>
      <c r="H289" s="439"/>
      <c r="I289" s="439"/>
      <c r="J289" s="439"/>
      <c r="K289" s="932"/>
      <c r="L289" s="439"/>
      <c r="M289" s="439"/>
      <c r="N289" s="439"/>
      <c r="O289" s="439"/>
      <c r="P289" s="439"/>
      <c r="Q289" s="932"/>
      <c r="R289" s="439"/>
      <c r="S289" s="439"/>
      <c r="T289" s="439"/>
      <c r="U289" s="439"/>
      <c r="V289" s="439"/>
      <c r="W289" s="932"/>
      <c r="X289" s="439"/>
      <c r="Y289" s="439"/>
      <c r="Z289" s="439"/>
      <c r="AA289" s="439"/>
      <c r="AB289" s="439"/>
      <c r="AC289" s="932"/>
      <c r="AD289" s="439"/>
      <c r="AE289" s="439"/>
      <c r="AF289" s="439"/>
      <c r="AG289" s="439"/>
      <c r="AH289" s="439"/>
      <c r="AI289" s="932"/>
      <c r="AJ289" s="439"/>
      <c r="AK289" s="439"/>
      <c r="AL289" s="439"/>
      <c r="AM289" s="439"/>
      <c r="AN289" s="439"/>
      <c r="AO289" s="932"/>
      <c r="AP289" s="439"/>
      <c r="AQ289" s="439"/>
      <c r="AR289" s="439"/>
      <c r="AS289" s="439"/>
      <c r="AT289" s="439"/>
      <c r="AU289" s="932"/>
      <c r="AV289" s="439"/>
      <c r="AW289" s="439"/>
      <c r="AX289" s="439"/>
      <c r="AY289" s="439"/>
      <c r="AZ289" s="439"/>
      <c r="BA289" s="932"/>
      <c r="BB289" s="439"/>
      <c r="BC289" s="439"/>
      <c r="BD289" s="439"/>
      <c r="BE289" s="439"/>
      <c r="BF289" s="439"/>
      <c r="BG289" s="932"/>
      <c r="BH289" s="439"/>
      <c r="BI289" s="439"/>
      <c r="BJ289" s="439"/>
      <c r="BK289" s="439"/>
      <c r="BL289" s="439"/>
      <c r="BM289" s="932"/>
      <c r="BN289" s="439"/>
      <c r="BO289" s="439"/>
      <c r="BP289" s="439"/>
      <c r="BQ289" s="439"/>
      <c r="BR289" s="439"/>
    </row>
    <row r="290" ht="15.75" customHeight="1">
      <c r="A290" s="439"/>
      <c r="B290" s="439"/>
      <c r="C290" s="439"/>
      <c r="D290" s="439"/>
      <c r="E290" s="932"/>
      <c r="F290" s="439"/>
      <c r="G290" s="439"/>
      <c r="H290" s="439"/>
      <c r="I290" s="439"/>
      <c r="J290" s="439"/>
      <c r="K290" s="932"/>
      <c r="L290" s="439"/>
      <c r="M290" s="439"/>
      <c r="N290" s="439"/>
      <c r="O290" s="439"/>
      <c r="P290" s="439"/>
      <c r="Q290" s="932"/>
      <c r="R290" s="439"/>
      <c r="S290" s="439"/>
      <c r="T290" s="439"/>
      <c r="U290" s="439"/>
      <c r="V290" s="439"/>
      <c r="W290" s="932"/>
      <c r="X290" s="439"/>
      <c r="Y290" s="439"/>
      <c r="Z290" s="439"/>
      <c r="AA290" s="439"/>
      <c r="AB290" s="439"/>
      <c r="AC290" s="932"/>
      <c r="AD290" s="439"/>
      <c r="AE290" s="439"/>
      <c r="AF290" s="439"/>
      <c r="AG290" s="439"/>
      <c r="AH290" s="439"/>
      <c r="AI290" s="932"/>
      <c r="AJ290" s="439"/>
      <c r="AK290" s="439"/>
      <c r="AL290" s="439"/>
      <c r="AM290" s="439"/>
      <c r="AN290" s="439"/>
      <c r="AO290" s="932"/>
      <c r="AP290" s="439"/>
      <c r="AQ290" s="439"/>
      <c r="AR290" s="439"/>
      <c r="AS290" s="439"/>
      <c r="AT290" s="439"/>
      <c r="AU290" s="932"/>
      <c r="AV290" s="439"/>
      <c r="AW290" s="439"/>
      <c r="AX290" s="439"/>
      <c r="AY290" s="439"/>
      <c r="AZ290" s="439"/>
      <c r="BA290" s="932"/>
      <c r="BB290" s="439"/>
      <c r="BC290" s="439"/>
      <c r="BD290" s="439"/>
      <c r="BE290" s="439"/>
      <c r="BF290" s="439"/>
      <c r="BG290" s="932"/>
      <c r="BH290" s="439"/>
      <c r="BI290" s="439"/>
      <c r="BJ290" s="439"/>
      <c r="BK290" s="439"/>
      <c r="BL290" s="439"/>
      <c r="BM290" s="932"/>
      <c r="BN290" s="439"/>
      <c r="BO290" s="439"/>
      <c r="BP290" s="439"/>
      <c r="BQ290" s="439"/>
      <c r="BR290" s="439"/>
    </row>
    <row r="291" ht="15.75" customHeight="1">
      <c r="A291" s="439"/>
      <c r="B291" s="439"/>
      <c r="C291" s="439"/>
      <c r="D291" s="439"/>
      <c r="E291" s="932"/>
      <c r="F291" s="439"/>
      <c r="G291" s="439"/>
      <c r="H291" s="439"/>
      <c r="I291" s="439"/>
      <c r="J291" s="439"/>
      <c r="K291" s="932"/>
      <c r="L291" s="439"/>
      <c r="M291" s="439"/>
      <c r="N291" s="439"/>
      <c r="O291" s="439"/>
      <c r="P291" s="439"/>
      <c r="Q291" s="932"/>
      <c r="R291" s="439"/>
      <c r="S291" s="439"/>
      <c r="T291" s="439"/>
      <c r="U291" s="439"/>
      <c r="V291" s="439"/>
      <c r="W291" s="932"/>
      <c r="X291" s="439"/>
      <c r="Y291" s="439"/>
      <c r="Z291" s="439"/>
      <c r="AA291" s="439"/>
      <c r="AB291" s="439"/>
      <c r="AC291" s="932"/>
      <c r="AD291" s="439"/>
      <c r="AE291" s="439"/>
      <c r="AF291" s="439"/>
      <c r="AG291" s="439"/>
      <c r="AH291" s="439"/>
      <c r="AI291" s="932"/>
      <c r="AJ291" s="439"/>
      <c r="AK291" s="439"/>
      <c r="AL291" s="439"/>
      <c r="AM291" s="439"/>
      <c r="AN291" s="439"/>
      <c r="AO291" s="932"/>
      <c r="AP291" s="439"/>
      <c r="AQ291" s="439"/>
      <c r="AR291" s="439"/>
      <c r="AS291" s="439"/>
      <c r="AT291" s="439"/>
      <c r="AU291" s="932"/>
      <c r="AV291" s="439"/>
      <c r="AW291" s="439"/>
      <c r="AX291" s="439"/>
      <c r="AY291" s="439"/>
      <c r="AZ291" s="439"/>
      <c r="BA291" s="932"/>
      <c r="BB291" s="439"/>
      <c r="BC291" s="439"/>
      <c r="BD291" s="439"/>
      <c r="BE291" s="439"/>
      <c r="BF291" s="439"/>
      <c r="BG291" s="932"/>
      <c r="BH291" s="439"/>
      <c r="BI291" s="439"/>
      <c r="BJ291" s="439"/>
      <c r="BK291" s="439"/>
      <c r="BL291" s="439"/>
      <c r="BM291" s="932"/>
      <c r="BN291" s="439"/>
      <c r="BO291" s="439"/>
      <c r="BP291" s="439"/>
      <c r="BQ291" s="439"/>
      <c r="BR291" s="439"/>
    </row>
    <row r="292" ht="15.75" customHeight="1">
      <c r="A292" s="439"/>
      <c r="B292" s="439"/>
      <c r="C292" s="439"/>
      <c r="D292" s="439"/>
      <c r="E292" s="932"/>
      <c r="F292" s="439"/>
      <c r="G292" s="439"/>
      <c r="H292" s="439"/>
      <c r="I292" s="439"/>
      <c r="J292" s="439"/>
      <c r="K292" s="932"/>
      <c r="L292" s="439"/>
      <c r="M292" s="439"/>
      <c r="N292" s="439"/>
      <c r="O292" s="439"/>
      <c r="P292" s="439"/>
      <c r="Q292" s="932"/>
      <c r="R292" s="439"/>
      <c r="S292" s="439"/>
      <c r="T292" s="439"/>
      <c r="U292" s="439"/>
      <c r="V292" s="439"/>
      <c r="W292" s="932"/>
      <c r="X292" s="439"/>
      <c r="Y292" s="439"/>
      <c r="Z292" s="439"/>
      <c r="AA292" s="439"/>
      <c r="AB292" s="439"/>
      <c r="AC292" s="932"/>
      <c r="AD292" s="439"/>
      <c r="AE292" s="439"/>
      <c r="AF292" s="439"/>
      <c r="AG292" s="439"/>
      <c r="AH292" s="439"/>
      <c r="AI292" s="932"/>
      <c r="AJ292" s="439"/>
      <c r="AK292" s="439"/>
      <c r="AL292" s="439"/>
      <c r="AM292" s="439"/>
      <c r="AN292" s="439"/>
      <c r="AO292" s="932"/>
      <c r="AP292" s="439"/>
      <c r="AQ292" s="439"/>
      <c r="AR292" s="439"/>
      <c r="AS292" s="439"/>
      <c r="AT292" s="439"/>
      <c r="AU292" s="932"/>
      <c r="AV292" s="439"/>
      <c r="AW292" s="439"/>
      <c r="AX292" s="439"/>
      <c r="AY292" s="439"/>
      <c r="AZ292" s="439"/>
      <c r="BA292" s="932"/>
      <c r="BB292" s="439"/>
      <c r="BC292" s="439"/>
      <c r="BD292" s="439"/>
      <c r="BE292" s="439"/>
      <c r="BF292" s="439"/>
      <c r="BG292" s="932"/>
      <c r="BH292" s="439"/>
      <c r="BI292" s="439"/>
      <c r="BJ292" s="439"/>
      <c r="BK292" s="439"/>
      <c r="BL292" s="439"/>
      <c r="BM292" s="932"/>
      <c r="BN292" s="439"/>
      <c r="BO292" s="439"/>
      <c r="BP292" s="439"/>
      <c r="BQ292" s="439"/>
      <c r="BR292" s="439"/>
    </row>
    <row r="293" ht="15.75" customHeight="1">
      <c r="A293" s="439"/>
      <c r="B293" s="439"/>
      <c r="C293" s="439"/>
      <c r="D293" s="439"/>
      <c r="E293" s="932"/>
      <c r="F293" s="439"/>
      <c r="G293" s="439"/>
      <c r="H293" s="439"/>
      <c r="I293" s="439"/>
      <c r="J293" s="439"/>
      <c r="K293" s="932"/>
      <c r="L293" s="439"/>
      <c r="M293" s="439"/>
      <c r="N293" s="439"/>
      <c r="O293" s="439"/>
      <c r="P293" s="439"/>
      <c r="Q293" s="932"/>
      <c r="R293" s="439"/>
      <c r="S293" s="439"/>
      <c r="T293" s="439"/>
      <c r="U293" s="439"/>
      <c r="V293" s="439"/>
      <c r="W293" s="932"/>
      <c r="X293" s="439"/>
      <c r="Y293" s="439"/>
      <c r="Z293" s="439"/>
      <c r="AA293" s="439"/>
      <c r="AB293" s="439"/>
      <c r="AC293" s="932"/>
      <c r="AD293" s="439"/>
      <c r="AE293" s="439"/>
      <c r="AF293" s="439"/>
      <c r="AG293" s="439"/>
      <c r="AH293" s="439"/>
      <c r="AI293" s="932"/>
      <c r="AJ293" s="439"/>
      <c r="AK293" s="439"/>
      <c r="AL293" s="439"/>
      <c r="AM293" s="439"/>
      <c r="AN293" s="439"/>
      <c r="AO293" s="932"/>
      <c r="AP293" s="439"/>
      <c r="AQ293" s="439"/>
      <c r="AR293" s="439"/>
      <c r="AS293" s="439"/>
      <c r="AT293" s="439"/>
      <c r="AU293" s="932"/>
      <c r="AV293" s="439"/>
      <c r="AW293" s="439"/>
      <c r="AX293" s="439"/>
      <c r="AY293" s="439"/>
      <c r="AZ293" s="439"/>
      <c r="BA293" s="932"/>
      <c r="BB293" s="439"/>
      <c r="BC293" s="439"/>
      <c r="BD293" s="439"/>
      <c r="BE293" s="439"/>
      <c r="BF293" s="439"/>
      <c r="BG293" s="932"/>
      <c r="BH293" s="439"/>
      <c r="BI293" s="439"/>
      <c r="BJ293" s="439"/>
      <c r="BK293" s="439"/>
      <c r="BL293" s="439"/>
      <c r="BM293" s="932"/>
      <c r="BN293" s="439"/>
      <c r="BO293" s="439"/>
      <c r="BP293" s="439"/>
      <c r="BQ293" s="439"/>
      <c r="BR293" s="439"/>
    </row>
    <row r="294" ht="15.75" customHeight="1">
      <c r="A294" s="439"/>
      <c r="B294" s="439"/>
      <c r="C294" s="439"/>
      <c r="D294" s="439"/>
      <c r="E294" s="932"/>
      <c r="F294" s="439"/>
      <c r="G294" s="439"/>
      <c r="H294" s="439"/>
      <c r="I294" s="439"/>
      <c r="J294" s="439"/>
      <c r="K294" s="932"/>
      <c r="L294" s="439"/>
      <c r="M294" s="439"/>
      <c r="N294" s="439"/>
      <c r="O294" s="439"/>
      <c r="P294" s="439"/>
      <c r="Q294" s="932"/>
      <c r="R294" s="439"/>
      <c r="S294" s="439"/>
      <c r="T294" s="439"/>
      <c r="U294" s="439"/>
      <c r="V294" s="439"/>
      <c r="W294" s="932"/>
      <c r="X294" s="439"/>
      <c r="Y294" s="439"/>
      <c r="Z294" s="439"/>
      <c r="AA294" s="439"/>
      <c r="AB294" s="439"/>
      <c r="AC294" s="932"/>
      <c r="AD294" s="439"/>
      <c r="AE294" s="439"/>
      <c r="AF294" s="439"/>
      <c r="AG294" s="439"/>
      <c r="AH294" s="439"/>
      <c r="AI294" s="932"/>
      <c r="AJ294" s="439"/>
      <c r="AK294" s="439"/>
      <c r="AL294" s="439"/>
      <c r="AM294" s="439"/>
      <c r="AN294" s="439"/>
      <c r="AO294" s="932"/>
      <c r="AP294" s="439"/>
      <c r="AQ294" s="439"/>
      <c r="AR294" s="439"/>
      <c r="AS294" s="439"/>
      <c r="AT294" s="439"/>
      <c r="AU294" s="932"/>
      <c r="AV294" s="439"/>
      <c r="AW294" s="439"/>
      <c r="AX294" s="439"/>
      <c r="AY294" s="439"/>
      <c r="AZ294" s="439"/>
      <c r="BA294" s="932"/>
      <c r="BB294" s="439"/>
      <c r="BC294" s="439"/>
      <c r="BD294" s="439"/>
      <c r="BE294" s="439"/>
      <c r="BF294" s="439"/>
      <c r="BG294" s="932"/>
      <c r="BH294" s="439"/>
      <c r="BI294" s="439"/>
      <c r="BJ294" s="439"/>
      <c r="BK294" s="439"/>
      <c r="BL294" s="439"/>
      <c r="BM294" s="932"/>
      <c r="BN294" s="439"/>
      <c r="BO294" s="439"/>
      <c r="BP294" s="439"/>
      <c r="BQ294" s="439"/>
      <c r="BR294" s="439"/>
    </row>
    <row r="295" ht="15.75" customHeight="1">
      <c r="A295" s="439"/>
      <c r="B295" s="439"/>
      <c r="C295" s="439"/>
      <c r="D295" s="439"/>
      <c r="E295" s="932"/>
      <c r="F295" s="439"/>
      <c r="G295" s="439"/>
      <c r="H295" s="439"/>
      <c r="I295" s="439"/>
      <c r="J295" s="439"/>
      <c r="K295" s="932"/>
      <c r="L295" s="439"/>
      <c r="M295" s="439"/>
      <c r="N295" s="439"/>
      <c r="O295" s="439"/>
      <c r="P295" s="439"/>
      <c r="Q295" s="932"/>
      <c r="R295" s="439"/>
      <c r="S295" s="439"/>
      <c r="T295" s="439"/>
      <c r="U295" s="439"/>
      <c r="V295" s="439"/>
      <c r="W295" s="932"/>
      <c r="X295" s="439"/>
      <c r="Y295" s="439"/>
      <c r="Z295" s="439"/>
      <c r="AA295" s="439"/>
      <c r="AB295" s="439"/>
      <c r="AC295" s="932"/>
      <c r="AD295" s="439"/>
      <c r="AE295" s="439"/>
      <c r="AF295" s="439"/>
      <c r="AG295" s="439"/>
      <c r="AH295" s="439"/>
      <c r="AI295" s="932"/>
      <c r="AJ295" s="439"/>
      <c r="AK295" s="439"/>
      <c r="AL295" s="439"/>
      <c r="AM295" s="439"/>
      <c r="AN295" s="439"/>
      <c r="AO295" s="932"/>
      <c r="AP295" s="439"/>
      <c r="AQ295" s="439"/>
      <c r="AR295" s="439"/>
      <c r="AS295" s="439"/>
      <c r="AT295" s="439"/>
      <c r="AU295" s="932"/>
      <c r="AV295" s="439"/>
      <c r="AW295" s="439"/>
      <c r="AX295" s="439"/>
      <c r="AY295" s="439"/>
      <c r="AZ295" s="439"/>
      <c r="BA295" s="932"/>
      <c r="BB295" s="439"/>
      <c r="BC295" s="439"/>
      <c r="BD295" s="439"/>
      <c r="BE295" s="439"/>
      <c r="BF295" s="439"/>
      <c r="BG295" s="932"/>
      <c r="BH295" s="439"/>
      <c r="BI295" s="439"/>
      <c r="BJ295" s="439"/>
      <c r="BK295" s="439"/>
      <c r="BL295" s="439"/>
      <c r="BM295" s="932"/>
      <c r="BN295" s="439"/>
      <c r="BO295" s="439"/>
      <c r="BP295" s="439"/>
      <c r="BQ295" s="439"/>
      <c r="BR295" s="439"/>
    </row>
    <row r="296" ht="15.75" customHeight="1">
      <c r="A296" s="439"/>
      <c r="B296" s="439"/>
      <c r="C296" s="439"/>
      <c r="D296" s="439"/>
      <c r="E296" s="932"/>
      <c r="F296" s="439"/>
      <c r="G296" s="439"/>
      <c r="H296" s="439"/>
      <c r="I296" s="439"/>
      <c r="J296" s="439"/>
      <c r="K296" s="932"/>
      <c r="L296" s="439"/>
      <c r="M296" s="439"/>
      <c r="N296" s="439"/>
      <c r="O296" s="439"/>
      <c r="P296" s="439"/>
      <c r="Q296" s="932"/>
      <c r="R296" s="439"/>
      <c r="S296" s="439"/>
      <c r="T296" s="439"/>
      <c r="U296" s="439"/>
      <c r="V296" s="439"/>
      <c r="W296" s="932"/>
      <c r="X296" s="439"/>
      <c r="Y296" s="439"/>
      <c r="Z296" s="439"/>
      <c r="AA296" s="439"/>
      <c r="AB296" s="439"/>
      <c r="AC296" s="932"/>
      <c r="AD296" s="439"/>
      <c r="AE296" s="439"/>
      <c r="AF296" s="439"/>
      <c r="AG296" s="439"/>
      <c r="AH296" s="439"/>
      <c r="AI296" s="932"/>
      <c r="AJ296" s="439"/>
      <c r="AK296" s="439"/>
      <c r="AL296" s="439"/>
      <c r="AM296" s="439"/>
      <c r="AN296" s="439"/>
      <c r="AO296" s="932"/>
      <c r="AP296" s="439"/>
      <c r="AQ296" s="439"/>
      <c r="AR296" s="439"/>
      <c r="AS296" s="439"/>
      <c r="AT296" s="439"/>
      <c r="AU296" s="932"/>
      <c r="AV296" s="439"/>
      <c r="AW296" s="439"/>
      <c r="AX296" s="439"/>
      <c r="AY296" s="439"/>
      <c r="AZ296" s="439"/>
      <c r="BA296" s="932"/>
      <c r="BB296" s="439"/>
      <c r="BC296" s="439"/>
      <c r="BD296" s="439"/>
      <c r="BE296" s="439"/>
      <c r="BF296" s="439"/>
      <c r="BG296" s="932"/>
      <c r="BH296" s="439"/>
      <c r="BI296" s="439"/>
      <c r="BJ296" s="439"/>
      <c r="BK296" s="439"/>
      <c r="BL296" s="439"/>
      <c r="BM296" s="932"/>
      <c r="BN296" s="439"/>
      <c r="BO296" s="439"/>
      <c r="BP296" s="439"/>
      <c r="BQ296" s="439"/>
      <c r="BR296" s="439"/>
    </row>
    <row r="297" ht="15.75" customHeight="1">
      <c r="A297" s="439"/>
      <c r="B297" s="439"/>
      <c r="C297" s="439"/>
      <c r="D297" s="439"/>
      <c r="E297" s="932"/>
      <c r="F297" s="439"/>
      <c r="G297" s="439"/>
      <c r="H297" s="439"/>
      <c r="I297" s="439"/>
      <c r="J297" s="439"/>
      <c r="K297" s="932"/>
      <c r="L297" s="439"/>
      <c r="M297" s="439"/>
      <c r="N297" s="439"/>
      <c r="O297" s="439"/>
      <c r="P297" s="439"/>
      <c r="Q297" s="932"/>
      <c r="R297" s="439"/>
      <c r="S297" s="439"/>
      <c r="T297" s="439"/>
      <c r="U297" s="439"/>
      <c r="V297" s="439"/>
      <c r="W297" s="932"/>
      <c r="X297" s="439"/>
      <c r="Y297" s="439"/>
      <c r="Z297" s="439"/>
      <c r="AA297" s="439"/>
      <c r="AB297" s="439"/>
      <c r="AC297" s="932"/>
      <c r="AD297" s="439"/>
      <c r="AE297" s="439"/>
      <c r="AF297" s="439"/>
      <c r="AG297" s="439"/>
      <c r="AH297" s="439"/>
      <c r="AI297" s="932"/>
      <c r="AJ297" s="439"/>
      <c r="AK297" s="439"/>
      <c r="AL297" s="439"/>
      <c r="AM297" s="439"/>
      <c r="AN297" s="439"/>
      <c r="AO297" s="932"/>
      <c r="AP297" s="439"/>
      <c r="AQ297" s="439"/>
      <c r="AR297" s="439"/>
      <c r="AS297" s="439"/>
      <c r="AT297" s="439"/>
      <c r="AU297" s="932"/>
      <c r="AV297" s="439"/>
      <c r="AW297" s="439"/>
      <c r="AX297" s="439"/>
      <c r="AY297" s="439"/>
      <c r="AZ297" s="439"/>
      <c r="BA297" s="932"/>
      <c r="BB297" s="439"/>
      <c r="BC297" s="439"/>
      <c r="BD297" s="439"/>
      <c r="BE297" s="439"/>
      <c r="BF297" s="439"/>
      <c r="BG297" s="932"/>
      <c r="BH297" s="439"/>
      <c r="BI297" s="439"/>
      <c r="BJ297" s="439"/>
      <c r="BK297" s="439"/>
      <c r="BL297" s="439"/>
      <c r="BM297" s="932"/>
      <c r="BN297" s="439"/>
      <c r="BO297" s="439"/>
      <c r="BP297" s="439"/>
      <c r="BQ297" s="439"/>
      <c r="BR297" s="439"/>
    </row>
    <row r="298" ht="15.75" customHeight="1">
      <c r="A298" s="439"/>
      <c r="B298" s="439"/>
      <c r="C298" s="439"/>
      <c r="D298" s="439"/>
      <c r="E298" s="932"/>
      <c r="F298" s="439"/>
      <c r="G298" s="439"/>
      <c r="H298" s="439"/>
      <c r="I298" s="439"/>
      <c r="J298" s="439"/>
      <c r="K298" s="932"/>
      <c r="L298" s="439"/>
      <c r="M298" s="439"/>
      <c r="N298" s="439"/>
      <c r="O298" s="439"/>
      <c r="P298" s="439"/>
      <c r="Q298" s="932"/>
      <c r="R298" s="439"/>
      <c r="S298" s="439"/>
      <c r="T298" s="439"/>
      <c r="U298" s="439"/>
      <c r="V298" s="439"/>
      <c r="W298" s="932"/>
      <c r="X298" s="439"/>
      <c r="Y298" s="439"/>
      <c r="Z298" s="439"/>
      <c r="AA298" s="439"/>
      <c r="AB298" s="439"/>
      <c r="AC298" s="932"/>
      <c r="AD298" s="439"/>
      <c r="AE298" s="439"/>
      <c r="AF298" s="439"/>
      <c r="AG298" s="439"/>
      <c r="AH298" s="439"/>
      <c r="AI298" s="932"/>
      <c r="AJ298" s="439"/>
      <c r="AK298" s="439"/>
      <c r="AL298" s="439"/>
      <c r="AM298" s="439"/>
      <c r="AN298" s="439"/>
      <c r="AO298" s="932"/>
      <c r="AP298" s="439"/>
      <c r="AQ298" s="439"/>
      <c r="AR298" s="439"/>
      <c r="AS298" s="439"/>
      <c r="AT298" s="439"/>
      <c r="AU298" s="932"/>
      <c r="AV298" s="439"/>
      <c r="AW298" s="439"/>
      <c r="AX298" s="439"/>
      <c r="AY298" s="439"/>
      <c r="AZ298" s="439"/>
      <c r="BA298" s="932"/>
      <c r="BB298" s="439"/>
      <c r="BC298" s="439"/>
      <c r="BD298" s="439"/>
      <c r="BE298" s="439"/>
      <c r="BF298" s="439"/>
      <c r="BG298" s="932"/>
      <c r="BH298" s="439"/>
      <c r="BI298" s="439"/>
      <c r="BJ298" s="439"/>
      <c r="BK298" s="439"/>
      <c r="BL298" s="439"/>
      <c r="BM298" s="932"/>
      <c r="BN298" s="439"/>
      <c r="BO298" s="439"/>
      <c r="BP298" s="439"/>
      <c r="BQ298" s="439"/>
      <c r="BR298" s="439"/>
    </row>
    <row r="299" ht="15.75" customHeight="1">
      <c r="A299" s="439"/>
      <c r="B299" s="439"/>
      <c r="C299" s="439"/>
      <c r="D299" s="439"/>
      <c r="E299" s="932"/>
      <c r="F299" s="439"/>
      <c r="G299" s="439"/>
      <c r="H299" s="439"/>
      <c r="I299" s="439"/>
      <c r="J299" s="439"/>
      <c r="K299" s="932"/>
      <c r="L299" s="439"/>
      <c r="M299" s="439"/>
      <c r="N299" s="439"/>
      <c r="O299" s="439"/>
      <c r="P299" s="439"/>
      <c r="Q299" s="932"/>
      <c r="R299" s="439"/>
      <c r="S299" s="439"/>
      <c r="T299" s="439"/>
      <c r="U299" s="439"/>
      <c r="V299" s="439"/>
      <c r="W299" s="932"/>
      <c r="X299" s="439"/>
      <c r="Y299" s="439"/>
      <c r="Z299" s="439"/>
      <c r="AA299" s="439"/>
      <c r="AB299" s="439"/>
      <c r="AC299" s="932"/>
      <c r="AD299" s="439"/>
      <c r="AE299" s="439"/>
      <c r="AF299" s="439"/>
      <c r="AG299" s="439"/>
      <c r="AH299" s="439"/>
      <c r="AI299" s="932"/>
      <c r="AJ299" s="439"/>
      <c r="AK299" s="439"/>
      <c r="AL299" s="439"/>
      <c r="AM299" s="439"/>
      <c r="AN299" s="439"/>
      <c r="AO299" s="932"/>
      <c r="AP299" s="439"/>
      <c r="AQ299" s="439"/>
      <c r="AR299" s="439"/>
      <c r="AS299" s="439"/>
      <c r="AT299" s="439"/>
      <c r="AU299" s="932"/>
      <c r="AV299" s="439"/>
      <c r="AW299" s="439"/>
      <c r="AX299" s="439"/>
      <c r="AY299" s="439"/>
      <c r="AZ299" s="439"/>
      <c r="BA299" s="932"/>
      <c r="BB299" s="439"/>
      <c r="BC299" s="439"/>
      <c r="BD299" s="439"/>
      <c r="BE299" s="439"/>
      <c r="BF299" s="439"/>
      <c r="BG299" s="932"/>
      <c r="BH299" s="439"/>
      <c r="BI299" s="439"/>
      <c r="BJ299" s="439"/>
      <c r="BK299" s="439"/>
      <c r="BL299" s="439"/>
      <c r="BM299" s="932"/>
      <c r="BN299" s="439"/>
      <c r="BO299" s="439"/>
      <c r="BP299" s="439"/>
      <c r="BQ299" s="439"/>
      <c r="BR299" s="439"/>
    </row>
    <row r="300" ht="15.75" customHeight="1">
      <c r="A300" s="439"/>
      <c r="B300" s="439"/>
      <c r="C300" s="439"/>
      <c r="D300" s="439"/>
      <c r="E300" s="932"/>
      <c r="F300" s="439"/>
      <c r="G300" s="439"/>
      <c r="H300" s="439"/>
      <c r="I300" s="439"/>
      <c r="J300" s="439"/>
      <c r="K300" s="932"/>
      <c r="L300" s="439"/>
      <c r="M300" s="439"/>
      <c r="N300" s="439"/>
      <c r="O300" s="439"/>
      <c r="P300" s="439"/>
      <c r="Q300" s="932"/>
      <c r="R300" s="439"/>
      <c r="S300" s="439"/>
      <c r="T300" s="439"/>
      <c r="U300" s="439"/>
      <c r="V300" s="439"/>
      <c r="W300" s="932"/>
      <c r="X300" s="439"/>
      <c r="Y300" s="439"/>
      <c r="Z300" s="439"/>
      <c r="AA300" s="439"/>
      <c r="AB300" s="439"/>
      <c r="AC300" s="932"/>
      <c r="AD300" s="439"/>
      <c r="AE300" s="439"/>
      <c r="AF300" s="439"/>
      <c r="AG300" s="439"/>
      <c r="AH300" s="439"/>
      <c r="AI300" s="932"/>
      <c r="AJ300" s="439"/>
      <c r="AK300" s="439"/>
      <c r="AL300" s="439"/>
      <c r="AM300" s="439"/>
      <c r="AN300" s="439"/>
      <c r="AO300" s="932"/>
      <c r="AP300" s="439"/>
      <c r="AQ300" s="439"/>
      <c r="AR300" s="439"/>
      <c r="AS300" s="439"/>
      <c r="AT300" s="439"/>
      <c r="AU300" s="932"/>
      <c r="AV300" s="439"/>
      <c r="AW300" s="439"/>
      <c r="AX300" s="439"/>
      <c r="AY300" s="439"/>
      <c r="AZ300" s="439"/>
      <c r="BA300" s="932"/>
      <c r="BB300" s="439"/>
      <c r="BC300" s="439"/>
      <c r="BD300" s="439"/>
      <c r="BE300" s="439"/>
      <c r="BF300" s="439"/>
      <c r="BG300" s="932"/>
      <c r="BH300" s="439"/>
      <c r="BI300" s="439"/>
      <c r="BJ300" s="439"/>
      <c r="BK300" s="439"/>
      <c r="BL300" s="439"/>
      <c r="BM300" s="932"/>
      <c r="BN300" s="439"/>
      <c r="BO300" s="439"/>
      <c r="BP300" s="439"/>
      <c r="BQ300" s="439"/>
      <c r="BR300" s="439"/>
    </row>
    <row r="301" ht="15.75" customHeight="1">
      <c r="A301" s="439"/>
      <c r="B301" s="439"/>
      <c r="C301" s="439"/>
      <c r="D301" s="439"/>
      <c r="E301" s="932"/>
      <c r="F301" s="439"/>
      <c r="G301" s="439"/>
      <c r="H301" s="439"/>
      <c r="I301" s="439"/>
      <c r="J301" s="439"/>
      <c r="K301" s="932"/>
      <c r="L301" s="439"/>
      <c r="M301" s="439"/>
      <c r="N301" s="439"/>
      <c r="O301" s="439"/>
      <c r="P301" s="439"/>
      <c r="Q301" s="932"/>
      <c r="R301" s="439"/>
      <c r="S301" s="439"/>
      <c r="T301" s="439"/>
      <c r="U301" s="439"/>
      <c r="V301" s="439"/>
      <c r="W301" s="932"/>
      <c r="X301" s="439"/>
      <c r="Y301" s="439"/>
      <c r="Z301" s="439"/>
      <c r="AA301" s="439"/>
      <c r="AB301" s="439"/>
      <c r="AC301" s="932"/>
      <c r="AD301" s="439"/>
      <c r="AE301" s="439"/>
      <c r="AF301" s="439"/>
      <c r="AG301" s="439"/>
      <c r="AH301" s="439"/>
      <c r="AI301" s="932"/>
      <c r="AJ301" s="439"/>
      <c r="AK301" s="439"/>
      <c r="AL301" s="439"/>
      <c r="AM301" s="439"/>
      <c r="AN301" s="439"/>
      <c r="AO301" s="932"/>
      <c r="AP301" s="439"/>
      <c r="AQ301" s="439"/>
      <c r="AR301" s="439"/>
      <c r="AS301" s="439"/>
      <c r="AT301" s="439"/>
      <c r="AU301" s="932"/>
      <c r="AV301" s="439"/>
      <c r="AW301" s="439"/>
      <c r="AX301" s="439"/>
      <c r="AY301" s="439"/>
      <c r="AZ301" s="439"/>
      <c r="BA301" s="932"/>
      <c r="BB301" s="439"/>
      <c r="BC301" s="439"/>
      <c r="BD301" s="439"/>
      <c r="BE301" s="439"/>
      <c r="BF301" s="439"/>
      <c r="BG301" s="932"/>
      <c r="BH301" s="439"/>
      <c r="BI301" s="439"/>
      <c r="BJ301" s="439"/>
      <c r="BK301" s="439"/>
      <c r="BL301" s="439"/>
      <c r="BM301" s="932"/>
      <c r="BN301" s="439"/>
      <c r="BO301" s="439"/>
      <c r="BP301" s="439"/>
      <c r="BQ301" s="439"/>
      <c r="BR301" s="439"/>
    </row>
    <row r="302" ht="15.75" customHeight="1">
      <c r="A302" s="439"/>
      <c r="B302" s="439"/>
      <c r="C302" s="439"/>
      <c r="D302" s="439"/>
      <c r="E302" s="932"/>
      <c r="F302" s="439"/>
      <c r="G302" s="439"/>
      <c r="H302" s="439"/>
      <c r="I302" s="439"/>
      <c r="J302" s="439"/>
      <c r="K302" s="932"/>
      <c r="L302" s="439"/>
      <c r="M302" s="439"/>
      <c r="N302" s="439"/>
      <c r="O302" s="439"/>
      <c r="P302" s="439"/>
      <c r="Q302" s="932"/>
      <c r="R302" s="439"/>
      <c r="S302" s="439"/>
      <c r="T302" s="439"/>
      <c r="U302" s="439"/>
      <c r="V302" s="439"/>
      <c r="W302" s="932"/>
      <c r="X302" s="439"/>
      <c r="Y302" s="439"/>
      <c r="Z302" s="439"/>
      <c r="AA302" s="439"/>
      <c r="AB302" s="439"/>
      <c r="AC302" s="932"/>
      <c r="AD302" s="439"/>
      <c r="AE302" s="439"/>
      <c r="AF302" s="439"/>
      <c r="AG302" s="439"/>
      <c r="AH302" s="439"/>
      <c r="AI302" s="932"/>
      <c r="AJ302" s="439"/>
      <c r="AK302" s="439"/>
      <c r="AL302" s="439"/>
      <c r="AM302" s="439"/>
      <c r="AN302" s="439"/>
      <c r="AO302" s="932"/>
      <c r="AP302" s="439"/>
      <c r="AQ302" s="439"/>
      <c r="AR302" s="439"/>
      <c r="AS302" s="439"/>
      <c r="AT302" s="439"/>
      <c r="AU302" s="932"/>
      <c r="AV302" s="439"/>
      <c r="AW302" s="439"/>
      <c r="AX302" s="439"/>
      <c r="AY302" s="439"/>
      <c r="AZ302" s="439"/>
      <c r="BA302" s="932"/>
      <c r="BB302" s="439"/>
      <c r="BC302" s="439"/>
      <c r="BD302" s="439"/>
      <c r="BE302" s="439"/>
      <c r="BF302" s="439"/>
      <c r="BG302" s="932"/>
      <c r="BH302" s="439"/>
      <c r="BI302" s="439"/>
      <c r="BJ302" s="439"/>
      <c r="BK302" s="439"/>
      <c r="BL302" s="439"/>
      <c r="BM302" s="932"/>
      <c r="BN302" s="439"/>
      <c r="BO302" s="439"/>
      <c r="BP302" s="439"/>
      <c r="BQ302" s="439"/>
      <c r="BR302" s="439"/>
    </row>
    <row r="303" ht="15.75" customHeight="1">
      <c r="A303" s="439"/>
      <c r="B303" s="439"/>
      <c r="C303" s="439"/>
      <c r="D303" s="439"/>
      <c r="E303" s="932"/>
      <c r="F303" s="439"/>
      <c r="G303" s="439"/>
      <c r="H303" s="439"/>
      <c r="I303" s="439"/>
      <c r="J303" s="439"/>
      <c r="K303" s="932"/>
      <c r="L303" s="439"/>
      <c r="M303" s="439"/>
      <c r="N303" s="439"/>
      <c r="O303" s="439"/>
      <c r="P303" s="439"/>
      <c r="Q303" s="932"/>
      <c r="R303" s="439"/>
      <c r="S303" s="439"/>
      <c r="T303" s="439"/>
      <c r="U303" s="439"/>
      <c r="V303" s="439"/>
      <c r="W303" s="932"/>
      <c r="X303" s="439"/>
      <c r="Y303" s="439"/>
      <c r="Z303" s="439"/>
      <c r="AA303" s="439"/>
      <c r="AB303" s="439"/>
      <c r="AC303" s="932"/>
      <c r="AD303" s="439"/>
      <c r="AE303" s="439"/>
      <c r="AF303" s="439"/>
      <c r="AG303" s="439"/>
      <c r="AH303" s="439"/>
      <c r="AI303" s="932"/>
      <c r="AJ303" s="439"/>
      <c r="AK303" s="439"/>
      <c r="AL303" s="439"/>
      <c r="AM303" s="439"/>
      <c r="AN303" s="439"/>
      <c r="AO303" s="932"/>
      <c r="AP303" s="439"/>
      <c r="AQ303" s="439"/>
      <c r="AR303" s="439"/>
      <c r="AS303" s="439"/>
      <c r="AT303" s="439"/>
      <c r="AU303" s="932"/>
      <c r="AV303" s="439"/>
      <c r="AW303" s="439"/>
      <c r="AX303" s="439"/>
      <c r="AY303" s="439"/>
      <c r="AZ303" s="439"/>
      <c r="BA303" s="932"/>
      <c r="BB303" s="439"/>
      <c r="BC303" s="439"/>
      <c r="BD303" s="439"/>
      <c r="BE303" s="439"/>
      <c r="BF303" s="439"/>
      <c r="BG303" s="932"/>
      <c r="BH303" s="439"/>
      <c r="BI303" s="439"/>
      <c r="BJ303" s="439"/>
      <c r="BK303" s="439"/>
      <c r="BL303" s="439"/>
      <c r="BM303" s="932"/>
      <c r="BN303" s="439"/>
      <c r="BO303" s="439"/>
      <c r="BP303" s="439"/>
      <c r="BQ303" s="439"/>
      <c r="BR303" s="439"/>
    </row>
    <row r="304" ht="15.75" customHeight="1">
      <c r="A304" s="439"/>
      <c r="B304" s="439"/>
      <c r="C304" s="439"/>
      <c r="D304" s="439"/>
      <c r="E304" s="932"/>
      <c r="F304" s="439"/>
      <c r="G304" s="439"/>
      <c r="H304" s="439"/>
      <c r="I304" s="439"/>
      <c r="J304" s="439"/>
      <c r="K304" s="932"/>
      <c r="L304" s="439"/>
      <c r="M304" s="439"/>
      <c r="N304" s="439"/>
      <c r="O304" s="439"/>
      <c r="P304" s="439"/>
      <c r="Q304" s="932"/>
      <c r="R304" s="439"/>
      <c r="S304" s="439"/>
      <c r="T304" s="439"/>
      <c r="U304" s="439"/>
      <c r="V304" s="439"/>
      <c r="W304" s="932"/>
      <c r="X304" s="439"/>
      <c r="Y304" s="439"/>
      <c r="Z304" s="439"/>
      <c r="AA304" s="439"/>
      <c r="AB304" s="439"/>
      <c r="AC304" s="932"/>
      <c r="AD304" s="439"/>
      <c r="AE304" s="439"/>
      <c r="AF304" s="439"/>
      <c r="AG304" s="439"/>
      <c r="AH304" s="439"/>
      <c r="AI304" s="932"/>
      <c r="AJ304" s="439"/>
      <c r="AK304" s="439"/>
      <c r="AL304" s="439"/>
      <c r="AM304" s="439"/>
      <c r="AN304" s="439"/>
      <c r="AO304" s="932"/>
      <c r="AP304" s="439"/>
      <c r="AQ304" s="439"/>
      <c r="AR304" s="439"/>
      <c r="AS304" s="439"/>
      <c r="AT304" s="439"/>
      <c r="AU304" s="932"/>
      <c r="AV304" s="439"/>
      <c r="AW304" s="439"/>
      <c r="AX304" s="439"/>
      <c r="AY304" s="439"/>
      <c r="AZ304" s="439"/>
      <c r="BA304" s="932"/>
      <c r="BB304" s="439"/>
      <c r="BC304" s="439"/>
      <c r="BD304" s="439"/>
      <c r="BE304" s="439"/>
      <c r="BF304" s="439"/>
      <c r="BG304" s="932"/>
      <c r="BH304" s="439"/>
      <c r="BI304" s="439"/>
      <c r="BJ304" s="439"/>
      <c r="BK304" s="439"/>
      <c r="BL304" s="439"/>
      <c r="BM304" s="932"/>
      <c r="BN304" s="439"/>
      <c r="BO304" s="439"/>
      <c r="BP304" s="439"/>
      <c r="BQ304" s="439"/>
      <c r="BR304" s="439"/>
    </row>
    <row r="305" ht="15.75" customHeight="1">
      <c r="A305" s="439"/>
      <c r="B305" s="439"/>
      <c r="C305" s="439"/>
      <c r="D305" s="439"/>
      <c r="E305" s="932"/>
      <c r="F305" s="439"/>
      <c r="G305" s="439"/>
      <c r="H305" s="439"/>
      <c r="I305" s="439"/>
      <c r="J305" s="439"/>
      <c r="K305" s="932"/>
      <c r="L305" s="439"/>
      <c r="M305" s="439"/>
      <c r="N305" s="439"/>
      <c r="O305" s="439"/>
      <c r="P305" s="439"/>
      <c r="Q305" s="932"/>
      <c r="R305" s="439"/>
      <c r="S305" s="439"/>
      <c r="T305" s="439"/>
      <c r="U305" s="439"/>
      <c r="V305" s="439"/>
      <c r="W305" s="932"/>
      <c r="X305" s="439"/>
      <c r="Y305" s="439"/>
      <c r="Z305" s="439"/>
      <c r="AA305" s="439"/>
      <c r="AB305" s="439"/>
      <c r="AC305" s="932"/>
      <c r="AD305" s="439"/>
      <c r="AE305" s="439"/>
      <c r="AF305" s="439"/>
      <c r="AG305" s="439"/>
      <c r="AH305" s="439"/>
      <c r="AI305" s="932"/>
      <c r="AJ305" s="439"/>
      <c r="AK305" s="439"/>
      <c r="AL305" s="439"/>
      <c r="AM305" s="439"/>
      <c r="AN305" s="439"/>
      <c r="AO305" s="932"/>
      <c r="AP305" s="439"/>
      <c r="AQ305" s="439"/>
      <c r="AR305" s="439"/>
      <c r="AS305" s="439"/>
      <c r="AT305" s="439"/>
      <c r="AU305" s="932"/>
      <c r="AV305" s="439"/>
      <c r="AW305" s="439"/>
      <c r="AX305" s="439"/>
      <c r="AY305" s="439"/>
      <c r="AZ305" s="439"/>
      <c r="BA305" s="932"/>
      <c r="BB305" s="439"/>
      <c r="BC305" s="439"/>
      <c r="BD305" s="439"/>
      <c r="BE305" s="439"/>
      <c r="BF305" s="439"/>
      <c r="BG305" s="932"/>
      <c r="BH305" s="439"/>
      <c r="BI305" s="439"/>
      <c r="BJ305" s="439"/>
      <c r="BK305" s="439"/>
      <c r="BL305" s="439"/>
      <c r="BM305" s="932"/>
      <c r="BN305" s="439"/>
      <c r="BO305" s="439"/>
      <c r="BP305" s="439"/>
      <c r="BQ305" s="439"/>
      <c r="BR305" s="439"/>
    </row>
    <row r="306" ht="15.75" customHeight="1">
      <c r="A306" s="439"/>
      <c r="B306" s="439"/>
      <c r="C306" s="439"/>
      <c r="D306" s="439"/>
      <c r="E306" s="932"/>
      <c r="F306" s="439"/>
      <c r="G306" s="439"/>
      <c r="H306" s="439"/>
      <c r="I306" s="439"/>
      <c r="J306" s="439"/>
      <c r="K306" s="932"/>
      <c r="L306" s="439"/>
      <c r="M306" s="439"/>
      <c r="N306" s="439"/>
      <c r="O306" s="439"/>
      <c r="P306" s="439"/>
      <c r="Q306" s="932"/>
      <c r="R306" s="439"/>
      <c r="S306" s="439"/>
      <c r="T306" s="439"/>
      <c r="U306" s="439"/>
      <c r="V306" s="439"/>
      <c r="W306" s="932"/>
      <c r="X306" s="439"/>
      <c r="Y306" s="439"/>
      <c r="Z306" s="439"/>
      <c r="AA306" s="439"/>
      <c r="AB306" s="439"/>
      <c r="AC306" s="932"/>
      <c r="AD306" s="439"/>
      <c r="AE306" s="439"/>
      <c r="AF306" s="439"/>
      <c r="AG306" s="439"/>
      <c r="AH306" s="439"/>
      <c r="AI306" s="932"/>
      <c r="AJ306" s="439"/>
      <c r="AK306" s="439"/>
      <c r="AL306" s="439"/>
      <c r="AM306" s="439"/>
      <c r="AN306" s="439"/>
      <c r="AO306" s="932"/>
      <c r="AP306" s="439"/>
      <c r="AQ306" s="439"/>
      <c r="AR306" s="439"/>
      <c r="AS306" s="439"/>
      <c r="AT306" s="439"/>
      <c r="AU306" s="932"/>
      <c r="AV306" s="439"/>
      <c r="AW306" s="439"/>
      <c r="AX306" s="439"/>
      <c r="AY306" s="439"/>
      <c r="AZ306" s="439"/>
      <c r="BA306" s="932"/>
      <c r="BB306" s="439"/>
      <c r="BC306" s="439"/>
      <c r="BD306" s="439"/>
      <c r="BE306" s="439"/>
      <c r="BF306" s="439"/>
      <c r="BG306" s="932"/>
      <c r="BH306" s="439"/>
      <c r="BI306" s="439"/>
      <c r="BJ306" s="439"/>
      <c r="BK306" s="439"/>
      <c r="BL306" s="439"/>
      <c r="BM306" s="932"/>
      <c r="BN306" s="439"/>
      <c r="BO306" s="439"/>
      <c r="BP306" s="439"/>
      <c r="BQ306" s="439"/>
      <c r="BR306" s="439"/>
    </row>
    <row r="307" ht="15.75" customHeight="1">
      <c r="A307" s="439"/>
      <c r="B307" s="439"/>
      <c r="C307" s="439"/>
      <c r="D307" s="439"/>
      <c r="E307" s="932"/>
      <c r="F307" s="439"/>
      <c r="G307" s="439"/>
      <c r="H307" s="439"/>
      <c r="I307" s="439"/>
      <c r="J307" s="439"/>
      <c r="K307" s="932"/>
      <c r="L307" s="439"/>
      <c r="M307" s="439"/>
      <c r="N307" s="439"/>
      <c r="O307" s="439"/>
      <c r="P307" s="439"/>
      <c r="Q307" s="932"/>
      <c r="R307" s="439"/>
      <c r="S307" s="439"/>
      <c r="T307" s="439"/>
      <c r="U307" s="439"/>
      <c r="V307" s="439"/>
      <c r="W307" s="932"/>
      <c r="X307" s="439"/>
      <c r="Y307" s="439"/>
      <c r="Z307" s="439"/>
      <c r="AA307" s="439"/>
      <c r="AB307" s="439"/>
      <c r="AC307" s="932"/>
      <c r="AD307" s="439"/>
      <c r="AE307" s="439"/>
      <c r="AF307" s="439"/>
      <c r="AG307" s="439"/>
      <c r="AH307" s="439"/>
      <c r="AI307" s="932"/>
      <c r="AJ307" s="439"/>
      <c r="AK307" s="439"/>
      <c r="AL307" s="439"/>
      <c r="AM307" s="439"/>
      <c r="AN307" s="439"/>
      <c r="AO307" s="932"/>
      <c r="AP307" s="439"/>
      <c r="AQ307" s="439"/>
      <c r="AR307" s="439"/>
      <c r="AS307" s="439"/>
      <c r="AT307" s="439"/>
      <c r="AU307" s="932"/>
      <c r="AV307" s="439"/>
      <c r="AW307" s="439"/>
      <c r="AX307" s="439"/>
      <c r="AY307" s="439"/>
      <c r="AZ307" s="439"/>
      <c r="BA307" s="932"/>
      <c r="BB307" s="439"/>
      <c r="BC307" s="439"/>
      <c r="BD307" s="439"/>
      <c r="BE307" s="439"/>
      <c r="BF307" s="439"/>
      <c r="BG307" s="932"/>
      <c r="BH307" s="439"/>
      <c r="BI307" s="439"/>
      <c r="BJ307" s="439"/>
      <c r="BK307" s="439"/>
      <c r="BL307" s="439"/>
      <c r="BM307" s="932"/>
      <c r="BN307" s="439"/>
      <c r="BO307" s="439"/>
      <c r="BP307" s="439"/>
      <c r="BQ307" s="439"/>
      <c r="BR307" s="439"/>
    </row>
    <row r="308" ht="15.75" customHeight="1">
      <c r="A308" s="439"/>
      <c r="B308" s="439"/>
      <c r="C308" s="439"/>
      <c r="D308" s="439"/>
      <c r="E308" s="932"/>
      <c r="F308" s="439"/>
      <c r="G308" s="439"/>
      <c r="H308" s="439"/>
      <c r="I308" s="439"/>
      <c r="J308" s="439"/>
      <c r="K308" s="932"/>
      <c r="L308" s="439"/>
      <c r="M308" s="439"/>
      <c r="N308" s="439"/>
      <c r="O308" s="439"/>
      <c r="P308" s="439"/>
      <c r="Q308" s="932"/>
      <c r="R308" s="439"/>
      <c r="S308" s="439"/>
      <c r="T308" s="439"/>
      <c r="U308" s="439"/>
      <c r="V308" s="439"/>
      <c r="W308" s="932"/>
      <c r="X308" s="439"/>
      <c r="Y308" s="439"/>
      <c r="Z308" s="439"/>
      <c r="AA308" s="439"/>
      <c r="AB308" s="439"/>
      <c r="AC308" s="932"/>
      <c r="AD308" s="439"/>
      <c r="AE308" s="439"/>
      <c r="AF308" s="439"/>
      <c r="AG308" s="439"/>
      <c r="AH308" s="439"/>
      <c r="AI308" s="932"/>
      <c r="AJ308" s="439"/>
      <c r="AK308" s="439"/>
      <c r="AL308" s="439"/>
      <c r="AM308" s="439"/>
      <c r="AN308" s="439"/>
      <c r="AO308" s="932"/>
      <c r="AP308" s="439"/>
      <c r="AQ308" s="439"/>
      <c r="AR308" s="439"/>
      <c r="AS308" s="439"/>
      <c r="AT308" s="439"/>
      <c r="AU308" s="932"/>
      <c r="AV308" s="439"/>
      <c r="AW308" s="439"/>
      <c r="AX308" s="439"/>
      <c r="AY308" s="439"/>
      <c r="AZ308" s="439"/>
      <c r="BA308" s="932"/>
      <c r="BB308" s="439"/>
      <c r="BC308" s="439"/>
      <c r="BD308" s="439"/>
      <c r="BE308" s="439"/>
      <c r="BF308" s="439"/>
      <c r="BG308" s="932"/>
      <c r="BH308" s="439"/>
      <c r="BI308" s="439"/>
      <c r="BJ308" s="439"/>
      <c r="BK308" s="439"/>
      <c r="BL308" s="439"/>
      <c r="BM308" s="932"/>
      <c r="BN308" s="439"/>
      <c r="BO308" s="439"/>
      <c r="BP308" s="439"/>
      <c r="BQ308" s="439"/>
      <c r="BR308" s="439"/>
    </row>
    <row r="309" ht="15.75" customHeight="1">
      <c r="A309" s="439"/>
      <c r="B309" s="439"/>
      <c r="C309" s="439"/>
      <c r="D309" s="439"/>
      <c r="E309" s="932"/>
      <c r="F309" s="439"/>
      <c r="G309" s="439"/>
      <c r="H309" s="439"/>
      <c r="I309" s="439"/>
      <c r="J309" s="439"/>
      <c r="K309" s="932"/>
      <c r="L309" s="439"/>
      <c r="M309" s="439"/>
      <c r="N309" s="439"/>
      <c r="O309" s="439"/>
      <c r="P309" s="439"/>
      <c r="Q309" s="932"/>
      <c r="R309" s="439"/>
      <c r="S309" s="439"/>
      <c r="T309" s="439"/>
      <c r="U309" s="439"/>
      <c r="V309" s="439"/>
      <c r="W309" s="932"/>
      <c r="X309" s="439"/>
      <c r="Y309" s="439"/>
      <c r="Z309" s="439"/>
      <c r="AA309" s="439"/>
      <c r="AB309" s="439"/>
      <c r="AC309" s="932"/>
      <c r="AD309" s="439"/>
      <c r="AE309" s="439"/>
      <c r="AF309" s="439"/>
      <c r="AG309" s="439"/>
      <c r="AH309" s="439"/>
      <c r="AI309" s="932"/>
      <c r="AJ309" s="439"/>
      <c r="AK309" s="439"/>
      <c r="AL309" s="439"/>
      <c r="AM309" s="439"/>
      <c r="AN309" s="439"/>
      <c r="AO309" s="932"/>
      <c r="AP309" s="439"/>
      <c r="AQ309" s="439"/>
      <c r="AR309" s="439"/>
      <c r="AS309" s="439"/>
      <c r="AT309" s="439"/>
      <c r="AU309" s="932"/>
      <c r="AV309" s="439"/>
      <c r="AW309" s="439"/>
      <c r="AX309" s="439"/>
      <c r="AY309" s="439"/>
      <c r="AZ309" s="439"/>
      <c r="BA309" s="932"/>
      <c r="BB309" s="439"/>
      <c r="BC309" s="439"/>
      <c r="BD309" s="439"/>
      <c r="BE309" s="439"/>
      <c r="BF309" s="439"/>
      <c r="BG309" s="932"/>
      <c r="BH309" s="439"/>
      <c r="BI309" s="439"/>
      <c r="BJ309" s="439"/>
      <c r="BK309" s="439"/>
      <c r="BL309" s="439"/>
      <c r="BM309" s="932"/>
      <c r="BN309" s="439"/>
      <c r="BO309" s="439"/>
      <c r="BP309" s="439"/>
      <c r="BQ309" s="439"/>
      <c r="BR309" s="439"/>
    </row>
    <row r="310" ht="15.75" customHeight="1">
      <c r="A310" s="439"/>
      <c r="B310" s="439"/>
      <c r="C310" s="439"/>
      <c r="D310" s="439"/>
      <c r="E310" s="932"/>
      <c r="F310" s="439"/>
      <c r="G310" s="439"/>
      <c r="H310" s="439"/>
      <c r="I310" s="439"/>
      <c r="J310" s="439"/>
      <c r="K310" s="932"/>
      <c r="L310" s="439"/>
      <c r="M310" s="439"/>
      <c r="N310" s="439"/>
      <c r="O310" s="439"/>
      <c r="P310" s="439"/>
      <c r="Q310" s="932"/>
      <c r="R310" s="439"/>
      <c r="S310" s="439"/>
      <c r="T310" s="439"/>
      <c r="U310" s="439"/>
      <c r="V310" s="439"/>
      <c r="W310" s="932"/>
      <c r="X310" s="439"/>
      <c r="Y310" s="439"/>
      <c r="Z310" s="439"/>
      <c r="AA310" s="439"/>
      <c r="AB310" s="439"/>
      <c r="AC310" s="932"/>
      <c r="AD310" s="439"/>
      <c r="AE310" s="439"/>
      <c r="AF310" s="439"/>
      <c r="AG310" s="439"/>
      <c r="AH310" s="439"/>
      <c r="AI310" s="932"/>
      <c r="AJ310" s="439"/>
      <c r="AK310" s="439"/>
      <c r="AL310" s="439"/>
      <c r="AM310" s="439"/>
      <c r="AN310" s="439"/>
      <c r="AO310" s="932"/>
      <c r="AP310" s="439"/>
      <c r="AQ310" s="439"/>
      <c r="AR310" s="439"/>
      <c r="AS310" s="439"/>
      <c r="AT310" s="439"/>
      <c r="AU310" s="932"/>
      <c r="AV310" s="439"/>
      <c r="AW310" s="439"/>
      <c r="AX310" s="439"/>
      <c r="AY310" s="439"/>
      <c r="AZ310" s="439"/>
      <c r="BA310" s="932"/>
      <c r="BB310" s="439"/>
      <c r="BC310" s="439"/>
      <c r="BD310" s="439"/>
      <c r="BE310" s="439"/>
      <c r="BF310" s="439"/>
      <c r="BG310" s="932"/>
      <c r="BH310" s="439"/>
      <c r="BI310" s="439"/>
      <c r="BJ310" s="439"/>
      <c r="BK310" s="439"/>
      <c r="BL310" s="439"/>
      <c r="BM310" s="932"/>
      <c r="BN310" s="439"/>
      <c r="BO310" s="439"/>
      <c r="BP310" s="439"/>
      <c r="BQ310" s="439"/>
      <c r="BR310" s="439"/>
    </row>
    <row r="311" ht="15.75" customHeight="1">
      <c r="A311" s="439"/>
      <c r="B311" s="439"/>
      <c r="C311" s="439"/>
      <c r="D311" s="439"/>
      <c r="E311" s="932"/>
      <c r="F311" s="439"/>
      <c r="G311" s="439"/>
      <c r="H311" s="439"/>
      <c r="I311" s="439"/>
      <c r="J311" s="439"/>
      <c r="K311" s="932"/>
      <c r="L311" s="439"/>
      <c r="M311" s="439"/>
      <c r="N311" s="439"/>
      <c r="O311" s="439"/>
      <c r="P311" s="439"/>
      <c r="Q311" s="932"/>
      <c r="R311" s="439"/>
      <c r="S311" s="439"/>
      <c r="T311" s="439"/>
      <c r="U311" s="439"/>
      <c r="V311" s="439"/>
      <c r="W311" s="932"/>
      <c r="X311" s="439"/>
      <c r="Y311" s="439"/>
      <c r="Z311" s="439"/>
      <c r="AA311" s="439"/>
      <c r="AB311" s="439"/>
      <c r="AC311" s="932"/>
      <c r="AD311" s="439"/>
      <c r="AE311" s="439"/>
      <c r="AF311" s="439"/>
      <c r="AG311" s="439"/>
      <c r="AH311" s="439"/>
      <c r="AI311" s="932"/>
      <c r="AJ311" s="439"/>
      <c r="AK311" s="439"/>
      <c r="AL311" s="439"/>
      <c r="AM311" s="439"/>
      <c r="AN311" s="439"/>
      <c r="AO311" s="932"/>
      <c r="AP311" s="439"/>
      <c r="AQ311" s="439"/>
      <c r="AR311" s="439"/>
      <c r="AS311" s="439"/>
      <c r="AT311" s="439"/>
      <c r="AU311" s="932"/>
      <c r="AV311" s="439"/>
      <c r="AW311" s="439"/>
      <c r="AX311" s="439"/>
      <c r="AY311" s="439"/>
      <c r="AZ311" s="439"/>
      <c r="BA311" s="932"/>
      <c r="BB311" s="439"/>
      <c r="BC311" s="439"/>
      <c r="BD311" s="439"/>
      <c r="BE311" s="439"/>
      <c r="BF311" s="439"/>
      <c r="BG311" s="932"/>
      <c r="BH311" s="439"/>
      <c r="BI311" s="439"/>
      <c r="BJ311" s="439"/>
      <c r="BK311" s="439"/>
      <c r="BL311" s="439"/>
      <c r="BM311" s="932"/>
      <c r="BN311" s="439"/>
      <c r="BO311" s="439"/>
      <c r="BP311" s="439"/>
      <c r="BQ311" s="439"/>
      <c r="BR311" s="439"/>
    </row>
    <row r="312" ht="15.75" customHeight="1">
      <c r="A312" s="439"/>
      <c r="B312" s="439"/>
      <c r="C312" s="439"/>
      <c r="D312" s="439"/>
      <c r="E312" s="932"/>
      <c r="F312" s="439"/>
      <c r="G312" s="439"/>
      <c r="H312" s="439"/>
      <c r="I312" s="439"/>
      <c r="J312" s="439"/>
      <c r="K312" s="932"/>
      <c r="L312" s="439"/>
      <c r="M312" s="439"/>
      <c r="N312" s="439"/>
      <c r="O312" s="439"/>
      <c r="P312" s="439"/>
      <c r="Q312" s="932"/>
      <c r="R312" s="439"/>
      <c r="S312" s="439"/>
      <c r="T312" s="439"/>
      <c r="U312" s="439"/>
      <c r="V312" s="439"/>
      <c r="W312" s="932"/>
      <c r="X312" s="439"/>
      <c r="Y312" s="439"/>
      <c r="Z312" s="439"/>
      <c r="AA312" s="439"/>
      <c r="AB312" s="439"/>
      <c r="AC312" s="932"/>
      <c r="AD312" s="439"/>
      <c r="AE312" s="439"/>
      <c r="AF312" s="439"/>
      <c r="AG312" s="439"/>
      <c r="AH312" s="439"/>
      <c r="AI312" s="932"/>
      <c r="AJ312" s="439"/>
      <c r="AK312" s="439"/>
      <c r="AL312" s="439"/>
      <c r="AM312" s="439"/>
      <c r="AN312" s="439"/>
      <c r="AO312" s="932"/>
      <c r="AP312" s="439"/>
      <c r="AQ312" s="439"/>
      <c r="AR312" s="439"/>
      <c r="AS312" s="439"/>
      <c r="AT312" s="439"/>
      <c r="AU312" s="932"/>
      <c r="AV312" s="439"/>
      <c r="AW312" s="439"/>
      <c r="AX312" s="439"/>
      <c r="AY312" s="439"/>
      <c r="AZ312" s="439"/>
      <c r="BA312" s="932"/>
      <c r="BB312" s="439"/>
      <c r="BC312" s="439"/>
      <c r="BD312" s="439"/>
      <c r="BE312" s="439"/>
      <c r="BF312" s="439"/>
      <c r="BG312" s="932"/>
      <c r="BH312" s="439"/>
      <c r="BI312" s="439"/>
      <c r="BJ312" s="439"/>
      <c r="BK312" s="439"/>
      <c r="BL312" s="439"/>
      <c r="BM312" s="932"/>
      <c r="BN312" s="439"/>
      <c r="BO312" s="439"/>
      <c r="BP312" s="439"/>
      <c r="BQ312" s="439"/>
      <c r="BR312" s="439"/>
    </row>
    <row r="313" ht="15.75" customHeight="1">
      <c r="A313" s="439"/>
      <c r="B313" s="439"/>
      <c r="C313" s="439"/>
      <c r="D313" s="439"/>
      <c r="E313" s="932"/>
      <c r="F313" s="439"/>
      <c r="G313" s="439"/>
      <c r="H313" s="439"/>
      <c r="I313" s="439"/>
      <c r="J313" s="439"/>
      <c r="K313" s="932"/>
      <c r="L313" s="439"/>
      <c r="M313" s="439"/>
      <c r="N313" s="439"/>
      <c r="O313" s="439"/>
      <c r="P313" s="439"/>
      <c r="Q313" s="932"/>
      <c r="R313" s="439"/>
      <c r="S313" s="439"/>
      <c r="T313" s="439"/>
      <c r="U313" s="439"/>
      <c r="V313" s="439"/>
      <c r="W313" s="932"/>
      <c r="X313" s="439"/>
      <c r="Y313" s="439"/>
      <c r="Z313" s="439"/>
      <c r="AA313" s="439"/>
      <c r="AB313" s="439"/>
      <c r="AC313" s="932"/>
      <c r="AD313" s="439"/>
      <c r="AE313" s="439"/>
      <c r="AF313" s="439"/>
      <c r="AG313" s="439"/>
      <c r="AH313" s="439"/>
      <c r="AI313" s="932"/>
      <c r="AJ313" s="439"/>
      <c r="AK313" s="439"/>
      <c r="AL313" s="439"/>
      <c r="AM313" s="439"/>
      <c r="AN313" s="439"/>
      <c r="AO313" s="932"/>
      <c r="AP313" s="439"/>
      <c r="AQ313" s="439"/>
      <c r="AR313" s="439"/>
      <c r="AS313" s="439"/>
      <c r="AT313" s="439"/>
      <c r="AU313" s="932"/>
      <c r="AV313" s="439"/>
      <c r="AW313" s="439"/>
      <c r="AX313" s="439"/>
      <c r="AY313" s="439"/>
      <c r="AZ313" s="439"/>
      <c r="BA313" s="932"/>
      <c r="BB313" s="439"/>
      <c r="BC313" s="439"/>
      <c r="BD313" s="439"/>
      <c r="BE313" s="439"/>
      <c r="BF313" s="439"/>
      <c r="BG313" s="932"/>
      <c r="BH313" s="439"/>
      <c r="BI313" s="439"/>
      <c r="BJ313" s="439"/>
      <c r="BK313" s="439"/>
      <c r="BL313" s="439"/>
      <c r="BM313" s="932"/>
      <c r="BN313" s="439"/>
      <c r="BO313" s="439"/>
      <c r="BP313" s="439"/>
      <c r="BQ313" s="439"/>
      <c r="BR313" s="439"/>
    </row>
    <row r="314" ht="15.75" customHeight="1">
      <c r="A314" s="439"/>
      <c r="B314" s="439"/>
      <c r="C314" s="439"/>
      <c r="D314" s="439"/>
      <c r="E314" s="932"/>
      <c r="F314" s="439"/>
      <c r="G314" s="439"/>
      <c r="H314" s="439"/>
      <c r="I314" s="439"/>
      <c r="J314" s="439"/>
      <c r="K314" s="932"/>
      <c r="L314" s="439"/>
      <c r="M314" s="439"/>
      <c r="N314" s="439"/>
      <c r="O314" s="439"/>
      <c r="P314" s="439"/>
      <c r="Q314" s="932"/>
      <c r="R314" s="439"/>
      <c r="S314" s="439"/>
      <c r="T314" s="439"/>
      <c r="U314" s="439"/>
      <c r="V314" s="439"/>
      <c r="W314" s="932"/>
      <c r="X314" s="439"/>
      <c r="Y314" s="439"/>
      <c r="Z314" s="439"/>
      <c r="AA314" s="439"/>
      <c r="AB314" s="439"/>
      <c r="AC314" s="932"/>
      <c r="AD314" s="439"/>
      <c r="AE314" s="439"/>
      <c r="AF314" s="439"/>
      <c r="AG314" s="439"/>
      <c r="AH314" s="439"/>
      <c r="AI314" s="932"/>
      <c r="AJ314" s="439"/>
      <c r="AK314" s="439"/>
      <c r="AL314" s="439"/>
      <c r="AM314" s="439"/>
      <c r="AN314" s="439"/>
      <c r="AO314" s="932"/>
      <c r="AP314" s="439"/>
      <c r="AQ314" s="439"/>
      <c r="AR314" s="439"/>
      <c r="AS314" s="439"/>
      <c r="AT314" s="439"/>
      <c r="AU314" s="932"/>
      <c r="AV314" s="439"/>
      <c r="AW314" s="439"/>
      <c r="AX314" s="439"/>
      <c r="AY314" s="439"/>
      <c r="AZ314" s="439"/>
      <c r="BA314" s="932"/>
      <c r="BB314" s="439"/>
      <c r="BC314" s="439"/>
      <c r="BD314" s="439"/>
      <c r="BE314" s="439"/>
      <c r="BF314" s="439"/>
      <c r="BG314" s="932"/>
      <c r="BH314" s="439"/>
      <c r="BI314" s="439"/>
      <c r="BJ314" s="439"/>
      <c r="BK314" s="439"/>
      <c r="BL314" s="439"/>
      <c r="BM314" s="932"/>
      <c r="BN314" s="439"/>
      <c r="BO314" s="439"/>
      <c r="BP314" s="439"/>
      <c r="BQ314" s="439"/>
      <c r="BR314" s="439"/>
    </row>
    <row r="315" ht="15.75" customHeight="1">
      <c r="A315" s="439"/>
      <c r="B315" s="439"/>
      <c r="C315" s="439"/>
      <c r="D315" s="439"/>
      <c r="E315" s="932"/>
      <c r="F315" s="439"/>
      <c r="G315" s="439"/>
      <c r="H315" s="439"/>
      <c r="I315" s="439"/>
      <c r="J315" s="439"/>
      <c r="K315" s="932"/>
      <c r="L315" s="439"/>
      <c r="M315" s="439"/>
      <c r="N315" s="439"/>
      <c r="O315" s="439"/>
      <c r="P315" s="439"/>
      <c r="Q315" s="932"/>
      <c r="R315" s="439"/>
      <c r="S315" s="439"/>
      <c r="T315" s="439"/>
      <c r="U315" s="439"/>
      <c r="V315" s="439"/>
      <c r="W315" s="932"/>
      <c r="X315" s="439"/>
      <c r="Y315" s="439"/>
      <c r="Z315" s="439"/>
      <c r="AA315" s="439"/>
      <c r="AB315" s="439"/>
      <c r="AC315" s="932"/>
      <c r="AD315" s="439"/>
      <c r="AE315" s="439"/>
      <c r="AF315" s="439"/>
      <c r="AG315" s="439"/>
      <c r="AH315" s="439"/>
      <c r="AI315" s="932"/>
      <c r="AJ315" s="439"/>
      <c r="AK315" s="439"/>
      <c r="AL315" s="439"/>
      <c r="AM315" s="439"/>
      <c r="AN315" s="439"/>
      <c r="AO315" s="932"/>
      <c r="AP315" s="439"/>
      <c r="AQ315" s="439"/>
      <c r="AR315" s="439"/>
      <c r="AS315" s="439"/>
      <c r="AT315" s="439"/>
      <c r="AU315" s="932"/>
      <c r="AV315" s="439"/>
      <c r="AW315" s="439"/>
      <c r="AX315" s="439"/>
      <c r="AY315" s="439"/>
      <c r="AZ315" s="439"/>
      <c r="BA315" s="932"/>
      <c r="BB315" s="439"/>
      <c r="BC315" s="439"/>
      <c r="BD315" s="439"/>
      <c r="BE315" s="439"/>
      <c r="BF315" s="439"/>
      <c r="BG315" s="932"/>
      <c r="BH315" s="439"/>
      <c r="BI315" s="439"/>
      <c r="BJ315" s="439"/>
      <c r="BK315" s="439"/>
      <c r="BL315" s="439"/>
      <c r="BM315" s="932"/>
      <c r="BN315" s="439"/>
      <c r="BO315" s="439"/>
      <c r="BP315" s="439"/>
      <c r="BQ315" s="439"/>
      <c r="BR315" s="439"/>
    </row>
    <row r="316" ht="15.75" customHeight="1">
      <c r="A316" s="439"/>
      <c r="B316" s="439"/>
      <c r="C316" s="439"/>
      <c r="D316" s="439"/>
      <c r="E316" s="932"/>
      <c r="F316" s="439"/>
      <c r="G316" s="439"/>
      <c r="H316" s="439"/>
      <c r="I316" s="439"/>
      <c r="J316" s="439"/>
      <c r="K316" s="932"/>
      <c r="L316" s="439"/>
      <c r="M316" s="439"/>
      <c r="N316" s="439"/>
      <c r="O316" s="439"/>
      <c r="P316" s="439"/>
      <c r="Q316" s="932"/>
      <c r="R316" s="439"/>
      <c r="S316" s="439"/>
      <c r="T316" s="439"/>
      <c r="U316" s="439"/>
      <c r="V316" s="439"/>
      <c r="W316" s="932"/>
      <c r="X316" s="439"/>
      <c r="Y316" s="439"/>
      <c r="Z316" s="439"/>
      <c r="AA316" s="439"/>
      <c r="AB316" s="439"/>
      <c r="AC316" s="932"/>
      <c r="AD316" s="439"/>
      <c r="AE316" s="439"/>
      <c r="AF316" s="439"/>
      <c r="AG316" s="439"/>
      <c r="AH316" s="439"/>
      <c r="AI316" s="932"/>
      <c r="AJ316" s="439"/>
      <c r="AK316" s="439"/>
      <c r="AL316" s="439"/>
      <c r="AM316" s="439"/>
      <c r="AN316" s="439"/>
      <c r="AO316" s="932"/>
      <c r="AP316" s="439"/>
      <c r="AQ316" s="439"/>
      <c r="AR316" s="439"/>
      <c r="AS316" s="439"/>
      <c r="AT316" s="439"/>
      <c r="AU316" s="932"/>
      <c r="AV316" s="439"/>
      <c r="AW316" s="439"/>
      <c r="AX316" s="439"/>
      <c r="AY316" s="439"/>
      <c r="AZ316" s="439"/>
      <c r="BA316" s="932"/>
      <c r="BB316" s="439"/>
      <c r="BC316" s="439"/>
      <c r="BD316" s="439"/>
      <c r="BE316" s="439"/>
      <c r="BF316" s="439"/>
      <c r="BG316" s="932"/>
      <c r="BH316" s="439"/>
      <c r="BI316" s="439"/>
      <c r="BJ316" s="439"/>
      <c r="BK316" s="439"/>
      <c r="BL316" s="439"/>
      <c r="BM316" s="932"/>
      <c r="BN316" s="439"/>
      <c r="BO316" s="439"/>
      <c r="BP316" s="439"/>
      <c r="BQ316" s="439"/>
      <c r="BR316" s="439"/>
    </row>
    <row r="317" ht="15.75" customHeight="1">
      <c r="A317" s="439"/>
      <c r="B317" s="439"/>
      <c r="C317" s="439"/>
      <c r="D317" s="439"/>
      <c r="E317" s="932"/>
      <c r="F317" s="439"/>
      <c r="G317" s="439"/>
      <c r="H317" s="439"/>
      <c r="I317" s="439"/>
      <c r="J317" s="439"/>
      <c r="K317" s="932"/>
      <c r="L317" s="439"/>
      <c r="M317" s="439"/>
      <c r="N317" s="439"/>
      <c r="O317" s="439"/>
      <c r="P317" s="439"/>
      <c r="Q317" s="932"/>
      <c r="R317" s="439"/>
      <c r="S317" s="439"/>
      <c r="T317" s="439"/>
      <c r="U317" s="439"/>
      <c r="V317" s="439"/>
      <c r="W317" s="932"/>
      <c r="X317" s="439"/>
      <c r="Y317" s="439"/>
      <c r="Z317" s="439"/>
      <c r="AA317" s="439"/>
      <c r="AB317" s="439"/>
      <c r="AC317" s="932"/>
      <c r="AD317" s="439"/>
      <c r="AE317" s="439"/>
      <c r="AF317" s="439"/>
      <c r="AG317" s="439"/>
      <c r="AH317" s="439"/>
      <c r="AI317" s="932"/>
      <c r="AJ317" s="439"/>
      <c r="AK317" s="439"/>
      <c r="AL317" s="439"/>
      <c r="AM317" s="439"/>
      <c r="AN317" s="439"/>
      <c r="AO317" s="932"/>
      <c r="AP317" s="439"/>
      <c r="AQ317" s="439"/>
      <c r="AR317" s="439"/>
      <c r="AS317" s="439"/>
      <c r="AT317" s="439"/>
      <c r="AU317" s="932"/>
      <c r="AV317" s="439"/>
      <c r="AW317" s="439"/>
      <c r="AX317" s="439"/>
      <c r="AY317" s="439"/>
      <c r="AZ317" s="439"/>
      <c r="BA317" s="932"/>
      <c r="BB317" s="439"/>
      <c r="BC317" s="439"/>
      <c r="BD317" s="439"/>
      <c r="BE317" s="439"/>
      <c r="BF317" s="439"/>
      <c r="BG317" s="932"/>
      <c r="BH317" s="439"/>
      <c r="BI317" s="439"/>
      <c r="BJ317" s="439"/>
      <c r="BK317" s="439"/>
      <c r="BL317" s="439"/>
      <c r="BM317" s="932"/>
      <c r="BN317" s="439"/>
      <c r="BO317" s="439"/>
      <c r="BP317" s="439"/>
      <c r="BQ317" s="439"/>
      <c r="BR317" s="439"/>
    </row>
    <row r="318" ht="15.75" customHeight="1">
      <c r="A318" s="439"/>
      <c r="B318" s="439"/>
      <c r="C318" s="439"/>
      <c r="D318" s="439"/>
      <c r="E318" s="932"/>
      <c r="F318" s="439"/>
      <c r="G318" s="439"/>
      <c r="H318" s="439"/>
      <c r="I318" s="439"/>
      <c r="J318" s="439"/>
      <c r="K318" s="932"/>
      <c r="L318" s="439"/>
      <c r="M318" s="439"/>
      <c r="N318" s="439"/>
      <c r="O318" s="439"/>
      <c r="P318" s="439"/>
      <c r="Q318" s="932"/>
      <c r="R318" s="439"/>
      <c r="S318" s="439"/>
      <c r="T318" s="439"/>
      <c r="U318" s="439"/>
      <c r="V318" s="439"/>
      <c r="W318" s="932"/>
      <c r="X318" s="439"/>
      <c r="Y318" s="439"/>
      <c r="Z318" s="439"/>
      <c r="AA318" s="439"/>
      <c r="AB318" s="439"/>
      <c r="AC318" s="932"/>
      <c r="AD318" s="439"/>
      <c r="AE318" s="439"/>
      <c r="AF318" s="439"/>
      <c r="AG318" s="439"/>
      <c r="AH318" s="439"/>
      <c r="AI318" s="932"/>
      <c r="AJ318" s="439"/>
      <c r="AK318" s="439"/>
      <c r="AL318" s="439"/>
      <c r="AM318" s="439"/>
      <c r="AN318" s="439"/>
      <c r="AO318" s="932"/>
      <c r="AP318" s="439"/>
      <c r="AQ318" s="439"/>
      <c r="AR318" s="439"/>
      <c r="AS318" s="439"/>
      <c r="AT318" s="439"/>
      <c r="AU318" s="932"/>
      <c r="AV318" s="439"/>
      <c r="AW318" s="439"/>
      <c r="AX318" s="439"/>
      <c r="AY318" s="439"/>
      <c r="AZ318" s="439"/>
      <c r="BA318" s="932"/>
      <c r="BB318" s="439"/>
      <c r="BC318" s="439"/>
      <c r="BD318" s="439"/>
      <c r="BE318" s="439"/>
      <c r="BF318" s="439"/>
      <c r="BG318" s="932"/>
      <c r="BH318" s="439"/>
      <c r="BI318" s="439"/>
      <c r="BJ318" s="439"/>
      <c r="BK318" s="439"/>
      <c r="BL318" s="439"/>
      <c r="BM318" s="932"/>
      <c r="BN318" s="439"/>
      <c r="BO318" s="439"/>
      <c r="BP318" s="439"/>
      <c r="BQ318" s="439"/>
      <c r="BR318" s="439"/>
    </row>
    <row r="319" ht="15.75" customHeight="1">
      <c r="A319" s="439"/>
      <c r="B319" s="439"/>
      <c r="C319" s="439"/>
      <c r="D319" s="439"/>
      <c r="E319" s="932"/>
      <c r="F319" s="439"/>
      <c r="G319" s="439"/>
      <c r="H319" s="439"/>
      <c r="I319" s="439"/>
      <c r="J319" s="439"/>
      <c r="K319" s="932"/>
      <c r="L319" s="439"/>
      <c r="M319" s="439"/>
      <c r="N319" s="439"/>
      <c r="O319" s="439"/>
      <c r="P319" s="439"/>
      <c r="Q319" s="932"/>
      <c r="R319" s="439"/>
      <c r="S319" s="439"/>
      <c r="T319" s="439"/>
      <c r="U319" s="439"/>
      <c r="V319" s="439"/>
      <c r="W319" s="932"/>
      <c r="X319" s="439"/>
      <c r="Y319" s="439"/>
      <c r="Z319" s="439"/>
      <c r="AA319" s="439"/>
      <c r="AB319" s="439"/>
      <c r="AC319" s="932"/>
      <c r="AD319" s="439"/>
      <c r="AE319" s="439"/>
      <c r="AF319" s="439"/>
      <c r="AG319" s="439"/>
      <c r="AH319" s="439"/>
      <c r="AI319" s="932"/>
      <c r="AJ319" s="439"/>
      <c r="AK319" s="439"/>
      <c r="AL319" s="439"/>
      <c r="AM319" s="439"/>
      <c r="AN319" s="439"/>
      <c r="AO319" s="932"/>
      <c r="AP319" s="439"/>
      <c r="AQ319" s="439"/>
      <c r="AR319" s="439"/>
      <c r="AS319" s="439"/>
      <c r="AT319" s="439"/>
      <c r="AU319" s="932"/>
      <c r="AV319" s="439"/>
      <c r="AW319" s="439"/>
      <c r="AX319" s="439"/>
      <c r="AY319" s="439"/>
      <c r="AZ319" s="439"/>
      <c r="BA319" s="932"/>
      <c r="BB319" s="439"/>
      <c r="BC319" s="439"/>
      <c r="BD319" s="439"/>
      <c r="BE319" s="439"/>
      <c r="BF319" s="439"/>
      <c r="BG319" s="932"/>
      <c r="BH319" s="439"/>
      <c r="BI319" s="439"/>
      <c r="BJ319" s="439"/>
      <c r="BK319" s="439"/>
      <c r="BL319" s="439"/>
      <c r="BM319" s="932"/>
      <c r="BN319" s="439"/>
      <c r="BO319" s="439"/>
      <c r="BP319" s="439"/>
      <c r="BQ319" s="439"/>
      <c r="BR319" s="439"/>
    </row>
    <row r="320" ht="15.75" customHeight="1">
      <c r="A320" s="439"/>
      <c r="B320" s="439"/>
      <c r="C320" s="439"/>
      <c r="D320" s="439"/>
      <c r="E320" s="932"/>
      <c r="F320" s="439"/>
      <c r="G320" s="439"/>
      <c r="H320" s="439"/>
      <c r="I320" s="439"/>
      <c r="J320" s="439"/>
      <c r="K320" s="932"/>
      <c r="L320" s="439"/>
      <c r="M320" s="439"/>
      <c r="N320" s="439"/>
      <c r="O320" s="439"/>
      <c r="P320" s="439"/>
      <c r="Q320" s="932"/>
      <c r="R320" s="439"/>
      <c r="S320" s="439"/>
      <c r="T320" s="439"/>
      <c r="U320" s="439"/>
      <c r="V320" s="439"/>
      <c r="W320" s="932"/>
      <c r="X320" s="439"/>
      <c r="Y320" s="439"/>
      <c r="Z320" s="439"/>
      <c r="AA320" s="439"/>
      <c r="AB320" s="439"/>
      <c r="AC320" s="932"/>
      <c r="AD320" s="439"/>
      <c r="AE320" s="439"/>
      <c r="AF320" s="439"/>
      <c r="AG320" s="439"/>
      <c r="AH320" s="439"/>
      <c r="AI320" s="932"/>
      <c r="AJ320" s="439"/>
      <c r="AK320" s="439"/>
      <c r="AL320" s="439"/>
      <c r="AM320" s="439"/>
      <c r="AN320" s="439"/>
      <c r="AO320" s="932"/>
      <c r="AP320" s="439"/>
      <c r="AQ320" s="439"/>
      <c r="AR320" s="439"/>
      <c r="AS320" s="439"/>
      <c r="AT320" s="439"/>
      <c r="AU320" s="932"/>
      <c r="AV320" s="439"/>
      <c r="AW320" s="439"/>
      <c r="AX320" s="439"/>
      <c r="AY320" s="439"/>
      <c r="AZ320" s="439"/>
      <c r="BA320" s="932"/>
      <c r="BB320" s="439"/>
      <c r="BC320" s="439"/>
      <c r="BD320" s="439"/>
      <c r="BE320" s="439"/>
      <c r="BF320" s="439"/>
      <c r="BG320" s="932"/>
      <c r="BH320" s="439"/>
      <c r="BI320" s="439"/>
      <c r="BJ320" s="439"/>
      <c r="BK320" s="439"/>
      <c r="BL320" s="439"/>
      <c r="BM320" s="932"/>
      <c r="BN320" s="439"/>
      <c r="BO320" s="439"/>
      <c r="BP320" s="439"/>
      <c r="BQ320" s="439"/>
      <c r="BR320" s="439"/>
    </row>
    <row r="321" ht="15.75" customHeight="1">
      <c r="A321" s="439"/>
      <c r="B321" s="439"/>
      <c r="C321" s="439"/>
      <c r="D321" s="439"/>
      <c r="E321" s="932"/>
      <c r="F321" s="439"/>
      <c r="G321" s="439"/>
      <c r="H321" s="439"/>
      <c r="I321" s="439"/>
      <c r="J321" s="439"/>
      <c r="K321" s="932"/>
      <c r="L321" s="439"/>
      <c r="M321" s="439"/>
      <c r="N321" s="439"/>
      <c r="O321" s="439"/>
      <c r="P321" s="439"/>
      <c r="Q321" s="932"/>
      <c r="R321" s="439"/>
      <c r="S321" s="439"/>
      <c r="T321" s="439"/>
      <c r="U321" s="439"/>
      <c r="V321" s="439"/>
      <c r="W321" s="932"/>
      <c r="X321" s="439"/>
      <c r="Y321" s="439"/>
      <c r="Z321" s="439"/>
      <c r="AA321" s="439"/>
      <c r="AB321" s="439"/>
      <c r="AC321" s="932"/>
      <c r="AD321" s="439"/>
      <c r="AE321" s="439"/>
      <c r="AF321" s="439"/>
      <c r="AG321" s="439"/>
      <c r="AH321" s="439"/>
      <c r="AI321" s="932"/>
      <c r="AJ321" s="439"/>
      <c r="AK321" s="439"/>
      <c r="AL321" s="439"/>
      <c r="AM321" s="439"/>
      <c r="AN321" s="439"/>
      <c r="AO321" s="932"/>
      <c r="AP321" s="439"/>
      <c r="AQ321" s="439"/>
      <c r="AR321" s="439"/>
      <c r="AS321" s="439"/>
      <c r="AT321" s="439"/>
      <c r="AU321" s="932"/>
      <c r="AV321" s="439"/>
      <c r="AW321" s="439"/>
      <c r="AX321" s="439"/>
      <c r="AY321" s="439"/>
      <c r="AZ321" s="439"/>
      <c r="BA321" s="932"/>
      <c r="BB321" s="439"/>
      <c r="BC321" s="439"/>
      <c r="BD321" s="439"/>
      <c r="BE321" s="439"/>
      <c r="BF321" s="439"/>
      <c r="BG321" s="932"/>
      <c r="BH321" s="439"/>
      <c r="BI321" s="439"/>
      <c r="BJ321" s="439"/>
      <c r="BK321" s="439"/>
      <c r="BL321" s="439"/>
      <c r="BM321" s="932"/>
      <c r="BN321" s="439"/>
      <c r="BO321" s="439"/>
      <c r="BP321" s="439"/>
      <c r="BQ321" s="439"/>
      <c r="BR321" s="439"/>
    </row>
    <row r="322" ht="15.75" customHeight="1">
      <c r="A322" s="439"/>
      <c r="B322" s="439"/>
      <c r="C322" s="439"/>
      <c r="D322" s="439"/>
      <c r="E322" s="932"/>
      <c r="F322" s="439"/>
      <c r="G322" s="439"/>
      <c r="H322" s="439"/>
      <c r="I322" s="439"/>
      <c r="J322" s="439"/>
      <c r="K322" s="932"/>
      <c r="L322" s="439"/>
      <c r="M322" s="439"/>
      <c r="N322" s="439"/>
      <c r="O322" s="439"/>
      <c r="P322" s="439"/>
      <c r="Q322" s="932"/>
      <c r="R322" s="439"/>
      <c r="S322" s="439"/>
      <c r="T322" s="439"/>
      <c r="U322" s="439"/>
      <c r="V322" s="439"/>
      <c r="W322" s="932"/>
      <c r="X322" s="439"/>
      <c r="Y322" s="439"/>
      <c r="Z322" s="439"/>
      <c r="AA322" s="439"/>
      <c r="AB322" s="439"/>
      <c r="AC322" s="932"/>
      <c r="AD322" s="439"/>
      <c r="AE322" s="439"/>
      <c r="AF322" s="439"/>
      <c r="AG322" s="439"/>
      <c r="AH322" s="439"/>
      <c r="AI322" s="932"/>
      <c r="AJ322" s="439"/>
      <c r="AK322" s="439"/>
      <c r="AL322" s="439"/>
      <c r="AM322" s="439"/>
      <c r="AN322" s="439"/>
      <c r="AO322" s="932"/>
      <c r="AP322" s="439"/>
      <c r="AQ322" s="439"/>
      <c r="AR322" s="439"/>
      <c r="AS322" s="439"/>
      <c r="AT322" s="439"/>
      <c r="AU322" s="932"/>
      <c r="AV322" s="439"/>
      <c r="AW322" s="439"/>
      <c r="AX322" s="439"/>
      <c r="AY322" s="439"/>
      <c r="AZ322" s="439"/>
      <c r="BA322" s="932"/>
      <c r="BB322" s="439"/>
      <c r="BC322" s="439"/>
      <c r="BD322" s="439"/>
      <c r="BE322" s="439"/>
      <c r="BF322" s="439"/>
      <c r="BG322" s="932"/>
      <c r="BH322" s="439"/>
      <c r="BI322" s="439"/>
      <c r="BJ322" s="439"/>
      <c r="BK322" s="439"/>
      <c r="BL322" s="439"/>
      <c r="BM322" s="932"/>
      <c r="BN322" s="439"/>
      <c r="BO322" s="439"/>
      <c r="BP322" s="439"/>
      <c r="BQ322" s="439"/>
      <c r="BR322" s="439"/>
    </row>
    <row r="323" ht="15.75" customHeight="1">
      <c r="A323" s="439"/>
      <c r="B323" s="439"/>
      <c r="C323" s="439"/>
      <c r="D323" s="439"/>
      <c r="E323" s="932"/>
      <c r="F323" s="439"/>
      <c r="G323" s="439"/>
      <c r="H323" s="439"/>
      <c r="I323" s="439"/>
      <c r="J323" s="439"/>
      <c r="K323" s="932"/>
      <c r="L323" s="439"/>
      <c r="M323" s="439"/>
      <c r="N323" s="439"/>
      <c r="O323" s="439"/>
      <c r="P323" s="439"/>
      <c r="Q323" s="932"/>
      <c r="R323" s="439"/>
      <c r="S323" s="439"/>
      <c r="T323" s="439"/>
      <c r="U323" s="439"/>
      <c r="V323" s="439"/>
      <c r="W323" s="932"/>
      <c r="X323" s="439"/>
      <c r="Y323" s="439"/>
      <c r="Z323" s="439"/>
      <c r="AA323" s="439"/>
      <c r="AB323" s="439"/>
      <c r="AC323" s="932"/>
      <c r="AD323" s="439"/>
      <c r="AE323" s="439"/>
      <c r="AF323" s="439"/>
      <c r="AG323" s="439"/>
      <c r="AH323" s="439"/>
      <c r="AI323" s="932"/>
      <c r="AJ323" s="439"/>
      <c r="AK323" s="439"/>
      <c r="AL323" s="439"/>
      <c r="AM323" s="439"/>
      <c r="AN323" s="439"/>
      <c r="AO323" s="932"/>
      <c r="AP323" s="439"/>
      <c r="AQ323" s="439"/>
      <c r="AR323" s="439"/>
      <c r="AS323" s="439"/>
      <c r="AT323" s="439"/>
      <c r="AU323" s="932"/>
      <c r="AV323" s="439"/>
      <c r="AW323" s="439"/>
      <c r="AX323" s="439"/>
      <c r="AY323" s="439"/>
      <c r="AZ323" s="439"/>
      <c r="BA323" s="932"/>
      <c r="BB323" s="439"/>
      <c r="BC323" s="439"/>
      <c r="BD323" s="439"/>
      <c r="BE323" s="439"/>
      <c r="BF323" s="439"/>
      <c r="BG323" s="932"/>
      <c r="BH323" s="439"/>
      <c r="BI323" s="439"/>
      <c r="BJ323" s="439"/>
      <c r="BK323" s="439"/>
      <c r="BL323" s="439"/>
      <c r="BM323" s="932"/>
      <c r="BN323" s="439"/>
      <c r="BO323" s="439"/>
      <c r="BP323" s="439"/>
      <c r="BQ323" s="439"/>
      <c r="BR323" s="439"/>
    </row>
    <row r="324" ht="15.75" customHeight="1">
      <c r="A324" s="439"/>
      <c r="B324" s="439"/>
      <c r="C324" s="439"/>
      <c r="D324" s="439"/>
      <c r="E324" s="932"/>
      <c r="F324" s="439"/>
      <c r="G324" s="439"/>
      <c r="H324" s="439"/>
      <c r="I324" s="439"/>
      <c r="J324" s="439"/>
      <c r="K324" s="932"/>
      <c r="L324" s="439"/>
      <c r="M324" s="439"/>
      <c r="N324" s="439"/>
      <c r="O324" s="439"/>
      <c r="P324" s="439"/>
      <c r="Q324" s="932"/>
      <c r="R324" s="439"/>
      <c r="S324" s="439"/>
      <c r="T324" s="439"/>
      <c r="U324" s="439"/>
      <c r="V324" s="439"/>
      <c r="W324" s="932"/>
      <c r="X324" s="439"/>
      <c r="Y324" s="439"/>
      <c r="Z324" s="439"/>
      <c r="AA324" s="439"/>
      <c r="AB324" s="439"/>
      <c r="AC324" s="932"/>
      <c r="AD324" s="439"/>
      <c r="AE324" s="439"/>
      <c r="AF324" s="439"/>
      <c r="AG324" s="439"/>
      <c r="AH324" s="439"/>
      <c r="AI324" s="932"/>
      <c r="AJ324" s="439"/>
      <c r="AK324" s="439"/>
      <c r="AL324" s="439"/>
      <c r="AM324" s="439"/>
      <c r="AN324" s="439"/>
      <c r="AO324" s="932"/>
      <c r="AP324" s="439"/>
      <c r="AQ324" s="439"/>
      <c r="AR324" s="439"/>
      <c r="AS324" s="439"/>
      <c r="AT324" s="439"/>
      <c r="AU324" s="932"/>
      <c r="AV324" s="439"/>
      <c r="AW324" s="439"/>
      <c r="AX324" s="439"/>
      <c r="AY324" s="439"/>
      <c r="AZ324" s="439"/>
      <c r="BA324" s="932"/>
      <c r="BB324" s="439"/>
      <c r="BC324" s="439"/>
      <c r="BD324" s="439"/>
      <c r="BE324" s="439"/>
      <c r="BF324" s="439"/>
      <c r="BG324" s="932"/>
      <c r="BH324" s="439"/>
      <c r="BI324" s="439"/>
      <c r="BJ324" s="439"/>
      <c r="BK324" s="439"/>
      <c r="BL324" s="439"/>
      <c r="BM324" s="932"/>
      <c r="BN324" s="439"/>
      <c r="BO324" s="439"/>
      <c r="BP324" s="439"/>
      <c r="BQ324" s="439"/>
      <c r="BR324" s="439"/>
    </row>
    <row r="325" ht="15.75" customHeight="1">
      <c r="A325" s="439"/>
      <c r="B325" s="439"/>
      <c r="C325" s="439"/>
      <c r="D325" s="439"/>
      <c r="E325" s="932"/>
      <c r="F325" s="439"/>
      <c r="G325" s="439"/>
      <c r="H325" s="439"/>
      <c r="I325" s="439"/>
      <c r="J325" s="439"/>
      <c r="K325" s="932"/>
      <c r="L325" s="439"/>
      <c r="M325" s="439"/>
      <c r="N325" s="439"/>
      <c r="O325" s="439"/>
      <c r="P325" s="439"/>
      <c r="Q325" s="932"/>
      <c r="R325" s="439"/>
      <c r="S325" s="439"/>
      <c r="T325" s="439"/>
      <c r="U325" s="439"/>
      <c r="V325" s="439"/>
      <c r="W325" s="932"/>
      <c r="X325" s="439"/>
      <c r="Y325" s="439"/>
      <c r="Z325" s="439"/>
      <c r="AA325" s="439"/>
      <c r="AB325" s="439"/>
      <c r="AC325" s="932"/>
      <c r="AD325" s="439"/>
      <c r="AE325" s="439"/>
      <c r="AF325" s="439"/>
      <c r="AG325" s="439"/>
      <c r="AH325" s="439"/>
      <c r="AI325" s="932"/>
      <c r="AJ325" s="439"/>
      <c r="AK325" s="439"/>
      <c r="AL325" s="439"/>
      <c r="AM325" s="439"/>
      <c r="AN325" s="439"/>
      <c r="AO325" s="932"/>
      <c r="AP325" s="439"/>
      <c r="AQ325" s="439"/>
      <c r="AR325" s="439"/>
      <c r="AS325" s="439"/>
      <c r="AT325" s="439"/>
      <c r="AU325" s="932"/>
      <c r="AV325" s="439"/>
      <c r="AW325" s="439"/>
      <c r="AX325" s="439"/>
      <c r="AY325" s="439"/>
      <c r="AZ325" s="439"/>
      <c r="BA325" s="932"/>
      <c r="BB325" s="439"/>
      <c r="BC325" s="439"/>
      <c r="BD325" s="439"/>
      <c r="BE325" s="439"/>
      <c r="BF325" s="439"/>
      <c r="BG325" s="932"/>
      <c r="BH325" s="439"/>
      <c r="BI325" s="439"/>
      <c r="BJ325" s="439"/>
      <c r="BK325" s="439"/>
      <c r="BL325" s="439"/>
      <c r="BM325" s="932"/>
      <c r="BN325" s="439"/>
      <c r="BO325" s="439"/>
      <c r="BP325" s="439"/>
      <c r="BQ325" s="439"/>
      <c r="BR325" s="439"/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5">
    <mergeCell ref="AH4:AM4"/>
    <mergeCell ref="AN4:AS4"/>
    <mergeCell ref="AT4:AY4"/>
    <mergeCell ref="AZ4:BE4"/>
    <mergeCell ref="BF4:BK4"/>
    <mergeCell ref="BL4:BQ4"/>
    <mergeCell ref="B60:C60"/>
    <mergeCell ref="B61:C61"/>
    <mergeCell ref="B4:B5"/>
    <mergeCell ref="C4:C5"/>
    <mergeCell ref="D4:I4"/>
    <mergeCell ref="J4:O4"/>
    <mergeCell ref="P4:U4"/>
    <mergeCell ref="V4:AA4"/>
    <mergeCell ref="AB4:AG4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6.5"/>
    <col customWidth="1" min="4" max="4" width="11.88"/>
    <col customWidth="1" hidden="1" min="5" max="9" width="12.63"/>
    <col customWidth="1" min="10" max="10" width="11.5"/>
    <col customWidth="1" hidden="1" min="11" max="15" width="12.63"/>
    <col customWidth="1" min="16" max="16" width="11.25"/>
    <col customWidth="1" hidden="1" min="17" max="21" width="12.63"/>
  </cols>
  <sheetData>
    <row r="1" ht="15.75" customHeight="1">
      <c r="A1" s="439"/>
      <c r="B1" s="440" t="s">
        <v>0</v>
      </c>
      <c r="C1" s="439"/>
      <c r="D1" s="439"/>
      <c r="E1" s="439"/>
      <c r="F1" s="530"/>
      <c r="G1" s="439"/>
      <c r="H1" s="1070"/>
      <c r="I1" s="439"/>
      <c r="J1" s="439"/>
      <c r="K1" s="439"/>
      <c r="L1" s="530"/>
      <c r="M1" s="439"/>
      <c r="N1" s="1070"/>
      <c r="O1" s="439"/>
      <c r="P1" s="439"/>
      <c r="Q1" s="439"/>
      <c r="R1" s="530"/>
      <c r="S1" s="439"/>
      <c r="T1" s="1070"/>
      <c r="U1" s="439"/>
    </row>
    <row r="2" ht="15.75" customHeight="1">
      <c r="A2" s="439"/>
      <c r="B2" s="692" t="s">
        <v>350</v>
      </c>
      <c r="C2" s="439"/>
      <c r="D2" s="439"/>
      <c r="E2" s="439"/>
      <c r="F2" s="530"/>
      <c r="G2" s="439"/>
      <c r="H2" s="1070"/>
      <c r="I2" s="439"/>
      <c r="J2" s="439"/>
      <c r="K2" s="439"/>
      <c r="L2" s="530"/>
      <c r="M2" s="439"/>
      <c r="N2" s="1070"/>
      <c r="O2" s="439"/>
      <c r="P2" s="439"/>
      <c r="Q2" s="439"/>
      <c r="R2" s="530"/>
      <c r="S2" s="439"/>
      <c r="T2" s="1070"/>
      <c r="U2" s="439"/>
    </row>
    <row r="3" ht="15.75" customHeight="1">
      <c r="A3" s="439"/>
      <c r="B3" s="439"/>
      <c r="C3" s="439"/>
      <c r="D3" s="439"/>
      <c r="E3" s="439"/>
      <c r="F3" s="530"/>
      <c r="G3" s="439"/>
      <c r="H3" s="1070"/>
      <c r="I3" s="439"/>
      <c r="J3" s="439"/>
      <c r="K3" s="439"/>
      <c r="L3" s="530"/>
      <c r="M3" s="439"/>
      <c r="N3" s="1070"/>
      <c r="O3" s="439"/>
      <c r="P3" s="439"/>
      <c r="Q3" s="439"/>
      <c r="R3" s="530"/>
      <c r="S3" s="439"/>
      <c r="T3" s="1070"/>
      <c r="U3" s="439"/>
    </row>
    <row r="4" ht="15.75" customHeight="1">
      <c r="A4" s="439"/>
      <c r="B4" s="443" t="s">
        <v>162</v>
      </c>
      <c r="C4" s="443" t="s">
        <v>163</v>
      </c>
      <c r="D4" s="531" t="s">
        <v>164</v>
      </c>
      <c r="E4" s="10"/>
      <c r="F4" s="10"/>
      <c r="G4" s="10"/>
      <c r="H4" s="10"/>
      <c r="I4" s="13"/>
      <c r="J4" s="531" t="s">
        <v>165</v>
      </c>
      <c r="K4" s="10"/>
      <c r="L4" s="10"/>
      <c r="M4" s="10"/>
      <c r="N4" s="10"/>
      <c r="O4" s="13"/>
      <c r="P4" s="446" t="s">
        <v>166</v>
      </c>
      <c r="Q4" s="10"/>
      <c r="R4" s="10"/>
      <c r="S4" s="10"/>
      <c r="T4" s="10"/>
      <c r="U4" s="13"/>
    </row>
    <row r="5" ht="15.75" customHeight="1">
      <c r="A5" s="532"/>
      <c r="B5" s="533"/>
      <c r="C5" s="533"/>
      <c r="D5" s="1071" t="s">
        <v>167</v>
      </c>
      <c r="E5" s="626" t="s">
        <v>18</v>
      </c>
      <c r="F5" s="627" t="s">
        <v>168</v>
      </c>
      <c r="G5" s="626" t="s">
        <v>18</v>
      </c>
      <c r="H5" s="1072" t="s">
        <v>169</v>
      </c>
      <c r="I5" s="628" t="s">
        <v>260</v>
      </c>
      <c r="J5" s="1071" t="s">
        <v>167</v>
      </c>
      <c r="K5" s="626" t="s">
        <v>18</v>
      </c>
      <c r="L5" s="627" t="s">
        <v>168</v>
      </c>
      <c r="M5" s="626" t="s">
        <v>18</v>
      </c>
      <c r="N5" s="1072" t="s">
        <v>169</v>
      </c>
      <c r="O5" s="628" t="s">
        <v>260</v>
      </c>
      <c r="P5" s="451" t="s">
        <v>167</v>
      </c>
      <c r="Q5" s="451" t="s">
        <v>18</v>
      </c>
      <c r="R5" s="538" t="s">
        <v>168</v>
      </c>
      <c r="S5" s="451" t="s">
        <v>18</v>
      </c>
      <c r="T5" s="1073" t="s">
        <v>169</v>
      </c>
      <c r="U5" s="451" t="s">
        <v>260</v>
      </c>
    </row>
    <row r="6" ht="15.75" hidden="1" customHeight="1">
      <c r="A6" s="439"/>
      <c r="B6" s="469"/>
      <c r="C6" s="465" t="s">
        <v>73</v>
      </c>
      <c r="D6" s="1074">
        <v>0.0</v>
      </c>
      <c r="E6" s="540"/>
      <c r="F6" s="541"/>
      <c r="G6" s="540"/>
      <c r="H6" s="1075"/>
      <c r="I6" s="542"/>
      <c r="J6" s="703">
        <v>0.0</v>
      </c>
      <c r="K6" s="540"/>
      <c r="L6" s="541"/>
      <c r="M6" s="540"/>
      <c r="N6" s="1075"/>
      <c r="O6" s="542"/>
      <c r="P6" s="703">
        <v>0.0</v>
      </c>
      <c r="Q6" s="540"/>
      <c r="R6" s="541"/>
      <c r="S6" s="540"/>
      <c r="T6" s="1075"/>
      <c r="U6" s="542"/>
    </row>
    <row r="7" ht="15.75" hidden="1" customHeight="1">
      <c r="A7" s="439"/>
      <c r="B7" s="469"/>
      <c r="C7" s="465" t="s">
        <v>80</v>
      </c>
      <c r="D7" s="753">
        <v>0.0</v>
      </c>
      <c r="E7" s="539"/>
      <c r="F7" s="521"/>
      <c r="G7" s="539"/>
      <c r="H7" s="784"/>
      <c r="I7" s="479"/>
      <c r="J7" s="704">
        <v>0.0</v>
      </c>
      <c r="K7" s="539"/>
      <c r="L7" s="521"/>
      <c r="M7" s="539"/>
      <c r="N7" s="784"/>
      <c r="O7" s="479"/>
      <c r="P7" s="704">
        <v>0.0</v>
      </c>
      <c r="Q7" s="539"/>
      <c r="R7" s="521"/>
      <c r="S7" s="539"/>
      <c r="T7" s="784"/>
      <c r="U7" s="479"/>
    </row>
    <row r="8" ht="15.75" hidden="1" customHeight="1">
      <c r="A8" s="439"/>
      <c r="B8" s="469"/>
      <c r="C8" s="465" t="s">
        <v>87</v>
      </c>
      <c r="D8" s="753">
        <f>D16+D26+D27+D36</f>
        <v>12074655</v>
      </c>
      <c r="E8" s="539"/>
      <c r="F8" s="521"/>
      <c r="G8" s="539"/>
      <c r="H8" s="784"/>
      <c r="I8" s="479"/>
      <c r="J8" s="704">
        <f>J16+J26+J27+J36</f>
        <v>14685204</v>
      </c>
      <c r="K8" s="539"/>
      <c r="L8" s="521"/>
      <c r="M8" s="539"/>
      <c r="N8" s="784"/>
      <c r="O8" s="479"/>
      <c r="P8" s="704">
        <f>P16+P26+P27+P36</f>
        <v>7474610</v>
      </c>
      <c r="Q8" s="539"/>
      <c r="R8" s="521"/>
      <c r="S8" s="539"/>
      <c r="T8" s="784"/>
      <c r="U8" s="479"/>
    </row>
    <row r="9" ht="15.75" hidden="1" customHeight="1">
      <c r="A9" s="439"/>
      <c r="B9" s="469"/>
      <c r="C9" s="465" t="s">
        <v>94</v>
      </c>
      <c r="D9" s="753">
        <f>D17+D20+D22+D23</f>
        <v>0</v>
      </c>
      <c r="E9" s="539"/>
      <c r="F9" s="521"/>
      <c r="G9" s="539"/>
      <c r="H9" s="784"/>
      <c r="I9" s="479"/>
      <c r="J9" s="704">
        <f>J17+J20+J22+J23</f>
        <v>13500</v>
      </c>
      <c r="K9" s="539"/>
      <c r="L9" s="521"/>
      <c r="M9" s="539"/>
      <c r="N9" s="784"/>
      <c r="O9" s="479"/>
      <c r="P9" s="704">
        <f>P17+P20+P22+P23</f>
        <v>14850</v>
      </c>
      <c r="Q9" s="539"/>
      <c r="R9" s="521"/>
      <c r="S9" s="539"/>
      <c r="T9" s="784"/>
      <c r="U9" s="479"/>
    </row>
    <row r="10" ht="15.75" hidden="1" customHeight="1">
      <c r="A10" s="439"/>
      <c r="B10" s="469"/>
      <c r="C10" s="465" t="s">
        <v>101</v>
      </c>
      <c r="D10" s="753">
        <f>SUM(D8:D9)-D37</f>
        <v>12074655</v>
      </c>
      <c r="E10" s="539"/>
      <c r="F10" s="521"/>
      <c r="G10" s="539"/>
      <c r="H10" s="784"/>
      <c r="I10" s="479"/>
      <c r="J10" s="704">
        <f>SUM(J8:J9)-J37</f>
        <v>14698704</v>
      </c>
      <c r="K10" s="539"/>
      <c r="L10" s="521"/>
      <c r="M10" s="539"/>
      <c r="N10" s="784"/>
      <c r="O10" s="479"/>
      <c r="P10" s="704">
        <f>SUM(P8:P9)-P37</f>
        <v>7489460</v>
      </c>
      <c r="Q10" s="539"/>
      <c r="R10" s="521"/>
      <c r="S10" s="539"/>
      <c r="T10" s="784"/>
      <c r="U10" s="479"/>
    </row>
    <row r="11" ht="15.75" hidden="1" customHeight="1">
      <c r="A11" s="439"/>
      <c r="B11" s="469"/>
      <c r="C11" s="465" t="s">
        <v>108</v>
      </c>
      <c r="D11" s="753" t="str">
        <f t="shared" ref="D11:D12" si="1">D8/D6</f>
        <v>#DIV/0!</v>
      </c>
      <c r="E11" s="539"/>
      <c r="F11" s="521"/>
      <c r="G11" s="539"/>
      <c r="H11" s="784"/>
      <c r="I11" s="479"/>
      <c r="J11" s="704" t="str">
        <f t="shared" ref="J11:J12" si="2">J8/J6</f>
        <v>#DIV/0!</v>
      </c>
      <c r="K11" s="539"/>
      <c r="L11" s="521"/>
      <c r="M11" s="539"/>
      <c r="N11" s="784"/>
      <c r="O11" s="479"/>
      <c r="P11" s="704" t="str">
        <f t="shared" ref="P11:P12" si="3">P8/P6</f>
        <v>#DIV/0!</v>
      </c>
      <c r="Q11" s="539"/>
      <c r="R11" s="521"/>
      <c r="S11" s="539"/>
      <c r="T11" s="784"/>
      <c r="U11" s="479"/>
    </row>
    <row r="12" ht="15.75" hidden="1" customHeight="1">
      <c r="A12" s="439"/>
      <c r="B12" s="469"/>
      <c r="C12" s="465" t="s">
        <v>115</v>
      </c>
      <c r="D12" s="753" t="str">
        <f t="shared" si="1"/>
        <v>#DIV/0!</v>
      </c>
      <c r="E12" s="539"/>
      <c r="F12" s="521"/>
      <c r="G12" s="539"/>
      <c r="H12" s="784"/>
      <c r="I12" s="479"/>
      <c r="J12" s="704" t="str">
        <f t="shared" si="2"/>
        <v>#DIV/0!</v>
      </c>
      <c r="K12" s="539"/>
      <c r="L12" s="521"/>
      <c r="M12" s="539"/>
      <c r="N12" s="784"/>
      <c r="O12" s="479"/>
      <c r="P12" s="704" t="str">
        <f t="shared" si="3"/>
        <v>#DIV/0!</v>
      </c>
      <c r="Q12" s="539"/>
      <c r="R12" s="521"/>
      <c r="S12" s="539"/>
      <c r="T12" s="784"/>
      <c r="U12" s="479"/>
    </row>
    <row r="13" ht="15.75" hidden="1" customHeight="1">
      <c r="A13" s="439"/>
      <c r="B13" s="469"/>
      <c r="C13" s="483"/>
      <c r="D13" s="1076"/>
      <c r="E13" s="544"/>
      <c r="F13" s="545"/>
      <c r="G13" s="544"/>
      <c r="H13" s="1077"/>
      <c r="I13" s="546"/>
      <c r="J13" s="705"/>
      <c r="K13" s="544"/>
      <c r="L13" s="545"/>
      <c r="M13" s="544"/>
      <c r="N13" s="1077"/>
      <c r="O13" s="546"/>
      <c r="P13" s="705"/>
      <c r="Q13" s="544"/>
      <c r="R13" s="545"/>
      <c r="S13" s="544"/>
      <c r="T13" s="1077"/>
      <c r="U13" s="546"/>
    </row>
    <row r="14" ht="15.75" customHeight="1">
      <c r="A14" s="439"/>
      <c r="B14" s="457" t="s">
        <v>170</v>
      </c>
      <c r="C14" s="490" t="s">
        <v>329</v>
      </c>
      <c r="D14" s="491">
        <f t="shared" ref="D14:J14" si="4">SUM(D15:D20)</f>
        <v>6037327.5</v>
      </c>
      <c r="E14" s="491">
        <f t="shared" si="4"/>
        <v>0</v>
      </c>
      <c r="F14" s="491">
        <f t="shared" si="4"/>
        <v>0</v>
      </c>
      <c r="G14" s="491" t="str">
        <f t="shared" si="4"/>
        <v>#DIV/0!</v>
      </c>
      <c r="H14" s="491">
        <f t="shared" si="4"/>
        <v>0</v>
      </c>
      <c r="I14" s="491">
        <f t="shared" si="4"/>
        <v>0</v>
      </c>
      <c r="J14" s="491">
        <f t="shared" si="4"/>
        <v>7335852</v>
      </c>
      <c r="K14" s="670"/>
      <c r="L14" s="512">
        <f>SUM(L15:L20)</f>
        <v>0</v>
      </c>
      <c r="M14" s="669" t="str">
        <f>SUM(M16:M20)</f>
        <v>#DIV/0!</v>
      </c>
      <c r="N14" s="512"/>
      <c r="O14" s="670"/>
      <c r="P14" s="491">
        <f>SUM(P15:P20)</f>
        <v>3729880</v>
      </c>
      <c r="Q14" s="670"/>
      <c r="R14" s="512">
        <f>SUM(R15:R20)</f>
        <v>0</v>
      </c>
      <c r="S14" s="669" t="str">
        <f>SUM(S16:S20)</f>
        <v>#DIV/0!</v>
      </c>
      <c r="T14" s="512"/>
      <c r="U14" s="670"/>
    </row>
    <row r="15" ht="15.75" customHeight="1">
      <c r="A15" s="439"/>
      <c r="B15" s="469" t="s">
        <v>23</v>
      </c>
      <c r="C15" s="497"/>
      <c r="D15" s="1078"/>
      <c r="E15" s="1078"/>
      <c r="F15" s="1078"/>
      <c r="G15" s="1078"/>
      <c r="H15" s="1078"/>
      <c r="I15" s="1079"/>
      <c r="J15" s="1080"/>
      <c r="K15" s="540"/>
      <c r="L15" s="1081"/>
      <c r="M15" s="552"/>
      <c r="N15" s="1081"/>
      <c r="O15" s="542"/>
      <c r="P15" s="1082"/>
      <c r="Q15" s="606"/>
      <c r="R15" s="1081"/>
      <c r="S15" s="552"/>
      <c r="T15" s="1081"/>
      <c r="U15" s="542"/>
    </row>
    <row r="16" ht="15.75" customHeight="1">
      <c r="A16" s="439"/>
      <c r="B16" s="465"/>
      <c r="C16" s="465" t="s">
        <v>172</v>
      </c>
      <c r="D16" s="520">
        <v>6037327.5</v>
      </c>
      <c r="E16" s="539"/>
      <c r="F16" s="521"/>
      <c r="G16" s="557" t="str">
        <f t="shared" ref="G16:G20" si="5">F16/$F$14</f>
        <v>#DIV/0!</v>
      </c>
      <c r="H16" s="784"/>
      <c r="I16" s="479"/>
      <c r="J16" s="467">
        <v>7335852.0</v>
      </c>
      <c r="K16" s="539"/>
      <c r="L16" s="521"/>
      <c r="M16" s="557" t="str">
        <f t="shared" ref="M16:M20" si="6">L16/$F$14</f>
        <v>#DIV/0!</v>
      </c>
      <c r="N16" s="784"/>
      <c r="O16" s="479"/>
      <c r="P16" s="506">
        <v>3729880.0</v>
      </c>
      <c r="Q16" s="575"/>
      <c r="R16" s="521"/>
      <c r="S16" s="557" t="str">
        <f t="shared" ref="S16:S20" si="7">R16/$F$14</f>
        <v>#DIV/0!</v>
      </c>
      <c r="T16" s="784"/>
      <c r="U16" s="479"/>
    </row>
    <row r="17" ht="15.75" customHeight="1">
      <c r="A17" s="439"/>
      <c r="B17" s="465"/>
      <c r="C17" s="465" t="s">
        <v>173</v>
      </c>
      <c r="D17" s="520">
        <v>0.0</v>
      </c>
      <c r="E17" s="539"/>
      <c r="F17" s="521"/>
      <c r="G17" s="557" t="str">
        <f t="shared" si="5"/>
        <v>#DIV/0!</v>
      </c>
      <c r="H17" s="784"/>
      <c r="I17" s="479"/>
      <c r="J17" s="467">
        <v>0.0</v>
      </c>
      <c r="K17" s="539"/>
      <c r="L17" s="521"/>
      <c r="M17" s="557" t="str">
        <f t="shared" si="6"/>
        <v>#DIV/0!</v>
      </c>
      <c r="N17" s="784"/>
      <c r="O17" s="479"/>
      <c r="P17" s="506">
        <v>0.0</v>
      </c>
      <c r="Q17" s="575"/>
      <c r="R17" s="521"/>
      <c r="S17" s="557" t="str">
        <f t="shared" si="7"/>
        <v>#DIV/0!</v>
      </c>
      <c r="T17" s="784"/>
      <c r="U17" s="479"/>
    </row>
    <row r="18" ht="15.75" customHeight="1">
      <c r="A18" s="439"/>
      <c r="B18" s="465"/>
      <c r="C18" s="465" t="s">
        <v>261</v>
      </c>
      <c r="D18" s="1083">
        <v>0.0</v>
      </c>
      <c r="E18" s="539"/>
      <c r="F18" s="521"/>
      <c r="G18" s="557" t="str">
        <f t="shared" si="5"/>
        <v>#DIV/0!</v>
      </c>
      <c r="H18" s="784"/>
      <c r="I18" s="479"/>
      <c r="J18" s="514">
        <v>0.0</v>
      </c>
      <c r="K18" s="539"/>
      <c r="L18" s="521"/>
      <c r="M18" s="557" t="str">
        <f t="shared" si="6"/>
        <v>#DIV/0!</v>
      </c>
      <c r="N18" s="784"/>
      <c r="O18" s="479"/>
      <c r="P18" s="506">
        <v>0.0</v>
      </c>
      <c r="Q18" s="575"/>
      <c r="R18" s="521"/>
      <c r="S18" s="557" t="str">
        <f t="shared" si="7"/>
        <v>#DIV/0!</v>
      </c>
      <c r="T18" s="784"/>
      <c r="U18" s="479"/>
    </row>
    <row r="19" ht="15.75" customHeight="1">
      <c r="A19" s="439"/>
      <c r="B19" s="465"/>
      <c r="C19" s="465" t="s">
        <v>174</v>
      </c>
      <c r="D19" s="1083">
        <v>0.0</v>
      </c>
      <c r="E19" s="539"/>
      <c r="F19" s="521"/>
      <c r="G19" s="557" t="str">
        <f t="shared" si="5"/>
        <v>#DIV/0!</v>
      </c>
      <c r="H19" s="784"/>
      <c r="I19" s="479"/>
      <c r="J19" s="514">
        <v>0.0</v>
      </c>
      <c r="K19" s="539"/>
      <c r="L19" s="521"/>
      <c r="M19" s="557" t="str">
        <f t="shared" si="6"/>
        <v>#DIV/0!</v>
      </c>
      <c r="N19" s="784"/>
      <c r="O19" s="479"/>
      <c r="P19" s="506">
        <v>0.0</v>
      </c>
      <c r="Q19" s="575"/>
      <c r="R19" s="521"/>
      <c r="S19" s="557" t="str">
        <f t="shared" si="7"/>
        <v>#DIV/0!</v>
      </c>
      <c r="T19" s="784"/>
      <c r="U19" s="479"/>
    </row>
    <row r="20" ht="15.75" customHeight="1">
      <c r="A20" s="439"/>
      <c r="B20" s="465"/>
      <c r="C20" s="465" t="s">
        <v>175</v>
      </c>
      <c r="D20" s="1083">
        <v>0.0</v>
      </c>
      <c r="E20" s="539"/>
      <c r="F20" s="521"/>
      <c r="G20" s="557" t="str">
        <f t="shared" si="5"/>
        <v>#DIV/0!</v>
      </c>
      <c r="H20" s="784"/>
      <c r="I20" s="479"/>
      <c r="J20" s="514">
        <v>0.0</v>
      </c>
      <c r="K20" s="539"/>
      <c r="L20" s="521"/>
      <c r="M20" s="557" t="str">
        <f t="shared" si="6"/>
        <v>#DIV/0!</v>
      </c>
      <c r="N20" s="784"/>
      <c r="O20" s="479"/>
      <c r="P20" s="506">
        <v>0.0</v>
      </c>
      <c r="Q20" s="575"/>
      <c r="R20" s="521"/>
      <c r="S20" s="557" t="str">
        <f t="shared" si="7"/>
        <v>#DIV/0!</v>
      </c>
      <c r="T20" s="784"/>
      <c r="U20" s="479"/>
    </row>
    <row r="21" ht="15.75" customHeight="1">
      <c r="A21" s="439"/>
      <c r="B21" s="465"/>
      <c r="C21" s="465" t="s">
        <v>176</v>
      </c>
      <c r="D21" s="520">
        <v>0.0</v>
      </c>
      <c r="E21" s="557">
        <f>D21/$D$14</f>
        <v>0</v>
      </c>
      <c r="F21" s="521"/>
      <c r="G21" s="557"/>
      <c r="H21" s="784"/>
      <c r="I21" s="573" t="str">
        <f>IFERROR(H21/F21,"")</f>
        <v/>
      </c>
      <c r="J21" s="467">
        <v>0.0</v>
      </c>
      <c r="K21" s="557">
        <f>J21/$D$14</f>
        <v>0</v>
      </c>
      <c r="L21" s="521"/>
      <c r="M21" s="557"/>
      <c r="N21" s="784"/>
      <c r="O21" s="573" t="str">
        <f>IFERROR(N21/L21,"")</f>
        <v/>
      </c>
      <c r="P21" s="506">
        <v>0.0</v>
      </c>
      <c r="Q21" s="560">
        <f>P21/$D$14</f>
        <v>0</v>
      </c>
      <c r="R21" s="521"/>
      <c r="S21" s="557"/>
      <c r="T21" s="784"/>
      <c r="U21" s="573" t="str">
        <f>IFERROR(T21/R21,"")</f>
        <v/>
      </c>
    </row>
    <row r="22" ht="15.75" customHeight="1">
      <c r="A22" s="439"/>
      <c r="B22" s="465"/>
      <c r="C22" s="465" t="s">
        <v>263</v>
      </c>
      <c r="D22" s="1083">
        <v>0.0</v>
      </c>
      <c r="E22" s="539"/>
      <c r="F22" s="521"/>
      <c r="G22" s="539"/>
      <c r="H22" s="784"/>
      <c r="I22" s="479"/>
      <c r="J22" s="467">
        <v>13500.0</v>
      </c>
      <c r="K22" s="539"/>
      <c r="L22" s="521"/>
      <c r="M22" s="539"/>
      <c r="N22" s="784"/>
      <c r="O22" s="479"/>
      <c r="P22" s="506">
        <v>14850.0</v>
      </c>
      <c r="Q22" s="575"/>
      <c r="R22" s="521"/>
      <c r="S22" s="539"/>
      <c r="T22" s="784"/>
      <c r="U22" s="479"/>
    </row>
    <row r="23" ht="15.75" customHeight="1">
      <c r="A23" s="439"/>
      <c r="B23" s="469"/>
      <c r="C23" s="465"/>
      <c r="D23" s="520"/>
      <c r="E23" s="539"/>
      <c r="F23" s="521"/>
      <c r="G23" s="539"/>
      <c r="H23" s="784"/>
      <c r="I23" s="479"/>
      <c r="J23" s="467"/>
      <c r="K23" s="539"/>
      <c r="L23" s="521"/>
      <c r="M23" s="539"/>
      <c r="N23" s="784"/>
      <c r="O23" s="479"/>
      <c r="P23" s="474"/>
      <c r="Q23" s="575"/>
      <c r="R23" s="521"/>
      <c r="S23" s="539"/>
      <c r="T23" s="784"/>
      <c r="U23" s="479"/>
    </row>
    <row r="24" ht="15.75" customHeight="1">
      <c r="A24" s="439"/>
      <c r="B24" s="469" t="s">
        <v>21</v>
      </c>
      <c r="C24" s="465" t="s">
        <v>21</v>
      </c>
      <c r="D24" s="520">
        <v>527662.5</v>
      </c>
      <c r="E24" s="539"/>
      <c r="F24" s="521"/>
      <c r="G24" s="557" t="str">
        <f>F24/F29</f>
        <v>#DIV/0!</v>
      </c>
      <c r="H24" s="784">
        <v>0.0</v>
      </c>
      <c r="I24" s="479"/>
      <c r="J24" s="467">
        <v>647125.0</v>
      </c>
      <c r="K24" s="539"/>
      <c r="L24" s="521"/>
      <c r="M24" s="557" t="str">
        <f>L24/L29</f>
        <v>#DIV/0!</v>
      </c>
      <c r="N24" s="784">
        <v>0.0</v>
      </c>
      <c r="O24" s="479"/>
      <c r="P24" s="506">
        <v>327875.0</v>
      </c>
      <c r="Q24" s="575"/>
      <c r="R24" s="521"/>
      <c r="S24" s="557" t="str">
        <f>R24/R29</f>
        <v>#DIV/0!</v>
      </c>
      <c r="T24" s="784">
        <v>0.0</v>
      </c>
      <c r="U24" s="479"/>
    </row>
    <row r="25" ht="15.75" customHeight="1">
      <c r="A25" s="439"/>
      <c r="B25" s="469" t="s">
        <v>22</v>
      </c>
      <c r="C25" s="465" t="s">
        <v>22</v>
      </c>
      <c r="D25" s="520">
        <v>4372792.5</v>
      </c>
      <c r="E25" s="539"/>
      <c r="F25" s="521"/>
      <c r="G25" s="557" t="str">
        <f>F25/F29</f>
        <v>#DIV/0!</v>
      </c>
      <c r="H25" s="784">
        <v>0.0</v>
      </c>
      <c r="I25" s="479"/>
      <c r="J25" s="467">
        <v>4130225.0</v>
      </c>
      <c r="K25" s="539"/>
      <c r="L25" s="521"/>
      <c r="M25" s="557" t="str">
        <f>L25/L29</f>
        <v>#DIV/0!</v>
      </c>
      <c r="N25" s="784">
        <v>0.0</v>
      </c>
      <c r="O25" s="479"/>
      <c r="P25" s="506">
        <v>2860370.0</v>
      </c>
      <c r="Q25" s="575"/>
      <c r="R25" s="521"/>
      <c r="S25" s="557" t="str">
        <f>R25/R29</f>
        <v>#DIV/0!</v>
      </c>
      <c r="T25" s="784">
        <v>0.0</v>
      </c>
      <c r="U25" s="479"/>
    </row>
    <row r="26" ht="15.75" customHeight="1">
      <c r="A26" s="439"/>
      <c r="B26" s="469" t="s">
        <v>23</v>
      </c>
      <c r="C26" s="465" t="s">
        <v>177</v>
      </c>
      <c r="D26" s="1084">
        <f>SUM(D16:D22)</f>
        <v>6037327.5</v>
      </c>
      <c r="E26" s="653"/>
      <c r="F26" s="1084">
        <f>SUM(F16:F22)</f>
        <v>0</v>
      </c>
      <c r="G26" s="577" t="str">
        <f>F26/F29</f>
        <v>#DIV/0!</v>
      </c>
      <c r="H26" s="1085">
        <f>SUM(H16:H20)</f>
        <v>0</v>
      </c>
      <c r="I26" s="657"/>
      <c r="J26" s="470">
        <f t="shared" ref="J26:P26" si="8">SUM(J16:J22)</f>
        <v>7349352</v>
      </c>
      <c r="K26" s="470">
        <f t="shared" si="8"/>
        <v>0</v>
      </c>
      <c r="L26" s="470">
        <f t="shared" si="8"/>
        <v>0</v>
      </c>
      <c r="M26" s="470" t="str">
        <f t="shared" si="8"/>
        <v>#DIV/0!</v>
      </c>
      <c r="N26" s="470">
        <f t="shared" si="8"/>
        <v>0</v>
      </c>
      <c r="O26" s="470">
        <f t="shared" si="8"/>
        <v>0</v>
      </c>
      <c r="P26" s="472">
        <f t="shared" si="8"/>
        <v>3744730</v>
      </c>
      <c r="Q26" s="575"/>
      <c r="R26" s="1086">
        <f>SUM(R16:R22)</f>
        <v>0</v>
      </c>
      <c r="S26" s="557" t="str">
        <f>R26/R29</f>
        <v>#DIV/0!</v>
      </c>
      <c r="T26" s="1087">
        <f>SUM(T16:T20)</f>
        <v>0</v>
      </c>
      <c r="U26" s="479"/>
    </row>
    <row r="27" ht="15.75" customHeight="1">
      <c r="A27" s="439"/>
      <c r="B27" s="465"/>
      <c r="C27" s="465"/>
      <c r="D27" s="520"/>
      <c r="E27" s="539"/>
      <c r="F27" s="521"/>
      <c r="G27" s="557"/>
      <c r="H27" s="784"/>
      <c r="I27" s="479"/>
      <c r="J27" s="467"/>
      <c r="K27" s="539"/>
      <c r="L27" s="521"/>
      <c r="M27" s="557"/>
      <c r="N27" s="784"/>
      <c r="O27" s="479"/>
      <c r="P27" s="474"/>
      <c r="Q27" s="575"/>
      <c r="R27" s="521"/>
      <c r="S27" s="557"/>
      <c r="T27" s="784"/>
      <c r="U27" s="479"/>
    </row>
    <row r="28" ht="15.75" customHeight="1">
      <c r="A28" s="439"/>
      <c r="B28" s="483"/>
      <c r="C28" s="483" t="s">
        <v>178</v>
      </c>
      <c r="D28" s="1088">
        <v>1068160.0</v>
      </c>
      <c r="E28" s="544"/>
      <c r="F28" s="545"/>
      <c r="G28" s="564" t="str">
        <f>F28/F29</f>
        <v>#DIV/0!</v>
      </c>
      <c r="H28" s="1077"/>
      <c r="I28" s="546"/>
      <c r="J28" s="720">
        <v>1095652.0</v>
      </c>
      <c r="K28" s="544"/>
      <c r="L28" s="545"/>
      <c r="M28" s="564" t="str">
        <f>L28/L29</f>
        <v>#DIV/0!</v>
      </c>
      <c r="N28" s="1077"/>
      <c r="O28" s="546"/>
      <c r="P28" s="739">
        <v>672654.0</v>
      </c>
      <c r="Q28" s="609"/>
      <c r="R28" s="545"/>
      <c r="S28" s="564" t="str">
        <f>R28/R29</f>
        <v>#DIV/0!</v>
      </c>
      <c r="T28" s="1077"/>
      <c r="U28" s="546"/>
    </row>
    <row r="29" ht="15.75" customHeight="1">
      <c r="A29" s="439"/>
      <c r="B29" s="490"/>
      <c r="C29" s="490" t="s">
        <v>179</v>
      </c>
      <c r="D29" s="1089">
        <f>D24+D25+D26+D28+D22</f>
        <v>12005942.5</v>
      </c>
      <c r="E29" s="584"/>
      <c r="F29" s="548">
        <f>F24+F25+F26+F28</f>
        <v>0</v>
      </c>
      <c r="G29" s="584"/>
      <c r="H29" s="1090">
        <f>H24+H25+H26+H28</f>
        <v>0</v>
      </c>
      <c r="I29" s="585"/>
      <c r="J29" s="459">
        <f>J24+J25+J26+J28+J22</f>
        <v>13235854</v>
      </c>
      <c r="K29" s="584"/>
      <c r="L29" s="548">
        <f>L24+L25+L26+L28</f>
        <v>0</v>
      </c>
      <c r="M29" s="584"/>
      <c r="N29" s="1090">
        <f>N24+N25+N26+N28</f>
        <v>0</v>
      </c>
      <c r="O29" s="585"/>
      <c r="P29" s="491">
        <f>P24+P25+P26+P28+P22</f>
        <v>7620479</v>
      </c>
      <c r="Q29" s="586"/>
      <c r="R29" s="548">
        <f>R24+R25+R26+R28</f>
        <v>0</v>
      </c>
      <c r="S29" s="584"/>
      <c r="T29" s="1090">
        <f>T24+T25+T26+T28</f>
        <v>0</v>
      </c>
      <c r="U29" s="585"/>
    </row>
    <row r="30" ht="15.75" customHeight="1">
      <c r="A30" s="439"/>
      <c r="B30" s="461"/>
      <c r="C30" s="497"/>
      <c r="D30" s="1081"/>
      <c r="E30" s="540"/>
      <c r="F30" s="541"/>
      <c r="G30" s="540"/>
      <c r="H30" s="1075"/>
      <c r="I30" s="542"/>
      <c r="J30" s="463"/>
      <c r="K30" s="540"/>
      <c r="L30" s="541"/>
      <c r="M30" s="540"/>
      <c r="N30" s="1075"/>
      <c r="O30" s="542"/>
      <c r="P30" s="498"/>
      <c r="Q30" s="606"/>
      <c r="R30" s="541"/>
      <c r="S30" s="540"/>
      <c r="T30" s="1075"/>
      <c r="U30" s="542"/>
    </row>
    <row r="31" ht="15.75" hidden="1" customHeight="1">
      <c r="A31" s="439"/>
      <c r="B31" s="465"/>
      <c r="C31" s="465"/>
      <c r="D31" s="520"/>
      <c r="E31" s="557"/>
      <c r="F31" s="521"/>
      <c r="G31" s="649"/>
      <c r="H31" s="784"/>
      <c r="I31" s="742"/>
      <c r="J31" s="467"/>
      <c r="K31" s="557"/>
      <c r="L31" s="521"/>
      <c r="M31" s="649"/>
      <c r="N31" s="784"/>
      <c r="O31" s="742"/>
      <c r="P31" s="474"/>
      <c r="Q31" s="560"/>
      <c r="R31" s="521"/>
      <c r="S31" s="649"/>
      <c r="T31" s="784"/>
      <c r="U31" s="742"/>
    </row>
    <row r="32" ht="15.75" hidden="1" customHeight="1">
      <c r="A32" s="439"/>
      <c r="B32" s="465"/>
      <c r="C32" s="465"/>
      <c r="D32" s="520"/>
      <c r="E32" s="557"/>
      <c r="F32" s="521"/>
      <c r="G32" s="649"/>
      <c r="H32" s="784"/>
      <c r="I32" s="742"/>
      <c r="J32" s="467"/>
      <c r="K32" s="557"/>
      <c r="L32" s="521"/>
      <c r="M32" s="649"/>
      <c r="N32" s="784"/>
      <c r="O32" s="742"/>
      <c r="P32" s="474"/>
      <c r="Q32" s="560"/>
      <c r="R32" s="521"/>
      <c r="S32" s="649"/>
      <c r="T32" s="784"/>
      <c r="U32" s="742"/>
    </row>
    <row r="33" ht="15.75" hidden="1" customHeight="1">
      <c r="A33" s="439"/>
      <c r="B33" s="465"/>
      <c r="C33" s="465"/>
      <c r="D33" s="520"/>
      <c r="E33" s="557"/>
      <c r="F33" s="521"/>
      <c r="G33" s="649"/>
      <c r="H33" s="784"/>
      <c r="I33" s="742"/>
      <c r="J33" s="467"/>
      <c r="K33" s="557"/>
      <c r="L33" s="521"/>
      <c r="M33" s="649"/>
      <c r="N33" s="784"/>
      <c r="O33" s="742"/>
      <c r="P33" s="474"/>
      <c r="Q33" s="560"/>
      <c r="R33" s="521"/>
      <c r="S33" s="649"/>
      <c r="T33" s="784"/>
      <c r="U33" s="742"/>
    </row>
    <row r="34" ht="15.75" hidden="1" customHeight="1">
      <c r="A34" s="439"/>
      <c r="B34" s="465"/>
      <c r="C34" s="465"/>
      <c r="D34" s="520"/>
      <c r="E34" s="557"/>
      <c r="F34" s="521"/>
      <c r="G34" s="649"/>
      <c r="H34" s="784"/>
      <c r="I34" s="742"/>
      <c r="J34" s="467"/>
      <c r="K34" s="557"/>
      <c r="L34" s="521"/>
      <c r="M34" s="649"/>
      <c r="N34" s="784"/>
      <c r="O34" s="742"/>
      <c r="P34" s="474"/>
      <c r="Q34" s="560"/>
      <c r="R34" s="521"/>
      <c r="S34" s="649"/>
      <c r="T34" s="784"/>
      <c r="U34" s="742"/>
    </row>
    <row r="35" ht="15.75" hidden="1" customHeight="1">
      <c r="A35" s="439"/>
      <c r="B35" s="465"/>
      <c r="C35" s="465"/>
      <c r="D35" s="520"/>
      <c r="E35" s="557"/>
      <c r="F35" s="521"/>
      <c r="G35" s="649"/>
      <c r="H35" s="784"/>
      <c r="I35" s="742"/>
      <c r="J35" s="467"/>
      <c r="K35" s="557"/>
      <c r="L35" s="521"/>
      <c r="M35" s="649"/>
      <c r="N35" s="784"/>
      <c r="O35" s="742"/>
      <c r="P35" s="474"/>
      <c r="Q35" s="560"/>
      <c r="R35" s="521"/>
      <c r="S35" s="649"/>
      <c r="T35" s="784"/>
      <c r="U35" s="742"/>
    </row>
    <row r="36" ht="15.75" hidden="1" customHeight="1">
      <c r="A36" s="439"/>
      <c r="B36" s="465"/>
      <c r="C36" s="465"/>
      <c r="D36" s="520"/>
      <c r="E36" s="557"/>
      <c r="F36" s="521"/>
      <c r="G36" s="649"/>
      <c r="H36" s="784"/>
      <c r="I36" s="742"/>
      <c r="J36" s="467"/>
      <c r="K36" s="557"/>
      <c r="L36" s="521"/>
      <c r="M36" s="649"/>
      <c r="N36" s="784"/>
      <c r="O36" s="742"/>
      <c r="P36" s="474"/>
      <c r="Q36" s="560"/>
      <c r="R36" s="521"/>
      <c r="S36" s="649"/>
      <c r="T36" s="784"/>
      <c r="U36" s="742"/>
    </row>
    <row r="37" ht="15.75" hidden="1" customHeight="1">
      <c r="A37" s="439"/>
      <c r="B37" s="465"/>
      <c r="C37" s="465"/>
      <c r="D37" s="520"/>
      <c r="E37" s="557"/>
      <c r="F37" s="521"/>
      <c r="G37" s="649"/>
      <c r="H37" s="784"/>
      <c r="I37" s="742"/>
      <c r="J37" s="467"/>
      <c r="K37" s="557"/>
      <c r="L37" s="521"/>
      <c r="M37" s="649"/>
      <c r="N37" s="784"/>
      <c r="O37" s="742"/>
      <c r="P37" s="474"/>
      <c r="Q37" s="560"/>
      <c r="R37" s="521"/>
      <c r="S37" s="649"/>
      <c r="T37" s="784"/>
      <c r="U37" s="742"/>
    </row>
    <row r="38" ht="15.75" customHeight="1">
      <c r="A38" s="439"/>
      <c r="B38" s="469"/>
      <c r="C38" s="469"/>
      <c r="D38" s="520"/>
      <c r="E38" s="539"/>
      <c r="F38" s="521"/>
      <c r="G38" s="539"/>
      <c r="H38" s="784"/>
      <c r="I38" s="479"/>
      <c r="J38" s="467"/>
      <c r="K38" s="539"/>
      <c r="L38" s="521"/>
      <c r="M38" s="539"/>
      <c r="N38" s="784"/>
      <c r="O38" s="479"/>
      <c r="P38" s="474"/>
      <c r="Q38" s="575"/>
      <c r="R38" s="521"/>
      <c r="S38" s="539"/>
      <c r="T38" s="784"/>
      <c r="U38" s="479"/>
    </row>
    <row r="39" ht="15.75" customHeight="1">
      <c r="A39" s="439"/>
      <c r="B39" s="1091" t="s">
        <v>183</v>
      </c>
      <c r="C39" s="483"/>
      <c r="D39" s="1088"/>
      <c r="E39" s="544"/>
      <c r="F39" s="545"/>
      <c r="G39" s="544"/>
      <c r="H39" s="1077"/>
      <c r="I39" s="546"/>
      <c r="J39" s="485"/>
      <c r="K39" s="544"/>
      <c r="L39" s="545"/>
      <c r="M39" s="544"/>
      <c r="N39" s="1077"/>
      <c r="O39" s="546"/>
      <c r="P39" s="501"/>
      <c r="Q39" s="609"/>
      <c r="R39" s="545"/>
      <c r="S39" s="544"/>
      <c r="T39" s="1077"/>
      <c r="U39" s="546"/>
    </row>
    <row r="40" ht="15.75" customHeight="1">
      <c r="A40" s="439"/>
      <c r="B40" s="457" t="s">
        <v>28</v>
      </c>
      <c r="C40" s="490"/>
      <c r="D40" s="1089"/>
      <c r="E40" s="584"/>
      <c r="F40" s="548"/>
      <c r="G40" s="584"/>
      <c r="H40" s="1090"/>
      <c r="I40" s="585"/>
      <c r="J40" s="459"/>
      <c r="K40" s="584"/>
      <c r="L40" s="548"/>
      <c r="M40" s="584"/>
      <c r="N40" s="1090"/>
      <c r="O40" s="585"/>
      <c r="P40" s="491"/>
      <c r="Q40" s="586"/>
      <c r="R40" s="548"/>
      <c r="S40" s="584"/>
      <c r="T40" s="1090"/>
      <c r="U40" s="585"/>
    </row>
    <row r="41" ht="15.75" customHeight="1">
      <c r="A41" s="439"/>
      <c r="B41" s="497"/>
      <c r="C41" s="1092" t="s">
        <v>184</v>
      </c>
      <c r="D41" s="1081"/>
      <c r="E41" s="540"/>
      <c r="F41" s="541"/>
      <c r="G41" s="540"/>
      <c r="H41" s="1075"/>
      <c r="I41" s="542"/>
      <c r="J41" s="463"/>
      <c r="K41" s="540"/>
      <c r="L41" s="541"/>
      <c r="M41" s="540"/>
      <c r="N41" s="1075"/>
      <c r="O41" s="542"/>
      <c r="P41" s="498"/>
      <c r="Q41" s="606"/>
      <c r="R41" s="541"/>
      <c r="S41" s="540"/>
      <c r="T41" s="1075"/>
      <c r="U41" s="542"/>
    </row>
    <row r="42" ht="15.75" customHeight="1">
      <c r="A42" s="439"/>
      <c r="B42" s="465"/>
      <c r="C42" s="465" t="s">
        <v>185</v>
      </c>
      <c r="D42" s="467">
        <f>'MSBC CK Allocation'!B31</f>
        <v>283679.9905</v>
      </c>
      <c r="E42" s="539"/>
      <c r="F42" s="521">
        <f>G42*F26</f>
        <v>0</v>
      </c>
      <c r="G42" s="557"/>
      <c r="H42" s="784"/>
      <c r="I42" s="479"/>
      <c r="J42" s="467">
        <f>'MSBC CK Allocation'!C31</f>
        <v>265847.3271</v>
      </c>
      <c r="K42" s="539"/>
      <c r="L42" s="521">
        <f>M42*L26</f>
        <v>0</v>
      </c>
      <c r="M42" s="557"/>
      <c r="N42" s="784"/>
      <c r="O42" s="479"/>
      <c r="P42" s="474">
        <f>'MSBC CK Allocation'!D31</f>
        <v>222039.8649</v>
      </c>
      <c r="Q42" s="575"/>
      <c r="R42" s="521">
        <f>S42*R26</f>
        <v>0</v>
      </c>
      <c r="S42" s="557"/>
      <c r="T42" s="784"/>
      <c r="U42" s="479"/>
    </row>
    <row r="43" ht="15.75" customHeight="1">
      <c r="A43" s="439"/>
      <c r="B43" s="465"/>
      <c r="C43" s="465" t="s">
        <v>186</v>
      </c>
      <c r="D43" s="520">
        <v>2681208.0835189014</v>
      </c>
      <c r="E43" s="539"/>
      <c r="F43" s="521">
        <f>G43*F26</f>
        <v>0</v>
      </c>
      <c r="G43" s="557"/>
      <c r="H43" s="784"/>
      <c r="I43" s="479"/>
      <c r="J43" s="467">
        <v>2790240.846552158</v>
      </c>
      <c r="K43" s="539"/>
      <c r="L43" s="521">
        <f>M43*L26</f>
        <v>0</v>
      </c>
      <c r="M43" s="557"/>
      <c r="N43" s="784"/>
      <c r="O43" s="479"/>
      <c r="P43" s="474">
        <v>1956769.0</v>
      </c>
      <c r="Q43" s="575"/>
      <c r="R43" s="521">
        <f>S43*R26</f>
        <v>0</v>
      </c>
      <c r="S43" s="557"/>
      <c r="T43" s="784"/>
      <c r="U43" s="479"/>
    </row>
    <row r="44" ht="15.75" customHeight="1">
      <c r="A44" s="439"/>
      <c r="B44" s="465"/>
      <c r="C44" s="465" t="s">
        <v>21</v>
      </c>
      <c r="D44" s="520">
        <v>188494.51297619</v>
      </c>
      <c r="E44" s="539"/>
      <c r="F44" s="521">
        <f t="shared" ref="F44:F45" si="9">G44*F24</f>
        <v>0</v>
      </c>
      <c r="G44" s="557"/>
      <c r="H44" s="784"/>
      <c r="I44" s="479"/>
      <c r="J44" s="514">
        <v>218892.0</v>
      </c>
      <c r="K44" s="539"/>
      <c r="L44" s="521">
        <f t="shared" ref="L44:L45" si="10">M44*L24</f>
        <v>0</v>
      </c>
      <c r="M44" s="557"/>
      <c r="N44" s="784"/>
      <c r="O44" s="479"/>
      <c r="P44" s="506">
        <v>125048.0</v>
      </c>
      <c r="Q44" s="575"/>
      <c r="R44" s="521">
        <f t="shared" ref="R44:R45" si="11">S44*R24</f>
        <v>0</v>
      </c>
      <c r="S44" s="557"/>
      <c r="T44" s="784"/>
      <c r="U44" s="479"/>
    </row>
    <row r="45" ht="15.75" customHeight="1">
      <c r="A45" s="439"/>
      <c r="B45" s="465"/>
      <c r="C45" s="465" t="s">
        <v>22</v>
      </c>
      <c r="D45" s="520">
        <v>1399401.2399999998</v>
      </c>
      <c r="E45" s="539"/>
      <c r="F45" s="521">
        <f t="shared" si="9"/>
        <v>0</v>
      </c>
      <c r="G45" s="557"/>
      <c r="H45" s="784"/>
      <c r="I45" s="479"/>
      <c r="J45" s="467">
        <v>1302934.76</v>
      </c>
      <c r="K45" s="539"/>
      <c r="L45" s="521">
        <f t="shared" si="10"/>
        <v>0</v>
      </c>
      <c r="M45" s="557"/>
      <c r="N45" s="784"/>
      <c r="O45" s="479"/>
      <c r="P45" s="506">
        <v>817934.0</v>
      </c>
      <c r="Q45" s="575"/>
      <c r="R45" s="521">
        <f t="shared" si="11"/>
        <v>0</v>
      </c>
      <c r="S45" s="557"/>
      <c r="T45" s="784"/>
      <c r="U45" s="479"/>
    </row>
    <row r="46" ht="15.75" customHeight="1">
      <c r="A46" s="439"/>
      <c r="B46" s="483"/>
      <c r="C46" s="483" t="s">
        <v>187</v>
      </c>
      <c r="D46" s="1088">
        <f>'Calculation Sheet for GST on Pu'!C26</f>
        <v>179330.9019</v>
      </c>
      <c r="E46" s="544"/>
      <c r="F46" s="545">
        <f>G46*SUM(F24:F26)</f>
        <v>0</v>
      </c>
      <c r="G46" s="564"/>
      <c r="H46" s="1077"/>
      <c r="I46" s="546"/>
      <c r="J46" s="485">
        <f>'Calculation Sheet for GST on Pu'!D26</f>
        <v>177688.8874</v>
      </c>
      <c r="K46" s="544"/>
      <c r="L46" s="545">
        <f>M46*SUM(L24:L26)</f>
        <v>0</v>
      </c>
      <c r="M46" s="564"/>
      <c r="N46" s="1077"/>
      <c r="O46" s="546"/>
      <c r="P46" s="501">
        <f>'Calculation Sheet for GST on Pu'!E26</f>
        <v>146514.2253</v>
      </c>
      <c r="Q46" s="609"/>
      <c r="R46" s="545">
        <f>S46*SUM(R24:R26)</f>
        <v>0</v>
      </c>
      <c r="S46" s="564"/>
      <c r="T46" s="1077"/>
      <c r="U46" s="546"/>
    </row>
    <row r="47" ht="15.75" customHeight="1">
      <c r="A47" s="439"/>
      <c r="B47" s="490"/>
      <c r="C47" s="490" t="s">
        <v>188</v>
      </c>
      <c r="D47" s="491">
        <f>SUM(D42:D46)</f>
        <v>4732114.729</v>
      </c>
      <c r="E47" s="457"/>
      <c r="F47" s="491">
        <f>SUM(F42:F46)</f>
        <v>0</v>
      </c>
      <c r="G47" s="613" t="str">
        <f>F47/F29</f>
        <v>#DIV/0!</v>
      </c>
      <c r="H47" s="1093">
        <f>SUM(H42:H46)</f>
        <v>0</v>
      </c>
      <c r="I47" s="457"/>
      <c r="J47" s="491">
        <f>SUM(J42:J46)</f>
        <v>4755603.821</v>
      </c>
      <c r="K47" s="457"/>
      <c r="L47" s="491">
        <f>SUM(L42:L46)</f>
        <v>0</v>
      </c>
      <c r="M47" s="613" t="str">
        <f>L47/L29</f>
        <v>#DIV/0!</v>
      </c>
      <c r="N47" s="1093">
        <f>SUM(N42:N46)</f>
        <v>0</v>
      </c>
      <c r="O47" s="457"/>
      <c r="P47" s="491">
        <f>SUM(P42:P46)</f>
        <v>3268305.09</v>
      </c>
      <c r="Q47" s="457"/>
      <c r="R47" s="491">
        <f>SUM(R42:R46)</f>
        <v>0</v>
      </c>
      <c r="S47" s="613" t="str">
        <f>R47/R29</f>
        <v>#DIV/0!</v>
      </c>
      <c r="T47" s="1093">
        <f>SUM(T42:T46)</f>
        <v>0</v>
      </c>
      <c r="U47" s="457"/>
    </row>
    <row r="48" ht="15.75" customHeight="1">
      <c r="A48" s="439"/>
      <c r="B48" s="497"/>
      <c r="C48" s="1094" t="s">
        <v>189</v>
      </c>
      <c r="D48" s="1081">
        <v>57613.8</v>
      </c>
      <c r="E48" s="540"/>
      <c r="F48" s="541">
        <f>G48*SUM(F24:F26)</f>
        <v>0</v>
      </c>
      <c r="G48" s="552"/>
      <c r="H48" s="1075"/>
      <c r="I48" s="542"/>
      <c r="J48" s="513">
        <v>28439.0</v>
      </c>
      <c r="K48" s="540"/>
      <c r="L48" s="541">
        <f>M48*SUM(L24:L26)</f>
        <v>0</v>
      </c>
      <c r="M48" s="552"/>
      <c r="N48" s="1075"/>
      <c r="O48" s="542"/>
      <c r="P48" s="505">
        <v>50554.0</v>
      </c>
      <c r="Q48" s="606"/>
      <c r="R48" s="541">
        <f>S48*SUM(R24:R26)</f>
        <v>0</v>
      </c>
      <c r="S48" s="552"/>
      <c r="T48" s="1075"/>
      <c r="U48" s="542"/>
    </row>
    <row r="49" ht="15.75" customHeight="1">
      <c r="A49" s="439"/>
      <c r="B49" s="483"/>
      <c r="C49" s="1091" t="s">
        <v>190</v>
      </c>
      <c r="D49" s="1095">
        <f>D47+D48</f>
        <v>4789728.529</v>
      </c>
      <c r="E49" s="1096"/>
      <c r="F49" s="1097">
        <f>F47+F48</f>
        <v>0</v>
      </c>
      <c r="G49" s="1098" t="str">
        <f>F49/F29</f>
        <v>#DIV/0!</v>
      </c>
      <c r="H49" s="1099">
        <f>H47+H48</f>
        <v>0</v>
      </c>
      <c r="I49" s="1100"/>
      <c r="J49" s="1101">
        <f>J47+J48</f>
        <v>4784042.821</v>
      </c>
      <c r="K49" s="1096"/>
      <c r="L49" s="1097">
        <f>L47+L48</f>
        <v>0</v>
      </c>
      <c r="M49" s="1098" t="str">
        <f>L49/L29</f>
        <v>#DIV/0!</v>
      </c>
      <c r="N49" s="1099">
        <f>N47+N48</f>
        <v>0</v>
      </c>
      <c r="O49" s="1100"/>
      <c r="P49" s="1102">
        <f>P47+P48</f>
        <v>3318859.09</v>
      </c>
      <c r="Q49" s="1103"/>
      <c r="R49" s="1097">
        <f>R47+R48</f>
        <v>0</v>
      </c>
      <c r="S49" s="1098" t="str">
        <f>R49/R29</f>
        <v>#DIV/0!</v>
      </c>
      <c r="T49" s="1099">
        <f>T47+T48</f>
        <v>0</v>
      </c>
      <c r="U49" s="1100"/>
    </row>
    <row r="50" ht="15.75" customHeight="1">
      <c r="A50" s="439"/>
      <c r="B50" s="493"/>
      <c r="C50" s="490" t="s">
        <v>32</v>
      </c>
      <c r="D50" s="1089">
        <f>D29-D49</f>
        <v>7216213.971</v>
      </c>
      <c r="E50" s="1104"/>
      <c r="F50" s="1105">
        <f>+F29-F49</f>
        <v>0</v>
      </c>
      <c r="G50" s="1104"/>
      <c r="H50" s="1106"/>
      <c r="I50" s="1107"/>
      <c r="J50" s="459">
        <f>J29-J49</f>
        <v>8451811.179</v>
      </c>
      <c r="K50" s="1104"/>
      <c r="L50" s="1105">
        <f>+L29-L49</f>
        <v>0</v>
      </c>
      <c r="M50" s="1104"/>
      <c r="N50" s="1106"/>
      <c r="O50" s="1107"/>
      <c r="P50" s="491">
        <f>P29-P49</f>
        <v>4301619.91</v>
      </c>
      <c r="Q50" s="1108"/>
      <c r="R50" s="1105">
        <f>+R29-R49</f>
        <v>0</v>
      </c>
      <c r="S50" s="1104"/>
      <c r="T50" s="1106"/>
      <c r="U50" s="1107"/>
    </row>
    <row r="51" ht="15.75" customHeight="1">
      <c r="A51" s="439"/>
      <c r="B51" s="497"/>
      <c r="C51" s="497"/>
      <c r="D51" s="1081"/>
      <c r="E51" s="540"/>
      <c r="F51" s="541"/>
      <c r="G51" s="540"/>
      <c r="H51" s="1075"/>
      <c r="I51" s="542"/>
      <c r="J51" s="463"/>
      <c r="K51" s="540"/>
      <c r="L51" s="541"/>
      <c r="M51" s="540"/>
      <c r="N51" s="1075"/>
      <c r="O51" s="542"/>
      <c r="P51" s="498"/>
      <c r="Q51" s="606"/>
      <c r="R51" s="541"/>
      <c r="S51" s="540"/>
      <c r="T51" s="1075"/>
      <c r="U51" s="542"/>
    </row>
    <row r="52" ht="15.75" customHeight="1">
      <c r="A52" s="439"/>
      <c r="B52" s="465"/>
      <c r="C52" s="465"/>
      <c r="D52" s="520"/>
      <c r="E52" s="539"/>
      <c r="F52" s="521"/>
      <c r="G52" s="539"/>
      <c r="H52" s="784"/>
      <c r="I52" s="479"/>
      <c r="J52" s="467"/>
      <c r="K52" s="539"/>
      <c r="L52" s="521"/>
      <c r="M52" s="539"/>
      <c r="N52" s="784"/>
      <c r="O52" s="479"/>
      <c r="P52" s="474"/>
      <c r="Q52" s="575"/>
      <c r="R52" s="521"/>
      <c r="S52" s="539"/>
      <c r="T52" s="784"/>
      <c r="U52" s="479"/>
    </row>
    <row r="53" ht="15.75" customHeight="1">
      <c r="A53" s="439"/>
      <c r="B53" s="465"/>
      <c r="C53" s="465"/>
      <c r="D53" s="520"/>
      <c r="E53" s="539"/>
      <c r="F53" s="521"/>
      <c r="G53" s="539"/>
      <c r="H53" s="784"/>
      <c r="I53" s="479"/>
      <c r="J53" s="467"/>
      <c r="K53" s="539"/>
      <c r="L53" s="521"/>
      <c r="M53" s="539"/>
      <c r="N53" s="784"/>
      <c r="O53" s="479"/>
      <c r="P53" s="474"/>
      <c r="Q53" s="575"/>
      <c r="R53" s="521"/>
      <c r="S53" s="539"/>
      <c r="T53" s="784"/>
      <c r="U53" s="479"/>
    </row>
    <row r="54" ht="15.75" customHeight="1">
      <c r="A54" s="439"/>
      <c r="B54" s="465"/>
      <c r="C54" s="465"/>
      <c r="D54" s="520"/>
      <c r="E54" s="539"/>
      <c r="F54" s="521"/>
      <c r="G54" s="539"/>
      <c r="H54" s="784"/>
      <c r="I54" s="479"/>
      <c r="J54" s="467"/>
      <c r="K54" s="539"/>
      <c r="L54" s="521"/>
      <c r="M54" s="539"/>
      <c r="N54" s="784"/>
      <c r="O54" s="479"/>
      <c r="P54" s="474"/>
      <c r="Q54" s="575"/>
      <c r="R54" s="521"/>
      <c r="S54" s="539"/>
      <c r="T54" s="784"/>
      <c r="U54" s="479"/>
    </row>
    <row r="55" ht="15.75" customHeight="1">
      <c r="A55" s="439"/>
      <c r="B55" s="465"/>
      <c r="C55" s="663" t="s">
        <v>191</v>
      </c>
      <c r="D55" s="520"/>
      <c r="E55" s="539"/>
      <c r="F55" s="521"/>
      <c r="G55" s="539"/>
      <c r="H55" s="784"/>
      <c r="I55" s="479"/>
      <c r="J55" s="467"/>
      <c r="K55" s="539"/>
      <c r="L55" s="521"/>
      <c r="M55" s="539"/>
      <c r="N55" s="784"/>
      <c r="O55" s="479"/>
      <c r="P55" s="474"/>
      <c r="Q55" s="575"/>
      <c r="R55" s="521"/>
      <c r="S55" s="539"/>
      <c r="T55" s="784"/>
      <c r="U55" s="479"/>
    </row>
    <row r="56" ht="15.75" customHeight="1">
      <c r="A56" s="439"/>
      <c r="B56" s="465"/>
      <c r="C56" s="465" t="s">
        <v>192</v>
      </c>
      <c r="D56" s="520">
        <v>47693.62</v>
      </c>
      <c r="E56" s="539"/>
      <c r="F56" s="521">
        <f t="shared" ref="F56:F61" si="12">G56*F$29</f>
        <v>0</v>
      </c>
      <c r="G56" s="557">
        <v>0.003</v>
      </c>
      <c r="H56" s="784"/>
      <c r="I56" s="479"/>
      <c r="J56" s="467">
        <v>50415.0</v>
      </c>
      <c r="K56" s="539"/>
      <c r="L56" s="521">
        <f t="shared" ref="L56:L61" si="13">M56*L$29</f>
        <v>0</v>
      </c>
      <c r="M56" s="557">
        <v>0.003</v>
      </c>
      <c r="N56" s="784"/>
      <c r="O56" s="479"/>
      <c r="P56" s="506">
        <v>52202.0</v>
      </c>
      <c r="Q56" s="575"/>
      <c r="R56" s="521">
        <f t="shared" ref="R56:R61" si="14">S56*R$29</f>
        <v>0</v>
      </c>
      <c r="S56" s="557">
        <v>0.003</v>
      </c>
      <c r="T56" s="784"/>
      <c r="U56" s="479"/>
    </row>
    <row r="57" ht="15.75" customHeight="1">
      <c r="A57" s="439"/>
      <c r="B57" s="465"/>
      <c r="C57" s="465" t="s">
        <v>193</v>
      </c>
      <c r="D57" s="520">
        <v>93047.84</v>
      </c>
      <c r="E57" s="539"/>
      <c r="F57" s="521">
        <f t="shared" si="12"/>
        <v>0</v>
      </c>
      <c r="G57" s="557">
        <v>0.0076</v>
      </c>
      <c r="H57" s="784"/>
      <c r="I57" s="479"/>
      <c r="J57" s="467">
        <v>67379.0</v>
      </c>
      <c r="K57" s="539"/>
      <c r="L57" s="521">
        <f t="shared" si="13"/>
        <v>0</v>
      </c>
      <c r="M57" s="557">
        <v>0.0076</v>
      </c>
      <c r="N57" s="784"/>
      <c r="O57" s="479"/>
      <c r="P57" s="506">
        <v>108956.0</v>
      </c>
      <c r="Q57" s="575"/>
      <c r="R57" s="521">
        <f t="shared" si="14"/>
        <v>0</v>
      </c>
      <c r="S57" s="557">
        <v>0.0076</v>
      </c>
      <c r="T57" s="784"/>
      <c r="U57" s="479"/>
    </row>
    <row r="58" ht="15.75" customHeight="1">
      <c r="A58" s="439"/>
      <c r="B58" s="465"/>
      <c r="C58" s="465" t="s">
        <v>266</v>
      </c>
      <c r="D58" s="520">
        <v>0.0</v>
      </c>
      <c r="E58" s="539"/>
      <c r="F58" s="521">
        <f t="shared" si="12"/>
        <v>0</v>
      </c>
      <c r="G58" s="557">
        <v>0.0039</v>
      </c>
      <c r="H58" s="784"/>
      <c r="I58" s="479"/>
      <c r="J58" s="467">
        <v>0.0</v>
      </c>
      <c r="K58" s="539"/>
      <c r="L58" s="521">
        <f t="shared" si="13"/>
        <v>0</v>
      </c>
      <c r="M58" s="557">
        <v>0.0039</v>
      </c>
      <c r="N58" s="784"/>
      <c r="O58" s="479"/>
      <c r="P58" s="506">
        <v>0.0</v>
      </c>
      <c r="Q58" s="575"/>
      <c r="R58" s="521">
        <f t="shared" si="14"/>
        <v>0</v>
      </c>
      <c r="S58" s="557">
        <v>0.0039</v>
      </c>
      <c r="T58" s="784"/>
      <c r="U58" s="479"/>
    </row>
    <row r="59" ht="15.75" customHeight="1">
      <c r="A59" s="439"/>
      <c r="B59" s="465"/>
      <c r="C59" s="465" t="s">
        <v>194</v>
      </c>
      <c r="D59" s="520">
        <v>72312.79</v>
      </c>
      <c r="E59" s="539"/>
      <c r="F59" s="521">
        <f t="shared" si="12"/>
        <v>0</v>
      </c>
      <c r="G59" s="557">
        <v>7.0E-4</v>
      </c>
      <c r="H59" s="784"/>
      <c r="I59" s="479"/>
      <c r="J59" s="514">
        <v>50775.0</v>
      </c>
      <c r="K59" s="539"/>
      <c r="L59" s="521">
        <f t="shared" si="13"/>
        <v>0</v>
      </c>
      <c r="M59" s="557">
        <v>7.0E-4</v>
      </c>
      <c r="N59" s="784"/>
      <c r="O59" s="479"/>
      <c r="P59" s="506">
        <v>57182.0</v>
      </c>
      <c r="Q59" s="575"/>
      <c r="R59" s="521">
        <f t="shared" si="14"/>
        <v>0</v>
      </c>
      <c r="S59" s="557">
        <v>7.0E-4</v>
      </c>
      <c r="T59" s="784"/>
      <c r="U59" s="479"/>
    </row>
    <row r="60" ht="15.75" customHeight="1">
      <c r="A60" s="439"/>
      <c r="B60" s="465"/>
      <c r="C60" s="465" t="s">
        <v>195</v>
      </c>
      <c r="D60" s="520">
        <v>64118.55</v>
      </c>
      <c r="E60" s="539"/>
      <c r="F60" s="521">
        <f t="shared" si="12"/>
        <v>0</v>
      </c>
      <c r="G60" s="557">
        <v>4.0E-4</v>
      </c>
      <c r="H60" s="784"/>
      <c r="I60" s="479"/>
      <c r="J60" s="467">
        <v>19932.0</v>
      </c>
      <c r="K60" s="539"/>
      <c r="L60" s="521">
        <f t="shared" si="13"/>
        <v>0</v>
      </c>
      <c r="M60" s="557">
        <v>4.0E-4</v>
      </c>
      <c r="N60" s="784"/>
      <c r="O60" s="479"/>
      <c r="P60" s="506">
        <v>39072.0</v>
      </c>
      <c r="Q60" s="575"/>
      <c r="R60" s="521">
        <f t="shared" si="14"/>
        <v>0</v>
      </c>
      <c r="S60" s="557">
        <v>4.0E-4</v>
      </c>
      <c r="T60" s="784"/>
      <c r="U60" s="479"/>
    </row>
    <row r="61" ht="15.75" customHeight="1">
      <c r="A61" s="439"/>
      <c r="B61" s="483"/>
      <c r="C61" s="483" t="s">
        <v>196</v>
      </c>
      <c r="D61" s="1088">
        <v>553.3333333333333</v>
      </c>
      <c r="E61" s="544"/>
      <c r="F61" s="545">
        <f t="shared" si="12"/>
        <v>0</v>
      </c>
      <c r="G61" s="564">
        <v>4.0E-4</v>
      </c>
      <c r="H61" s="1077"/>
      <c r="I61" s="546"/>
      <c r="J61" s="485">
        <v>333.0</v>
      </c>
      <c r="K61" s="539"/>
      <c r="L61" s="521">
        <f t="shared" si="13"/>
        <v>0</v>
      </c>
      <c r="M61" s="557">
        <v>4.0E-4</v>
      </c>
      <c r="N61" s="784"/>
      <c r="O61" s="479"/>
      <c r="P61" s="488">
        <v>333.0</v>
      </c>
      <c r="Q61" s="575"/>
      <c r="R61" s="521">
        <f t="shared" si="14"/>
        <v>0</v>
      </c>
      <c r="S61" s="557">
        <v>4.0E-4</v>
      </c>
      <c r="T61" s="784"/>
      <c r="U61" s="479"/>
    </row>
    <row r="62" ht="15.75" customHeight="1">
      <c r="A62" s="439"/>
      <c r="B62" s="493"/>
      <c r="C62" s="490" t="s">
        <v>197</v>
      </c>
      <c r="D62" s="491">
        <f>SUM(D56:D61)</f>
        <v>277726.1333</v>
      </c>
      <c r="E62" s="457"/>
      <c r="F62" s="491">
        <f>SUM(F56:F61)</f>
        <v>0</v>
      </c>
      <c r="G62" s="613" t="str">
        <f>F62/F29</f>
        <v>#DIV/0!</v>
      </c>
      <c r="H62" s="1093">
        <f>SUM(H56:H61)</f>
        <v>0</v>
      </c>
      <c r="I62" s="457"/>
      <c r="J62" s="491">
        <f>SUM(J56:J61)</f>
        <v>188834</v>
      </c>
      <c r="K62" s="656"/>
      <c r="L62" s="578">
        <f>SUM(L56:L61)</f>
        <v>0</v>
      </c>
      <c r="M62" s="577" t="str">
        <f>L62/L29</f>
        <v>#DIV/0!</v>
      </c>
      <c r="N62" s="1109">
        <f>SUM(N56:N61)</f>
        <v>0</v>
      </c>
      <c r="O62" s="657"/>
      <c r="P62" s="491">
        <f>SUM(P56:P61)</f>
        <v>257745</v>
      </c>
      <c r="Q62" s="656"/>
      <c r="R62" s="578">
        <f>SUM(R56:R61)</f>
        <v>0</v>
      </c>
      <c r="S62" s="577" t="str">
        <f>R62/R29</f>
        <v>#DIV/0!</v>
      </c>
      <c r="T62" s="1109">
        <f>SUM(T56:T61)</f>
        <v>0</v>
      </c>
      <c r="U62" s="657"/>
    </row>
    <row r="63" ht="15.75" customHeight="1">
      <c r="A63" s="439"/>
      <c r="B63" s="465"/>
      <c r="C63" s="465"/>
      <c r="D63" s="520"/>
      <c r="E63" s="539"/>
      <c r="F63" s="521"/>
      <c r="G63" s="539"/>
      <c r="H63" s="784"/>
      <c r="I63" s="479"/>
      <c r="J63" s="467"/>
      <c r="K63" s="539"/>
      <c r="L63" s="521"/>
      <c r="M63" s="539"/>
      <c r="N63" s="784"/>
      <c r="O63" s="479"/>
      <c r="P63" s="474"/>
      <c r="Q63" s="575"/>
      <c r="R63" s="521"/>
      <c r="S63" s="539"/>
      <c r="T63" s="784"/>
      <c r="U63" s="479"/>
    </row>
    <row r="64" ht="15.75" customHeight="1">
      <c r="A64" s="439"/>
      <c r="B64" s="607" t="s">
        <v>201</v>
      </c>
      <c r="C64" s="608"/>
      <c r="D64" s="1088"/>
      <c r="E64" s="544"/>
      <c r="F64" s="545"/>
      <c r="G64" s="544"/>
      <c r="H64" s="1077"/>
      <c r="I64" s="546"/>
      <c r="J64" s="485"/>
      <c r="K64" s="544"/>
      <c r="L64" s="545"/>
      <c r="M64" s="544"/>
      <c r="N64" s="1077"/>
      <c r="O64" s="546"/>
      <c r="P64" s="501"/>
      <c r="Q64" s="609"/>
      <c r="R64" s="545"/>
      <c r="S64" s="544"/>
      <c r="T64" s="1077"/>
      <c r="U64" s="546"/>
    </row>
    <row r="65" ht="15.75" customHeight="1">
      <c r="A65" s="439"/>
      <c r="B65" s="493"/>
      <c r="C65" s="511" t="s">
        <v>202</v>
      </c>
      <c r="D65" s="1089">
        <f>SUM(D66:D71)</f>
        <v>17063.98</v>
      </c>
      <c r="E65" s="584"/>
      <c r="F65" s="548">
        <f>SUM(F66:F72)</f>
        <v>35000</v>
      </c>
      <c r="G65" s="547" t="str">
        <f t="shared" ref="G65:G66" si="15">F65/F$29</f>
        <v>#DIV/0!</v>
      </c>
      <c r="H65" s="1090">
        <f>SUM(H66:H69)</f>
        <v>0</v>
      </c>
      <c r="I65" s="585"/>
      <c r="J65" s="459">
        <f>SUM(J66:J71)</f>
        <v>35000</v>
      </c>
      <c r="K65" s="584"/>
      <c r="L65" s="548">
        <f>SUM(L66:L72)</f>
        <v>0</v>
      </c>
      <c r="M65" s="547" t="str">
        <f t="shared" ref="M65:M66" si="16">L65/L$29</f>
        <v>#DIV/0!</v>
      </c>
      <c r="N65" s="1090">
        <f>SUM(N66:N69)</f>
        <v>0</v>
      </c>
      <c r="O65" s="585"/>
      <c r="P65" s="491">
        <f>SUM(P66:P71)</f>
        <v>0</v>
      </c>
      <c r="Q65" s="586"/>
      <c r="R65" s="548">
        <f>SUM(R66:R72)</f>
        <v>0</v>
      </c>
      <c r="S65" s="547" t="str">
        <f t="shared" ref="S65:S66" si="17">R65/R$29</f>
        <v>#DIV/0!</v>
      </c>
      <c r="T65" s="1090">
        <f>SUM(T66:T69)</f>
        <v>0</v>
      </c>
      <c r="U65" s="585"/>
    </row>
    <row r="66" ht="15.75" customHeight="1">
      <c r="A66" s="439"/>
      <c r="B66" s="497"/>
      <c r="C66" s="497" t="s">
        <v>268</v>
      </c>
      <c r="D66" s="1081">
        <v>17063.98</v>
      </c>
      <c r="E66" s="540"/>
      <c r="F66" s="541"/>
      <c r="G66" s="552" t="str">
        <f t="shared" si="15"/>
        <v>#DIV/0!</v>
      </c>
      <c r="H66" s="1075"/>
      <c r="I66" s="542"/>
      <c r="J66" s="463"/>
      <c r="K66" s="540"/>
      <c r="L66" s="541"/>
      <c r="M66" s="552" t="str">
        <f t="shared" si="16"/>
        <v>#DIV/0!</v>
      </c>
      <c r="N66" s="1075"/>
      <c r="O66" s="542"/>
      <c r="P66" s="505"/>
      <c r="Q66" s="606"/>
      <c r="R66" s="541"/>
      <c r="S66" s="552" t="str">
        <f t="shared" si="17"/>
        <v>#DIV/0!</v>
      </c>
      <c r="T66" s="1075"/>
      <c r="U66" s="542"/>
    </row>
    <row r="67" ht="15.0" customHeight="1">
      <c r="B67" s="782"/>
      <c r="C67" s="1110" t="s">
        <v>351</v>
      </c>
      <c r="D67" s="520">
        <v>0.0</v>
      </c>
      <c r="E67" s="1011"/>
      <c r="F67" s="1011">
        <v>35000.0</v>
      </c>
      <c r="G67" s="1011"/>
      <c r="H67" s="1011"/>
      <c r="I67" s="1011"/>
      <c r="J67" s="463">
        <v>35000.0</v>
      </c>
      <c r="K67" s="1011"/>
      <c r="L67" s="1011"/>
      <c r="M67" s="1011"/>
      <c r="N67" s="1011"/>
      <c r="O67" s="1011"/>
      <c r="P67" s="505">
        <v>0.0</v>
      </c>
      <c r="Q67" s="1011"/>
      <c r="R67" s="1011"/>
      <c r="S67" s="1011"/>
      <c r="T67" s="1011"/>
      <c r="U67" s="1011"/>
    </row>
    <row r="68" ht="15.75" customHeight="1">
      <c r="A68" s="439"/>
      <c r="B68" s="465"/>
      <c r="C68" s="465" t="s">
        <v>209</v>
      </c>
      <c r="D68" s="520"/>
      <c r="E68" s="539"/>
      <c r="F68" s="521"/>
      <c r="G68" s="557" t="str">
        <f t="shared" ref="G68:G69" si="18">F68/F$29</f>
        <v>#DIV/0!</v>
      </c>
      <c r="H68" s="784"/>
      <c r="I68" s="479"/>
      <c r="J68" s="467"/>
      <c r="K68" s="539"/>
      <c r="L68" s="521"/>
      <c r="M68" s="557" t="str">
        <f t="shared" ref="M68:M69" si="19">L68/L$29</f>
        <v>#DIV/0!</v>
      </c>
      <c r="N68" s="784"/>
      <c r="O68" s="479"/>
      <c r="P68" s="474"/>
      <c r="Q68" s="575"/>
      <c r="R68" s="521"/>
      <c r="S68" s="557" t="str">
        <f t="shared" ref="S68:S69" si="20">R68/R$29</f>
        <v>#DIV/0!</v>
      </c>
      <c r="T68" s="784"/>
      <c r="U68" s="479"/>
    </row>
    <row r="69" ht="15.75" customHeight="1">
      <c r="A69" s="439"/>
      <c r="B69" s="465"/>
      <c r="C69" s="526" t="s">
        <v>210</v>
      </c>
      <c r="D69" s="520">
        <v>0.0</v>
      </c>
      <c r="E69" s="539"/>
      <c r="F69" s="521"/>
      <c r="G69" s="557" t="str">
        <f t="shared" si="18"/>
        <v>#DIV/0!</v>
      </c>
      <c r="H69" s="784"/>
      <c r="I69" s="479"/>
      <c r="J69" s="467">
        <v>0.0</v>
      </c>
      <c r="K69" s="539"/>
      <c r="L69" s="521"/>
      <c r="M69" s="557" t="str">
        <f t="shared" si="19"/>
        <v>#DIV/0!</v>
      </c>
      <c r="N69" s="784"/>
      <c r="O69" s="479"/>
      <c r="P69" s="506">
        <v>0.0</v>
      </c>
      <c r="Q69" s="575"/>
      <c r="R69" s="521"/>
      <c r="S69" s="557" t="str">
        <f t="shared" si="20"/>
        <v>#DIV/0!</v>
      </c>
      <c r="T69" s="784"/>
      <c r="U69" s="479"/>
    </row>
    <row r="70" ht="15.75" customHeight="1">
      <c r="A70" s="439"/>
      <c r="B70" s="465"/>
      <c r="C70" s="1111" t="s">
        <v>310</v>
      </c>
      <c r="D70" s="520"/>
      <c r="E70" s="539"/>
      <c r="F70" s="521"/>
      <c r="G70" s="557"/>
      <c r="H70" s="784"/>
      <c r="I70" s="479"/>
      <c r="J70" s="467"/>
      <c r="K70" s="539"/>
      <c r="L70" s="521"/>
      <c r="M70" s="557"/>
      <c r="N70" s="784"/>
      <c r="O70" s="479"/>
      <c r="P70" s="474"/>
      <c r="Q70" s="575"/>
      <c r="R70" s="521"/>
      <c r="S70" s="557"/>
      <c r="T70" s="784"/>
      <c r="U70" s="479"/>
    </row>
    <row r="71" ht="15.75" customHeight="1">
      <c r="A71" s="439"/>
      <c r="B71" s="465"/>
      <c r="C71" s="465" t="s">
        <v>287</v>
      </c>
      <c r="D71" s="520">
        <v>0.0</v>
      </c>
      <c r="E71" s="539"/>
      <c r="F71" s="521"/>
      <c r="G71" s="557" t="str">
        <f>F71/F$29</f>
        <v>#DIV/0!</v>
      </c>
      <c r="H71" s="784"/>
      <c r="I71" s="479"/>
      <c r="J71" s="467">
        <v>0.0</v>
      </c>
      <c r="K71" s="539"/>
      <c r="L71" s="521"/>
      <c r="M71" s="557" t="str">
        <f>L71/L$29</f>
        <v>#DIV/0!</v>
      </c>
      <c r="N71" s="784"/>
      <c r="O71" s="479"/>
      <c r="P71" s="506">
        <v>0.0</v>
      </c>
      <c r="Q71" s="575"/>
      <c r="R71" s="521"/>
      <c r="S71" s="557" t="str">
        <f>R71/R$29</f>
        <v>#DIV/0!</v>
      </c>
      <c r="T71" s="784"/>
      <c r="U71" s="479"/>
    </row>
    <row r="72" ht="15.75" customHeight="1">
      <c r="A72" s="439"/>
      <c r="B72" s="483"/>
      <c r="C72" s="610"/>
      <c r="D72" s="1088"/>
      <c r="E72" s="544"/>
      <c r="F72" s="545"/>
      <c r="G72" s="544"/>
      <c r="H72" s="1077"/>
      <c r="I72" s="546"/>
      <c r="J72" s="485"/>
      <c r="K72" s="544"/>
      <c r="L72" s="545"/>
      <c r="M72" s="544"/>
      <c r="N72" s="1077"/>
      <c r="O72" s="546"/>
      <c r="P72" s="501"/>
      <c r="Q72" s="609"/>
      <c r="R72" s="545"/>
      <c r="S72" s="544"/>
      <c r="T72" s="1077"/>
      <c r="U72" s="546"/>
    </row>
    <row r="73" ht="15.75" customHeight="1">
      <c r="A73" s="439"/>
      <c r="B73" s="493"/>
      <c r="C73" s="511" t="s">
        <v>35</v>
      </c>
      <c r="D73" s="1089">
        <f>SUM(D74:D77)</f>
        <v>0</v>
      </c>
      <c r="E73" s="584"/>
      <c r="F73" s="548">
        <f>SUM(F74:F77)</f>
        <v>0</v>
      </c>
      <c r="G73" s="547" t="str">
        <f>F73/F29</f>
        <v>#DIV/0!</v>
      </c>
      <c r="H73" s="1090">
        <f>SUM(H74:H77)</f>
        <v>0</v>
      </c>
      <c r="I73" s="585"/>
      <c r="J73" s="459">
        <f>SUM(J74:J77)</f>
        <v>0</v>
      </c>
      <c r="K73" s="1104"/>
      <c r="L73" s="1105">
        <f>SUM(L74:L77)</f>
        <v>0</v>
      </c>
      <c r="M73" s="1112" t="str">
        <f>L73/L29</f>
        <v>#DIV/0!</v>
      </c>
      <c r="N73" s="1106">
        <f>SUM(N74:N77)</f>
        <v>0</v>
      </c>
      <c r="O73" s="1107"/>
      <c r="P73" s="491">
        <f>SUM(P74:P77)</f>
        <v>0</v>
      </c>
      <c r="Q73" s="1108"/>
      <c r="R73" s="1105">
        <f>SUM(R74:R77)</f>
        <v>0</v>
      </c>
      <c r="S73" s="1112" t="str">
        <f>R73/R29</f>
        <v>#DIV/0!</v>
      </c>
      <c r="T73" s="1106">
        <f>SUM(T74:T77)</f>
        <v>0</v>
      </c>
      <c r="U73" s="1107"/>
    </row>
    <row r="74" ht="15.75" customHeight="1">
      <c r="A74" s="439"/>
      <c r="B74" s="497"/>
      <c r="C74" s="497" t="s">
        <v>212</v>
      </c>
      <c r="D74" s="1081">
        <v>0.0</v>
      </c>
      <c r="E74" s="540"/>
      <c r="F74" s="541"/>
      <c r="G74" s="540"/>
      <c r="H74" s="1075"/>
      <c r="I74" s="542"/>
      <c r="J74" s="463">
        <v>0.0</v>
      </c>
      <c r="K74" s="540"/>
      <c r="L74" s="541"/>
      <c r="M74" s="540"/>
      <c r="N74" s="1075"/>
      <c r="O74" s="542"/>
      <c r="P74" s="498">
        <v>0.0</v>
      </c>
      <c r="Q74" s="606"/>
      <c r="R74" s="541"/>
      <c r="S74" s="540"/>
      <c r="T74" s="1075"/>
      <c r="U74" s="542"/>
    </row>
    <row r="75" ht="15.75" customHeight="1">
      <c r="A75" s="439"/>
      <c r="B75" s="465"/>
      <c r="C75" s="465" t="s">
        <v>213</v>
      </c>
      <c r="D75" s="1081">
        <v>0.0</v>
      </c>
      <c r="E75" s="539"/>
      <c r="F75" s="521"/>
      <c r="G75" s="539"/>
      <c r="H75" s="784"/>
      <c r="I75" s="479"/>
      <c r="J75" s="463">
        <v>0.0</v>
      </c>
      <c r="K75" s="539"/>
      <c r="L75" s="521"/>
      <c r="M75" s="539"/>
      <c r="N75" s="784"/>
      <c r="O75" s="479"/>
      <c r="P75" s="498">
        <v>0.0</v>
      </c>
      <c r="Q75" s="575"/>
      <c r="R75" s="521"/>
      <c r="S75" s="539"/>
      <c r="T75" s="784"/>
      <c r="U75" s="479"/>
    </row>
    <row r="76" ht="15.75" customHeight="1">
      <c r="A76" s="439"/>
      <c r="B76" s="465"/>
      <c r="C76" s="465" t="s">
        <v>272</v>
      </c>
      <c r="D76" s="1081">
        <v>0.0</v>
      </c>
      <c r="E76" s="539"/>
      <c r="F76" s="521">
        <f>G76*F$17</f>
        <v>0</v>
      </c>
      <c r="G76" s="557">
        <f>15%</f>
        <v>0.15</v>
      </c>
      <c r="H76" s="784"/>
      <c r="I76" s="479"/>
      <c r="J76" s="463">
        <v>0.0</v>
      </c>
      <c r="K76" s="539"/>
      <c r="L76" s="521">
        <f>M76*L$17</f>
        <v>0</v>
      </c>
      <c r="M76" s="557">
        <f>15%</f>
        <v>0.15</v>
      </c>
      <c r="N76" s="784"/>
      <c r="O76" s="479"/>
      <c r="P76" s="498">
        <v>0.0</v>
      </c>
      <c r="Q76" s="575"/>
      <c r="R76" s="521">
        <f>S76*R$17</f>
        <v>0</v>
      </c>
      <c r="S76" s="557">
        <f>15%</f>
        <v>0.15</v>
      </c>
      <c r="T76" s="784"/>
      <c r="U76" s="479"/>
    </row>
    <row r="77" ht="15.75" customHeight="1">
      <c r="A77" s="439"/>
      <c r="B77" s="465"/>
      <c r="C77" s="465" t="s">
        <v>311</v>
      </c>
      <c r="D77" s="1081">
        <v>0.0</v>
      </c>
      <c r="E77" s="539"/>
      <c r="F77" s="521"/>
      <c r="G77" s="539"/>
      <c r="H77" s="784"/>
      <c r="I77" s="479"/>
      <c r="J77" s="463">
        <v>0.0</v>
      </c>
      <c r="K77" s="539"/>
      <c r="L77" s="521"/>
      <c r="M77" s="539"/>
      <c r="N77" s="784"/>
      <c r="O77" s="479"/>
      <c r="P77" s="498">
        <v>0.0</v>
      </c>
      <c r="Q77" s="575"/>
      <c r="R77" s="521"/>
      <c r="S77" s="539"/>
      <c r="T77" s="784"/>
      <c r="U77" s="479"/>
    </row>
    <row r="78" ht="15.75" customHeight="1">
      <c r="A78" s="439"/>
      <c r="B78" s="465"/>
      <c r="C78" s="465"/>
      <c r="D78" s="520"/>
      <c r="E78" s="539"/>
      <c r="F78" s="521"/>
      <c r="G78" s="539"/>
      <c r="H78" s="784"/>
      <c r="I78" s="479"/>
      <c r="J78" s="467"/>
      <c r="K78" s="539"/>
      <c r="L78" s="521"/>
      <c r="M78" s="539"/>
      <c r="N78" s="784"/>
      <c r="O78" s="479"/>
      <c r="P78" s="474"/>
      <c r="Q78" s="575"/>
      <c r="R78" s="521"/>
      <c r="S78" s="539"/>
      <c r="T78" s="784"/>
      <c r="U78" s="479"/>
    </row>
    <row r="79" ht="15.75" customHeight="1">
      <c r="A79" s="439"/>
      <c r="B79" s="483"/>
      <c r="C79" s="483"/>
      <c r="D79" s="1088"/>
      <c r="E79" s="544"/>
      <c r="F79" s="545"/>
      <c r="G79" s="544"/>
      <c r="H79" s="1077"/>
      <c r="I79" s="546"/>
      <c r="J79" s="485"/>
      <c r="K79" s="544"/>
      <c r="L79" s="545"/>
      <c r="M79" s="544"/>
      <c r="N79" s="1077"/>
      <c r="O79" s="546"/>
      <c r="P79" s="501"/>
      <c r="Q79" s="609"/>
      <c r="R79" s="545"/>
      <c r="S79" s="544"/>
      <c r="T79" s="1077"/>
      <c r="U79" s="546"/>
    </row>
    <row r="80" ht="15.75" customHeight="1">
      <c r="A80" s="439"/>
      <c r="B80" s="490"/>
      <c r="C80" s="511" t="s">
        <v>36</v>
      </c>
      <c r="D80" s="1089">
        <f>SUM(D81:D84)</f>
        <v>983479</v>
      </c>
      <c r="E80" s="584"/>
      <c r="F80" s="548">
        <f>SUM(F81:F84)</f>
        <v>2419</v>
      </c>
      <c r="G80" s="547" t="str">
        <f t="shared" ref="G80:G83" si="21">F80/F$29</f>
        <v>#DIV/0!</v>
      </c>
      <c r="H80" s="1090">
        <f>SUM(H81:H84)</f>
        <v>2419</v>
      </c>
      <c r="I80" s="585"/>
      <c r="J80" s="459">
        <f>SUM(J81:J84)</f>
        <v>930639</v>
      </c>
      <c r="K80" s="584"/>
      <c r="L80" s="548">
        <f>SUM(L81:L84)</f>
        <v>0</v>
      </c>
      <c r="M80" s="547" t="str">
        <f t="shared" ref="M80:M84" si="22">L80/L$29</f>
        <v>#DIV/0!</v>
      </c>
      <c r="N80" s="1090">
        <f>SUM(N81:N84)</f>
        <v>0</v>
      </c>
      <c r="O80" s="585"/>
      <c r="P80" s="491">
        <f>SUM(P81:P84)</f>
        <v>910159</v>
      </c>
      <c r="Q80" s="586"/>
      <c r="R80" s="548">
        <f>SUM(R81:R84)</f>
        <v>0</v>
      </c>
      <c r="S80" s="547" t="str">
        <f t="shared" ref="S80:S84" si="23">R80/R$29</f>
        <v>#DIV/0!</v>
      </c>
      <c r="T80" s="1090">
        <f>SUM(T81:T84)</f>
        <v>0</v>
      </c>
      <c r="U80" s="585"/>
    </row>
    <row r="81" ht="15.75" customHeight="1">
      <c r="A81" s="439"/>
      <c r="B81" s="497"/>
      <c r="C81" s="497" t="s">
        <v>352</v>
      </c>
      <c r="D81" s="1081">
        <v>804300.0</v>
      </c>
      <c r="E81" s="540"/>
      <c r="F81" s="541"/>
      <c r="G81" s="552" t="str">
        <f t="shared" si="21"/>
        <v>#DIV/0!</v>
      </c>
      <c r="H81" s="1075"/>
      <c r="I81" s="542"/>
      <c r="J81" s="463">
        <v>804300.0</v>
      </c>
      <c r="K81" s="540"/>
      <c r="L81" s="541"/>
      <c r="M81" s="552" t="str">
        <f t="shared" si="22"/>
        <v>#DIV/0!</v>
      </c>
      <c r="N81" s="1075"/>
      <c r="O81" s="542"/>
      <c r="P81" s="505">
        <v>804300.0</v>
      </c>
      <c r="Q81" s="606"/>
      <c r="R81" s="541"/>
      <c r="S81" s="552" t="str">
        <f t="shared" si="23"/>
        <v>#DIV/0!</v>
      </c>
      <c r="T81" s="1075"/>
      <c r="U81" s="542"/>
    </row>
    <row r="82" ht="15.75" customHeight="1">
      <c r="A82" s="439"/>
      <c r="B82" s="465"/>
      <c r="C82" s="465" t="s">
        <v>218</v>
      </c>
      <c r="D82" s="520">
        <v>176760.0</v>
      </c>
      <c r="E82" s="539"/>
      <c r="F82" s="521"/>
      <c r="G82" s="557" t="str">
        <f t="shared" si="21"/>
        <v>#DIV/0!</v>
      </c>
      <c r="H82" s="784"/>
      <c r="I82" s="479"/>
      <c r="J82" s="514">
        <v>123920.0</v>
      </c>
      <c r="K82" s="539"/>
      <c r="L82" s="521"/>
      <c r="M82" s="557" t="str">
        <f t="shared" si="22"/>
        <v>#DIV/0!</v>
      </c>
      <c r="N82" s="784"/>
      <c r="O82" s="479"/>
      <c r="P82" s="506">
        <v>103440.0</v>
      </c>
      <c r="Q82" s="575"/>
      <c r="R82" s="521"/>
      <c r="S82" s="557" t="str">
        <f t="shared" si="23"/>
        <v>#DIV/0!</v>
      </c>
      <c r="T82" s="784"/>
      <c r="U82" s="479"/>
    </row>
    <row r="83" ht="15.75" customHeight="1">
      <c r="A83" s="439"/>
      <c r="B83" s="465"/>
      <c r="C83" s="465" t="s">
        <v>219</v>
      </c>
      <c r="D83" s="520">
        <v>0.0</v>
      </c>
      <c r="E83" s="539"/>
      <c r="F83" s="521"/>
      <c r="G83" s="557" t="str">
        <f t="shared" si="21"/>
        <v>#DIV/0!</v>
      </c>
      <c r="H83" s="784"/>
      <c r="I83" s="479"/>
      <c r="J83" s="467">
        <v>0.0</v>
      </c>
      <c r="K83" s="539"/>
      <c r="L83" s="521"/>
      <c r="M83" s="557" t="str">
        <f t="shared" si="22"/>
        <v>#DIV/0!</v>
      </c>
      <c r="N83" s="784"/>
      <c r="O83" s="479"/>
      <c r="P83" s="506">
        <v>0.0</v>
      </c>
      <c r="Q83" s="575"/>
      <c r="R83" s="521"/>
      <c r="S83" s="557" t="str">
        <f t="shared" si="23"/>
        <v>#DIV/0!</v>
      </c>
      <c r="T83" s="784"/>
      <c r="U83" s="479"/>
    </row>
    <row r="84" ht="15.75" customHeight="1">
      <c r="A84" s="439"/>
      <c r="B84" s="465"/>
      <c r="C84" s="465" t="s">
        <v>220</v>
      </c>
      <c r="D84" s="520">
        <v>2419.0</v>
      </c>
      <c r="E84" s="520">
        <v>2419.0</v>
      </c>
      <c r="F84" s="520">
        <v>2419.0</v>
      </c>
      <c r="G84" s="520">
        <v>2419.0</v>
      </c>
      <c r="H84" s="520">
        <v>2419.0</v>
      </c>
      <c r="I84" s="517">
        <v>2419.0</v>
      </c>
      <c r="J84" s="467">
        <v>2419.0</v>
      </c>
      <c r="K84" s="539"/>
      <c r="L84" s="521"/>
      <c r="M84" s="557" t="str">
        <f t="shared" si="22"/>
        <v>#DIV/0!</v>
      </c>
      <c r="N84" s="784"/>
      <c r="O84" s="479"/>
      <c r="P84" s="506">
        <v>2419.0</v>
      </c>
      <c r="Q84" s="575"/>
      <c r="R84" s="521"/>
      <c r="S84" s="557" t="str">
        <f t="shared" si="23"/>
        <v>#DIV/0!</v>
      </c>
      <c r="T84" s="784"/>
      <c r="U84" s="479"/>
    </row>
    <row r="85" ht="15.75" customHeight="1">
      <c r="A85" s="439"/>
      <c r="B85" s="483"/>
      <c r="C85" s="610"/>
      <c r="D85" s="1088"/>
      <c r="E85" s="544"/>
      <c r="F85" s="545"/>
      <c r="G85" s="544"/>
      <c r="H85" s="1077"/>
      <c r="I85" s="546"/>
      <c r="J85" s="485"/>
      <c r="K85" s="544"/>
      <c r="L85" s="545"/>
      <c r="M85" s="544"/>
      <c r="N85" s="1077"/>
      <c r="O85" s="546"/>
      <c r="P85" s="501"/>
      <c r="Q85" s="609"/>
      <c r="R85" s="545"/>
      <c r="S85" s="544"/>
      <c r="T85" s="1077"/>
      <c r="U85" s="546"/>
    </row>
    <row r="86" ht="15.75" customHeight="1">
      <c r="A86" s="439"/>
      <c r="B86" s="490"/>
      <c r="C86" s="511" t="s">
        <v>37</v>
      </c>
      <c r="D86" s="491">
        <f>SUM(D87:D97)</f>
        <v>3781770.8</v>
      </c>
      <c r="E86" s="584"/>
      <c r="F86" s="548">
        <f>SUM(F87:F95)</f>
        <v>0</v>
      </c>
      <c r="G86" s="547" t="str">
        <f>F86/F$29</f>
        <v>#DIV/0!</v>
      </c>
      <c r="H86" s="1090">
        <f>SUM(H87:H95)</f>
        <v>0</v>
      </c>
      <c r="I86" s="585"/>
      <c r="J86" s="491">
        <f>SUM(J87:J97)</f>
        <v>4069781.05</v>
      </c>
      <c r="K86" s="584"/>
      <c r="L86" s="548">
        <f>SUM(L87:L95)</f>
        <v>0</v>
      </c>
      <c r="M86" s="547" t="str">
        <f>L86/L$29</f>
        <v>#DIV/0!</v>
      </c>
      <c r="N86" s="1090">
        <f>SUM(N87:N95)</f>
        <v>0</v>
      </c>
      <c r="O86" s="585"/>
      <c r="P86" s="491">
        <f>SUM(P87:P97)</f>
        <v>3431039</v>
      </c>
      <c r="Q86" s="586"/>
      <c r="R86" s="548">
        <f>SUM(R87:R95)</f>
        <v>0</v>
      </c>
      <c r="S86" s="547" t="str">
        <f>R86/R$29</f>
        <v>#DIV/0!</v>
      </c>
      <c r="T86" s="1090">
        <f>SUM(T87:T95)</f>
        <v>0</v>
      </c>
      <c r="U86" s="585"/>
    </row>
    <row r="87" ht="15.75" customHeight="1">
      <c r="A87" s="439"/>
      <c r="B87" s="497"/>
      <c r="C87" s="497" t="s">
        <v>221</v>
      </c>
      <c r="D87" s="1113">
        <v>0.0</v>
      </c>
      <c r="E87" s="540"/>
      <c r="F87" s="541"/>
      <c r="G87" s="552" t="str">
        <f t="shared" ref="G87:G88" si="24">F87/$F$29</f>
        <v>#DIV/0!</v>
      </c>
      <c r="H87" s="1075"/>
      <c r="I87" s="542"/>
      <c r="J87" s="514">
        <v>0.0</v>
      </c>
      <c r="K87" s="540"/>
      <c r="L87" s="541"/>
      <c r="M87" s="552" t="str">
        <f t="shared" ref="M87:M88" si="25">L87/$F$29</f>
        <v>#DIV/0!</v>
      </c>
      <c r="N87" s="1075"/>
      <c r="O87" s="542"/>
      <c r="P87" s="506">
        <v>0.0</v>
      </c>
      <c r="Q87" s="606"/>
      <c r="R87" s="541"/>
      <c r="S87" s="552" t="str">
        <f t="shared" ref="S87:S88" si="26">R87/$F$29</f>
        <v>#DIV/0!</v>
      </c>
      <c r="T87" s="1075"/>
      <c r="U87" s="542"/>
    </row>
    <row r="88" ht="15.75" customHeight="1">
      <c r="A88" s="439"/>
      <c r="B88" s="465"/>
      <c r="C88" s="465" t="s">
        <v>222</v>
      </c>
      <c r="D88" s="520">
        <v>2800450.5</v>
      </c>
      <c r="E88" s="539"/>
      <c r="F88" s="521"/>
      <c r="G88" s="557" t="str">
        <f t="shared" si="24"/>
        <v>#DIV/0!</v>
      </c>
      <c r="H88" s="784"/>
      <c r="I88" s="479"/>
      <c r="J88" s="467">
        <v>2798259.75</v>
      </c>
      <c r="K88" s="539"/>
      <c r="L88" s="521"/>
      <c r="M88" s="557" t="str">
        <f t="shared" si="25"/>
        <v>#DIV/0!</v>
      </c>
      <c r="N88" s="784"/>
      <c r="O88" s="479"/>
      <c r="P88" s="506">
        <v>2388218.0</v>
      </c>
      <c r="Q88" s="575"/>
      <c r="R88" s="521"/>
      <c r="S88" s="557" t="str">
        <f t="shared" si="26"/>
        <v>#DIV/0!</v>
      </c>
      <c r="T88" s="784"/>
      <c r="U88" s="479"/>
    </row>
    <row r="89" ht="15.75" customHeight="1">
      <c r="A89" s="439"/>
      <c r="B89" s="465"/>
      <c r="C89" s="465" t="s">
        <v>353</v>
      </c>
      <c r="D89" s="520">
        <v>663750.0</v>
      </c>
      <c r="E89" s="539"/>
      <c r="F89" s="521"/>
      <c r="G89" s="557"/>
      <c r="H89" s="784"/>
      <c r="I89" s="479"/>
      <c r="J89" s="467">
        <f>562500*1.18</f>
        <v>663750</v>
      </c>
      <c r="K89" s="539"/>
      <c r="L89" s="521"/>
      <c r="M89" s="557"/>
      <c r="N89" s="784"/>
      <c r="O89" s="479"/>
      <c r="P89" s="467">
        <f>562500*1.18</f>
        <v>663750</v>
      </c>
      <c r="Q89" s="575"/>
      <c r="R89" s="521"/>
      <c r="S89" s="557"/>
      <c r="T89" s="784"/>
      <c r="U89" s="479"/>
    </row>
    <row r="90" ht="15.75" customHeight="1">
      <c r="A90" s="439"/>
      <c r="B90" s="465"/>
      <c r="C90" s="465" t="s">
        <v>354</v>
      </c>
      <c r="D90" s="1083">
        <v>0.0</v>
      </c>
      <c r="E90" s="539"/>
      <c r="F90" s="521"/>
      <c r="G90" s="557" t="str">
        <f>F90/$F$29</f>
        <v>#DIV/0!</v>
      </c>
      <c r="H90" s="784"/>
      <c r="I90" s="479"/>
      <c r="J90" s="467">
        <f>228280+9960</f>
        <v>238240</v>
      </c>
      <c r="K90" s="539"/>
      <c r="L90" s="521"/>
      <c r="M90" s="557" t="str">
        <f>L90/$F$29</f>
        <v>#DIV/0!</v>
      </c>
      <c r="N90" s="784"/>
      <c r="O90" s="479"/>
      <c r="P90" s="506">
        <v>9905.0</v>
      </c>
      <c r="Q90" s="575"/>
      <c r="R90" s="521"/>
      <c r="S90" s="557" t="str">
        <f>R90/$F$29</f>
        <v>#DIV/0!</v>
      </c>
      <c r="T90" s="784"/>
      <c r="U90" s="479"/>
    </row>
    <row r="91" ht="15.75" customHeight="1">
      <c r="A91" s="439"/>
      <c r="B91" s="465"/>
      <c r="C91" s="762" t="s">
        <v>355</v>
      </c>
      <c r="D91" s="1083">
        <v>226150.0</v>
      </c>
      <c r="E91" s="539"/>
      <c r="F91" s="521"/>
      <c r="G91" s="557"/>
      <c r="H91" s="784"/>
      <c r="I91" s="479"/>
      <c r="J91" s="514">
        <v>278040.0</v>
      </c>
      <c r="K91" s="539"/>
      <c r="L91" s="521"/>
      <c r="M91" s="557"/>
      <c r="N91" s="784"/>
      <c r="O91" s="479"/>
      <c r="P91" s="506">
        <v>241120.0</v>
      </c>
      <c r="Q91" s="575"/>
      <c r="R91" s="521"/>
      <c r="S91" s="557"/>
      <c r="T91" s="784"/>
      <c r="U91" s="479"/>
    </row>
    <row r="92" ht="15.75" customHeight="1">
      <c r="A92" s="439"/>
      <c r="B92" s="465"/>
      <c r="C92" s="465" t="s">
        <v>225</v>
      </c>
      <c r="D92" s="1083">
        <v>8029.3</v>
      </c>
      <c r="E92" s="539"/>
      <c r="F92" s="521"/>
      <c r="G92" s="557" t="str">
        <f t="shared" ref="G92:G95" si="27">F92/$F$29</f>
        <v>#DIV/0!</v>
      </c>
      <c r="H92" s="784"/>
      <c r="I92" s="479"/>
      <c r="J92" s="514">
        <v>5295.3</v>
      </c>
      <c r="K92" s="539"/>
      <c r="L92" s="521"/>
      <c r="M92" s="557" t="str">
        <f t="shared" ref="M92:M95" si="28">L92/$F$29</f>
        <v>#DIV/0!</v>
      </c>
      <c r="N92" s="784"/>
      <c r="O92" s="479"/>
      <c r="P92" s="506">
        <v>5050.0</v>
      </c>
      <c r="Q92" s="575"/>
      <c r="R92" s="521"/>
      <c r="S92" s="557" t="str">
        <f t="shared" ref="S92:S95" si="29">R92/$F$29</f>
        <v>#DIV/0!</v>
      </c>
      <c r="T92" s="784"/>
      <c r="U92" s="479"/>
    </row>
    <row r="93" ht="15.75" customHeight="1">
      <c r="A93" s="439"/>
      <c r="B93" s="465"/>
      <c r="C93" s="465" t="s">
        <v>226</v>
      </c>
      <c r="D93" s="520">
        <v>40000.0</v>
      </c>
      <c r="E93" s="539"/>
      <c r="F93" s="521"/>
      <c r="G93" s="557" t="str">
        <f t="shared" si="27"/>
        <v>#DIV/0!</v>
      </c>
      <c r="H93" s="784"/>
      <c r="I93" s="479"/>
      <c r="J93" s="467">
        <v>40000.0</v>
      </c>
      <c r="K93" s="539"/>
      <c r="L93" s="521"/>
      <c r="M93" s="557" t="str">
        <f t="shared" si="28"/>
        <v>#DIV/0!</v>
      </c>
      <c r="N93" s="784"/>
      <c r="O93" s="479"/>
      <c r="P93" s="506">
        <v>40000.0</v>
      </c>
      <c r="Q93" s="575"/>
      <c r="R93" s="521"/>
      <c r="S93" s="557" t="str">
        <f t="shared" si="29"/>
        <v>#DIV/0!</v>
      </c>
      <c r="T93" s="784"/>
      <c r="U93" s="479"/>
    </row>
    <row r="94" ht="15.75" customHeight="1">
      <c r="A94" s="439"/>
      <c r="B94" s="465"/>
      <c r="C94" s="1111" t="s">
        <v>227</v>
      </c>
      <c r="D94" s="520">
        <v>35546.0</v>
      </c>
      <c r="E94" s="539"/>
      <c r="F94" s="521"/>
      <c r="G94" s="557" t="str">
        <f t="shared" si="27"/>
        <v>#DIV/0!</v>
      </c>
      <c r="H94" s="784"/>
      <c r="I94" s="479"/>
      <c r="J94" s="514">
        <v>46196.0</v>
      </c>
      <c r="K94" s="539"/>
      <c r="L94" s="521"/>
      <c r="M94" s="557" t="str">
        <f t="shared" si="28"/>
        <v>#DIV/0!</v>
      </c>
      <c r="N94" s="784"/>
      <c r="O94" s="479"/>
      <c r="P94" s="506">
        <v>2763.0</v>
      </c>
      <c r="Q94" s="575"/>
      <c r="R94" s="521"/>
      <c r="S94" s="557" t="str">
        <f t="shared" si="29"/>
        <v>#DIV/0!</v>
      </c>
      <c r="T94" s="784"/>
      <c r="U94" s="479"/>
    </row>
    <row r="95" ht="15.75" customHeight="1">
      <c r="A95" s="439"/>
      <c r="B95" s="465"/>
      <c r="C95" s="1111" t="s">
        <v>228</v>
      </c>
      <c r="D95" s="520">
        <v>7845.0</v>
      </c>
      <c r="E95" s="539"/>
      <c r="F95" s="521"/>
      <c r="G95" s="557" t="str">
        <f t="shared" si="27"/>
        <v>#DIV/0!</v>
      </c>
      <c r="H95" s="784"/>
      <c r="I95" s="479"/>
      <c r="J95" s="467">
        <v>0.0</v>
      </c>
      <c r="K95" s="539"/>
      <c r="L95" s="521"/>
      <c r="M95" s="557" t="str">
        <f t="shared" si="28"/>
        <v>#DIV/0!</v>
      </c>
      <c r="N95" s="784"/>
      <c r="O95" s="479"/>
      <c r="P95" s="506">
        <v>0.0</v>
      </c>
      <c r="Q95" s="575"/>
      <c r="R95" s="521"/>
      <c r="S95" s="557" t="str">
        <f t="shared" si="29"/>
        <v>#DIV/0!</v>
      </c>
      <c r="T95" s="784"/>
      <c r="U95" s="479"/>
    </row>
    <row r="96" ht="15.75" customHeight="1">
      <c r="A96" s="439"/>
      <c r="B96" s="465"/>
      <c r="C96" s="1114" t="s">
        <v>314</v>
      </c>
      <c r="D96" s="1083">
        <v>0.0</v>
      </c>
      <c r="E96" s="539"/>
      <c r="F96" s="521"/>
      <c r="G96" s="557"/>
      <c r="H96" s="784"/>
      <c r="I96" s="479"/>
      <c r="J96" s="514">
        <v>0.0</v>
      </c>
      <c r="K96" s="539"/>
      <c r="L96" s="521"/>
      <c r="M96" s="557"/>
      <c r="N96" s="784"/>
      <c r="O96" s="479"/>
      <c r="P96" s="506">
        <v>32096.0</v>
      </c>
      <c r="Q96" s="575"/>
      <c r="R96" s="521"/>
      <c r="S96" s="557"/>
      <c r="T96" s="784"/>
      <c r="U96" s="479"/>
    </row>
    <row r="97" ht="15.75" customHeight="1">
      <c r="A97" s="439"/>
      <c r="B97" s="465"/>
      <c r="C97" s="1114" t="s">
        <v>356</v>
      </c>
      <c r="D97" s="1083">
        <v>0.0</v>
      </c>
      <c r="E97" s="539"/>
      <c r="F97" s="521"/>
      <c r="G97" s="557"/>
      <c r="H97" s="784"/>
      <c r="I97" s="479"/>
      <c r="J97" s="514">
        <v>0.0</v>
      </c>
      <c r="K97" s="539"/>
      <c r="L97" s="521"/>
      <c r="M97" s="557"/>
      <c r="N97" s="784"/>
      <c r="O97" s="479"/>
      <c r="P97" s="506">
        <v>48137.0</v>
      </c>
      <c r="Q97" s="575"/>
      <c r="R97" s="521"/>
      <c r="S97" s="557"/>
      <c r="T97" s="784"/>
      <c r="U97" s="479"/>
    </row>
    <row r="98" ht="15.75" customHeight="1">
      <c r="A98" s="439"/>
      <c r="B98" s="465"/>
      <c r="C98" s="587" t="s">
        <v>276</v>
      </c>
      <c r="D98" s="520"/>
      <c r="E98" s="539"/>
      <c r="F98" s="521"/>
      <c r="G98" s="539"/>
      <c r="H98" s="784"/>
      <c r="I98" s="479"/>
      <c r="J98" s="467"/>
      <c r="K98" s="539"/>
      <c r="L98" s="521"/>
      <c r="M98" s="539"/>
      <c r="N98" s="784"/>
      <c r="O98" s="479"/>
      <c r="P98" s="474"/>
      <c r="Q98" s="575"/>
      <c r="R98" s="521"/>
      <c r="S98" s="539"/>
      <c r="T98" s="784"/>
      <c r="U98" s="479"/>
    </row>
    <row r="99" ht="15.75" customHeight="1">
      <c r="A99" s="439"/>
      <c r="B99" s="483"/>
      <c r="C99" s="610"/>
      <c r="D99" s="1088"/>
      <c r="E99" s="544"/>
      <c r="F99" s="545"/>
      <c r="G99" s="544"/>
      <c r="H99" s="1077"/>
      <c r="I99" s="546"/>
      <c r="J99" s="467"/>
      <c r="K99" s="544"/>
      <c r="L99" s="545"/>
      <c r="M99" s="544"/>
      <c r="N99" s="1077"/>
      <c r="O99" s="546"/>
      <c r="P99" s="474"/>
      <c r="Q99" s="609"/>
      <c r="R99" s="545"/>
      <c r="S99" s="544"/>
      <c r="T99" s="1077"/>
      <c r="U99" s="546"/>
    </row>
    <row r="100" ht="15.75" customHeight="1">
      <c r="A100" s="439"/>
      <c r="B100" s="493"/>
      <c r="C100" s="511" t="s">
        <v>38</v>
      </c>
      <c r="D100" s="1089">
        <f>SUM(D101)</f>
        <v>34858.62</v>
      </c>
      <c r="E100" s="1104"/>
      <c r="F100" s="1105">
        <f>SUM(F101)</f>
        <v>0</v>
      </c>
      <c r="G100" s="1112" t="str">
        <f>F100/F$29</f>
        <v>#DIV/0!</v>
      </c>
      <c r="H100" s="1106" t="str">
        <f>SUM(#REF!)</f>
        <v>#REF!</v>
      </c>
      <c r="I100" s="1107"/>
      <c r="J100" s="459">
        <f>SUM(J101)</f>
        <v>28465</v>
      </c>
      <c r="K100" s="1104"/>
      <c r="L100" s="1105">
        <f>SUM(L101)</f>
        <v>0</v>
      </c>
      <c r="M100" s="1112" t="str">
        <f>L100/L$29</f>
        <v>#DIV/0!</v>
      </c>
      <c r="N100" s="1106" t="str">
        <f>SUM(#REF!)</f>
        <v>#REF!</v>
      </c>
      <c r="O100" s="1107"/>
      <c r="P100" s="491">
        <f>SUM(P101)</f>
        <v>32718</v>
      </c>
      <c r="Q100" s="1108"/>
      <c r="R100" s="1105">
        <f>SUM(R101)</f>
        <v>0</v>
      </c>
      <c r="S100" s="1112" t="str">
        <f>R100/R$29</f>
        <v>#DIV/0!</v>
      </c>
      <c r="T100" s="1106" t="str">
        <f>SUM(#REF!)</f>
        <v>#REF!</v>
      </c>
      <c r="U100" s="1107"/>
    </row>
    <row r="101" ht="15.75" customHeight="1">
      <c r="A101" s="439"/>
      <c r="B101" s="497"/>
      <c r="C101" s="497" t="s">
        <v>357</v>
      </c>
      <c r="D101" s="1081">
        <v>34858.62</v>
      </c>
      <c r="E101" s="540"/>
      <c r="F101" s="541"/>
      <c r="G101" s="552"/>
      <c r="H101" s="1075"/>
      <c r="I101" s="542"/>
      <c r="J101" s="513">
        <v>28465.0</v>
      </c>
      <c r="K101" s="540"/>
      <c r="L101" s="541"/>
      <c r="M101" s="552"/>
      <c r="N101" s="1075"/>
      <c r="O101" s="542"/>
      <c r="P101" s="505">
        <v>32718.0</v>
      </c>
      <c r="Q101" s="606"/>
      <c r="R101" s="541"/>
      <c r="S101" s="552"/>
      <c r="T101" s="1075"/>
      <c r="U101" s="542"/>
    </row>
    <row r="102" ht="15.75" customHeight="1">
      <c r="A102" s="439"/>
      <c r="B102" s="483"/>
      <c r="C102" s="483"/>
      <c r="D102" s="1088"/>
      <c r="E102" s="544"/>
      <c r="F102" s="545"/>
      <c r="G102" s="544"/>
      <c r="H102" s="1077"/>
      <c r="I102" s="546"/>
      <c r="J102" s="485"/>
      <c r="K102" s="544"/>
      <c r="L102" s="545"/>
      <c r="M102" s="544"/>
      <c r="N102" s="1077"/>
      <c r="O102" s="546"/>
      <c r="P102" s="501"/>
      <c r="Q102" s="609"/>
      <c r="R102" s="545"/>
      <c r="S102" s="544"/>
      <c r="T102" s="1077"/>
      <c r="U102" s="546"/>
    </row>
    <row r="103" ht="15.75" customHeight="1">
      <c r="A103" s="439"/>
      <c r="B103" s="493"/>
      <c r="C103" s="511" t="s">
        <v>235</v>
      </c>
      <c r="D103" s="1089">
        <f>SUM(D104:D105)</f>
        <v>3146.666667</v>
      </c>
      <c r="E103" s="1104"/>
      <c r="F103" s="1105">
        <f>SUM(F104:F105)</f>
        <v>3146.666667</v>
      </c>
      <c r="G103" s="1112" t="str">
        <f>F103/F$29</f>
        <v>#DIV/0!</v>
      </c>
      <c r="H103" s="1106">
        <f>SUM(H104:H105)</f>
        <v>3146.666667</v>
      </c>
      <c r="I103" s="1107"/>
      <c r="J103" s="459">
        <f>SUM(J104:J105)</f>
        <v>3146.666667</v>
      </c>
      <c r="K103" s="1104"/>
      <c r="L103" s="1105">
        <f>SUM(L104:L105)</f>
        <v>0</v>
      </c>
      <c r="M103" s="1112" t="str">
        <f>L103/L$29</f>
        <v>#DIV/0!</v>
      </c>
      <c r="N103" s="1106">
        <f>SUM(N104:N105)</f>
        <v>0</v>
      </c>
      <c r="O103" s="1107"/>
      <c r="P103" s="491">
        <f>SUM(P104:P105)</f>
        <v>3146.666667</v>
      </c>
      <c r="Q103" s="1108"/>
      <c r="R103" s="1105">
        <f>SUM(R104:R105)</f>
        <v>0</v>
      </c>
      <c r="S103" s="1112" t="str">
        <f>R103/R$29</f>
        <v>#DIV/0!</v>
      </c>
      <c r="T103" s="1106">
        <f>SUM(T104:T105)</f>
        <v>0</v>
      </c>
      <c r="U103" s="1107"/>
    </row>
    <row r="104" ht="15.75" customHeight="1">
      <c r="A104" s="439"/>
      <c r="B104" s="497"/>
      <c r="C104" s="497" t="s">
        <v>236</v>
      </c>
      <c r="D104" s="1113">
        <v>0.0</v>
      </c>
      <c r="E104" s="540"/>
      <c r="F104" s="541"/>
      <c r="G104" s="540"/>
      <c r="H104" s="1075"/>
      <c r="I104" s="542"/>
      <c r="J104" s="513">
        <v>0.0</v>
      </c>
      <c r="K104" s="540"/>
      <c r="L104" s="541"/>
      <c r="M104" s="540"/>
      <c r="N104" s="1075"/>
      <c r="O104" s="542"/>
      <c r="P104" s="505">
        <v>0.0</v>
      </c>
      <c r="Q104" s="606"/>
      <c r="R104" s="541"/>
      <c r="S104" s="540"/>
      <c r="T104" s="1075"/>
      <c r="U104" s="542"/>
    </row>
    <row r="105" ht="15.75" customHeight="1">
      <c r="A105" s="439"/>
      <c r="B105" s="465"/>
      <c r="C105" s="465" t="s">
        <v>304</v>
      </c>
      <c r="D105" s="520">
        <v>3146.6666666666665</v>
      </c>
      <c r="E105" s="520">
        <v>3146.6666666666665</v>
      </c>
      <c r="F105" s="520">
        <v>3146.6666666666665</v>
      </c>
      <c r="G105" s="520">
        <v>3146.6666666666665</v>
      </c>
      <c r="H105" s="520">
        <v>3146.6666666666665</v>
      </c>
      <c r="I105" s="517">
        <v>3146.6666666666665</v>
      </c>
      <c r="J105" s="467">
        <v>3146.6666666666665</v>
      </c>
      <c r="K105" s="539"/>
      <c r="L105" s="521"/>
      <c r="M105" s="557" t="str">
        <f>L105/L$29</f>
        <v>#DIV/0!</v>
      </c>
      <c r="N105" s="784"/>
      <c r="O105" s="479"/>
      <c r="P105" s="474">
        <v>3146.6666666666665</v>
      </c>
      <c r="Q105" s="575"/>
      <c r="R105" s="521"/>
      <c r="S105" s="557" t="str">
        <f>R105/R$29</f>
        <v>#DIV/0!</v>
      </c>
      <c r="T105" s="784"/>
      <c r="U105" s="479"/>
    </row>
    <row r="106" ht="15.75" customHeight="1">
      <c r="A106" s="439"/>
      <c r="B106" s="483"/>
      <c r="C106" s="483"/>
      <c r="D106" s="1088"/>
      <c r="E106" s="544"/>
      <c r="F106" s="545"/>
      <c r="G106" s="544"/>
      <c r="H106" s="1077"/>
      <c r="I106" s="546"/>
      <c r="J106" s="485"/>
      <c r="K106" s="544"/>
      <c r="L106" s="545"/>
      <c r="M106" s="544"/>
      <c r="N106" s="1077"/>
      <c r="O106" s="546"/>
      <c r="P106" s="501"/>
      <c r="Q106" s="609"/>
      <c r="R106" s="545"/>
      <c r="S106" s="544"/>
      <c r="T106" s="1077"/>
      <c r="U106" s="546"/>
    </row>
    <row r="107" ht="15.75" customHeight="1">
      <c r="A107" s="439"/>
      <c r="B107" s="490"/>
      <c r="C107" s="511" t="s">
        <v>40</v>
      </c>
      <c r="D107" s="1089">
        <f>SUM(D108:D128)</f>
        <v>621273.3633</v>
      </c>
      <c r="E107" s="584"/>
      <c r="F107" s="548">
        <f>SUM(F108:F128)</f>
        <v>212632.0833</v>
      </c>
      <c r="G107" s="547" t="str">
        <f t="shared" ref="G107:G109" si="30">F107/F$29</f>
        <v>#DIV/0!</v>
      </c>
      <c r="H107" s="1090">
        <f>SUM(H108:H128)</f>
        <v>212632.0833</v>
      </c>
      <c r="I107" s="585"/>
      <c r="J107" s="459">
        <f>SUM(J108:J128)</f>
        <v>350575.0833</v>
      </c>
      <c r="K107" s="584"/>
      <c r="L107" s="548">
        <f>SUM(L108:L128)</f>
        <v>0</v>
      </c>
      <c r="M107" s="547" t="str">
        <f t="shared" ref="M107:M113" si="31">L107/L$29</f>
        <v>#DIV/0!</v>
      </c>
      <c r="N107" s="1090">
        <f>SUM(N108:N128)</f>
        <v>0</v>
      </c>
      <c r="O107" s="585"/>
      <c r="P107" s="491">
        <f>SUM(P108:P128)</f>
        <v>452579</v>
      </c>
      <c r="Q107" s="586"/>
      <c r="R107" s="548">
        <f>SUM(R108:R128)</f>
        <v>0</v>
      </c>
      <c r="S107" s="547" t="str">
        <f t="shared" ref="S107:S113" si="32">R107/R$29</f>
        <v>#DIV/0!</v>
      </c>
      <c r="T107" s="1090">
        <f>SUM(T108:T128)</f>
        <v>0</v>
      </c>
      <c r="U107" s="585"/>
    </row>
    <row r="108" ht="15.75" customHeight="1">
      <c r="A108" s="439"/>
      <c r="B108" s="497"/>
      <c r="C108" s="497" t="s">
        <v>238</v>
      </c>
      <c r="D108" s="1081">
        <v>0.0</v>
      </c>
      <c r="E108" s="540"/>
      <c r="F108" s="541"/>
      <c r="G108" s="552" t="str">
        <f t="shared" si="30"/>
        <v>#DIV/0!</v>
      </c>
      <c r="H108" s="1075"/>
      <c r="I108" s="542"/>
      <c r="J108" s="463">
        <v>0.0</v>
      </c>
      <c r="K108" s="540"/>
      <c r="L108" s="541"/>
      <c r="M108" s="552" t="str">
        <f t="shared" si="31"/>
        <v>#DIV/0!</v>
      </c>
      <c r="N108" s="1075"/>
      <c r="O108" s="542"/>
      <c r="P108" s="505">
        <v>0.0</v>
      </c>
      <c r="Q108" s="606"/>
      <c r="R108" s="541"/>
      <c r="S108" s="552" t="str">
        <f t="shared" si="32"/>
        <v>#DIV/0!</v>
      </c>
      <c r="T108" s="1075"/>
      <c r="U108" s="542"/>
    </row>
    <row r="109" ht="15.75" customHeight="1">
      <c r="A109" s="439"/>
      <c r="B109" s="465"/>
      <c r="C109" s="465" t="s">
        <v>239</v>
      </c>
      <c r="D109" s="520">
        <v>31088.0</v>
      </c>
      <c r="E109" s="539"/>
      <c r="F109" s="521"/>
      <c r="G109" s="557" t="str">
        <f t="shared" si="30"/>
        <v>#DIV/0!</v>
      </c>
      <c r="H109" s="784"/>
      <c r="I109" s="479"/>
      <c r="J109" s="467">
        <v>0.0</v>
      </c>
      <c r="K109" s="539"/>
      <c r="L109" s="521"/>
      <c r="M109" s="557" t="str">
        <f t="shared" si="31"/>
        <v>#DIV/0!</v>
      </c>
      <c r="N109" s="784"/>
      <c r="O109" s="479"/>
      <c r="P109" s="506">
        <v>11632.0</v>
      </c>
      <c r="Q109" s="575"/>
      <c r="R109" s="521"/>
      <c r="S109" s="557" t="str">
        <f t="shared" si="32"/>
        <v>#DIV/0!</v>
      </c>
      <c r="T109" s="784"/>
      <c r="U109" s="479"/>
    </row>
    <row r="110" ht="15.75" customHeight="1">
      <c r="A110" s="439"/>
      <c r="B110" s="465"/>
      <c r="C110" s="465" t="s">
        <v>240</v>
      </c>
      <c r="D110" s="520">
        <v>132398.75</v>
      </c>
      <c r="E110" s="520">
        <v>132398.75</v>
      </c>
      <c r="F110" s="520">
        <v>132398.75</v>
      </c>
      <c r="G110" s="520">
        <v>132398.75</v>
      </c>
      <c r="H110" s="520">
        <v>132398.75</v>
      </c>
      <c r="I110" s="517">
        <v>132398.75</v>
      </c>
      <c r="J110" s="467">
        <v>132398.75</v>
      </c>
      <c r="K110" s="539"/>
      <c r="L110" s="521"/>
      <c r="M110" s="557" t="str">
        <f t="shared" si="31"/>
        <v>#DIV/0!</v>
      </c>
      <c r="N110" s="784"/>
      <c r="O110" s="479"/>
      <c r="P110" s="506">
        <v>132399.0</v>
      </c>
      <c r="Q110" s="575"/>
      <c r="R110" s="521"/>
      <c r="S110" s="557" t="str">
        <f t="shared" si="32"/>
        <v>#DIV/0!</v>
      </c>
      <c r="T110" s="784"/>
      <c r="U110" s="479"/>
    </row>
    <row r="111" ht="15.75" customHeight="1">
      <c r="A111" s="439"/>
      <c r="B111" s="465"/>
      <c r="C111" s="465" t="s">
        <v>241</v>
      </c>
      <c r="D111" s="520">
        <v>35000.0</v>
      </c>
      <c r="E111" s="520">
        <v>35000.0</v>
      </c>
      <c r="F111" s="520">
        <v>35000.0</v>
      </c>
      <c r="G111" s="520">
        <v>35000.0</v>
      </c>
      <c r="H111" s="520">
        <v>35000.0</v>
      </c>
      <c r="I111" s="517">
        <v>35000.0</v>
      </c>
      <c r="J111" s="467">
        <v>35000.0</v>
      </c>
      <c r="K111" s="539"/>
      <c r="L111" s="521"/>
      <c r="M111" s="557" t="str">
        <f t="shared" si="31"/>
        <v>#DIV/0!</v>
      </c>
      <c r="N111" s="784"/>
      <c r="O111" s="479"/>
      <c r="P111" s="506">
        <v>35000.0</v>
      </c>
      <c r="Q111" s="575"/>
      <c r="R111" s="521"/>
      <c r="S111" s="557" t="str">
        <f t="shared" si="32"/>
        <v>#DIV/0!</v>
      </c>
      <c r="T111" s="784"/>
      <c r="U111" s="479"/>
    </row>
    <row r="112" ht="15.75" customHeight="1">
      <c r="A112" s="439"/>
      <c r="B112" s="465"/>
      <c r="C112" s="465" t="s">
        <v>292</v>
      </c>
      <c r="D112" s="520">
        <v>0.0</v>
      </c>
      <c r="E112" s="539"/>
      <c r="F112" s="521"/>
      <c r="G112" s="557" t="str">
        <f t="shared" ref="G112:G113" si="33">F112/F$29</f>
        <v>#DIV/0!</v>
      </c>
      <c r="H112" s="784"/>
      <c r="I112" s="479"/>
      <c r="J112" s="467">
        <v>0.0</v>
      </c>
      <c r="K112" s="539"/>
      <c r="L112" s="521"/>
      <c r="M112" s="557" t="str">
        <f t="shared" si="31"/>
        <v>#DIV/0!</v>
      </c>
      <c r="N112" s="784"/>
      <c r="O112" s="479"/>
      <c r="P112" s="506">
        <v>0.0</v>
      </c>
      <c r="Q112" s="575"/>
      <c r="R112" s="521"/>
      <c r="S112" s="557" t="str">
        <f t="shared" si="32"/>
        <v>#DIV/0!</v>
      </c>
      <c r="T112" s="784"/>
      <c r="U112" s="479"/>
    </row>
    <row r="113" ht="15.75" customHeight="1">
      <c r="A113" s="439"/>
      <c r="B113" s="465"/>
      <c r="C113" s="465" t="s">
        <v>244</v>
      </c>
      <c r="D113" s="1083">
        <v>146026.0</v>
      </c>
      <c r="E113" s="539"/>
      <c r="F113" s="521"/>
      <c r="G113" s="557" t="str">
        <f t="shared" si="33"/>
        <v>#DIV/0!</v>
      </c>
      <c r="H113" s="784"/>
      <c r="I113" s="479"/>
      <c r="J113" s="514">
        <v>26201.0</v>
      </c>
      <c r="K113" s="539"/>
      <c r="L113" s="521"/>
      <c r="M113" s="557" t="str">
        <f t="shared" si="31"/>
        <v>#DIV/0!</v>
      </c>
      <c r="N113" s="784"/>
      <c r="O113" s="479"/>
      <c r="P113" s="506">
        <v>81877.0</v>
      </c>
      <c r="Q113" s="575"/>
      <c r="R113" s="521"/>
      <c r="S113" s="557" t="str">
        <f t="shared" si="32"/>
        <v>#DIV/0!</v>
      </c>
      <c r="T113" s="784"/>
      <c r="U113" s="479"/>
    </row>
    <row r="114" ht="15.75" customHeight="1">
      <c r="A114" s="439"/>
      <c r="B114" s="465"/>
      <c r="C114" s="465" t="s">
        <v>243</v>
      </c>
      <c r="D114" s="520">
        <v>45233.333333333336</v>
      </c>
      <c r="E114" s="520">
        <v>45233.333333333336</v>
      </c>
      <c r="F114" s="520">
        <v>45233.333333333336</v>
      </c>
      <c r="G114" s="520">
        <v>45233.333333333336</v>
      </c>
      <c r="H114" s="520">
        <v>45233.333333333336</v>
      </c>
      <c r="I114" s="517">
        <v>45233.333333333336</v>
      </c>
      <c r="J114" s="467">
        <v>45233.333333333336</v>
      </c>
      <c r="K114" s="539"/>
      <c r="L114" s="521"/>
      <c r="M114" s="557"/>
      <c r="N114" s="784"/>
      <c r="O114" s="479"/>
      <c r="P114" s="506">
        <v>45223.0</v>
      </c>
      <c r="Q114" s="575"/>
      <c r="R114" s="521"/>
      <c r="S114" s="557"/>
      <c r="T114" s="784"/>
      <c r="U114" s="479"/>
    </row>
    <row r="115" ht="15.75" customHeight="1">
      <c r="A115" s="439"/>
      <c r="B115" s="465"/>
      <c r="C115" s="465" t="s">
        <v>246</v>
      </c>
      <c r="D115" s="520">
        <v>0.0</v>
      </c>
      <c r="E115" s="539"/>
      <c r="F115" s="521"/>
      <c r="G115" s="557" t="str">
        <f>F115/F$29</f>
        <v>#DIV/0!</v>
      </c>
      <c r="H115" s="784"/>
      <c r="I115" s="479"/>
      <c r="J115" s="467">
        <v>3336.0</v>
      </c>
      <c r="K115" s="539"/>
      <c r="L115" s="521"/>
      <c r="M115" s="557" t="str">
        <f>L115/L$29</f>
        <v>#DIV/0!</v>
      </c>
      <c r="N115" s="784"/>
      <c r="O115" s="479"/>
      <c r="P115" s="506">
        <v>16486.0</v>
      </c>
      <c r="Q115" s="575"/>
      <c r="R115" s="521"/>
      <c r="S115" s="557" t="str">
        <f>R115/R$29</f>
        <v>#DIV/0!</v>
      </c>
      <c r="T115" s="784"/>
      <c r="U115" s="479"/>
    </row>
    <row r="116" ht="15.75" customHeight="1">
      <c r="A116" s="439"/>
      <c r="B116" s="465"/>
      <c r="C116" s="465"/>
      <c r="D116" s="520"/>
      <c r="E116" s="539"/>
      <c r="F116" s="521"/>
      <c r="G116" s="557"/>
      <c r="H116" s="784"/>
      <c r="I116" s="479"/>
      <c r="J116" s="467"/>
      <c r="K116" s="539"/>
      <c r="L116" s="521"/>
      <c r="M116" s="557"/>
      <c r="N116" s="784"/>
      <c r="O116" s="479"/>
      <c r="P116" s="474"/>
      <c r="Q116" s="575"/>
      <c r="R116" s="521"/>
      <c r="S116" s="557"/>
      <c r="T116" s="784"/>
      <c r="U116" s="479"/>
    </row>
    <row r="117" ht="15.75" customHeight="1">
      <c r="A117" s="439"/>
      <c r="B117" s="465"/>
      <c r="C117" s="465" t="s">
        <v>247</v>
      </c>
      <c r="D117" s="520">
        <v>38290.0</v>
      </c>
      <c r="E117" s="539"/>
      <c r="F117" s="521"/>
      <c r="G117" s="557" t="str">
        <f>F117/F$29</f>
        <v>#DIV/0!</v>
      </c>
      <c r="H117" s="784"/>
      <c r="I117" s="479"/>
      <c r="J117" s="467">
        <v>45321.0</v>
      </c>
      <c r="K117" s="539"/>
      <c r="L117" s="521"/>
      <c r="M117" s="557" t="str">
        <f>L117/L$29</f>
        <v>#DIV/0!</v>
      </c>
      <c r="N117" s="784"/>
      <c r="O117" s="479"/>
      <c r="P117" s="506">
        <v>31052.0</v>
      </c>
      <c r="Q117" s="575"/>
      <c r="R117" s="521"/>
      <c r="S117" s="557" t="str">
        <f>R117/R$29</f>
        <v>#DIV/0!</v>
      </c>
      <c r="T117" s="784"/>
      <c r="U117" s="479"/>
    </row>
    <row r="118" ht="15.75" customHeight="1">
      <c r="A118" s="439"/>
      <c r="B118" s="465"/>
      <c r="C118" s="465"/>
      <c r="D118" s="520"/>
      <c r="E118" s="539"/>
      <c r="F118" s="521"/>
      <c r="G118" s="557"/>
      <c r="H118" s="784"/>
      <c r="I118" s="479"/>
      <c r="J118" s="467"/>
      <c r="K118" s="539"/>
      <c r="L118" s="521"/>
      <c r="M118" s="557"/>
      <c r="N118" s="784"/>
      <c r="O118" s="479"/>
      <c r="P118" s="474"/>
      <c r="Q118" s="575"/>
      <c r="R118" s="521"/>
      <c r="S118" s="557"/>
      <c r="T118" s="784"/>
      <c r="U118" s="479"/>
    </row>
    <row r="119" ht="15.75" customHeight="1">
      <c r="A119" s="439"/>
      <c r="B119" s="465"/>
      <c r="C119" s="465" t="s">
        <v>248</v>
      </c>
      <c r="D119" s="520">
        <v>193237.28</v>
      </c>
      <c r="E119" s="539"/>
      <c r="F119" s="521"/>
      <c r="G119" s="557" t="str">
        <f>F119/F$29</f>
        <v>#DIV/0!</v>
      </c>
      <c r="H119" s="784"/>
      <c r="I119" s="479"/>
      <c r="J119" s="467">
        <v>63085.0</v>
      </c>
      <c r="K119" s="539"/>
      <c r="L119" s="521"/>
      <c r="M119" s="557" t="str">
        <f>L119/L$29</f>
        <v>#DIV/0!</v>
      </c>
      <c r="N119" s="784"/>
      <c r="O119" s="479"/>
      <c r="P119" s="506">
        <v>98910.0</v>
      </c>
      <c r="Q119" s="575"/>
      <c r="R119" s="521"/>
      <c r="S119" s="557" t="str">
        <f>R119/R$29</f>
        <v>#DIV/0!</v>
      </c>
      <c r="T119" s="784"/>
      <c r="U119" s="479"/>
    </row>
    <row r="120" ht="15.75" customHeight="1">
      <c r="A120" s="439"/>
      <c r="B120" s="465"/>
      <c r="C120" s="465"/>
      <c r="D120" s="520"/>
      <c r="E120" s="539"/>
      <c r="F120" s="521"/>
      <c r="G120" s="557"/>
      <c r="H120" s="784"/>
      <c r="I120" s="479"/>
      <c r="J120" s="467"/>
      <c r="K120" s="539"/>
      <c r="L120" s="521"/>
      <c r="M120" s="557"/>
      <c r="N120" s="784"/>
      <c r="O120" s="479"/>
      <c r="P120" s="474"/>
      <c r="Q120" s="575"/>
      <c r="R120" s="521"/>
      <c r="S120" s="557"/>
      <c r="T120" s="784"/>
      <c r="U120" s="479"/>
    </row>
    <row r="121" ht="15.75" customHeight="1">
      <c r="A121" s="439"/>
      <c r="B121" s="465"/>
      <c r="C121" s="465" t="s">
        <v>249</v>
      </c>
      <c r="D121" s="520">
        <v>0.0</v>
      </c>
      <c r="E121" s="539"/>
      <c r="F121" s="521"/>
      <c r="G121" s="557" t="str">
        <f>F121/F$29</f>
        <v>#DIV/0!</v>
      </c>
      <c r="H121" s="784"/>
      <c r="I121" s="479"/>
      <c r="J121" s="467">
        <v>0.0</v>
      </c>
      <c r="K121" s="539"/>
      <c r="L121" s="521"/>
      <c r="M121" s="557" t="str">
        <f>L121/L$29</f>
        <v>#DIV/0!</v>
      </c>
      <c r="N121" s="784"/>
      <c r="O121" s="479"/>
      <c r="P121" s="506">
        <v>0.0</v>
      </c>
      <c r="Q121" s="575"/>
      <c r="R121" s="521"/>
      <c r="S121" s="557" t="str">
        <f>R121/R$29</f>
        <v>#DIV/0!</v>
      </c>
      <c r="T121" s="784"/>
      <c r="U121" s="479"/>
    </row>
    <row r="122" ht="15.75" customHeight="1">
      <c r="A122" s="439"/>
      <c r="B122" s="465"/>
      <c r="C122" s="465"/>
      <c r="D122" s="520"/>
      <c r="E122" s="539"/>
      <c r="F122" s="521"/>
      <c r="G122" s="557"/>
      <c r="H122" s="784"/>
      <c r="I122" s="479"/>
      <c r="J122" s="467"/>
      <c r="K122" s="539"/>
      <c r="L122" s="521"/>
      <c r="M122" s="557"/>
      <c r="N122" s="784"/>
      <c r="O122" s="479"/>
      <c r="P122" s="474"/>
      <c r="Q122" s="575"/>
      <c r="R122" s="521"/>
      <c r="S122" s="557"/>
      <c r="T122" s="784"/>
      <c r="U122" s="479"/>
    </row>
    <row r="123" ht="15.75" customHeight="1">
      <c r="A123" s="439"/>
      <c r="B123" s="465"/>
      <c r="C123" s="465" t="s">
        <v>306</v>
      </c>
      <c r="D123" s="520">
        <v>0.0</v>
      </c>
      <c r="E123" s="539"/>
      <c r="F123" s="521"/>
      <c r="G123" s="557" t="str">
        <f>F123/F$29</f>
        <v>#DIV/0!</v>
      </c>
      <c r="H123" s="784"/>
      <c r="I123" s="479"/>
      <c r="J123" s="467">
        <v>0.0</v>
      </c>
      <c r="K123" s="539"/>
      <c r="L123" s="521"/>
      <c r="M123" s="557" t="str">
        <f>L123/L$29</f>
        <v>#DIV/0!</v>
      </c>
      <c r="N123" s="784"/>
      <c r="O123" s="479"/>
      <c r="P123" s="506">
        <v>0.0</v>
      </c>
      <c r="Q123" s="575"/>
      <c r="R123" s="521"/>
      <c r="S123" s="557" t="str">
        <f>R123/R$29</f>
        <v>#DIV/0!</v>
      </c>
      <c r="T123" s="784"/>
      <c r="U123" s="479"/>
    </row>
    <row r="124" ht="15.75" customHeight="1">
      <c r="A124" s="439"/>
      <c r="B124" s="465"/>
      <c r="C124" s="465"/>
      <c r="D124" s="520"/>
      <c r="E124" s="539"/>
      <c r="F124" s="521"/>
      <c r="G124" s="557"/>
      <c r="H124" s="784"/>
      <c r="I124" s="479"/>
      <c r="J124" s="467"/>
      <c r="K124" s="539"/>
      <c r="L124" s="521"/>
      <c r="M124" s="557"/>
      <c r="N124" s="784"/>
      <c r="O124" s="479"/>
      <c r="P124" s="474"/>
      <c r="Q124" s="575"/>
      <c r="R124" s="521"/>
      <c r="S124" s="557"/>
      <c r="T124" s="784"/>
      <c r="U124" s="479"/>
    </row>
    <row r="125" ht="15.75" customHeight="1">
      <c r="A125" s="439"/>
      <c r="B125" s="465"/>
      <c r="C125" s="465" t="s">
        <v>358</v>
      </c>
      <c r="D125" s="520">
        <v>0.0</v>
      </c>
      <c r="E125" s="539"/>
      <c r="F125" s="521"/>
      <c r="G125" s="557"/>
      <c r="H125" s="784"/>
      <c r="I125" s="479"/>
      <c r="J125" s="467">
        <v>0.0</v>
      </c>
      <c r="K125" s="539"/>
      <c r="L125" s="521"/>
      <c r="M125" s="557"/>
      <c r="N125" s="784"/>
      <c r="O125" s="479"/>
      <c r="P125" s="506">
        <v>0.0</v>
      </c>
      <c r="Q125" s="575"/>
      <c r="R125" s="521"/>
      <c r="S125" s="557"/>
      <c r="T125" s="784"/>
      <c r="U125" s="479"/>
    </row>
    <row r="126" ht="15.75" customHeight="1">
      <c r="A126" s="439"/>
      <c r="B126" s="465"/>
      <c r="C126" s="465"/>
      <c r="D126" s="520"/>
      <c r="E126" s="539"/>
      <c r="F126" s="521"/>
      <c r="G126" s="557"/>
      <c r="H126" s="784"/>
      <c r="I126" s="479"/>
      <c r="J126" s="467"/>
      <c r="K126" s="539"/>
      <c r="L126" s="521"/>
      <c r="M126" s="557"/>
      <c r="N126" s="784"/>
      <c r="O126" s="479"/>
      <c r="P126" s="474"/>
      <c r="Q126" s="575"/>
      <c r="R126" s="521"/>
      <c r="S126" s="557"/>
      <c r="T126" s="784"/>
      <c r="U126" s="479"/>
    </row>
    <row r="127" ht="15.75" customHeight="1">
      <c r="A127" s="439"/>
      <c r="B127" s="465"/>
      <c r="C127" s="465" t="s">
        <v>293</v>
      </c>
      <c r="D127" s="1083">
        <v>0.0</v>
      </c>
      <c r="E127" s="539"/>
      <c r="F127" s="521"/>
      <c r="G127" s="557"/>
      <c r="H127" s="784"/>
      <c r="I127" s="479"/>
      <c r="J127" s="514">
        <v>0.0</v>
      </c>
      <c r="K127" s="539"/>
      <c r="L127" s="521"/>
      <c r="M127" s="557"/>
      <c r="N127" s="784"/>
      <c r="O127" s="479"/>
      <c r="P127" s="506">
        <v>0.0</v>
      </c>
      <c r="Q127" s="575"/>
      <c r="R127" s="521"/>
      <c r="S127" s="557"/>
      <c r="T127" s="784"/>
      <c r="U127" s="479"/>
    </row>
    <row r="128" ht="15.75" customHeight="1">
      <c r="A128" s="439"/>
      <c r="B128" s="465"/>
      <c r="C128" s="465"/>
      <c r="D128" s="520"/>
      <c r="E128" s="539"/>
      <c r="F128" s="521"/>
      <c r="G128" s="557"/>
      <c r="H128" s="784"/>
      <c r="I128" s="479"/>
      <c r="J128" s="467"/>
      <c r="K128" s="539"/>
      <c r="L128" s="521"/>
      <c r="M128" s="557"/>
      <c r="N128" s="784"/>
      <c r="O128" s="479"/>
      <c r="P128" s="474"/>
      <c r="Q128" s="575"/>
      <c r="R128" s="521"/>
      <c r="S128" s="557"/>
      <c r="T128" s="784"/>
      <c r="U128" s="479"/>
    </row>
    <row r="129" ht="15.75" customHeight="1">
      <c r="A129" s="439"/>
      <c r="B129" s="483"/>
      <c r="C129" s="619"/>
      <c r="D129" s="1088"/>
      <c r="E129" s="544"/>
      <c r="F129" s="545"/>
      <c r="G129" s="544"/>
      <c r="H129" s="1077"/>
      <c r="I129" s="546"/>
      <c r="J129" s="485"/>
      <c r="K129" s="544"/>
      <c r="L129" s="545"/>
      <c r="M129" s="544"/>
      <c r="N129" s="1077"/>
      <c r="O129" s="546"/>
      <c r="P129" s="501"/>
      <c r="Q129" s="609"/>
      <c r="R129" s="545"/>
      <c r="S129" s="544"/>
      <c r="T129" s="1077"/>
      <c r="U129" s="546"/>
    </row>
    <row r="130" ht="15.75" customHeight="1">
      <c r="A130" s="439"/>
      <c r="B130" s="493"/>
      <c r="C130" s="511" t="s">
        <v>41</v>
      </c>
      <c r="D130" s="1089">
        <f>SUM(D131:D132)</f>
        <v>8260</v>
      </c>
      <c r="E130" s="584"/>
      <c r="F130" s="548">
        <f>SUM(F131:F132)</f>
        <v>8260</v>
      </c>
      <c r="G130" s="584"/>
      <c r="H130" s="1090">
        <f>SUM(H131:H132)</f>
        <v>8260</v>
      </c>
      <c r="I130" s="585"/>
      <c r="J130" s="459">
        <f>SUM(J131:J132)</f>
        <v>8260</v>
      </c>
      <c r="K130" s="584"/>
      <c r="L130" s="548">
        <f>SUM(L131:L132)</f>
        <v>0</v>
      </c>
      <c r="M130" s="584"/>
      <c r="N130" s="1090">
        <f>SUM(N131:N132)</f>
        <v>0</v>
      </c>
      <c r="O130" s="585"/>
      <c r="P130" s="491">
        <f>SUM(P131:P132)</f>
        <v>8260</v>
      </c>
      <c r="Q130" s="586"/>
      <c r="R130" s="548">
        <f>SUM(R131:R132)</f>
        <v>0</v>
      </c>
      <c r="S130" s="584"/>
      <c r="T130" s="1090">
        <f>SUM(T131:T132)</f>
        <v>0</v>
      </c>
      <c r="U130" s="585"/>
    </row>
    <row r="131" ht="15.75" customHeight="1">
      <c r="A131" s="439"/>
      <c r="B131" s="497"/>
      <c r="C131" s="497" t="s">
        <v>359</v>
      </c>
      <c r="D131" s="1081"/>
      <c r="E131" s="540"/>
      <c r="F131" s="541"/>
      <c r="G131" s="552" t="str">
        <f>F131/F$29</f>
        <v>#DIV/0!</v>
      </c>
      <c r="H131" s="1075"/>
      <c r="I131" s="542"/>
      <c r="J131" s="463"/>
      <c r="K131" s="540"/>
      <c r="L131" s="541"/>
      <c r="M131" s="552" t="str">
        <f t="shared" ref="M131:M132" si="34">L131/L$29</f>
        <v>#DIV/0!</v>
      </c>
      <c r="N131" s="1075"/>
      <c r="O131" s="542"/>
      <c r="P131" s="498"/>
      <c r="Q131" s="606"/>
      <c r="R131" s="541"/>
      <c r="S131" s="552" t="str">
        <f t="shared" ref="S131:S132" si="35">R131/R$29</f>
        <v>#DIV/0!</v>
      </c>
      <c r="T131" s="1075"/>
      <c r="U131" s="542"/>
    </row>
    <row r="132" ht="15.75" customHeight="1">
      <c r="A132" s="439"/>
      <c r="B132" s="465"/>
      <c r="C132" s="465" t="s">
        <v>41</v>
      </c>
      <c r="D132" s="520">
        <v>8260.0</v>
      </c>
      <c r="E132" s="520">
        <v>8260.0</v>
      </c>
      <c r="F132" s="520">
        <v>8260.0</v>
      </c>
      <c r="G132" s="520">
        <v>8260.0</v>
      </c>
      <c r="H132" s="520">
        <v>8260.0</v>
      </c>
      <c r="I132" s="517">
        <v>8260.0</v>
      </c>
      <c r="J132" s="467">
        <v>8260.0</v>
      </c>
      <c r="K132" s="539"/>
      <c r="L132" s="521"/>
      <c r="M132" s="557" t="str">
        <f t="shared" si="34"/>
        <v>#DIV/0!</v>
      </c>
      <c r="N132" s="784"/>
      <c r="O132" s="479"/>
      <c r="P132" s="474">
        <v>8260.0</v>
      </c>
      <c r="Q132" s="575"/>
      <c r="R132" s="521"/>
      <c r="S132" s="557" t="str">
        <f t="shared" si="35"/>
        <v>#DIV/0!</v>
      </c>
      <c r="T132" s="784"/>
      <c r="U132" s="479"/>
    </row>
    <row r="133" ht="15.75" customHeight="1">
      <c r="A133" s="439"/>
      <c r="B133" s="483"/>
      <c r="C133" s="483"/>
      <c r="D133" s="1088"/>
      <c r="E133" s="544"/>
      <c r="F133" s="545"/>
      <c r="G133" s="544"/>
      <c r="H133" s="1077"/>
      <c r="I133" s="546"/>
      <c r="J133" s="485"/>
      <c r="K133" s="544"/>
      <c r="L133" s="545"/>
      <c r="M133" s="544"/>
      <c r="N133" s="1077"/>
      <c r="O133" s="546"/>
      <c r="P133" s="501"/>
      <c r="Q133" s="609"/>
      <c r="R133" s="545"/>
      <c r="S133" s="544"/>
      <c r="T133" s="1077"/>
      <c r="U133" s="546"/>
    </row>
    <row r="134" ht="15.75" customHeight="1">
      <c r="A134" s="439"/>
      <c r="B134" s="490"/>
      <c r="C134" s="511" t="s">
        <v>42</v>
      </c>
      <c r="D134" s="1089">
        <f>SUM(D135:D136)</f>
        <v>0</v>
      </c>
      <c r="E134" s="584"/>
      <c r="F134" s="548">
        <f>SUM(F135:F136)</f>
        <v>0</v>
      </c>
      <c r="G134" s="547" t="str">
        <f>F134/F$29</f>
        <v>#DIV/0!</v>
      </c>
      <c r="H134" s="1090">
        <f>SUM(H135:H136)</f>
        <v>0</v>
      </c>
      <c r="I134" s="585"/>
      <c r="J134" s="459">
        <f>SUM(J135:J136)</f>
        <v>0</v>
      </c>
      <c r="K134" s="584"/>
      <c r="L134" s="548">
        <f>SUM(L135:L136)</f>
        <v>0</v>
      </c>
      <c r="M134" s="547" t="str">
        <f>L134/L$29</f>
        <v>#DIV/0!</v>
      </c>
      <c r="N134" s="1090">
        <f>SUM(N135:N136)</f>
        <v>0</v>
      </c>
      <c r="O134" s="585"/>
      <c r="P134" s="491">
        <f>SUM(P135:P136)</f>
        <v>0</v>
      </c>
      <c r="Q134" s="586"/>
      <c r="R134" s="548">
        <f>SUM(R135:R136)</f>
        <v>0</v>
      </c>
      <c r="S134" s="547" t="str">
        <f>R134/R$29</f>
        <v>#DIV/0!</v>
      </c>
      <c r="T134" s="1090">
        <f>SUM(T135:T136)</f>
        <v>0</v>
      </c>
      <c r="U134" s="585"/>
    </row>
    <row r="135" ht="15.75" customHeight="1">
      <c r="A135" s="439"/>
      <c r="B135" s="497"/>
      <c r="C135" s="497" t="s">
        <v>285</v>
      </c>
      <c r="D135" s="1081">
        <v>0.0</v>
      </c>
      <c r="E135" s="540"/>
      <c r="F135" s="541"/>
      <c r="G135" s="540"/>
      <c r="H135" s="1075"/>
      <c r="I135" s="542"/>
      <c r="J135" s="463">
        <v>0.0</v>
      </c>
      <c r="K135" s="540"/>
      <c r="L135" s="541"/>
      <c r="M135" s="540"/>
      <c r="N135" s="1075"/>
      <c r="O135" s="542"/>
      <c r="P135" s="498">
        <v>0.0</v>
      </c>
      <c r="Q135" s="606"/>
      <c r="R135" s="541"/>
      <c r="S135" s="540"/>
      <c r="T135" s="1075"/>
      <c r="U135" s="542"/>
    </row>
    <row r="136" ht="15.75" customHeight="1">
      <c r="A136" s="439"/>
      <c r="B136" s="465"/>
      <c r="C136" s="465" t="s">
        <v>253</v>
      </c>
      <c r="D136" s="520">
        <v>0.0</v>
      </c>
      <c r="E136" s="539"/>
      <c r="F136" s="521">
        <f>G136*F$29</f>
        <v>0</v>
      </c>
      <c r="G136" s="557">
        <v>0.005</v>
      </c>
      <c r="H136" s="784"/>
      <c r="I136" s="479"/>
      <c r="J136" s="467">
        <v>0.0</v>
      </c>
      <c r="K136" s="539"/>
      <c r="L136" s="521">
        <f>M136*L$29</f>
        <v>0</v>
      </c>
      <c r="M136" s="557">
        <v>0.005</v>
      </c>
      <c r="N136" s="784"/>
      <c r="O136" s="479"/>
      <c r="P136" s="474">
        <v>0.0</v>
      </c>
      <c r="Q136" s="575"/>
      <c r="R136" s="521">
        <f>S136*R$29</f>
        <v>0</v>
      </c>
      <c r="S136" s="557">
        <v>0.005</v>
      </c>
      <c r="T136" s="784"/>
      <c r="U136" s="479"/>
    </row>
    <row r="137" ht="15.75" customHeight="1">
      <c r="A137" s="439"/>
      <c r="B137" s="465"/>
      <c r="C137" s="465"/>
      <c r="D137" s="520"/>
      <c r="E137" s="539"/>
      <c r="F137" s="521"/>
      <c r="G137" s="539"/>
      <c r="H137" s="784"/>
      <c r="I137" s="479"/>
      <c r="J137" s="467"/>
      <c r="K137" s="539"/>
      <c r="L137" s="521"/>
      <c r="M137" s="539"/>
      <c r="N137" s="784"/>
      <c r="O137" s="479"/>
      <c r="P137" s="474"/>
      <c r="Q137" s="575"/>
      <c r="R137" s="521"/>
      <c r="S137" s="539"/>
      <c r="T137" s="784"/>
      <c r="U137" s="479"/>
    </row>
    <row r="138" ht="15.75" customHeight="1">
      <c r="A138" s="439"/>
      <c r="B138" s="483"/>
      <c r="C138" s="483"/>
      <c r="D138" s="1088"/>
      <c r="E138" s="544"/>
      <c r="F138" s="545"/>
      <c r="G138" s="544"/>
      <c r="H138" s="1077"/>
      <c r="I138" s="546"/>
      <c r="J138" s="485"/>
      <c r="K138" s="544"/>
      <c r="L138" s="545"/>
      <c r="M138" s="544"/>
      <c r="N138" s="1077"/>
      <c r="O138" s="546"/>
      <c r="P138" s="501"/>
      <c r="Q138" s="609"/>
      <c r="R138" s="545"/>
      <c r="S138" s="544"/>
      <c r="T138" s="1077"/>
      <c r="U138" s="546"/>
    </row>
    <row r="139" ht="15.75" customHeight="1">
      <c r="A139" s="439"/>
      <c r="B139" s="490"/>
      <c r="C139" s="490" t="s">
        <v>254</v>
      </c>
      <c r="D139" s="1089">
        <f>D62+D65+D73+D80+D86+D100+D103+D107+D130+D134</f>
        <v>5727578.563</v>
      </c>
      <c r="E139" s="584"/>
      <c r="F139" s="548">
        <f>F62+F65+F73+F80+F86+F100+F103+F107+F130+F134</f>
        <v>261457.75</v>
      </c>
      <c r="G139" s="547" t="str">
        <f>F139/F$29</f>
        <v>#DIV/0!</v>
      </c>
      <c r="H139" s="1090" t="str">
        <f>H62+H65+H73+H80+H86+H100+H103+H107+H130+H134</f>
        <v>#REF!</v>
      </c>
      <c r="I139" s="585"/>
      <c r="J139" s="459">
        <f>J62+J65+J73+J80+J86+J100+J103+J107+J130+J134</f>
        <v>5614700.8</v>
      </c>
      <c r="K139" s="584"/>
      <c r="L139" s="548">
        <f>L62+L65+L73+L80+L86+L100+L103+L107+L130+L134</f>
        <v>0</v>
      </c>
      <c r="M139" s="547" t="str">
        <f>L139/L$29</f>
        <v>#DIV/0!</v>
      </c>
      <c r="N139" s="1090" t="str">
        <f>N62+N65+N73+N80+N86+N100+N103+N107+N130+N134</f>
        <v>#REF!</v>
      </c>
      <c r="O139" s="585"/>
      <c r="P139" s="491">
        <f>P62+P65+P73+P80+P86+P100+P103+P107+P130+P134</f>
        <v>5095646.667</v>
      </c>
      <c r="Q139" s="586"/>
      <c r="R139" s="548">
        <f>R62+R65+R73+R80+R86+R100+R103+R107+R130+R134</f>
        <v>0</v>
      </c>
      <c r="S139" s="547" t="str">
        <f>R139/R$29</f>
        <v>#DIV/0!</v>
      </c>
      <c r="T139" s="1090" t="str">
        <f>T62+T65+T73+T80+T86+T100+T103+T107+T130+T134</f>
        <v>#REF!</v>
      </c>
      <c r="U139" s="585"/>
    </row>
    <row r="140" ht="15.75" customHeight="1">
      <c r="A140" s="439"/>
      <c r="B140" s="526"/>
      <c r="C140" s="526"/>
      <c r="D140" s="621"/>
      <c r="E140" s="620"/>
      <c r="F140" s="590"/>
      <c r="G140" s="620"/>
      <c r="H140" s="1115"/>
      <c r="I140" s="455"/>
      <c r="J140" s="515"/>
      <c r="K140" s="620"/>
      <c r="L140" s="590"/>
      <c r="M140" s="620"/>
      <c r="N140" s="1115"/>
      <c r="O140" s="455"/>
      <c r="P140" s="522"/>
      <c r="Q140" s="622"/>
      <c r="R140" s="590"/>
      <c r="S140" s="620"/>
      <c r="T140" s="1115"/>
      <c r="U140" s="455"/>
    </row>
    <row r="141" ht="15.75" customHeight="1">
      <c r="A141" s="439"/>
      <c r="B141" s="490"/>
      <c r="C141" s="490" t="s">
        <v>255</v>
      </c>
      <c r="D141" s="459">
        <f>D50-D139</f>
        <v>1488635.408</v>
      </c>
      <c r="E141" s="584"/>
      <c r="F141" s="548">
        <f>+F29-F139</f>
        <v>-261457.75</v>
      </c>
      <c r="G141" s="547" t="str">
        <f>F141/F$29</f>
        <v>#DIV/0!</v>
      </c>
      <c r="H141" s="1090"/>
      <c r="I141" s="585"/>
      <c r="J141" s="459">
        <f>J50-J139</f>
        <v>2837110.379</v>
      </c>
      <c r="K141" s="584"/>
      <c r="L141" s="548">
        <f>+L29-L139</f>
        <v>0</v>
      </c>
      <c r="M141" s="547" t="str">
        <f>L141/L$29</f>
        <v>#DIV/0!</v>
      </c>
      <c r="N141" s="1090"/>
      <c r="O141" s="585"/>
      <c r="P141" s="491">
        <f>P50-P139</f>
        <v>-794026.7569</v>
      </c>
      <c r="Q141" s="586"/>
      <c r="R141" s="548">
        <f>+R29-R139</f>
        <v>0</v>
      </c>
      <c r="S141" s="547" t="str">
        <f>R141/R$29</f>
        <v>#DIV/0!</v>
      </c>
      <c r="T141" s="1090"/>
      <c r="U141" s="585"/>
    </row>
    <row r="142" ht="15.75" customHeight="1">
      <c r="A142" s="439"/>
      <c r="B142" s="439"/>
      <c r="C142" s="439"/>
      <c r="D142" s="439"/>
      <c r="E142" s="439"/>
      <c r="F142" s="530"/>
      <c r="G142" s="439"/>
      <c r="H142" s="1070"/>
      <c r="I142" s="439"/>
      <c r="J142" s="439"/>
      <c r="K142" s="439"/>
      <c r="L142" s="530"/>
      <c r="M142" s="439"/>
      <c r="N142" s="1070"/>
      <c r="O142" s="439"/>
      <c r="P142" s="439"/>
      <c r="Q142" s="439"/>
      <c r="R142" s="530"/>
      <c r="S142" s="439"/>
      <c r="T142" s="1070"/>
      <c r="U142" s="439"/>
    </row>
    <row r="143" ht="15.75" customHeight="1">
      <c r="A143" s="439"/>
      <c r="B143" s="439"/>
      <c r="C143" s="439"/>
      <c r="D143" s="439"/>
      <c r="E143" s="439"/>
      <c r="F143" s="530"/>
      <c r="G143" s="439"/>
      <c r="H143" s="1070"/>
      <c r="I143" s="439"/>
      <c r="J143" s="439"/>
      <c r="K143" s="439"/>
      <c r="L143" s="530"/>
      <c r="M143" s="439"/>
      <c r="N143" s="1070"/>
      <c r="O143" s="439"/>
      <c r="P143" s="439"/>
      <c r="Q143" s="439"/>
      <c r="R143" s="530"/>
      <c r="S143" s="439"/>
      <c r="T143" s="1070"/>
      <c r="U143" s="439"/>
    </row>
    <row r="144" ht="15.75" customHeight="1">
      <c r="A144" s="439"/>
      <c r="B144" s="439"/>
      <c r="C144" s="439"/>
      <c r="D144" s="439"/>
      <c r="E144" s="439"/>
      <c r="F144" s="530"/>
      <c r="G144" s="439"/>
      <c r="H144" s="1070"/>
      <c r="I144" s="439"/>
      <c r="J144" s="439"/>
      <c r="K144" s="439"/>
      <c r="L144" s="530"/>
      <c r="M144" s="439"/>
      <c r="N144" s="1070"/>
      <c r="O144" s="439"/>
      <c r="P144" s="439"/>
      <c r="Q144" s="439"/>
      <c r="R144" s="530"/>
      <c r="S144" s="439"/>
      <c r="T144" s="1070"/>
      <c r="U144" s="439"/>
    </row>
    <row r="145" ht="15.75" customHeight="1">
      <c r="A145" s="439"/>
      <c r="B145" s="439"/>
      <c r="C145" s="439"/>
      <c r="D145" s="439"/>
      <c r="E145" s="439"/>
      <c r="F145" s="530"/>
      <c r="G145" s="439"/>
      <c r="H145" s="1070"/>
      <c r="I145" s="439"/>
      <c r="J145" s="439"/>
      <c r="K145" s="439"/>
      <c r="L145" s="530"/>
      <c r="M145" s="439"/>
      <c r="N145" s="1070"/>
      <c r="O145" s="439"/>
      <c r="P145" s="439"/>
      <c r="Q145" s="439"/>
      <c r="R145" s="530"/>
      <c r="S145" s="439"/>
      <c r="T145" s="1070"/>
      <c r="U145" s="439"/>
    </row>
    <row r="146" ht="15.75" customHeight="1">
      <c r="A146" s="439"/>
      <c r="B146" s="439"/>
      <c r="C146" s="439"/>
      <c r="D146" s="439"/>
      <c r="E146" s="439"/>
      <c r="F146" s="530"/>
      <c r="G146" s="439"/>
      <c r="H146" s="1070"/>
      <c r="I146" s="439"/>
      <c r="J146" s="439"/>
      <c r="K146" s="439"/>
      <c r="L146" s="530"/>
      <c r="M146" s="439"/>
      <c r="N146" s="1070"/>
      <c r="O146" s="439"/>
      <c r="P146" s="439"/>
      <c r="Q146" s="439"/>
      <c r="R146" s="530"/>
      <c r="S146" s="439"/>
      <c r="T146" s="1070"/>
      <c r="U146" s="439"/>
    </row>
    <row r="147" ht="15.75" customHeight="1">
      <c r="A147" s="439"/>
      <c r="B147" s="439"/>
      <c r="C147" s="439"/>
      <c r="D147" s="439"/>
      <c r="E147" s="439"/>
      <c r="F147" s="530"/>
      <c r="G147" s="439"/>
      <c r="H147" s="1070"/>
      <c r="I147" s="439"/>
      <c r="J147" s="439"/>
      <c r="K147" s="439"/>
      <c r="L147" s="530"/>
      <c r="M147" s="439"/>
      <c r="N147" s="1070"/>
      <c r="O147" s="439"/>
      <c r="P147" s="439"/>
      <c r="Q147" s="439"/>
      <c r="R147" s="530"/>
      <c r="S147" s="439"/>
      <c r="T147" s="1070"/>
      <c r="U147" s="439"/>
    </row>
    <row r="148" ht="15.75" customHeight="1">
      <c r="A148" s="439"/>
      <c r="B148" s="439"/>
      <c r="C148" s="439"/>
      <c r="D148" s="439"/>
      <c r="E148" s="439"/>
      <c r="F148" s="530"/>
      <c r="G148" s="439"/>
      <c r="H148" s="1070"/>
      <c r="I148" s="439"/>
      <c r="J148" s="439"/>
      <c r="K148" s="439"/>
      <c r="L148" s="530"/>
      <c r="M148" s="439"/>
      <c r="N148" s="1070"/>
      <c r="O148" s="439"/>
      <c r="P148" s="439"/>
      <c r="Q148" s="439"/>
      <c r="R148" s="530"/>
      <c r="S148" s="439"/>
      <c r="T148" s="1070"/>
      <c r="U148" s="439"/>
    </row>
    <row r="149" ht="15.75" customHeight="1">
      <c r="A149" s="439"/>
      <c r="B149" s="439"/>
      <c r="C149" s="439"/>
      <c r="D149" s="439"/>
      <c r="E149" s="439"/>
      <c r="F149" s="530"/>
      <c r="G149" s="439"/>
      <c r="H149" s="1070"/>
      <c r="I149" s="439"/>
      <c r="J149" s="439"/>
      <c r="K149" s="439"/>
      <c r="L149" s="530"/>
      <c r="M149" s="439"/>
      <c r="N149" s="1070"/>
      <c r="O149" s="439"/>
      <c r="P149" s="439"/>
      <c r="Q149" s="439"/>
      <c r="R149" s="530"/>
      <c r="S149" s="439"/>
      <c r="T149" s="1070"/>
      <c r="U149" s="439"/>
    </row>
    <row r="150" ht="15.75" customHeight="1">
      <c r="A150" s="439"/>
      <c r="B150" s="439"/>
      <c r="C150" s="439"/>
      <c r="D150" s="439"/>
      <c r="E150" s="439"/>
      <c r="F150" s="530"/>
      <c r="G150" s="439"/>
      <c r="H150" s="1070"/>
      <c r="I150" s="439"/>
      <c r="J150" s="439"/>
      <c r="K150" s="439"/>
      <c r="L150" s="530"/>
      <c r="M150" s="439"/>
      <c r="N150" s="1070"/>
      <c r="O150" s="439"/>
      <c r="P150" s="439"/>
      <c r="Q150" s="439"/>
      <c r="R150" s="530"/>
      <c r="S150" s="439"/>
      <c r="T150" s="1070"/>
      <c r="U150" s="439"/>
    </row>
    <row r="151" ht="15.75" customHeight="1">
      <c r="A151" s="439"/>
      <c r="B151" s="439"/>
      <c r="C151" s="439"/>
      <c r="D151" s="439"/>
      <c r="E151" s="439"/>
      <c r="F151" s="530"/>
      <c r="G151" s="439"/>
      <c r="H151" s="1070"/>
      <c r="I151" s="439"/>
      <c r="J151" s="439"/>
      <c r="K151" s="439"/>
      <c r="L151" s="530"/>
      <c r="M151" s="439"/>
      <c r="N151" s="1070"/>
      <c r="O151" s="439"/>
      <c r="P151" s="439"/>
      <c r="Q151" s="439"/>
      <c r="R151" s="530"/>
      <c r="S151" s="439"/>
      <c r="T151" s="1070"/>
      <c r="U151" s="439"/>
    </row>
    <row r="152" ht="15.75" customHeight="1">
      <c r="A152" s="439"/>
      <c r="B152" s="439"/>
      <c r="C152" s="439"/>
      <c r="D152" s="439"/>
      <c r="E152" s="439"/>
      <c r="F152" s="530"/>
      <c r="G152" s="439"/>
      <c r="H152" s="1070"/>
      <c r="I152" s="439"/>
      <c r="J152" s="439"/>
      <c r="K152" s="439"/>
      <c r="L152" s="530"/>
      <c r="M152" s="439"/>
      <c r="N152" s="1070"/>
      <c r="O152" s="439"/>
      <c r="P152" s="439"/>
      <c r="Q152" s="439"/>
      <c r="R152" s="530"/>
      <c r="S152" s="439"/>
      <c r="T152" s="1070"/>
      <c r="U152" s="439"/>
    </row>
    <row r="153" ht="15.75" customHeight="1">
      <c r="A153" s="439"/>
      <c r="B153" s="439"/>
      <c r="C153" s="439"/>
      <c r="D153" s="439"/>
      <c r="E153" s="439"/>
      <c r="F153" s="530"/>
      <c r="G153" s="439"/>
      <c r="H153" s="1070"/>
      <c r="I153" s="439"/>
      <c r="J153" s="439"/>
      <c r="K153" s="439"/>
      <c r="L153" s="530"/>
      <c r="M153" s="439"/>
      <c r="N153" s="1070"/>
      <c r="O153" s="439"/>
      <c r="P153" s="439"/>
      <c r="Q153" s="439"/>
      <c r="R153" s="530"/>
      <c r="S153" s="439"/>
      <c r="T153" s="1070"/>
      <c r="U153" s="439"/>
    </row>
    <row r="154" ht="15.75" customHeight="1">
      <c r="A154" s="439"/>
      <c r="B154" s="439"/>
      <c r="C154" s="439"/>
      <c r="D154" s="439"/>
      <c r="E154" s="439"/>
      <c r="F154" s="530"/>
      <c r="G154" s="439"/>
      <c r="H154" s="1070"/>
      <c r="I154" s="439"/>
      <c r="J154" s="439"/>
      <c r="K154" s="439"/>
      <c r="L154" s="530"/>
      <c r="M154" s="439"/>
      <c r="N154" s="1070"/>
      <c r="O154" s="439"/>
      <c r="P154" s="439"/>
      <c r="Q154" s="439"/>
      <c r="R154" s="530"/>
      <c r="S154" s="439"/>
      <c r="T154" s="1070"/>
      <c r="U154" s="439"/>
    </row>
    <row r="155" ht="15.75" customHeight="1">
      <c r="A155" s="439"/>
      <c r="B155" s="439"/>
      <c r="C155" s="439"/>
      <c r="D155" s="439"/>
      <c r="E155" s="439"/>
      <c r="F155" s="530"/>
      <c r="G155" s="439"/>
      <c r="H155" s="1070"/>
      <c r="I155" s="439"/>
      <c r="J155" s="439"/>
      <c r="K155" s="439"/>
      <c r="L155" s="530"/>
      <c r="M155" s="439"/>
      <c r="N155" s="1070"/>
      <c r="O155" s="439"/>
      <c r="P155" s="439"/>
      <c r="Q155" s="439"/>
      <c r="R155" s="530"/>
      <c r="S155" s="439"/>
      <c r="T155" s="1070"/>
      <c r="U155" s="439"/>
    </row>
    <row r="156" ht="15.75" customHeight="1">
      <c r="A156" s="439"/>
      <c r="B156" s="439"/>
      <c r="C156" s="439"/>
      <c r="D156" s="439"/>
      <c r="E156" s="439"/>
      <c r="F156" s="530"/>
      <c r="G156" s="439"/>
      <c r="H156" s="1070"/>
      <c r="I156" s="439"/>
      <c r="J156" s="439"/>
      <c r="K156" s="439"/>
      <c r="L156" s="530"/>
      <c r="M156" s="439"/>
      <c r="N156" s="1070"/>
      <c r="O156" s="439"/>
      <c r="P156" s="439"/>
      <c r="Q156" s="439"/>
      <c r="R156" s="530"/>
      <c r="S156" s="439"/>
      <c r="T156" s="1070"/>
      <c r="U156" s="439"/>
    </row>
    <row r="157" ht="15.75" customHeight="1">
      <c r="A157" s="439"/>
      <c r="B157" s="439"/>
      <c r="C157" s="439"/>
      <c r="D157" s="439"/>
      <c r="E157" s="439"/>
      <c r="F157" s="530"/>
      <c r="G157" s="439"/>
      <c r="H157" s="1070"/>
      <c r="I157" s="439"/>
      <c r="J157" s="439"/>
      <c r="K157" s="439"/>
      <c r="L157" s="530"/>
      <c r="M157" s="439"/>
      <c r="N157" s="1070"/>
      <c r="O157" s="439"/>
      <c r="P157" s="439"/>
      <c r="Q157" s="439"/>
      <c r="R157" s="530"/>
      <c r="S157" s="439"/>
      <c r="T157" s="1070"/>
      <c r="U157" s="439"/>
    </row>
    <row r="158" ht="15.75" customHeight="1">
      <c r="A158" s="439"/>
      <c r="B158" s="439"/>
      <c r="C158" s="439"/>
      <c r="D158" s="439"/>
      <c r="E158" s="439"/>
      <c r="F158" s="530"/>
      <c r="G158" s="439"/>
      <c r="H158" s="1070"/>
      <c r="I158" s="439"/>
      <c r="J158" s="439"/>
      <c r="K158" s="439"/>
      <c r="L158" s="530"/>
      <c r="M158" s="439"/>
      <c r="N158" s="1070"/>
      <c r="O158" s="439"/>
      <c r="P158" s="439"/>
      <c r="Q158" s="439"/>
      <c r="R158" s="530"/>
      <c r="S158" s="439"/>
      <c r="T158" s="1070"/>
      <c r="U158" s="439"/>
    </row>
    <row r="159" ht="15.75" customHeight="1">
      <c r="A159" s="439"/>
      <c r="B159" s="439"/>
      <c r="C159" s="439"/>
      <c r="D159" s="439"/>
      <c r="E159" s="439"/>
      <c r="F159" s="530"/>
      <c r="G159" s="439"/>
      <c r="H159" s="1070"/>
      <c r="I159" s="439"/>
      <c r="J159" s="439"/>
      <c r="K159" s="439"/>
      <c r="L159" s="530"/>
      <c r="M159" s="439"/>
      <c r="N159" s="1070"/>
      <c r="O159" s="439"/>
      <c r="P159" s="439"/>
      <c r="Q159" s="439"/>
      <c r="R159" s="530"/>
      <c r="S159" s="439"/>
      <c r="T159" s="1070"/>
      <c r="U159" s="439"/>
    </row>
    <row r="160" ht="15.75" customHeight="1">
      <c r="A160" s="439"/>
      <c r="B160" s="439"/>
      <c r="C160" s="439"/>
      <c r="D160" s="439"/>
      <c r="E160" s="439"/>
      <c r="F160" s="530"/>
      <c r="G160" s="439"/>
      <c r="H160" s="1070"/>
      <c r="I160" s="439"/>
      <c r="J160" s="439"/>
      <c r="K160" s="439"/>
      <c r="L160" s="530"/>
      <c r="M160" s="439"/>
      <c r="N160" s="1070"/>
      <c r="O160" s="439"/>
      <c r="P160" s="439"/>
      <c r="Q160" s="439"/>
      <c r="R160" s="530"/>
      <c r="S160" s="439"/>
      <c r="T160" s="1070"/>
      <c r="U160" s="439"/>
    </row>
    <row r="161" ht="15.75" customHeight="1">
      <c r="A161" s="439"/>
      <c r="B161" s="439"/>
      <c r="C161" s="439"/>
      <c r="D161" s="439"/>
      <c r="E161" s="439"/>
      <c r="F161" s="530"/>
      <c r="G161" s="439"/>
      <c r="H161" s="1070"/>
      <c r="I161" s="439"/>
      <c r="J161" s="439"/>
      <c r="K161" s="439"/>
      <c r="L161" s="530"/>
      <c r="M161" s="439"/>
      <c r="N161" s="1070"/>
      <c r="O161" s="439"/>
      <c r="P161" s="439"/>
      <c r="Q161" s="439"/>
      <c r="R161" s="530"/>
      <c r="S161" s="439"/>
      <c r="T161" s="1070"/>
      <c r="U161" s="439"/>
    </row>
    <row r="162" ht="15.75" customHeight="1">
      <c r="A162" s="439"/>
      <c r="B162" s="439"/>
      <c r="C162" s="439"/>
      <c r="D162" s="439"/>
      <c r="E162" s="439"/>
      <c r="F162" s="530"/>
      <c r="G162" s="439"/>
      <c r="H162" s="1070"/>
      <c r="I162" s="439"/>
      <c r="J162" s="439"/>
      <c r="K162" s="439"/>
      <c r="L162" s="530"/>
      <c r="M162" s="439"/>
      <c r="N162" s="1070"/>
      <c r="O162" s="439"/>
      <c r="P162" s="439"/>
      <c r="Q162" s="439"/>
      <c r="R162" s="530"/>
      <c r="S162" s="439"/>
      <c r="T162" s="1070"/>
      <c r="U162" s="439"/>
    </row>
    <row r="163" ht="15.75" customHeight="1">
      <c r="A163" s="439"/>
      <c r="B163" s="439"/>
      <c r="C163" s="439"/>
      <c r="D163" s="439"/>
      <c r="E163" s="439"/>
      <c r="F163" s="530"/>
      <c r="G163" s="439"/>
      <c r="H163" s="1070"/>
      <c r="I163" s="439"/>
      <c r="J163" s="439"/>
      <c r="K163" s="439"/>
      <c r="L163" s="530"/>
      <c r="M163" s="439"/>
      <c r="N163" s="1070"/>
      <c r="O163" s="439"/>
      <c r="P163" s="439"/>
      <c r="Q163" s="439"/>
      <c r="R163" s="530"/>
      <c r="S163" s="439"/>
      <c r="T163" s="1070"/>
      <c r="U163" s="439"/>
    </row>
    <row r="164" ht="15.75" customHeight="1">
      <c r="A164" s="439"/>
      <c r="B164" s="439"/>
      <c r="C164" s="439"/>
      <c r="D164" s="439"/>
      <c r="E164" s="439"/>
      <c r="F164" s="530"/>
      <c r="G164" s="439"/>
      <c r="H164" s="1070"/>
      <c r="I164" s="439"/>
      <c r="J164" s="439"/>
      <c r="K164" s="439"/>
      <c r="L164" s="530"/>
      <c r="M164" s="439"/>
      <c r="N164" s="1070"/>
      <c r="O164" s="439"/>
      <c r="P164" s="439"/>
      <c r="Q164" s="439"/>
      <c r="R164" s="530"/>
      <c r="S164" s="439"/>
      <c r="T164" s="1070"/>
      <c r="U164" s="439"/>
    </row>
    <row r="165" ht="15.75" customHeight="1">
      <c r="A165" s="439"/>
      <c r="B165" s="439"/>
      <c r="C165" s="439"/>
      <c r="D165" s="439"/>
      <c r="E165" s="439"/>
      <c r="F165" s="530"/>
      <c r="G165" s="439"/>
      <c r="H165" s="1070"/>
      <c r="I165" s="439"/>
      <c r="J165" s="439"/>
      <c r="K165" s="439"/>
      <c r="L165" s="530"/>
      <c r="M165" s="439"/>
      <c r="N165" s="1070"/>
      <c r="O165" s="439"/>
      <c r="P165" s="439"/>
      <c r="Q165" s="439"/>
      <c r="R165" s="530"/>
      <c r="S165" s="439"/>
      <c r="T165" s="1070"/>
      <c r="U165" s="439"/>
    </row>
    <row r="166" ht="15.75" customHeight="1">
      <c r="A166" s="439"/>
      <c r="B166" s="439"/>
      <c r="C166" s="439"/>
      <c r="D166" s="439"/>
      <c r="E166" s="439"/>
      <c r="F166" s="530"/>
      <c r="G166" s="439"/>
      <c r="H166" s="1070"/>
      <c r="I166" s="439"/>
      <c r="J166" s="439"/>
      <c r="K166" s="439"/>
      <c r="L166" s="530"/>
      <c r="M166" s="439"/>
      <c r="N166" s="1070"/>
      <c r="O166" s="439"/>
      <c r="P166" s="439"/>
      <c r="Q166" s="439"/>
      <c r="R166" s="530"/>
      <c r="S166" s="439"/>
      <c r="T166" s="1070"/>
      <c r="U166" s="439"/>
    </row>
    <row r="167" ht="15.75" customHeight="1">
      <c r="A167" s="439"/>
      <c r="B167" s="439"/>
      <c r="C167" s="439"/>
      <c r="D167" s="439"/>
      <c r="E167" s="439"/>
      <c r="F167" s="530"/>
      <c r="G167" s="439"/>
      <c r="H167" s="1070"/>
      <c r="I167" s="439"/>
      <c r="J167" s="439"/>
      <c r="K167" s="439"/>
      <c r="L167" s="530"/>
      <c r="M167" s="439"/>
      <c r="N167" s="1070"/>
      <c r="O167" s="439"/>
      <c r="P167" s="439"/>
      <c r="Q167" s="439"/>
      <c r="R167" s="530"/>
      <c r="S167" s="439"/>
      <c r="T167" s="1070"/>
      <c r="U167" s="439"/>
    </row>
    <row r="168" ht="15.75" customHeight="1">
      <c r="A168" s="439"/>
      <c r="B168" s="439"/>
      <c r="C168" s="439"/>
      <c r="D168" s="439"/>
      <c r="E168" s="439"/>
      <c r="F168" s="530"/>
      <c r="G168" s="439"/>
      <c r="H168" s="1070"/>
      <c r="I168" s="439"/>
      <c r="J168" s="439"/>
      <c r="K168" s="439"/>
      <c r="L168" s="530"/>
      <c r="M168" s="439"/>
      <c r="N168" s="1070"/>
      <c r="O168" s="439"/>
      <c r="P168" s="439"/>
      <c r="Q168" s="439"/>
      <c r="R168" s="530"/>
      <c r="S168" s="439"/>
      <c r="T168" s="1070"/>
      <c r="U168" s="439"/>
    </row>
    <row r="169" ht="15.75" customHeight="1">
      <c r="A169" s="439"/>
      <c r="B169" s="439"/>
      <c r="C169" s="439"/>
      <c r="D169" s="439"/>
      <c r="E169" s="439"/>
      <c r="F169" s="530"/>
      <c r="G169" s="439"/>
      <c r="H169" s="1070"/>
      <c r="I169" s="439"/>
      <c r="J169" s="439"/>
      <c r="K169" s="439"/>
      <c r="L169" s="530"/>
      <c r="M169" s="439"/>
      <c r="N169" s="1070"/>
      <c r="O169" s="439"/>
      <c r="P169" s="439"/>
      <c r="Q169" s="439"/>
      <c r="R169" s="530"/>
      <c r="S169" s="439"/>
      <c r="T169" s="1070"/>
      <c r="U169" s="439"/>
    </row>
    <row r="170" ht="15.75" customHeight="1">
      <c r="A170" s="439"/>
      <c r="B170" s="439"/>
      <c r="C170" s="439"/>
      <c r="D170" s="439"/>
      <c r="E170" s="439"/>
      <c r="F170" s="530"/>
      <c r="G170" s="439"/>
      <c r="H170" s="1070"/>
      <c r="I170" s="439"/>
      <c r="J170" s="439"/>
      <c r="K170" s="439"/>
      <c r="L170" s="530"/>
      <c r="M170" s="439"/>
      <c r="N170" s="1070"/>
      <c r="O170" s="439"/>
      <c r="P170" s="439"/>
      <c r="Q170" s="439"/>
      <c r="R170" s="530"/>
      <c r="S170" s="439"/>
      <c r="T170" s="1070"/>
      <c r="U170" s="439"/>
    </row>
    <row r="171" ht="15.75" customHeight="1">
      <c r="A171" s="439"/>
      <c r="B171" s="439"/>
      <c r="C171" s="439"/>
      <c r="D171" s="439"/>
      <c r="E171" s="439"/>
      <c r="F171" s="530"/>
      <c r="G171" s="439"/>
      <c r="H171" s="1070"/>
      <c r="I171" s="439"/>
      <c r="J171" s="439"/>
      <c r="K171" s="439"/>
      <c r="L171" s="530"/>
      <c r="M171" s="439"/>
      <c r="N171" s="1070"/>
      <c r="O171" s="439"/>
      <c r="P171" s="439"/>
      <c r="Q171" s="439"/>
      <c r="R171" s="530"/>
      <c r="S171" s="439"/>
      <c r="T171" s="1070"/>
      <c r="U171" s="439"/>
    </row>
    <row r="172" ht="15.75" customHeight="1">
      <c r="A172" s="439"/>
      <c r="B172" s="439"/>
      <c r="C172" s="439"/>
      <c r="D172" s="439"/>
      <c r="E172" s="439"/>
      <c r="F172" s="530"/>
      <c r="G172" s="439"/>
      <c r="H172" s="1070"/>
      <c r="I172" s="439"/>
      <c r="J172" s="439"/>
      <c r="K172" s="439"/>
      <c r="L172" s="530"/>
      <c r="M172" s="439"/>
      <c r="N172" s="1070"/>
      <c r="O172" s="439"/>
      <c r="P172" s="439"/>
      <c r="Q172" s="439"/>
      <c r="R172" s="530"/>
      <c r="S172" s="439"/>
      <c r="T172" s="1070"/>
      <c r="U172" s="439"/>
    </row>
    <row r="173" ht="15.75" customHeight="1">
      <c r="A173" s="439"/>
      <c r="B173" s="439"/>
      <c r="C173" s="439"/>
      <c r="D173" s="439"/>
      <c r="E173" s="439"/>
      <c r="F173" s="530"/>
      <c r="G173" s="439"/>
      <c r="H173" s="1070"/>
      <c r="I173" s="439"/>
      <c r="J173" s="439"/>
      <c r="K173" s="439"/>
      <c r="L173" s="530"/>
      <c r="M173" s="439"/>
      <c r="N173" s="1070"/>
      <c r="O173" s="439"/>
      <c r="P173" s="439"/>
      <c r="Q173" s="439"/>
      <c r="R173" s="530"/>
      <c r="S173" s="439"/>
      <c r="T173" s="1070"/>
      <c r="U173" s="439"/>
    </row>
    <row r="174" ht="15.75" customHeight="1">
      <c r="A174" s="439"/>
      <c r="B174" s="439"/>
      <c r="C174" s="439"/>
      <c r="D174" s="439"/>
      <c r="E174" s="439"/>
      <c r="F174" s="530"/>
      <c r="G174" s="439"/>
      <c r="H174" s="1070"/>
      <c r="I174" s="439"/>
      <c r="J174" s="439"/>
      <c r="K174" s="439"/>
      <c r="L174" s="530"/>
      <c r="M174" s="439"/>
      <c r="N174" s="1070"/>
      <c r="O174" s="439"/>
      <c r="P174" s="439"/>
      <c r="Q174" s="439"/>
      <c r="R174" s="530"/>
      <c r="S174" s="439"/>
      <c r="T174" s="1070"/>
      <c r="U174" s="439"/>
    </row>
    <row r="175" ht="15.75" customHeight="1">
      <c r="A175" s="439"/>
      <c r="B175" s="439"/>
      <c r="C175" s="439"/>
      <c r="D175" s="439"/>
      <c r="E175" s="439"/>
      <c r="F175" s="530"/>
      <c r="G175" s="439"/>
      <c r="H175" s="1070"/>
      <c r="I175" s="439"/>
      <c r="J175" s="439"/>
      <c r="K175" s="439"/>
      <c r="L175" s="530"/>
      <c r="M175" s="439"/>
      <c r="N175" s="1070"/>
      <c r="O175" s="439"/>
      <c r="P175" s="439"/>
      <c r="Q175" s="439"/>
      <c r="R175" s="530"/>
      <c r="S175" s="439"/>
      <c r="T175" s="1070"/>
      <c r="U175" s="439"/>
    </row>
    <row r="176" ht="15.75" customHeight="1">
      <c r="A176" s="439"/>
      <c r="B176" s="439"/>
      <c r="C176" s="439"/>
      <c r="D176" s="439"/>
      <c r="E176" s="439"/>
      <c r="F176" s="530"/>
      <c r="G176" s="439"/>
      <c r="H176" s="1070"/>
      <c r="I176" s="439"/>
      <c r="J176" s="439"/>
      <c r="K176" s="439"/>
      <c r="L176" s="530"/>
      <c r="M176" s="439"/>
      <c r="N176" s="1070"/>
      <c r="O176" s="439"/>
      <c r="P176" s="439"/>
      <c r="Q176" s="439"/>
      <c r="R176" s="530"/>
      <c r="S176" s="439"/>
      <c r="T176" s="1070"/>
      <c r="U176" s="439"/>
    </row>
    <row r="177" ht="15.75" customHeight="1">
      <c r="A177" s="439"/>
      <c r="B177" s="439"/>
      <c r="C177" s="439"/>
      <c r="D177" s="439"/>
      <c r="E177" s="439"/>
      <c r="F177" s="530"/>
      <c r="G177" s="439"/>
      <c r="H177" s="1070"/>
      <c r="I177" s="439"/>
      <c r="J177" s="439"/>
      <c r="K177" s="439"/>
      <c r="L177" s="530"/>
      <c r="M177" s="439"/>
      <c r="N177" s="1070"/>
      <c r="O177" s="439"/>
      <c r="P177" s="439"/>
      <c r="Q177" s="439"/>
      <c r="R177" s="530"/>
      <c r="S177" s="439"/>
      <c r="T177" s="1070"/>
      <c r="U177" s="439"/>
    </row>
    <row r="178" ht="15.75" customHeight="1">
      <c r="A178" s="439"/>
      <c r="B178" s="439"/>
      <c r="C178" s="439"/>
      <c r="D178" s="439"/>
      <c r="E178" s="439"/>
      <c r="F178" s="530"/>
      <c r="G178" s="439"/>
      <c r="H178" s="1070"/>
      <c r="I178" s="439"/>
      <c r="J178" s="439"/>
      <c r="K178" s="439"/>
      <c r="L178" s="530"/>
      <c r="M178" s="439"/>
      <c r="N178" s="1070"/>
      <c r="O178" s="439"/>
      <c r="P178" s="439"/>
      <c r="Q178" s="439"/>
      <c r="R178" s="530"/>
      <c r="S178" s="439"/>
      <c r="T178" s="1070"/>
      <c r="U178" s="439"/>
    </row>
    <row r="179" ht="15.75" customHeight="1">
      <c r="A179" s="439"/>
      <c r="B179" s="439"/>
      <c r="C179" s="439"/>
      <c r="D179" s="439"/>
      <c r="E179" s="439"/>
      <c r="F179" s="530"/>
      <c r="G179" s="439"/>
      <c r="H179" s="1070"/>
      <c r="I179" s="439"/>
      <c r="J179" s="439"/>
      <c r="K179" s="439"/>
      <c r="L179" s="530"/>
      <c r="M179" s="439"/>
      <c r="N179" s="1070"/>
      <c r="O179" s="439"/>
      <c r="P179" s="439"/>
      <c r="Q179" s="439"/>
      <c r="R179" s="530"/>
      <c r="S179" s="439"/>
      <c r="T179" s="1070"/>
      <c r="U179" s="439"/>
    </row>
    <row r="180" ht="15.75" customHeight="1">
      <c r="A180" s="439"/>
      <c r="B180" s="439"/>
      <c r="C180" s="439"/>
      <c r="D180" s="439"/>
      <c r="E180" s="439"/>
      <c r="F180" s="530"/>
      <c r="G180" s="439"/>
      <c r="H180" s="1070"/>
      <c r="I180" s="439"/>
      <c r="J180" s="439"/>
      <c r="K180" s="439"/>
      <c r="L180" s="530"/>
      <c r="M180" s="439"/>
      <c r="N180" s="1070"/>
      <c r="O180" s="439"/>
      <c r="P180" s="439"/>
      <c r="Q180" s="439"/>
      <c r="R180" s="530"/>
      <c r="S180" s="439"/>
      <c r="T180" s="1070"/>
      <c r="U180" s="439"/>
    </row>
    <row r="181" ht="15.75" customHeight="1">
      <c r="A181" s="439"/>
      <c r="B181" s="439"/>
      <c r="C181" s="439"/>
      <c r="D181" s="439"/>
      <c r="E181" s="439"/>
      <c r="F181" s="530"/>
      <c r="G181" s="439"/>
      <c r="H181" s="1070"/>
      <c r="I181" s="439"/>
      <c r="J181" s="439"/>
      <c r="K181" s="439"/>
      <c r="L181" s="530"/>
      <c r="M181" s="439"/>
      <c r="N181" s="1070"/>
      <c r="O181" s="439"/>
      <c r="P181" s="439"/>
      <c r="Q181" s="439"/>
      <c r="R181" s="530"/>
      <c r="S181" s="439"/>
      <c r="T181" s="1070"/>
      <c r="U181" s="439"/>
    </row>
    <row r="182" ht="15.75" customHeight="1">
      <c r="A182" s="439"/>
      <c r="B182" s="439"/>
      <c r="C182" s="439"/>
      <c r="D182" s="439"/>
      <c r="E182" s="439"/>
      <c r="F182" s="530"/>
      <c r="G182" s="439"/>
      <c r="H182" s="1070"/>
      <c r="I182" s="439"/>
      <c r="J182" s="439"/>
      <c r="K182" s="439"/>
      <c r="L182" s="530"/>
      <c r="M182" s="439"/>
      <c r="N182" s="1070"/>
      <c r="O182" s="439"/>
      <c r="P182" s="439"/>
      <c r="Q182" s="439"/>
      <c r="R182" s="530"/>
      <c r="S182" s="439"/>
      <c r="T182" s="1070"/>
      <c r="U182" s="439"/>
    </row>
    <row r="183" ht="15.75" customHeight="1">
      <c r="A183" s="439"/>
      <c r="B183" s="439"/>
      <c r="C183" s="439"/>
      <c r="D183" s="439"/>
      <c r="E183" s="439"/>
      <c r="F183" s="530"/>
      <c r="G183" s="439"/>
      <c r="H183" s="1070"/>
      <c r="I183" s="439"/>
      <c r="J183" s="439"/>
      <c r="K183" s="439"/>
      <c r="L183" s="530"/>
      <c r="M183" s="439"/>
      <c r="N183" s="1070"/>
      <c r="O183" s="439"/>
      <c r="P183" s="439"/>
      <c r="Q183" s="439"/>
      <c r="R183" s="530"/>
      <c r="S183" s="439"/>
      <c r="T183" s="1070"/>
      <c r="U183" s="439"/>
    </row>
    <row r="184" ht="15.75" customHeight="1">
      <c r="A184" s="439"/>
      <c r="B184" s="439"/>
      <c r="C184" s="439"/>
      <c r="D184" s="439"/>
      <c r="E184" s="439"/>
      <c r="F184" s="530"/>
      <c r="G184" s="439"/>
      <c r="H184" s="1070"/>
      <c r="I184" s="439"/>
      <c r="J184" s="439"/>
      <c r="K184" s="439"/>
      <c r="L184" s="530"/>
      <c r="M184" s="439"/>
      <c r="N184" s="1070"/>
      <c r="O184" s="439"/>
      <c r="P184" s="439"/>
      <c r="Q184" s="439"/>
      <c r="R184" s="530"/>
      <c r="S184" s="439"/>
      <c r="T184" s="1070"/>
      <c r="U184" s="439"/>
    </row>
    <row r="185" ht="15.75" customHeight="1">
      <c r="A185" s="439"/>
      <c r="B185" s="439"/>
      <c r="C185" s="439"/>
      <c r="D185" s="439"/>
      <c r="E185" s="439"/>
      <c r="F185" s="530"/>
      <c r="G185" s="439"/>
      <c r="H185" s="1070"/>
      <c r="I185" s="439"/>
      <c r="J185" s="439"/>
      <c r="K185" s="439"/>
      <c r="L185" s="530"/>
      <c r="M185" s="439"/>
      <c r="N185" s="1070"/>
      <c r="O185" s="439"/>
      <c r="P185" s="439"/>
      <c r="Q185" s="439"/>
      <c r="R185" s="530"/>
      <c r="S185" s="439"/>
      <c r="T185" s="1070"/>
      <c r="U185" s="439"/>
    </row>
    <row r="186" ht="15.75" customHeight="1">
      <c r="A186" s="439"/>
      <c r="B186" s="439"/>
      <c r="C186" s="439"/>
      <c r="D186" s="439"/>
      <c r="E186" s="439"/>
      <c r="F186" s="530"/>
      <c r="G186" s="439"/>
      <c r="H186" s="1070"/>
      <c r="I186" s="439"/>
      <c r="J186" s="439"/>
      <c r="K186" s="439"/>
      <c r="L186" s="530"/>
      <c r="M186" s="439"/>
      <c r="N186" s="1070"/>
      <c r="O186" s="439"/>
      <c r="P186" s="439"/>
      <c r="Q186" s="439"/>
      <c r="R186" s="530"/>
      <c r="S186" s="439"/>
      <c r="T186" s="1070"/>
      <c r="U186" s="439"/>
    </row>
    <row r="187" ht="15.75" customHeight="1">
      <c r="A187" s="439"/>
      <c r="B187" s="439"/>
      <c r="C187" s="439"/>
      <c r="D187" s="439"/>
      <c r="E187" s="439"/>
      <c r="F187" s="530"/>
      <c r="G187" s="439"/>
      <c r="H187" s="1070"/>
      <c r="I187" s="439"/>
      <c r="J187" s="439"/>
      <c r="K187" s="439"/>
      <c r="L187" s="530"/>
      <c r="M187" s="439"/>
      <c r="N187" s="1070"/>
      <c r="O187" s="439"/>
      <c r="P187" s="439"/>
      <c r="Q187" s="439"/>
      <c r="R187" s="530"/>
      <c r="S187" s="439"/>
      <c r="T187" s="1070"/>
      <c r="U187" s="439"/>
    </row>
    <row r="188" ht="15.75" customHeight="1">
      <c r="A188" s="439"/>
      <c r="B188" s="439"/>
      <c r="C188" s="439"/>
      <c r="D188" s="439"/>
      <c r="E188" s="439"/>
      <c r="F188" s="530"/>
      <c r="G188" s="439"/>
      <c r="H188" s="1070"/>
      <c r="I188" s="439"/>
      <c r="J188" s="439"/>
      <c r="K188" s="439"/>
      <c r="L188" s="530"/>
      <c r="M188" s="439"/>
      <c r="N188" s="1070"/>
      <c r="O188" s="439"/>
      <c r="P188" s="439"/>
      <c r="Q188" s="439"/>
      <c r="R188" s="530"/>
      <c r="S188" s="439"/>
      <c r="T188" s="1070"/>
      <c r="U188" s="439"/>
    </row>
    <row r="189" ht="15.75" customHeight="1">
      <c r="A189" s="439"/>
      <c r="B189" s="439"/>
      <c r="C189" s="439"/>
      <c r="D189" s="439"/>
      <c r="E189" s="439"/>
      <c r="F189" s="530"/>
      <c r="G189" s="439"/>
      <c r="H189" s="1070"/>
      <c r="I189" s="439"/>
      <c r="J189" s="439"/>
      <c r="K189" s="439"/>
      <c r="L189" s="530"/>
      <c r="M189" s="439"/>
      <c r="N189" s="1070"/>
      <c r="O189" s="439"/>
      <c r="P189" s="439"/>
      <c r="Q189" s="439"/>
      <c r="R189" s="530"/>
      <c r="S189" s="439"/>
      <c r="T189" s="1070"/>
      <c r="U189" s="439"/>
    </row>
    <row r="190" ht="15.75" customHeight="1">
      <c r="A190" s="439"/>
      <c r="B190" s="439"/>
      <c r="C190" s="439"/>
      <c r="D190" s="439"/>
      <c r="E190" s="439"/>
      <c r="F190" s="530"/>
      <c r="G190" s="439"/>
      <c r="H190" s="1070"/>
      <c r="I190" s="439"/>
      <c r="J190" s="439"/>
      <c r="K190" s="439"/>
      <c r="L190" s="530"/>
      <c r="M190" s="439"/>
      <c r="N190" s="1070"/>
      <c r="O190" s="439"/>
      <c r="P190" s="439"/>
      <c r="Q190" s="439"/>
      <c r="R190" s="530"/>
      <c r="S190" s="439"/>
      <c r="T190" s="1070"/>
      <c r="U190" s="439"/>
    </row>
    <row r="191" ht="15.75" customHeight="1">
      <c r="A191" s="439"/>
      <c r="B191" s="439"/>
      <c r="C191" s="439"/>
      <c r="D191" s="439"/>
      <c r="E191" s="439"/>
      <c r="F191" s="530"/>
      <c r="G191" s="439"/>
      <c r="H191" s="1070"/>
      <c r="I191" s="439"/>
      <c r="J191" s="439"/>
      <c r="K191" s="439"/>
      <c r="L191" s="530"/>
      <c r="M191" s="439"/>
      <c r="N191" s="1070"/>
      <c r="O191" s="439"/>
      <c r="P191" s="439"/>
      <c r="Q191" s="439"/>
      <c r="R191" s="530"/>
      <c r="S191" s="439"/>
      <c r="T191" s="1070"/>
      <c r="U191" s="439"/>
    </row>
    <row r="192" ht="15.75" customHeight="1">
      <c r="A192" s="439"/>
      <c r="B192" s="439"/>
      <c r="C192" s="439"/>
      <c r="D192" s="439"/>
      <c r="E192" s="439"/>
      <c r="F192" s="530"/>
      <c r="G192" s="439"/>
      <c r="H192" s="1070"/>
      <c r="I192" s="439"/>
      <c r="J192" s="439"/>
      <c r="K192" s="439"/>
      <c r="L192" s="530"/>
      <c r="M192" s="439"/>
      <c r="N192" s="1070"/>
      <c r="O192" s="439"/>
      <c r="P192" s="439"/>
      <c r="Q192" s="439"/>
      <c r="R192" s="530"/>
      <c r="S192" s="439"/>
      <c r="T192" s="1070"/>
      <c r="U192" s="439"/>
    </row>
    <row r="193" ht="15.75" customHeight="1">
      <c r="A193" s="439"/>
      <c r="B193" s="439"/>
      <c r="C193" s="439"/>
      <c r="D193" s="439"/>
      <c r="E193" s="439"/>
      <c r="F193" s="530"/>
      <c r="G193" s="439"/>
      <c r="H193" s="1070"/>
      <c r="I193" s="439"/>
      <c r="J193" s="439"/>
      <c r="K193" s="439"/>
      <c r="L193" s="530"/>
      <c r="M193" s="439"/>
      <c r="N193" s="1070"/>
      <c r="O193" s="439"/>
      <c r="P193" s="439"/>
      <c r="Q193" s="439"/>
      <c r="R193" s="530"/>
      <c r="S193" s="439"/>
      <c r="T193" s="1070"/>
      <c r="U193" s="439"/>
    </row>
    <row r="194" ht="15.75" customHeight="1">
      <c r="A194" s="439"/>
      <c r="B194" s="439"/>
      <c r="C194" s="439"/>
      <c r="D194" s="439"/>
      <c r="E194" s="439"/>
      <c r="F194" s="530"/>
      <c r="G194" s="439"/>
      <c r="H194" s="1070"/>
      <c r="I194" s="439"/>
      <c r="J194" s="439"/>
      <c r="K194" s="439"/>
      <c r="L194" s="530"/>
      <c r="M194" s="439"/>
      <c r="N194" s="1070"/>
      <c r="O194" s="439"/>
      <c r="P194" s="439"/>
      <c r="Q194" s="439"/>
      <c r="R194" s="530"/>
      <c r="S194" s="439"/>
      <c r="T194" s="1070"/>
      <c r="U194" s="439"/>
    </row>
    <row r="195" ht="15.75" customHeight="1">
      <c r="A195" s="439"/>
      <c r="B195" s="439"/>
      <c r="C195" s="439"/>
      <c r="D195" s="439"/>
      <c r="E195" s="439"/>
      <c r="F195" s="530"/>
      <c r="G195" s="439"/>
      <c r="H195" s="1070"/>
      <c r="I195" s="439"/>
      <c r="J195" s="439"/>
      <c r="K195" s="439"/>
      <c r="L195" s="530"/>
      <c r="M195" s="439"/>
      <c r="N195" s="1070"/>
      <c r="O195" s="439"/>
      <c r="P195" s="439"/>
      <c r="Q195" s="439"/>
      <c r="R195" s="530"/>
      <c r="S195" s="439"/>
      <c r="T195" s="1070"/>
      <c r="U195" s="439"/>
    </row>
    <row r="196" ht="15.75" customHeight="1">
      <c r="A196" s="439"/>
      <c r="B196" s="439"/>
      <c r="C196" s="439"/>
      <c r="D196" s="439"/>
      <c r="E196" s="439"/>
      <c r="F196" s="530"/>
      <c r="G196" s="439"/>
      <c r="H196" s="1070"/>
      <c r="I196" s="439"/>
      <c r="J196" s="439"/>
      <c r="K196" s="439"/>
      <c r="L196" s="530"/>
      <c r="M196" s="439"/>
      <c r="N196" s="1070"/>
      <c r="O196" s="439"/>
      <c r="P196" s="439"/>
      <c r="Q196" s="439"/>
      <c r="R196" s="530"/>
      <c r="S196" s="439"/>
      <c r="T196" s="1070"/>
      <c r="U196" s="439"/>
    </row>
    <row r="197" ht="15.75" customHeight="1">
      <c r="A197" s="439"/>
      <c r="B197" s="439"/>
      <c r="C197" s="439"/>
      <c r="D197" s="439"/>
      <c r="E197" s="439"/>
      <c r="F197" s="530"/>
      <c r="G197" s="439"/>
      <c r="H197" s="1070"/>
      <c r="I197" s="439"/>
      <c r="J197" s="439"/>
      <c r="K197" s="439"/>
      <c r="L197" s="530"/>
      <c r="M197" s="439"/>
      <c r="N197" s="1070"/>
      <c r="O197" s="439"/>
      <c r="P197" s="439"/>
      <c r="Q197" s="439"/>
      <c r="R197" s="530"/>
      <c r="S197" s="439"/>
      <c r="T197" s="1070"/>
      <c r="U197" s="439"/>
    </row>
    <row r="198" ht="15.75" customHeight="1">
      <c r="A198" s="439"/>
      <c r="B198" s="439"/>
      <c r="C198" s="439"/>
      <c r="D198" s="439"/>
      <c r="E198" s="439"/>
      <c r="F198" s="530"/>
      <c r="G198" s="439"/>
      <c r="H198" s="1070"/>
      <c r="I198" s="439"/>
      <c r="J198" s="439"/>
      <c r="K198" s="439"/>
      <c r="L198" s="530"/>
      <c r="M198" s="439"/>
      <c r="N198" s="1070"/>
      <c r="O198" s="439"/>
      <c r="P198" s="439"/>
      <c r="Q198" s="439"/>
      <c r="R198" s="530"/>
      <c r="S198" s="439"/>
      <c r="T198" s="1070"/>
      <c r="U198" s="439"/>
    </row>
    <row r="199" ht="15.75" customHeight="1">
      <c r="A199" s="439"/>
      <c r="B199" s="439"/>
      <c r="C199" s="439"/>
      <c r="D199" s="439"/>
      <c r="E199" s="439"/>
      <c r="F199" s="530"/>
      <c r="G199" s="439"/>
      <c r="H199" s="1070"/>
      <c r="I199" s="439"/>
      <c r="J199" s="439"/>
      <c r="K199" s="439"/>
      <c r="L199" s="530"/>
      <c r="M199" s="439"/>
      <c r="N199" s="1070"/>
      <c r="O199" s="439"/>
      <c r="P199" s="439"/>
      <c r="Q199" s="439"/>
      <c r="R199" s="530"/>
      <c r="S199" s="439"/>
      <c r="T199" s="1070"/>
      <c r="U199" s="439"/>
    </row>
    <row r="200" ht="15.75" customHeight="1">
      <c r="A200" s="439"/>
      <c r="B200" s="439"/>
      <c r="C200" s="439"/>
      <c r="D200" s="439"/>
      <c r="E200" s="439"/>
      <c r="F200" s="530"/>
      <c r="G200" s="439"/>
      <c r="H200" s="1070"/>
      <c r="I200" s="439"/>
      <c r="J200" s="439"/>
      <c r="K200" s="439"/>
      <c r="L200" s="530"/>
      <c r="M200" s="439"/>
      <c r="N200" s="1070"/>
      <c r="O200" s="439"/>
      <c r="P200" s="439"/>
      <c r="Q200" s="439"/>
      <c r="R200" s="530"/>
      <c r="S200" s="439"/>
      <c r="T200" s="1070"/>
      <c r="U200" s="439"/>
    </row>
    <row r="201" ht="15.75" customHeight="1">
      <c r="A201" s="439"/>
      <c r="B201" s="439"/>
      <c r="C201" s="439"/>
      <c r="D201" s="439"/>
      <c r="E201" s="439"/>
      <c r="F201" s="530"/>
      <c r="G201" s="439"/>
      <c r="H201" s="1070"/>
      <c r="I201" s="439"/>
      <c r="J201" s="439"/>
      <c r="K201" s="439"/>
      <c r="L201" s="530"/>
      <c r="M201" s="439"/>
      <c r="N201" s="1070"/>
      <c r="O201" s="439"/>
      <c r="P201" s="439"/>
      <c r="Q201" s="439"/>
      <c r="R201" s="530"/>
      <c r="S201" s="439"/>
      <c r="T201" s="1070"/>
      <c r="U201" s="439"/>
    </row>
    <row r="202" ht="15.75" customHeight="1">
      <c r="A202" s="439"/>
      <c r="B202" s="439"/>
      <c r="C202" s="439"/>
      <c r="D202" s="439"/>
      <c r="E202" s="439"/>
      <c r="F202" s="530"/>
      <c r="G202" s="439"/>
      <c r="H202" s="1070"/>
      <c r="I202" s="439"/>
      <c r="J202" s="439"/>
      <c r="K202" s="439"/>
      <c r="L202" s="530"/>
      <c r="M202" s="439"/>
      <c r="N202" s="1070"/>
      <c r="O202" s="439"/>
      <c r="P202" s="439"/>
      <c r="Q202" s="439"/>
      <c r="R202" s="530"/>
      <c r="S202" s="439"/>
      <c r="T202" s="1070"/>
      <c r="U202" s="439"/>
    </row>
    <row r="203" ht="15.75" customHeight="1">
      <c r="A203" s="439"/>
      <c r="B203" s="439"/>
      <c r="C203" s="439"/>
      <c r="D203" s="439"/>
      <c r="E203" s="439"/>
      <c r="F203" s="530"/>
      <c r="G203" s="439"/>
      <c r="H203" s="1070"/>
      <c r="I203" s="439"/>
      <c r="J203" s="439"/>
      <c r="K203" s="439"/>
      <c r="L203" s="530"/>
      <c r="M203" s="439"/>
      <c r="N203" s="1070"/>
      <c r="O203" s="439"/>
      <c r="P203" s="439"/>
      <c r="Q203" s="439"/>
      <c r="R203" s="530"/>
      <c r="S203" s="439"/>
      <c r="T203" s="1070"/>
      <c r="U203" s="439"/>
    </row>
    <row r="204" ht="15.75" customHeight="1">
      <c r="A204" s="439"/>
      <c r="B204" s="439"/>
      <c r="C204" s="439"/>
      <c r="D204" s="439"/>
      <c r="E204" s="439"/>
      <c r="F204" s="530"/>
      <c r="G204" s="439"/>
      <c r="H204" s="1070"/>
      <c r="I204" s="439"/>
      <c r="J204" s="439"/>
      <c r="K204" s="439"/>
      <c r="L204" s="530"/>
      <c r="M204" s="439"/>
      <c r="N204" s="1070"/>
      <c r="O204" s="439"/>
      <c r="P204" s="439"/>
      <c r="Q204" s="439"/>
      <c r="R204" s="530"/>
      <c r="S204" s="439"/>
      <c r="T204" s="1070"/>
      <c r="U204" s="439"/>
    </row>
    <row r="205" ht="15.75" customHeight="1">
      <c r="A205" s="439"/>
      <c r="B205" s="439"/>
      <c r="C205" s="439"/>
      <c r="D205" s="439"/>
      <c r="E205" s="439"/>
      <c r="F205" s="530"/>
      <c r="G205" s="439"/>
      <c r="H205" s="1070"/>
      <c r="I205" s="439"/>
      <c r="J205" s="439"/>
      <c r="K205" s="439"/>
      <c r="L205" s="530"/>
      <c r="M205" s="439"/>
      <c r="N205" s="1070"/>
      <c r="O205" s="439"/>
      <c r="P205" s="439"/>
      <c r="Q205" s="439"/>
      <c r="R205" s="530"/>
      <c r="S205" s="439"/>
      <c r="T205" s="1070"/>
      <c r="U205" s="439"/>
    </row>
    <row r="206" ht="15.75" customHeight="1">
      <c r="A206" s="439"/>
      <c r="B206" s="439"/>
      <c r="C206" s="439"/>
      <c r="D206" s="439"/>
      <c r="E206" s="439"/>
      <c r="F206" s="530"/>
      <c r="G206" s="439"/>
      <c r="H206" s="1070"/>
      <c r="I206" s="439"/>
      <c r="J206" s="439"/>
      <c r="K206" s="439"/>
      <c r="L206" s="530"/>
      <c r="M206" s="439"/>
      <c r="N206" s="1070"/>
      <c r="O206" s="439"/>
      <c r="P206" s="439"/>
      <c r="Q206" s="439"/>
      <c r="R206" s="530"/>
      <c r="S206" s="439"/>
      <c r="T206" s="1070"/>
      <c r="U206" s="439"/>
    </row>
    <row r="207" ht="15.75" customHeight="1">
      <c r="A207" s="439"/>
      <c r="B207" s="439"/>
      <c r="C207" s="439"/>
      <c r="D207" s="439"/>
      <c r="E207" s="439"/>
      <c r="F207" s="530"/>
      <c r="G207" s="439"/>
      <c r="H207" s="1070"/>
      <c r="I207" s="439"/>
      <c r="J207" s="439"/>
      <c r="K207" s="439"/>
      <c r="L207" s="530"/>
      <c r="M207" s="439"/>
      <c r="N207" s="1070"/>
      <c r="O207" s="439"/>
      <c r="P207" s="439"/>
      <c r="Q207" s="439"/>
      <c r="R207" s="530"/>
      <c r="S207" s="439"/>
      <c r="T207" s="1070"/>
      <c r="U207" s="439"/>
    </row>
    <row r="208" ht="15.75" customHeight="1">
      <c r="A208" s="439"/>
      <c r="B208" s="439"/>
      <c r="C208" s="439"/>
      <c r="D208" s="439"/>
      <c r="E208" s="439"/>
      <c r="F208" s="530"/>
      <c r="G208" s="439"/>
      <c r="H208" s="1070"/>
      <c r="I208" s="439"/>
      <c r="J208" s="439"/>
      <c r="K208" s="439"/>
      <c r="L208" s="530"/>
      <c r="M208" s="439"/>
      <c r="N208" s="1070"/>
      <c r="O208" s="439"/>
      <c r="P208" s="439"/>
      <c r="Q208" s="439"/>
      <c r="R208" s="530"/>
      <c r="S208" s="439"/>
      <c r="T208" s="1070"/>
      <c r="U208" s="439"/>
    </row>
    <row r="209" ht="15.75" customHeight="1">
      <c r="A209" s="439"/>
      <c r="B209" s="439"/>
      <c r="C209" s="439"/>
      <c r="D209" s="439"/>
      <c r="E209" s="439"/>
      <c r="F209" s="530"/>
      <c r="G209" s="439"/>
      <c r="H209" s="1070"/>
      <c r="I209" s="439"/>
      <c r="J209" s="439"/>
      <c r="K209" s="439"/>
      <c r="L209" s="530"/>
      <c r="M209" s="439"/>
      <c r="N209" s="1070"/>
      <c r="O209" s="439"/>
      <c r="P209" s="439"/>
      <c r="Q209" s="439"/>
      <c r="R209" s="530"/>
      <c r="S209" s="439"/>
      <c r="T209" s="1070"/>
      <c r="U209" s="439"/>
    </row>
    <row r="210" ht="15.75" customHeight="1">
      <c r="A210" s="439"/>
      <c r="B210" s="439"/>
      <c r="C210" s="439"/>
      <c r="D210" s="439"/>
      <c r="E210" s="439"/>
      <c r="F210" s="530"/>
      <c r="G210" s="439"/>
      <c r="H210" s="1070"/>
      <c r="I210" s="439"/>
      <c r="J210" s="439"/>
      <c r="K210" s="439"/>
      <c r="L210" s="530"/>
      <c r="M210" s="439"/>
      <c r="N210" s="1070"/>
      <c r="O210" s="439"/>
      <c r="P210" s="439"/>
      <c r="Q210" s="439"/>
      <c r="R210" s="530"/>
      <c r="S210" s="439"/>
      <c r="T210" s="1070"/>
      <c r="U210" s="439"/>
    </row>
    <row r="211" ht="15.75" customHeight="1">
      <c r="A211" s="439"/>
      <c r="B211" s="439"/>
      <c r="C211" s="439"/>
      <c r="D211" s="439"/>
      <c r="E211" s="439"/>
      <c r="F211" s="530"/>
      <c r="G211" s="439"/>
      <c r="H211" s="1070"/>
      <c r="I211" s="439"/>
      <c r="J211" s="439"/>
      <c r="K211" s="439"/>
      <c r="L211" s="530"/>
      <c r="M211" s="439"/>
      <c r="N211" s="1070"/>
      <c r="O211" s="439"/>
      <c r="P211" s="439"/>
      <c r="Q211" s="439"/>
      <c r="R211" s="530"/>
      <c r="S211" s="439"/>
      <c r="T211" s="1070"/>
      <c r="U211" s="439"/>
    </row>
    <row r="212" ht="15.75" customHeight="1">
      <c r="A212" s="439"/>
      <c r="B212" s="439"/>
      <c r="C212" s="439"/>
      <c r="D212" s="439"/>
      <c r="E212" s="439"/>
      <c r="F212" s="530"/>
      <c r="G212" s="439"/>
      <c r="H212" s="1070"/>
      <c r="I212" s="439"/>
      <c r="J212" s="439"/>
      <c r="K212" s="439"/>
      <c r="L212" s="530"/>
      <c r="M212" s="439"/>
      <c r="N212" s="1070"/>
      <c r="O212" s="439"/>
      <c r="P212" s="439"/>
      <c r="Q212" s="439"/>
      <c r="R212" s="530"/>
      <c r="S212" s="439"/>
      <c r="T212" s="1070"/>
      <c r="U212" s="439"/>
    </row>
    <row r="213" ht="15.75" customHeight="1">
      <c r="A213" s="439"/>
      <c r="B213" s="439"/>
      <c r="C213" s="439"/>
      <c r="D213" s="439"/>
      <c r="E213" s="439"/>
      <c r="F213" s="530"/>
      <c r="G213" s="439"/>
      <c r="H213" s="1070"/>
      <c r="I213" s="439"/>
      <c r="J213" s="439"/>
      <c r="K213" s="439"/>
      <c r="L213" s="530"/>
      <c r="M213" s="439"/>
      <c r="N213" s="1070"/>
      <c r="O213" s="439"/>
      <c r="P213" s="439"/>
      <c r="Q213" s="439"/>
      <c r="R213" s="530"/>
      <c r="S213" s="439"/>
      <c r="T213" s="1070"/>
      <c r="U213" s="439"/>
    </row>
    <row r="214" ht="15.75" customHeight="1">
      <c r="A214" s="439"/>
      <c r="B214" s="439"/>
      <c r="C214" s="439"/>
      <c r="D214" s="439"/>
      <c r="E214" s="439"/>
      <c r="F214" s="530"/>
      <c r="G214" s="439"/>
      <c r="H214" s="1070"/>
      <c r="I214" s="439"/>
      <c r="J214" s="439"/>
      <c r="K214" s="439"/>
      <c r="L214" s="530"/>
      <c r="M214" s="439"/>
      <c r="N214" s="1070"/>
      <c r="O214" s="439"/>
      <c r="P214" s="439"/>
      <c r="Q214" s="439"/>
      <c r="R214" s="530"/>
      <c r="S214" s="439"/>
      <c r="T214" s="1070"/>
      <c r="U214" s="439"/>
    </row>
    <row r="215" ht="15.75" customHeight="1">
      <c r="A215" s="439"/>
      <c r="B215" s="439"/>
      <c r="C215" s="439"/>
      <c r="D215" s="439"/>
      <c r="E215" s="439"/>
      <c r="F215" s="530"/>
      <c r="G215" s="439"/>
      <c r="H215" s="1070"/>
      <c r="I215" s="439"/>
      <c r="J215" s="439"/>
      <c r="K215" s="439"/>
      <c r="L215" s="530"/>
      <c r="M215" s="439"/>
      <c r="N215" s="1070"/>
      <c r="O215" s="439"/>
      <c r="P215" s="439"/>
      <c r="Q215" s="439"/>
      <c r="R215" s="530"/>
      <c r="S215" s="439"/>
      <c r="T215" s="1070"/>
      <c r="U215" s="439"/>
    </row>
    <row r="216" ht="15.75" customHeight="1">
      <c r="A216" s="439"/>
      <c r="B216" s="439"/>
      <c r="C216" s="439"/>
      <c r="D216" s="439"/>
      <c r="E216" s="439"/>
      <c r="F216" s="530"/>
      <c r="G216" s="439"/>
      <c r="H216" s="1070"/>
      <c r="I216" s="439"/>
      <c r="J216" s="439"/>
      <c r="K216" s="439"/>
      <c r="L216" s="530"/>
      <c r="M216" s="439"/>
      <c r="N216" s="1070"/>
      <c r="O216" s="439"/>
      <c r="P216" s="439"/>
      <c r="Q216" s="439"/>
      <c r="R216" s="530"/>
      <c r="S216" s="439"/>
      <c r="T216" s="1070"/>
      <c r="U216" s="439"/>
    </row>
    <row r="217" ht="15.75" customHeight="1">
      <c r="A217" s="439"/>
      <c r="B217" s="439"/>
      <c r="C217" s="439"/>
      <c r="D217" s="439"/>
      <c r="E217" s="439"/>
      <c r="F217" s="530"/>
      <c r="G217" s="439"/>
      <c r="H217" s="1070"/>
      <c r="I217" s="439"/>
      <c r="J217" s="439"/>
      <c r="K217" s="439"/>
      <c r="L217" s="530"/>
      <c r="M217" s="439"/>
      <c r="N217" s="1070"/>
      <c r="O217" s="439"/>
      <c r="P217" s="439"/>
      <c r="Q217" s="439"/>
      <c r="R217" s="530"/>
      <c r="S217" s="439"/>
      <c r="T217" s="1070"/>
      <c r="U217" s="439"/>
    </row>
    <row r="218" ht="15.75" customHeight="1">
      <c r="A218" s="439"/>
      <c r="B218" s="439"/>
      <c r="C218" s="439"/>
      <c r="D218" s="439"/>
      <c r="E218" s="439"/>
      <c r="F218" s="530"/>
      <c r="G218" s="439"/>
      <c r="H218" s="1070"/>
      <c r="I218" s="439"/>
      <c r="J218" s="439"/>
      <c r="K218" s="439"/>
      <c r="L218" s="530"/>
      <c r="M218" s="439"/>
      <c r="N218" s="1070"/>
      <c r="O218" s="439"/>
      <c r="P218" s="439"/>
      <c r="Q218" s="439"/>
      <c r="R218" s="530"/>
      <c r="S218" s="439"/>
      <c r="T218" s="1070"/>
      <c r="U218" s="439"/>
    </row>
    <row r="219" ht="15.75" customHeight="1">
      <c r="A219" s="439"/>
      <c r="B219" s="439"/>
      <c r="C219" s="439"/>
      <c r="D219" s="439"/>
      <c r="E219" s="439"/>
      <c r="F219" s="530"/>
      <c r="G219" s="439"/>
      <c r="H219" s="1070"/>
      <c r="I219" s="439"/>
      <c r="J219" s="439"/>
      <c r="K219" s="439"/>
      <c r="L219" s="530"/>
      <c r="M219" s="439"/>
      <c r="N219" s="1070"/>
      <c r="O219" s="439"/>
      <c r="P219" s="439"/>
      <c r="Q219" s="439"/>
      <c r="R219" s="530"/>
      <c r="S219" s="439"/>
      <c r="T219" s="1070"/>
      <c r="U219" s="439"/>
    </row>
    <row r="220" ht="15.75" customHeight="1">
      <c r="A220" s="439"/>
      <c r="B220" s="439"/>
      <c r="C220" s="439"/>
      <c r="D220" s="439"/>
      <c r="E220" s="439"/>
      <c r="F220" s="530"/>
      <c r="G220" s="439"/>
      <c r="H220" s="1070"/>
      <c r="I220" s="439"/>
      <c r="J220" s="439"/>
      <c r="K220" s="439"/>
      <c r="L220" s="530"/>
      <c r="M220" s="439"/>
      <c r="N220" s="1070"/>
      <c r="O220" s="439"/>
      <c r="P220" s="439"/>
      <c r="Q220" s="439"/>
      <c r="R220" s="530"/>
      <c r="S220" s="439"/>
      <c r="T220" s="1070"/>
      <c r="U220" s="439"/>
    </row>
    <row r="221" ht="15.75" customHeight="1">
      <c r="A221" s="439"/>
      <c r="B221" s="439"/>
      <c r="C221" s="439"/>
      <c r="D221" s="439"/>
      <c r="E221" s="439"/>
      <c r="F221" s="530"/>
      <c r="G221" s="439"/>
      <c r="H221" s="1070"/>
      <c r="I221" s="439"/>
      <c r="J221" s="439"/>
      <c r="K221" s="439"/>
      <c r="L221" s="530"/>
      <c r="M221" s="439"/>
      <c r="N221" s="1070"/>
      <c r="O221" s="439"/>
      <c r="P221" s="439"/>
      <c r="Q221" s="439"/>
      <c r="R221" s="530"/>
      <c r="S221" s="439"/>
      <c r="T221" s="1070"/>
      <c r="U221" s="439"/>
    </row>
    <row r="222" ht="15.75" customHeight="1">
      <c r="A222" s="439"/>
      <c r="B222" s="439"/>
      <c r="C222" s="439"/>
      <c r="D222" s="439"/>
      <c r="E222" s="439"/>
      <c r="F222" s="530"/>
      <c r="G222" s="439"/>
      <c r="H222" s="1070"/>
      <c r="I222" s="439"/>
      <c r="J222" s="439"/>
      <c r="K222" s="439"/>
      <c r="L222" s="530"/>
      <c r="M222" s="439"/>
      <c r="N222" s="1070"/>
      <c r="O222" s="439"/>
      <c r="P222" s="439"/>
      <c r="Q222" s="439"/>
      <c r="R222" s="530"/>
      <c r="S222" s="439"/>
      <c r="T222" s="1070"/>
      <c r="U222" s="439"/>
    </row>
    <row r="223" ht="15.75" customHeight="1">
      <c r="A223" s="439"/>
      <c r="B223" s="439"/>
      <c r="C223" s="439"/>
      <c r="D223" s="439"/>
      <c r="E223" s="439"/>
      <c r="F223" s="530"/>
      <c r="G223" s="439"/>
      <c r="H223" s="1070"/>
      <c r="I223" s="439"/>
      <c r="J223" s="439"/>
      <c r="K223" s="439"/>
      <c r="L223" s="530"/>
      <c r="M223" s="439"/>
      <c r="N223" s="1070"/>
      <c r="O223" s="439"/>
      <c r="P223" s="439"/>
      <c r="Q223" s="439"/>
      <c r="R223" s="530"/>
      <c r="S223" s="439"/>
      <c r="T223" s="1070"/>
      <c r="U223" s="439"/>
    </row>
    <row r="224" ht="15.75" customHeight="1">
      <c r="A224" s="439"/>
      <c r="B224" s="439"/>
      <c r="C224" s="439"/>
      <c r="D224" s="439"/>
      <c r="E224" s="439"/>
      <c r="F224" s="530"/>
      <c r="G224" s="439"/>
      <c r="H224" s="1070"/>
      <c r="I224" s="439"/>
      <c r="J224" s="439"/>
      <c r="K224" s="439"/>
      <c r="L224" s="530"/>
      <c r="M224" s="439"/>
      <c r="N224" s="1070"/>
      <c r="O224" s="439"/>
      <c r="P224" s="439"/>
      <c r="Q224" s="439"/>
      <c r="R224" s="530"/>
      <c r="S224" s="439"/>
      <c r="T224" s="1070"/>
      <c r="U224" s="439"/>
    </row>
    <row r="225" ht="15.75" customHeight="1">
      <c r="A225" s="439"/>
      <c r="B225" s="439"/>
      <c r="C225" s="439"/>
      <c r="D225" s="439"/>
      <c r="E225" s="439"/>
      <c r="F225" s="530"/>
      <c r="G225" s="439"/>
      <c r="H225" s="1070"/>
      <c r="I225" s="439"/>
      <c r="J225" s="439"/>
      <c r="K225" s="439"/>
      <c r="L225" s="530"/>
      <c r="M225" s="439"/>
      <c r="N225" s="1070"/>
      <c r="O225" s="439"/>
      <c r="P225" s="439"/>
      <c r="Q225" s="439"/>
      <c r="R225" s="530"/>
      <c r="S225" s="439"/>
      <c r="T225" s="1070"/>
      <c r="U225" s="439"/>
    </row>
    <row r="226" ht="15.75" customHeight="1">
      <c r="A226" s="439"/>
      <c r="B226" s="439"/>
      <c r="C226" s="439"/>
      <c r="D226" s="439"/>
      <c r="E226" s="439"/>
      <c r="F226" s="530"/>
      <c r="G226" s="439"/>
      <c r="H226" s="1070"/>
      <c r="I226" s="439"/>
      <c r="J226" s="439"/>
      <c r="K226" s="439"/>
      <c r="L226" s="530"/>
      <c r="M226" s="439"/>
      <c r="N226" s="1070"/>
      <c r="O226" s="439"/>
      <c r="P226" s="439"/>
      <c r="Q226" s="439"/>
      <c r="R226" s="530"/>
      <c r="S226" s="439"/>
      <c r="T226" s="1070"/>
      <c r="U226" s="439"/>
    </row>
    <row r="227" ht="15.75" customHeight="1">
      <c r="A227" s="439"/>
      <c r="B227" s="439"/>
      <c r="C227" s="439"/>
      <c r="D227" s="439"/>
      <c r="E227" s="439"/>
      <c r="F227" s="530"/>
      <c r="G227" s="439"/>
      <c r="H227" s="1070"/>
      <c r="I227" s="439"/>
      <c r="J227" s="439"/>
      <c r="K227" s="439"/>
      <c r="L227" s="530"/>
      <c r="M227" s="439"/>
      <c r="N227" s="1070"/>
      <c r="O227" s="439"/>
      <c r="P227" s="439"/>
      <c r="Q227" s="439"/>
      <c r="R227" s="530"/>
      <c r="S227" s="439"/>
      <c r="T227" s="1070"/>
      <c r="U227" s="439"/>
    </row>
    <row r="228" ht="15.75" customHeight="1">
      <c r="A228" s="439"/>
      <c r="B228" s="439"/>
      <c r="C228" s="439"/>
      <c r="D228" s="439"/>
      <c r="E228" s="439"/>
      <c r="F228" s="530"/>
      <c r="G228" s="439"/>
      <c r="H228" s="1070"/>
      <c r="I228" s="439"/>
      <c r="J228" s="439"/>
      <c r="K228" s="439"/>
      <c r="L228" s="530"/>
      <c r="M228" s="439"/>
      <c r="N228" s="1070"/>
      <c r="O228" s="439"/>
      <c r="P228" s="439"/>
      <c r="Q228" s="439"/>
      <c r="R228" s="530"/>
      <c r="S228" s="439"/>
      <c r="T228" s="1070"/>
      <c r="U228" s="439"/>
    </row>
    <row r="229" ht="15.75" customHeight="1">
      <c r="A229" s="439"/>
      <c r="B229" s="439"/>
      <c r="C229" s="439"/>
      <c r="D229" s="439"/>
      <c r="E229" s="439"/>
      <c r="F229" s="530"/>
      <c r="G229" s="439"/>
      <c r="H229" s="1070"/>
      <c r="I229" s="439"/>
      <c r="J229" s="439"/>
      <c r="K229" s="439"/>
      <c r="L229" s="530"/>
      <c r="M229" s="439"/>
      <c r="N229" s="1070"/>
      <c r="O229" s="439"/>
      <c r="P229" s="439"/>
      <c r="Q229" s="439"/>
      <c r="R229" s="530"/>
      <c r="S229" s="439"/>
      <c r="T229" s="1070"/>
      <c r="U229" s="439"/>
    </row>
    <row r="230" ht="15.75" customHeight="1">
      <c r="A230" s="439"/>
      <c r="B230" s="439"/>
      <c r="C230" s="439"/>
      <c r="D230" s="439"/>
      <c r="E230" s="439"/>
      <c r="F230" s="530"/>
      <c r="G230" s="439"/>
      <c r="H230" s="1070"/>
      <c r="I230" s="439"/>
      <c r="J230" s="439"/>
      <c r="K230" s="439"/>
      <c r="L230" s="530"/>
      <c r="M230" s="439"/>
      <c r="N230" s="1070"/>
      <c r="O230" s="439"/>
      <c r="P230" s="439"/>
      <c r="Q230" s="439"/>
      <c r="R230" s="530"/>
      <c r="S230" s="439"/>
      <c r="T230" s="1070"/>
      <c r="U230" s="439"/>
    </row>
    <row r="231" ht="15.75" customHeight="1">
      <c r="A231" s="439"/>
      <c r="B231" s="439"/>
      <c r="C231" s="439"/>
      <c r="D231" s="439"/>
      <c r="E231" s="439"/>
      <c r="F231" s="530"/>
      <c r="G231" s="439"/>
      <c r="H231" s="1070"/>
      <c r="I231" s="439"/>
      <c r="J231" s="439"/>
      <c r="K231" s="439"/>
      <c r="L231" s="530"/>
      <c r="M231" s="439"/>
      <c r="N231" s="1070"/>
      <c r="O231" s="439"/>
      <c r="P231" s="439"/>
      <c r="Q231" s="439"/>
      <c r="R231" s="530"/>
      <c r="S231" s="439"/>
      <c r="T231" s="1070"/>
      <c r="U231" s="439"/>
    </row>
    <row r="232" ht="15.75" customHeight="1">
      <c r="A232" s="439"/>
      <c r="B232" s="439"/>
      <c r="C232" s="439"/>
      <c r="D232" s="439"/>
      <c r="E232" s="439"/>
      <c r="F232" s="530"/>
      <c r="G232" s="439"/>
      <c r="H232" s="1070"/>
      <c r="I232" s="439"/>
      <c r="J232" s="439"/>
      <c r="K232" s="439"/>
      <c r="L232" s="530"/>
      <c r="M232" s="439"/>
      <c r="N232" s="1070"/>
      <c r="O232" s="439"/>
      <c r="P232" s="439"/>
      <c r="Q232" s="439"/>
      <c r="R232" s="530"/>
      <c r="S232" s="439"/>
      <c r="T232" s="1070"/>
      <c r="U232" s="439"/>
    </row>
    <row r="233" ht="15.75" customHeight="1">
      <c r="A233" s="439"/>
      <c r="B233" s="439"/>
      <c r="C233" s="439"/>
      <c r="D233" s="439"/>
      <c r="E233" s="439"/>
      <c r="F233" s="530"/>
      <c r="G233" s="439"/>
      <c r="H233" s="1070"/>
      <c r="I233" s="439"/>
      <c r="J233" s="439"/>
      <c r="K233" s="439"/>
      <c r="L233" s="530"/>
      <c r="M233" s="439"/>
      <c r="N233" s="1070"/>
      <c r="O233" s="439"/>
      <c r="P233" s="439"/>
      <c r="Q233" s="439"/>
      <c r="R233" s="530"/>
      <c r="S233" s="439"/>
      <c r="T233" s="1070"/>
      <c r="U233" s="439"/>
    </row>
    <row r="234" ht="15.75" customHeight="1">
      <c r="A234" s="439"/>
      <c r="B234" s="439"/>
      <c r="C234" s="439"/>
      <c r="D234" s="439"/>
      <c r="E234" s="439"/>
      <c r="F234" s="530"/>
      <c r="G234" s="439"/>
      <c r="H234" s="1070"/>
      <c r="I234" s="439"/>
      <c r="J234" s="439"/>
      <c r="K234" s="439"/>
      <c r="L234" s="530"/>
      <c r="M234" s="439"/>
      <c r="N234" s="1070"/>
      <c r="O234" s="439"/>
      <c r="P234" s="439"/>
      <c r="Q234" s="439"/>
      <c r="R234" s="530"/>
      <c r="S234" s="439"/>
      <c r="T234" s="1070"/>
      <c r="U234" s="439"/>
    </row>
    <row r="235" ht="15.75" customHeight="1">
      <c r="A235" s="439"/>
      <c r="B235" s="439"/>
      <c r="C235" s="439"/>
      <c r="D235" s="439"/>
      <c r="E235" s="439"/>
      <c r="F235" s="530"/>
      <c r="G235" s="439"/>
      <c r="H235" s="1070"/>
      <c r="I235" s="439"/>
      <c r="J235" s="439"/>
      <c r="K235" s="439"/>
      <c r="L235" s="530"/>
      <c r="M235" s="439"/>
      <c r="N235" s="1070"/>
      <c r="O235" s="439"/>
      <c r="P235" s="439"/>
      <c r="Q235" s="439"/>
      <c r="R235" s="530"/>
      <c r="S235" s="439"/>
      <c r="T235" s="1070"/>
      <c r="U235" s="439"/>
    </row>
    <row r="236" ht="15.75" customHeight="1">
      <c r="A236" s="439"/>
      <c r="B236" s="439"/>
      <c r="C236" s="439"/>
      <c r="D236" s="439"/>
      <c r="E236" s="439"/>
      <c r="F236" s="530"/>
      <c r="G236" s="439"/>
      <c r="H236" s="1070"/>
      <c r="I236" s="439"/>
      <c r="J236" s="439"/>
      <c r="K236" s="439"/>
      <c r="L236" s="530"/>
      <c r="M236" s="439"/>
      <c r="N236" s="1070"/>
      <c r="O236" s="439"/>
      <c r="P236" s="439"/>
      <c r="Q236" s="439"/>
      <c r="R236" s="530"/>
      <c r="S236" s="439"/>
      <c r="T236" s="1070"/>
      <c r="U236" s="439"/>
    </row>
    <row r="237" ht="15.75" customHeight="1">
      <c r="A237" s="439"/>
      <c r="B237" s="439"/>
      <c r="C237" s="439"/>
      <c r="D237" s="439"/>
      <c r="E237" s="439"/>
      <c r="F237" s="530"/>
      <c r="G237" s="439"/>
      <c r="H237" s="1070"/>
      <c r="I237" s="439"/>
      <c r="J237" s="439"/>
      <c r="K237" s="439"/>
      <c r="L237" s="530"/>
      <c r="M237" s="439"/>
      <c r="N237" s="1070"/>
      <c r="O237" s="439"/>
      <c r="P237" s="439"/>
      <c r="Q237" s="439"/>
      <c r="R237" s="530"/>
      <c r="S237" s="439"/>
      <c r="T237" s="1070"/>
      <c r="U237" s="439"/>
    </row>
    <row r="238" ht="15.75" customHeight="1">
      <c r="A238" s="439"/>
      <c r="B238" s="439"/>
      <c r="C238" s="439"/>
      <c r="D238" s="439"/>
      <c r="E238" s="439"/>
      <c r="F238" s="530"/>
      <c r="G238" s="439"/>
      <c r="H238" s="1070"/>
      <c r="I238" s="439"/>
      <c r="J238" s="439"/>
      <c r="K238" s="439"/>
      <c r="L238" s="530"/>
      <c r="M238" s="439"/>
      <c r="N238" s="1070"/>
      <c r="O238" s="439"/>
      <c r="P238" s="439"/>
      <c r="Q238" s="439"/>
      <c r="R238" s="530"/>
      <c r="S238" s="439"/>
      <c r="T238" s="1070"/>
      <c r="U238" s="439"/>
    </row>
    <row r="239" ht="15.75" customHeight="1">
      <c r="A239" s="439"/>
      <c r="B239" s="439"/>
      <c r="C239" s="439"/>
      <c r="D239" s="439"/>
      <c r="E239" s="439"/>
      <c r="F239" s="530"/>
      <c r="G239" s="439"/>
      <c r="H239" s="1070"/>
      <c r="I239" s="439"/>
      <c r="J239" s="439"/>
      <c r="K239" s="439"/>
      <c r="L239" s="530"/>
      <c r="M239" s="439"/>
      <c r="N239" s="1070"/>
      <c r="O239" s="439"/>
      <c r="P239" s="439"/>
      <c r="Q239" s="439"/>
      <c r="R239" s="530"/>
      <c r="S239" s="439"/>
      <c r="T239" s="1070"/>
      <c r="U239" s="439"/>
    </row>
    <row r="240" ht="15.75" customHeight="1">
      <c r="A240" s="439"/>
      <c r="B240" s="439"/>
      <c r="C240" s="439"/>
      <c r="D240" s="439"/>
      <c r="E240" s="439"/>
      <c r="F240" s="530"/>
      <c r="G240" s="439"/>
      <c r="H240" s="1070"/>
      <c r="I240" s="439"/>
      <c r="J240" s="439"/>
      <c r="K240" s="439"/>
      <c r="L240" s="530"/>
      <c r="M240" s="439"/>
      <c r="N240" s="1070"/>
      <c r="O240" s="439"/>
      <c r="P240" s="439"/>
      <c r="Q240" s="439"/>
      <c r="R240" s="530"/>
      <c r="S240" s="439"/>
      <c r="T240" s="1070"/>
      <c r="U240" s="439"/>
    </row>
    <row r="241" ht="15.75" customHeight="1">
      <c r="A241" s="439"/>
      <c r="B241" s="439"/>
      <c r="C241" s="439"/>
      <c r="D241" s="439"/>
      <c r="E241" s="439"/>
      <c r="F241" s="530"/>
      <c r="G241" s="439"/>
      <c r="H241" s="1070"/>
      <c r="I241" s="439"/>
      <c r="J241" s="439"/>
      <c r="K241" s="439"/>
      <c r="L241" s="530"/>
      <c r="M241" s="439"/>
      <c r="N241" s="1070"/>
      <c r="O241" s="439"/>
      <c r="P241" s="439"/>
      <c r="Q241" s="439"/>
      <c r="R241" s="530"/>
      <c r="S241" s="439"/>
      <c r="T241" s="1070"/>
      <c r="U241" s="439"/>
    </row>
    <row r="242" ht="15.75" customHeight="1">
      <c r="A242" s="439"/>
      <c r="B242" s="439"/>
      <c r="C242" s="439"/>
      <c r="D242" s="439"/>
      <c r="E242" s="439"/>
      <c r="F242" s="530"/>
      <c r="G242" s="439"/>
      <c r="H242" s="1070"/>
      <c r="I242" s="439"/>
      <c r="J242" s="439"/>
      <c r="K242" s="439"/>
      <c r="L242" s="530"/>
      <c r="M242" s="439"/>
      <c r="N242" s="1070"/>
      <c r="O242" s="439"/>
      <c r="P242" s="439"/>
      <c r="Q242" s="439"/>
      <c r="R242" s="530"/>
      <c r="S242" s="439"/>
      <c r="T242" s="1070"/>
      <c r="U242" s="439"/>
    </row>
    <row r="243" ht="15.75" customHeight="1">
      <c r="A243" s="439"/>
      <c r="B243" s="439"/>
      <c r="C243" s="439"/>
      <c r="D243" s="439"/>
      <c r="E243" s="439"/>
      <c r="F243" s="530"/>
      <c r="G243" s="439"/>
      <c r="H243" s="1070"/>
      <c r="I243" s="439"/>
      <c r="J243" s="439"/>
      <c r="K243" s="439"/>
      <c r="L243" s="530"/>
      <c r="M243" s="439"/>
      <c r="N243" s="1070"/>
      <c r="O243" s="439"/>
      <c r="P243" s="439"/>
      <c r="Q243" s="439"/>
      <c r="R243" s="530"/>
      <c r="S243" s="439"/>
      <c r="T243" s="1070"/>
      <c r="U243" s="439"/>
    </row>
    <row r="244" ht="15.75" customHeight="1">
      <c r="A244" s="439"/>
      <c r="B244" s="439"/>
      <c r="C244" s="439"/>
      <c r="D244" s="439"/>
      <c r="E244" s="439"/>
      <c r="F244" s="530"/>
      <c r="G244" s="439"/>
      <c r="H244" s="1070"/>
      <c r="I244" s="439"/>
      <c r="J244" s="439"/>
      <c r="K244" s="439"/>
      <c r="L244" s="530"/>
      <c r="M244" s="439"/>
      <c r="N244" s="1070"/>
      <c r="O244" s="439"/>
      <c r="P244" s="439"/>
      <c r="Q244" s="439"/>
      <c r="R244" s="530"/>
      <c r="S244" s="439"/>
      <c r="T244" s="1070"/>
      <c r="U244" s="439"/>
    </row>
    <row r="245" ht="15.75" customHeight="1">
      <c r="A245" s="439"/>
      <c r="B245" s="439"/>
      <c r="C245" s="439"/>
      <c r="D245" s="439"/>
      <c r="E245" s="439"/>
      <c r="F245" s="530"/>
      <c r="G245" s="439"/>
      <c r="H245" s="1070"/>
      <c r="I245" s="439"/>
      <c r="J245" s="439"/>
      <c r="K245" s="439"/>
      <c r="L245" s="530"/>
      <c r="M245" s="439"/>
      <c r="N245" s="1070"/>
      <c r="O245" s="439"/>
      <c r="P245" s="439"/>
      <c r="Q245" s="439"/>
      <c r="R245" s="530"/>
      <c r="S245" s="439"/>
      <c r="T245" s="1070"/>
      <c r="U245" s="439"/>
    </row>
    <row r="246" ht="15.75" customHeight="1">
      <c r="A246" s="439"/>
      <c r="B246" s="439"/>
      <c r="C246" s="439"/>
      <c r="D246" s="439"/>
      <c r="E246" s="439"/>
      <c r="F246" s="530"/>
      <c r="G246" s="439"/>
      <c r="H246" s="1070"/>
      <c r="I246" s="439"/>
      <c r="J246" s="439"/>
      <c r="K246" s="439"/>
      <c r="L246" s="530"/>
      <c r="M246" s="439"/>
      <c r="N246" s="1070"/>
      <c r="O246" s="439"/>
      <c r="P246" s="439"/>
      <c r="Q246" s="439"/>
      <c r="R246" s="530"/>
      <c r="S246" s="439"/>
      <c r="T246" s="1070"/>
      <c r="U246" s="439"/>
    </row>
    <row r="247" ht="15.75" customHeight="1">
      <c r="A247" s="439"/>
      <c r="B247" s="439"/>
      <c r="C247" s="439"/>
      <c r="D247" s="439"/>
      <c r="E247" s="439"/>
      <c r="F247" s="530"/>
      <c r="G247" s="439"/>
      <c r="H247" s="1070"/>
      <c r="I247" s="439"/>
      <c r="J247" s="439"/>
      <c r="K247" s="439"/>
      <c r="L247" s="530"/>
      <c r="M247" s="439"/>
      <c r="N247" s="1070"/>
      <c r="O247" s="439"/>
      <c r="P247" s="439"/>
      <c r="Q247" s="439"/>
      <c r="R247" s="530"/>
      <c r="S247" s="439"/>
      <c r="T247" s="1070"/>
      <c r="U247" s="439"/>
    </row>
    <row r="248" ht="15.75" customHeight="1">
      <c r="A248" s="439"/>
      <c r="B248" s="439"/>
      <c r="C248" s="439"/>
      <c r="D248" s="439"/>
      <c r="E248" s="439"/>
      <c r="F248" s="530"/>
      <c r="G248" s="439"/>
      <c r="H248" s="1070"/>
      <c r="I248" s="439"/>
      <c r="J248" s="439"/>
      <c r="K248" s="439"/>
      <c r="L248" s="530"/>
      <c r="M248" s="439"/>
      <c r="N248" s="1070"/>
      <c r="O248" s="439"/>
      <c r="P248" s="439"/>
      <c r="Q248" s="439"/>
      <c r="R248" s="530"/>
      <c r="S248" s="439"/>
      <c r="T248" s="1070"/>
      <c r="U248" s="439"/>
    </row>
    <row r="249" ht="15.75" customHeight="1">
      <c r="A249" s="439"/>
      <c r="B249" s="439"/>
      <c r="C249" s="439"/>
      <c r="D249" s="439"/>
      <c r="E249" s="439"/>
      <c r="F249" s="530"/>
      <c r="G249" s="439"/>
      <c r="H249" s="1070"/>
      <c r="I249" s="439"/>
      <c r="J249" s="439"/>
      <c r="K249" s="439"/>
      <c r="L249" s="530"/>
      <c r="M249" s="439"/>
      <c r="N249" s="1070"/>
      <c r="O249" s="439"/>
      <c r="P249" s="439"/>
      <c r="Q249" s="439"/>
      <c r="R249" s="530"/>
      <c r="S249" s="439"/>
      <c r="T249" s="1070"/>
      <c r="U249" s="439"/>
    </row>
    <row r="250" ht="15.75" customHeight="1">
      <c r="A250" s="439"/>
      <c r="B250" s="439"/>
      <c r="C250" s="439"/>
      <c r="D250" s="439"/>
      <c r="E250" s="439"/>
      <c r="F250" s="530"/>
      <c r="G250" s="439"/>
      <c r="H250" s="1070"/>
      <c r="I250" s="439"/>
      <c r="J250" s="439"/>
      <c r="K250" s="439"/>
      <c r="L250" s="530"/>
      <c r="M250" s="439"/>
      <c r="N250" s="1070"/>
      <c r="O250" s="439"/>
      <c r="P250" s="439"/>
      <c r="Q250" s="439"/>
      <c r="R250" s="530"/>
      <c r="S250" s="439"/>
      <c r="T250" s="1070"/>
      <c r="U250" s="439"/>
    </row>
    <row r="251" ht="15.75" customHeight="1">
      <c r="A251" s="439"/>
      <c r="B251" s="439"/>
      <c r="C251" s="439"/>
      <c r="D251" s="439"/>
      <c r="E251" s="439"/>
      <c r="F251" s="530"/>
      <c r="G251" s="439"/>
      <c r="H251" s="1070"/>
      <c r="I251" s="439"/>
      <c r="J251" s="439"/>
      <c r="K251" s="439"/>
      <c r="L251" s="530"/>
      <c r="M251" s="439"/>
      <c r="N251" s="1070"/>
      <c r="O251" s="439"/>
      <c r="P251" s="439"/>
      <c r="Q251" s="439"/>
      <c r="R251" s="530"/>
      <c r="S251" s="439"/>
      <c r="T251" s="1070"/>
      <c r="U251" s="439"/>
    </row>
    <row r="252" ht="15.75" customHeight="1">
      <c r="A252" s="439"/>
      <c r="B252" s="439"/>
      <c r="C252" s="439"/>
      <c r="D252" s="439"/>
      <c r="E252" s="439"/>
      <c r="F252" s="530"/>
      <c r="G252" s="439"/>
      <c r="H252" s="1070"/>
      <c r="I252" s="439"/>
      <c r="J252" s="439"/>
      <c r="K252" s="439"/>
      <c r="L252" s="530"/>
      <c r="M252" s="439"/>
      <c r="N252" s="1070"/>
      <c r="O252" s="439"/>
      <c r="P252" s="439"/>
      <c r="Q252" s="439"/>
      <c r="R252" s="530"/>
      <c r="S252" s="439"/>
      <c r="T252" s="1070"/>
      <c r="U252" s="439"/>
    </row>
    <row r="253" ht="15.75" customHeight="1">
      <c r="A253" s="439"/>
      <c r="B253" s="439"/>
      <c r="C253" s="439"/>
      <c r="D253" s="439"/>
      <c r="E253" s="439"/>
      <c r="F253" s="530"/>
      <c r="G253" s="439"/>
      <c r="H253" s="1070"/>
      <c r="I253" s="439"/>
      <c r="J253" s="439"/>
      <c r="K253" s="439"/>
      <c r="L253" s="530"/>
      <c r="M253" s="439"/>
      <c r="N253" s="1070"/>
      <c r="O253" s="439"/>
      <c r="P253" s="439"/>
      <c r="Q253" s="439"/>
      <c r="R253" s="530"/>
      <c r="S253" s="439"/>
      <c r="T253" s="1070"/>
      <c r="U253" s="439"/>
    </row>
    <row r="254" ht="15.75" customHeight="1">
      <c r="A254" s="439"/>
      <c r="B254" s="439"/>
      <c r="C254" s="439"/>
      <c r="D254" s="439"/>
      <c r="E254" s="439"/>
      <c r="F254" s="530"/>
      <c r="G254" s="439"/>
      <c r="H254" s="1070"/>
      <c r="I254" s="439"/>
      <c r="J254" s="439"/>
      <c r="K254" s="439"/>
      <c r="L254" s="530"/>
      <c r="M254" s="439"/>
      <c r="N254" s="1070"/>
      <c r="O254" s="439"/>
      <c r="P254" s="439"/>
      <c r="Q254" s="439"/>
      <c r="R254" s="530"/>
      <c r="S254" s="439"/>
      <c r="T254" s="1070"/>
      <c r="U254" s="439"/>
    </row>
    <row r="255" ht="15.75" customHeight="1">
      <c r="A255" s="439"/>
      <c r="B255" s="439"/>
      <c r="C255" s="439"/>
      <c r="D255" s="439"/>
      <c r="E255" s="439"/>
      <c r="F255" s="530"/>
      <c r="G255" s="439"/>
      <c r="H255" s="1070"/>
      <c r="I255" s="439"/>
      <c r="J255" s="439"/>
      <c r="K255" s="439"/>
      <c r="L255" s="530"/>
      <c r="M255" s="439"/>
      <c r="N255" s="1070"/>
      <c r="O255" s="439"/>
      <c r="P255" s="439"/>
      <c r="Q255" s="439"/>
      <c r="R255" s="530"/>
      <c r="S255" s="439"/>
      <c r="T255" s="1070"/>
      <c r="U255" s="439"/>
    </row>
    <row r="256" ht="15.75" customHeight="1">
      <c r="A256" s="439"/>
      <c r="B256" s="439"/>
      <c r="C256" s="439"/>
      <c r="D256" s="439"/>
      <c r="E256" s="439"/>
      <c r="F256" s="530"/>
      <c r="G256" s="439"/>
      <c r="H256" s="1070"/>
      <c r="I256" s="439"/>
      <c r="J256" s="439"/>
      <c r="K256" s="439"/>
      <c r="L256" s="530"/>
      <c r="M256" s="439"/>
      <c r="N256" s="1070"/>
      <c r="O256" s="439"/>
      <c r="P256" s="439"/>
      <c r="Q256" s="439"/>
      <c r="R256" s="530"/>
      <c r="S256" s="439"/>
      <c r="T256" s="1070"/>
      <c r="U256" s="439"/>
    </row>
    <row r="257" ht="15.75" customHeight="1">
      <c r="A257" s="439"/>
      <c r="B257" s="439"/>
      <c r="C257" s="439"/>
      <c r="D257" s="439"/>
      <c r="E257" s="439"/>
      <c r="F257" s="530"/>
      <c r="G257" s="439"/>
      <c r="H257" s="1070"/>
      <c r="I257" s="439"/>
      <c r="J257" s="439"/>
      <c r="K257" s="439"/>
      <c r="L257" s="530"/>
      <c r="M257" s="439"/>
      <c r="N257" s="1070"/>
      <c r="O257" s="439"/>
      <c r="P257" s="439"/>
      <c r="Q257" s="439"/>
      <c r="R257" s="530"/>
      <c r="S257" s="439"/>
      <c r="T257" s="1070"/>
      <c r="U257" s="439"/>
    </row>
    <row r="258" ht="15.75" customHeight="1">
      <c r="A258" s="439"/>
      <c r="B258" s="439"/>
      <c r="C258" s="439"/>
      <c r="D258" s="439"/>
      <c r="E258" s="439"/>
      <c r="F258" s="530"/>
      <c r="G258" s="439"/>
      <c r="H258" s="1070"/>
      <c r="I258" s="439"/>
      <c r="J258" s="439"/>
      <c r="K258" s="439"/>
      <c r="L258" s="530"/>
      <c r="M258" s="439"/>
      <c r="N258" s="1070"/>
      <c r="O258" s="439"/>
      <c r="P258" s="439"/>
      <c r="Q258" s="439"/>
      <c r="R258" s="530"/>
      <c r="S258" s="439"/>
      <c r="T258" s="1070"/>
      <c r="U258" s="439"/>
    </row>
    <row r="259" ht="15.75" customHeight="1">
      <c r="A259" s="439"/>
      <c r="B259" s="439"/>
      <c r="C259" s="439"/>
      <c r="D259" s="439"/>
      <c r="E259" s="439"/>
      <c r="F259" s="530"/>
      <c r="G259" s="439"/>
      <c r="H259" s="1070"/>
      <c r="I259" s="439"/>
      <c r="J259" s="439"/>
      <c r="K259" s="439"/>
      <c r="L259" s="530"/>
      <c r="M259" s="439"/>
      <c r="N259" s="1070"/>
      <c r="O259" s="439"/>
      <c r="P259" s="439"/>
      <c r="Q259" s="439"/>
      <c r="R259" s="530"/>
      <c r="S259" s="439"/>
      <c r="T259" s="1070"/>
      <c r="U259" s="439"/>
    </row>
    <row r="260" ht="15.75" customHeight="1">
      <c r="A260" s="439"/>
      <c r="B260" s="439"/>
      <c r="C260" s="439"/>
      <c r="D260" s="439"/>
      <c r="E260" s="439"/>
      <c r="F260" s="530"/>
      <c r="G260" s="439"/>
      <c r="H260" s="1070"/>
      <c r="I260" s="439"/>
      <c r="J260" s="439"/>
      <c r="K260" s="439"/>
      <c r="L260" s="530"/>
      <c r="M260" s="439"/>
      <c r="N260" s="1070"/>
      <c r="O260" s="439"/>
      <c r="P260" s="439"/>
      <c r="Q260" s="439"/>
      <c r="R260" s="530"/>
      <c r="S260" s="439"/>
      <c r="T260" s="1070"/>
      <c r="U260" s="439"/>
    </row>
    <row r="261" ht="15.75" customHeight="1">
      <c r="A261" s="439"/>
      <c r="B261" s="439"/>
      <c r="C261" s="439"/>
      <c r="D261" s="439"/>
      <c r="E261" s="439"/>
      <c r="F261" s="530"/>
      <c r="G261" s="439"/>
      <c r="H261" s="1070"/>
      <c r="I261" s="439"/>
      <c r="J261" s="439"/>
      <c r="K261" s="439"/>
      <c r="L261" s="530"/>
      <c r="M261" s="439"/>
      <c r="N261" s="1070"/>
      <c r="O261" s="439"/>
      <c r="P261" s="439"/>
      <c r="Q261" s="439"/>
      <c r="R261" s="530"/>
      <c r="S261" s="439"/>
      <c r="T261" s="1070"/>
      <c r="U261" s="439"/>
    </row>
    <row r="262" ht="15.75" customHeight="1">
      <c r="A262" s="439"/>
      <c r="B262" s="439"/>
      <c r="C262" s="439"/>
      <c r="D262" s="439"/>
      <c r="E262" s="439"/>
      <c r="F262" s="530"/>
      <c r="G262" s="439"/>
      <c r="H262" s="1070"/>
      <c r="I262" s="439"/>
      <c r="J262" s="439"/>
      <c r="K262" s="439"/>
      <c r="L262" s="530"/>
      <c r="M262" s="439"/>
      <c r="N262" s="1070"/>
      <c r="O262" s="439"/>
      <c r="P262" s="439"/>
      <c r="Q262" s="439"/>
      <c r="R262" s="530"/>
      <c r="S262" s="439"/>
      <c r="T262" s="1070"/>
      <c r="U262" s="439"/>
    </row>
    <row r="263" ht="15.75" customHeight="1">
      <c r="A263" s="439"/>
      <c r="B263" s="439"/>
      <c r="C263" s="439"/>
      <c r="D263" s="439"/>
      <c r="E263" s="439"/>
      <c r="F263" s="530"/>
      <c r="G263" s="439"/>
      <c r="H263" s="1070"/>
      <c r="I263" s="439"/>
      <c r="J263" s="439"/>
      <c r="K263" s="439"/>
      <c r="L263" s="530"/>
      <c r="M263" s="439"/>
      <c r="N263" s="1070"/>
      <c r="O263" s="439"/>
      <c r="P263" s="439"/>
      <c r="Q263" s="439"/>
      <c r="R263" s="530"/>
      <c r="S263" s="439"/>
      <c r="T263" s="1070"/>
      <c r="U263" s="439"/>
    </row>
    <row r="264" ht="15.75" customHeight="1">
      <c r="A264" s="439"/>
      <c r="B264" s="439"/>
      <c r="C264" s="439"/>
      <c r="D264" s="439"/>
      <c r="E264" s="439"/>
      <c r="F264" s="530"/>
      <c r="G264" s="439"/>
      <c r="H264" s="1070"/>
      <c r="I264" s="439"/>
      <c r="J264" s="439"/>
      <c r="K264" s="439"/>
      <c r="L264" s="530"/>
      <c r="M264" s="439"/>
      <c r="N264" s="1070"/>
      <c r="O264" s="439"/>
      <c r="P264" s="439"/>
      <c r="Q264" s="439"/>
      <c r="R264" s="530"/>
      <c r="S264" s="439"/>
      <c r="T264" s="1070"/>
      <c r="U264" s="439"/>
    </row>
    <row r="265" ht="15.75" customHeight="1">
      <c r="A265" s="439"/>
      <c r="B265" s="439"/>
      <c r="C265" s="439"/>
      <c r="D265" s="439"/>
      <c r="E265" s="439"/>
      <c r="F265" s="530"/>
      <c r="G265" s="439"/>
      <c r="H265" s="1070"/>
      <c r="I265" s="439"/>
      <c r="J265" s="439"/>
      <c r="K265" s="439"/>
      <c r="L265" s="530"/>
      <c r="M265" s="439"/>
      <c r="N265" s="1070"/>
      <c r="O265" s="439"/>
      <c r="P265" s="439"/>
      <c r="Q265" s="439"/>
      <c r="R265" s="530"/>
      <c r="S265" s="439"/>
      <c r="T265" s="1070"/>
      <c r="U265" s="439"/>
    </row>
    <row r="266" ht="15.75" customHeight="1">
      <c r="A266" s="439"/>
      <c r="B266" s="439"/>
      <c r="C266" s="439"/>
      <c r="D266" s="439"/>
      <c r="E266" s="439"/>
      <c r="F266" s="530"/>
      <c r="G266" s="439"/>
      <c r="H266" s="1070"/>
      <c r="I266" s="439"/>
      <c r="J266" s="439"/>
      <c r="K266" s="439"/>
      <c r="L266" s="530"/>
      <c r="M266" s="439"/>
      <c r="N266" s="1070"/>
      <c r="O266" s="439"/>
      <c r="P266" s="439"/>
      <c r="Q266" s="439"/>
      <c r="R266" s="530"/>
      <c r="S266" s="439"/>
      <c r="T266" s="1070"/>
      <c r="U266" s="439"/>
    </row>
    <row r="267" ht="15.75" customHeight="1">
      <c r="A267" s="439"/>
      <c r="B267" s="439"/>
      <c r="C267" s="439"/>
      <c r="D267" s="439"/>
      <c r="E267" s="439"/>
      <c r="F267" s="530"/>
      <c r="G267" s="439"/>
      <c r="H267" s="1070"/>
      <c r="I267" s="439"/>
      <c r="J267" s="439"/>
      <c r="K267" s="439"/>
      <c r="L267" s="530"/>
      <c r="M267" s="439"/>
      <c r="N267" s="1070"/>
      <c r="O267" s="439"/>
      <c r="P267" s="439"/>
      <c r="Q267" s="439"/>
      <c r="R267" s="530"/>
      <c r="S267" s="439"/>
      <c r="T267" s="1070"/>
      <c r="U267" s="439"/>
    </row>
    <row r="268" ht="15.75" customHeight="1">
      <c r="A268" s="439"/>
      <c r="B268" s="439"/>
      <c r="C268" s="439"/>
      <c r="D268" s="439"/>
      <c r="E268" s="439"/>
      <c r="F268" s="530"/>
      <c r="G268" s="439"/>
      <c r="H268" s="1070"/>
      <c r="I268" s="439"/>
      <c r="J268" s="439"/>
      <c r="K268" s="439"/>
      <c r="L268" s="530"/>
      <c r="M268" s="439"/>
      <c r="N268" s="1070"/>
      <c r="O268" s="439"/>
      <c r="P268" s="439"/>
      <c r="Q268" s="439"/>
      <c r="R268" s="530"/>
      <c r="S268" s="439"/>
      <c r="T268" s="1070"/>
      <c r="U268" s="439"/>
    </row>
    <row r="269" ht="15.75" customHeight="1">
      <c r="A269" s="439"/>
      <c r="B269" s="439"/>
      <c r="C269" s="439"/>
      <c r="D269" s="439"/>
      <c r="E269" s="439"/>
      <c r="F269" s="530"/>
      <c r="G269" s="439"/>
      <c r="H269" s="1070"/>
      <c r="I269" s="439"/>
      <c r="J269" s="439"/>
      <c r="K269" s="439"/>
      <c r="L269" s="530"/>
      <c r="M269" s="439"/>
      <c r="N269" s="1070"/>
      <c r="O269" s="439"/>
      <c r="P269" s="439"/>
      <c r="Q269" s="439"/>
      <c r="R269" s="530"/>
      <c r="S269" s="439"/>
      <c r="T269" s="1070"/>
      <c r="U269" s="439"/>
    </row>
    <row r="270" ht="15.75" customHeight="1">
      <c r="A270" s="439"/>
      <c r="B270" s="439"/>
      <c r="C270" s="439"/>
      <c r="D270" s="439"/>
      <c r="E270" s="439"/>
      <c r="F270" s="530"/>
      <c r="G270" s="439"/>
      <c r="H270" s="1070"/>
      <c r="I270" s="439"/>
      <c r="J270" s="439"/>
      <c r="K270" s="439"/>
      <c r="L270" s="530"/>
      <c r="M270" s="439"/>
      <c r="N270" s="1070"/>
      <c r="O270" s="439"/>
      <c r="P270" s="439"/>
      <c r="Q270" s="439"/>
      <c r="R270" s="530"/>
      <c r="S270" s="439"/>
      <c r="T270" s="1070"/>
      <c r="U270" s="439"/>
    </row>
    <row r="271" ht="15.75" customHeight="1">
      <c r="A271" s="439"/>
      <c r="B271" s="439"/>
      <c r="C271" s="439"/>
      <c r="D271" s="439"/>
      <c r="E271" s="439"/>
      <c r="F271" s="530"/>
      <c r="G271" s="439"/>
      <c r="H271" s="1070"/>
      <c r="I271" s="439"/>
      <c r="J271" s="439"/>
      <c r="K271" s="439"/>
      <c r="L271" s="530"/>
      <c r="M271" s="439"/>
      <c r="N271" s="1070"/>
      <c r="O271" s="439"/>
      <c r="P271" s="439"/>
      <c r="Q271" s="439"/>
      <c r="R271" s="530"/>
      <c r="S271" s="439"/>
      <c r="T271" s="1070"/>
      <c r="U271" s="439"/>
    </row>
    <row r="272" ht="15.75" customHeight="1">
      <c r="A272" s="439"/>
      <c r="B272" s="439"/>
      <c r="C272" s="439"/>
      <c r="D272" s="439"/>
      <c r="E272" s="439"/>
      <c r="F272" s="530"/>
      <c r="G272" s="439"/>
      <c r="H272" s="1070"/>
      <c r="I272" s="439"/>
      <c r="J272" s="439"/>
      <c r="K272" s="439"/>
      <c r="L272" s="530"/>
      <c r="M272" s="439"/>
      <c r="N272" s="1070"/>
      <c r="O272" s="439"/>
      <c r="P272" s="439"/>
      <c r="Q272" s="439"/>
      <c r="R272" s="530"/>
      <c r="S272" s="439"/>
      <c r="T272" s="1070"/>
      <c r="U272" s="439"/>
    </row>
    <row r="273" ht="15.75" customHeight="1">
      <c r="A273" s="439"/>
      <c r="B273" s="439"/>
      <c r="C273" s="439"/>
      <c r="D273" s="439"/>
      <c r="E273" s="439"/>
      <c r="F273" s="530"/>
      <c r="G273" s="439"/>
      <c r="H273" s="1070"/>
      <c r="I273" s="439"/>
      <c r="J273" s="439"/>
      <c r="K273" s="439"/>
      <c r="L273" s="530"/>
      <c r="M273" s="439"/>
      <c r="N273" s="1070"/>
      <c r="O273" s="439"/>
      <c r="P273" s="439"/>
      <c r="Q273" s="439"/>
      <c r="R273" s="530"/>
      <c r="S273" s="439"/>
      <c r="T273" s="1070"/>
      <c r="U273" s="439"/>
    </row>
    <row r="274" ht="15.75" customHeight="1">
      <c r="A274" s="439"/>
      <c r="B274" s="439"/>
      <c r="C274" s="439"/>
      <c r="D274" s="439"/>
      <c r="E274" s="439"/>
      <c r="F274" s="530"/>
      <c r="G274" s="439"/>
      <c r="H274" s="1070"/>
      <c r="I274" s="439"/>
      <c r="J274" s="439"/>
      <c r="K274" s="439"/>
      <c r="L274" s="530"/>
      <c r="M274" s="439"/>
      <c r="N274" s="1070"/>
      <c r="O274" s="439"/>
      <c r="P274" s="439"/>
      <c r="Q274" s="439"/>
      <c r="R274" s="530"/>
      <c r="S274" s="439"/>
      <c r="T274" s="1070"/>
      <c r="U274" s="439"/>
    </row>
    <row r="275" ht="15.75" customHeight="1">
      <c r="A275" s="439"/>
      <c r="B275" s="439"/>
      <c r="C275" s="439"/>
      <c r="D275" s="439"/>
      <c r="E275" s="439"/>
      <c r="F275" s="530"/>
      <c r="G275" s="439"/>
      <c r="H275" s="1070"/>
      <c r="I275" s="439"/>
      <c r="J275" s="439"/>
      <c r="K275" s="439"/>
      <c r="L275" s="530"/>
      <c r="M275" s="439"/>
      <c r="N275" s="1070"/>
      <c r="O275" s="439"/>
      <c r="P275" s="439"/>
      <c r="Q275" s="439"/>
      <c r="R275" s="530"/>
      <c r="S275" s="439"/>
      <c r="T275" s="1070"/>
      <c r="U275" s="439"/>
    </row>
    <row r="276" ht="15.75" customHeight="1">
      <c r="A276" s="439"/>
      <c r="B276" s="439"/>
      <c r="C276" s="439"/>
      <c r="D276" s="439"/>
      <c r="E276" s="439"/>
      <c r="F276" s="530"/>
      <c r="G276" s="439"/>
      <c r="H276" s="1070"/>
      <c r="I276" s="439"/>
      <c r="J276" s="439"/>
      <c r="K276" s="439"/>
      <c r="L276" s="530"/>
      <c r="M276" s="439"/>
      <c r="N276" s="1070"/>
      <c r="O276" s="439"/>
      <c r="P276" s="439"/>
      <c r="Q276" s="439"/>
      <c r="R276" s="530"/>
      <c r="S276" s="439"/>
      <c r="T276" s="1070"/>
      <c r="U276" s="439"/>
    </row>
    <row r="277" ht="15.75" customHeight="1">
      <c r="A277" s="439"/>
      <c r="B277" s="439"/>
      <c r="C277" s="439"/>
      <c r="D277" s="439"/>
      <c r="E277" s="439"/>
      <c r="F277" s="530"/>
      <c r="G277" s="439"/>
      <c r="H277" s="1070"/>
      <c r="I277" s="439"/>
      <c r="J277" s="439"/>
      <c r="K277" s="439"/>
      <c r="L277" s="530"/>
      <c r="M277" s="439"/>
      <c r="N277" s="1070"/>
      <c r="O277" s="439"/>
      <c r="P277" s="439"/>
      <c r="Q277" s="439"/>
      <c r="R277" s="530"/>
      <c r="S277" s="439"/>
      <c r="T277" s="1070"/>
      <c r="U277" s="439"/>
    </row>
    <row r="278" ht="15.75" customHeight="1">
      <c r="A278" s="439"/>
      <c r="B278" s="439"/>
      <c r="C278" s="439"/>
      <c r="D278" s="439"/>
      <c r="E278" s="439"/>
      <c r="F278" s="530"/>
      <c r="G278" s="439"/>
      <c r="H278" s="1070"/>
      <c r="I278" s="439"/>
      <c r="J278" s="439"/>
      <c r="K278" s="439"/>
      <c r="L278" s="530"/>
      <c r="M278" s="439"/>
      <c r="N278" s="1070"/>
      <c r="O278" s="439"/>
      <c r="P278" s="439"/>
      <c r="Q278" s="439"/>
      <c r="R278" s="530"/>
      <c r="S278" s="439"/>
      <c r="T278" s="1070"/>
      <c r="U278" s="439"/>
    </row>
    <row r="279" ht="15.75" customHeight="1">
      <c r="A279" s="439"/>
      <c r="B279" s="439"/>
      <c r="C279" s="439"/>
      <c r="D279" s="439"/>
      <c r="E279" s="439"/>
      <c r="F279" s="530"/>
      <c r="G279" s="439"/>
      <c r="H279" s="1070"/>
      <c r="I279" s="439"/>
      <c r="J279" s="439"/>
      <c r="K279" s="439"/>
      <c r="L279" s="530"/>
      <c r="M279" s="439"/>
      <c r="N279" s="1070"/>
      <c r="O279" s="439"/>
      <c r="P279" s="439"/>
      <c r="Q279" s="439"/>
      <c r="R279" s="530"/>
      <c r="S279" s="439"/>
      <c r="T279" s="1070"/>
      <c r="U279" s="439"/>
    </row>
    <row r="280" ht="15.75" customHeight="1">
      <c r="A280" s="439"/>
      <c r="B280" s="439"/>
      <c r="C280" s="439"/>
      <c r="D280" s="439"/>
      <c r="E280" s="439"/>
      <c r="F280" s="530"/>
      <c r="G280" s="439"/>
      <c r="H280" s="1070"/>
      <c r="I280" s="439"/>
      <c r="J280" s="439"/>
      <c r="K280" s="439"/>
      <c r="L280" s="530"/>
      <c r="M280" s="439"/>
      <c r="N280" s="1070"/>
      <c r="O280" s="439"/>
      <c r="P280" s="439"/>
      <c r="Q280" s="439"/>
      <c r="R280" s="530"/>
      <c r="S280" s="439"/>
      <c r="T280" s="1070"/>
      <c r="U280" s="439"/>
    </row>
    <row r="281" ht="15.75" customHeight="1">
      <c r="A281" s="439"/>
      <c r="B281" s="439"/>
      <c r="C281" s="439"/>
      <c r="D281" s="439"/>
      <c r="E281" s="439"/>
      <c r="F281" s="530"/>
      <c r="G281" s="439"/>
      <c r="H281" s="1070"/>
      <c r="I281" s="439"/>
      <c r="J281" s="439"/>
      <c r="K281" s="439"/>
      <c r="L281" s="530"/>
      <c r="M281" s="439"/>
      <c r="N281" s="1070"/>
      <c r="O281" s="439"/>
      <c r="P281" s="439"/>
      <c r="Q281" s="439"/>
      <c r="R281" s="530"/>
      <c r="S281" s="439"/>
      <c r="T281" s="1070"/>
      <c r="U281" s="439"/>
    </row>
    <row r="282" ht="15.75" customHeight="1">
      <c r="A282" s="439"/>
      <c r="B282" s="439"/>
      <c r="C282" s="439"/>
      <c r="D282" s="439"/>
      <c r="E282" s="439"/>
      <c r="F282" s="530"/>
      <c r="G282" s="439"/>
      <c r="H282" s="1070"/>
      <c r="I282" s="439"/>
      <c r="J282" s="439"/>
      <c r="K282" s="439"/>
      <c r="L282" s="530"/>
      <c r="M282" s="439"/>
      <c r="N282" s="1070"/>
      <c r="O282" s="439"/>
      <c r="P282" s="439"/>
      <c r="Q282" s="439"/>
      <c r="R282" s="530"/>
      <c r="S282" s="439"/>
      <c r="T282" s="1070"/>
      <c r="U282" s="439"/>
    </row>
    <row r="283" ht="15.75" customHeight="1">
      <c r="A283" s="439"/>
      <c r="B283" s="439"/>
      <c r="C283" s="439"/>
      <c r="D283" s="439"/>
      <c r="E283" s="439"/>
      <c r="F283" s="530"/>
      <c r="G283" s="439"/>
      <c r="H283" s="1070"/>
      <c r="I283" s="439"/>
      <c r="J283" s="439"/>
      <c r="K283" s="439"/>
      <c r="L283" s="530"/>
      <c r="M283" s="439"/>
      <c r="N283" s="1070"/>
      <c r="O283" s="439"/>
      <c r="P283" s="439"/>
      <c r="Q283" s="439"/>
      <c r="R283" s="530"/>
      <c r="S283" s="439"/>
      <c r="T283" s="1070"/>
      <c r="U283" s="439"/>
    </row>
    <row r="284" ht="15.75" customHeight="1">
      <c r="A284" s="439"/>
      <c r="B284" s="439"/>
      <c r="C284" s="439"/>
      <c r="D284" s="439"/>
      <c r="E284" s="439"/>
      <c r="F284" s="530"/>
      <c r="G284" s="439"/>
      <c r="H284" s="1070"/>
      <c r="I284" s="439"/>
      <c r="J284" s="439"/>
      <c r="K284" s="439"/>
      <c r="L284" s="530"/>
      <c r="M284" s="439"/>
      <c r="N284" s="1070"/>
      <c r="O284" s="439"/>
      <c r="P284" s="439"/>
      <c r="Q284" s="439"/>
      <c r="R284" s="530"/>
      <c r="S284" s="439"/>
      <c r="T284" s="1070"/>
      <c r="U284" s="439"/>
    </row>
    <row r="285" ht="15.75" customHeight="1">
      <c r="A285" s="439"/>
      <c r="B285" s="439"/>
      <c r="C285" s="439"/>
      <c r="D285" s="439"/>
      <c r="E285" s="439"/>
      <c r="F285" s="530"/>
      <c r="G285" s="439"/>
      <c r="H285" s="1070"/>
      <c r="I285" s="439"/>
      <c r="J285" s="439"/>
      <c r="K285" s="439"/>
      <c r="L285" s="530"/>
      <c r="M285" s="439"/>
      <c r="N285" s="1070"/>
      <c r="O285" s="439"/>
      <c r="P285" s="439"/>
      <c r="Q285" s="439"/>
      <c r="R285" s="530"/>
      <c r="S285" s="439"/>
      <c r="T285" s="1070"/>
      <c r="U285" s="439"/>
    </row>
    <row r="286" ht="15.75" customHeight="1">
      <c r="A286" s="439"/>
      <c r="B286" s="439"/>
      <c r="C286" s="439"/>
      <c r="D286" s="439"/>
      <c r="E286" s="439"/>
      <c r="F286" s="530"/>
      <c r="G286" s="439"/>
      <c r="H286" s="1070"/>
      <c r="I286" s="439"/>
      <c r="J286" s="439"/>
      <c r="K286" s="439"/>
      <c r="L286" s="530"/>
      <c r="M286" s="439"/>
      <c r="N286" s="1070"/>
      <c r="O286" s="439"/>
      <c r="P286" s="439"/>
      <c r="Q286" s="439"/>
      <c r="R286" s="530"/>
      <c r="S286" s="439"/>
      <c r="T286" s="1070"/>
      <c r="U286" s="439"/>
    </row>
    <row r="287" ht="15.75" customHeight="1">
      <c r="A287" s="439"/>
      <c r="B287" s="439"/>
      <c r="C287" s="439"/>
      <c r="D287" s="439"/>
      <c r="E287" s="439"/>
      <c r="F287" s="530"/>
      <c r="G287" s="439"/>
      <c r="H287" s="1070"/>
      <c r="I287" s="439"/>
      <c r="J287" s="439"/>
      <c r="K287" s="439"/>
      <c r="L287" s="530"/>
      <c r="M287" s="439"/>
      <c r="N287" s="1070"/>
      <c r="O287" s="439"/>
      <c r="P287" s="439"/>
      <c r="Q287" s="439"/>
      <c r="R287" s="530"/>
      <c r="S287" s="439"/>
      <c r="T287" s="1070"/>
      <c r="U287" s="439"/>
    </row>
    <row r="288" ht="15.75" customHeight="1">
      <c r="A288" s="439"/>
      <c r="B288" s="439"/>
      <c r="C288" s="439"/>
      <c r="D288" s="439"/>
      <c r="E288" s="439"/>
      <c r="F288" s="530"/>
      <c r="G288" s="439"/>
      <c r="H288" s="1070"/>
      <c r="I288" s="439"/>
      <c r="J288" s="439"/>
      <c r="K288" s="439"/>
      <c r="L288" s="530"/>
      <c r="M288" s="439"/>
      <c r="N288" s="1070"/>
      <c r="O288" s="439"/>
      <c r="P288" s="439"/>
      <c r="Q288" s="439"/>
      <c r="R288" s="530"/>
      <c r="S288" s="439"/>
      <c r="T288" s="1070"/>
      <c r="U288" s="439"/>
    </row>
    <row r="289" ht="15.75" customHeight="1">
      <c r="A289" s="439"/>
      <c r="B289" s="439"/>
      <c r="C289" s="439"/>
      <c r="D289" s="439"/>
      <c r="E289" s="439"/>
      <c r="F289" s="530"/>
      <c r="G289" s="439"/>
      <c r="H289" s="1070"/>
      <c r="I289" s="439"/>
      <c r="J289" s="439"/>
      <c r="K289" s="439"/>
      <c r="L289" s="530"/>
      <c r="M289" s="439"/>
      <c r="N289" s="1070"/>
      <c r="O289" s="439"/>
      <c r="P289" s="439"/>
      <c r="Q289" s="439"/>
      <c r="R289" s="530"/>
      <c r="S289" s="439"/>
      <c r="T289" s="1070"/>
      <c r="U289" s="439"/>
    </row>
    <row r="290" ht="15.75" customHeight="1">
      <c r="A290" s="439"/>
      <c r="B290" s="439"/>
      <c r="C290" s="439"/>
      <c r="D290" s="439"/>
      <c r="E290" s="439"/>
      <c r="F290" s="530"/>
      <c r="G290" s="439"/>
      <c r="H290" s="1070"/>
      <c r="I290" s="439"/>
      <c r="J290" s="439"/>
      <c r="K290" s="439"/>
      <c r="L290" s="530"/>
      <c r="M290" s="439"/>
      <c r="N290" s="1070"/>
      <c r="O290" s="439"/>
      <c r="P290" s="439"/>
      <c r="Q290" s="439"/>
      <c r="R290" s="530"/>
      <c r="S290" s="439"/>
      <c r="T290" s="1070"/>
      <c r="U290" s="439"/>
    </row>
    <row r="291" ht="15.75" customHeight="1">
      <c r="A291" s="439"/>
      <c r="B291" s="439"/>
      <c r="C291" s="439"/>
      <c r="D291" s="439"/>
      <c r="E291" s="439"/>
      <c r="F291" s="530"/>
      <c r="G291" s="439"/>
      <c r="H291" s="1070"/>
      <c r="I291" s="439"/>
      <c r="J291" s="439"/>
      <c r="K291" s="439"/>
      <c r="L291" s="530"/>
      <c r="M291" s="439"/>
      <c r="N291" s="1070"/>
      <c r="O291" s="439"/>
      <c r="P291" s="439"/>
      <c r="Q291" s="439"/>
      <c r="R291" s="530"/>
      <c r="S291" s="439"/>
      <c r="T291" s="1070"/>
      <c r="U291" s="439"/>
    </row>
    <row r="292" ht="15.75" customHeight="1">
      <c r="A292" s="439"/>
      <c r="B292" s="439"/>
      <c r="C292" s="439"/>
      <c r="D292" s="439"/>
      <c r="E292" s="439"/>
      <c r="F292" s="530"/>
      <c r="G292" s="439"/>
      <c r="H292" s="1070"/>
      <c r="I292" s="439"/>
      <c r="J292" s="439"/>
      <c r="K292" s="439"/>
      <c r="L292" s="530"/>
      <c r="M292" s="439"/>
      <c r="N292" s="1070"/>
      <c r="O292" s="439"/>
      <c r="P292" s="439"/>
      <c r="Q292" s="439"/>
      <c r="R292" s="530"/>
      <c r="S292" s="439"/>
      <c r="T292" s="1070"/>
      <c r="U292" s="439"/>
    </row>
    <row r="293" ht="15.75" customHeight="1">
      <c r="A293" s="439"/>
      <c r="B293" s="439"/>
      <c r="C293" s="439"/>
      <c r="D293" s="439"/>
      <c r="E293" s="439"/>
      <c r="F293" s="530"/>
      <c r="G293" s="439"/>
      <c r="H293" s="1070"/>
      <c r="I293" s="439"/>
      <c r="J293" s="439"/>
      <c r="K293" s="439"/>
      <c r="L293" s="530"/>
      <c r="M293" s="439"/>
      <c r="N293" s="1070"/>
      <c r="O293" s="439"/>
      <c r="P293" s="439"/>
      <c r="Q293" s="439"/>
      <c r="R293" s="530"/>
      <c r="S293" s="439"/>
      <c r="T293" s="1070"/>
      <c r="U293" s="439"/>
    </row>
    <row r="294" ht="15.75" customHeight="1">
      <c r="A294" s="439"/>
      <c r="B294" s="439"/>
      <c r="C294" s="439"/>
      <c r="D294" s="439"/>
      <c r="E294" s="439"/>
      <c r="F294" s="530"/>
      <c r="G294" s="439"/>
      <c r="H294" s="1070"/>
      <c r="I294" s="439"/>
      <c r="J294" s="439"/>
      <c r="K294" s="439"/>
      <c r="L294" s="530"/>
      <c r="M294" s="439"/>
      <c r="N294" s="1070"/>
      <c r="O294" s="439"/>
      <c r="P294" s="439"/>
      <c r="Q294" s="439"/>
      <c r="R294" s="530"/>
      <c r="S294" s="439"/>
      <c r="T294" s="1070"/>
      <c r="U294" s="439"/>
    </row>
    <row r="295" ht="15.75" customHeight="1">
      <c r="A295" s="439"/>
      <c r="B295" s="439"/>
      <c r="C295" s="439"/>
      <c r="D295" s="439"/>
      <c r="E295" s="439"/>
      <c r="F295" s="530"/>
      <c r="G295" s="439"/>
      <c r="H295" s="1070"/>
      <c r="I295" s="439"/>
      <c r="J295" s="439"/>
      <c r="K295" s="439"/>
      <c r="L295" s="530"/>
      <c r="M295" s="439"/>
      <c r="N295" s="1070"/>
      <c r="O295" s="439"/>
      <c r="P295" s="439"/>
      <c r="Q295" s="439"/>
      <c r="R295" s="530"/>
      <c r="S295" s="439"/>
      <c r="T295" s="1070"/>
      <c r="U295" s="439"/>
    </row>
    <row r="296" ht="15.75" customHeight="1">
      <c r="A296" s="439"/>
      <c r="B296" s="439"/>
      <c r="C296" s="439"/>
      <c r="D296" s="439"/>
      <c r="E296" s="439"/>
      <c r="F296" s="530"/>
      <c r="G296" s="439"/>
      <c r="H296" s="1070"/>
      <c r="I296" s="439"/>
      <c r="J296" s="439"/>
      <c r="K296" s="439"/>
      <c r="L296" s="530"/>
      <c r="M296" s="439"/>
      <c r="N296" s="1070"/>
      <c r="O296" s="439"/>
      <c r="P296" s="439"/>
      <c r="Q296" s="439"/>
      <c r="R296" s="530"/>
      <c r="S296" s="439"/>
      <c r="T296" s="1070"/>
      <c r="U296" s="439"/>
    </row>
    <row r="297" ht="15.75" customHeight="1">
      <c r="A297" s="439"/>
      <c r="B297" s="439"/>
      <c r="C297" s="439"/>
      <c r="D297" s="439"/>
      <c r="E297" s="439"/>
      <c r="F297" s="530"/>
      <c r="G297" s="439"/>
      <c r="H297" s="1070"/>
      <c r="I297" s="439"/>
      <c r="J297" s="439"/>
      <c r="K297" s="439"/>
      <c r="L297" s="530"/>
      <c r="M297" s="439"/>
      <c r="N297" s="1070"/>
      <c r="O297" s="439"/>
      <c r="P297" s="439"/>
      <c r="Q297" s="439"/>
      <c r="R297" s="530"/>
      <c r="S297" s="439"/>
      <c r="T297" s="1070"/>
      <c r="U297" s="439"/>
    </row>
    <row r="298" ht="15.75" customHeight="1">
      <c r="A298" s="439"/>
      <c r="B298" s="439"/>
      <c r="C298" s="439"/>
      <c r="D298" s="439"/>
      <c r="E298" s="439"/>
      <c r="F298" s="530"/>
      <c r="G298" s="439"/>
      <c r="H298" s="1070"/>
      <c r="I298" s="439"/>
      <c r="J298" s="439"/>
      <c r="K298" s="439"/>
      <c r="L298" s="530"/>
      <c r="M298" s="439"/>
      <c r="N298" s="1070"/>
      <c r="O298" s="439"/>
      <c r="P298" s="439"/>
      <c r="Q298" s="439"/>
      <c r="R298" s="530"/>
      <c r="S298" s="439"/>
      <c r="T298" s="1070"/>
      <c r="U298" s="439"/>
    </row>
    <row r="299" ht="15.75" customHeight="1">
      <c r="A299" s="439"/>
      <c r="B299" s="439"/>
      <c r="C299" s="439"/>
      <c r="D299" s="439"/>
      <c r="E299" s="439"/>
      <c r="F299" s="530"/>
      <c r="G299" s="439"/>
      <c r="H299" s="1070"/>
      <c r="I299" s="439"/>
      <c r="J299" s="439"/>
      <c r="K299" s="439"/>
      <c r="L299" s="530"/>
      <c r="M299" s="439"/>
      <c r="N299" s="1070"/>
      <c r="O299" s="439"/>
      <c r="P299" s="439"/>
      <c r="Q299" s="439"/>
      <c r="R299" s="530"/>
      <c r="S299" s="439"/>
      <c r="T299" s="1070"/>
      <c r="U299" s="439"/>
    </row>
    <row r="300" ht="15.75" customHeight="1">
      <c r="A300" s="439"/>
      <c r="B300" s="439"/>
      <c r="C300" s="439"/>
      <c r="D300" s="439"/>
      <c r="E300" s="439"/>
      <c r="F300" s="530"/>
      <c r="G300" s="439"/>
      <c r="H300" s="1070"/>
      <c r="I300" s="439"/>
      <c r="J300" s="439"/>
      <c r="K300" s="439"/>
      <c r="L300" s="530"/>
      <c r="M300" s="439"/>
      <c r="N300" s="1070"/>
      <c r="O300" s="439"/>
      <c r="P300" s="439"/>
      <c r="Q300" s="439"/>
      <c r="R300" s="530"/>
      <c r="S300" s="439"/>
      <c r="T300" s="1070"/>
      <c r="U300" s="439"/>
    </row>
    <row r="301" ht="15.75" customHeight="1">
      <c r="A301" s="439"/>
      <c r="B301" s="439"/>
      <c r="C301" s="439"/>
      <c r="D301" s="439"/>
      <c r="E301" s="439"/>
      <c r="F301" s="530"/>
      <c r="G301" s="439"/>
      <c r="H301" s="1070"/>
      <c r="I301" s="439"/>
      <c r="J301" s="439"/>
      <c r="K301" s="439"/>
      <c r="L301" s="530"/>
      <c r="M301" s="439"/>
      <c r="N301" s="1070"/>
      <c r="O301" s="439"/>
      <c r="P301" s="439"/>
      <c r="Q301" s="439"/>
      <c r="R301" s="530"/>
      <c r="S301" s="439"/>
      <c r="T301" s="1070"/>
      <c r="U301" s="439"/>
    </row>
    <row r="302" ht="15.75" customHeight="1">
      <c r="A302" s="439"/>
      <c r="B302" s="439"/>
      <c r="C302" s="439"/>
      <c r="D302" s="439"/>
      <c r="E302" s="439"/>
      <c r="F302" s="530"/>
      <c r="G302" s="439"/>
      <c r="H302" s="1070"/>
      <c r="I302" s="439"/>
      <c r="J302" s="439"/>
      <c r="K302" s="439"/>
      <c r="L302" s="530"/>
      <c r="M302" s="439"/>
      <c r="N302" s="1070"/>
      <c r="O302" s="439"/>
      <c r="P302" s="439"/>
      <c r="Q302" s="439"/>
      <c r="R302" s="530"/>
      <c r="S302" s="439"/>
      <c r="T302" s="1070"/>
      <c r="U302" s="439"/>
    </row>
    <row r="303" ht="15.75" customHeight="1">
      <c r="A303" s="439"/>
      <c r="B303" s="439"/>
      <c r="C303" s="439"/>
      <c r="D303" s="439"/>
      <c r="E303" s="439"/>
      <c r="F303" s="530"/>
      <c r="G303" s="439"/>
      <c r="H303" s="1070"/>
      <c r="I303" s="439"/>
      <c r="J303" s="439"/>
      <c r="K303" s="439"/>
      <c r="L303" s="530"/>
      <c r="M303" s="439"/>
      <c r="N303" s="1070"/>
      <c r="O303" s="439"/>
      <c r="P303" s="439"/>
      <c r="Q303" s="439"/>
      <c r="R303" s="530"/>
      <c r="S303" s="439"/>
      <c r="T303" s="1070"/>
      <c r="U303" s="439"/>
    </row>
    <row r="304" ht="15.75" customHeight="1">
      <c r="A304" s="439"/>
      <c r="B304" s="439"/>
      <c r="C304" s="439"/>
      <c r="D304" s="439"/>
      <c r="E304" s="439"/>
      <c r="F304" s="530"/>
      <c r="G304" s="439"/>
      <c r="H304" s="1070"/>
      <c r="I304" s="439"/>
      <c r="J304" s="439"/>
      <c r="K304" s="439"/>
      <c r="L304" s="530"/>
      <c r="M304" s="439"/>
      <c r="N304" s="1070"/>
      <c r="O304" s="439"/>
      <c r="P304" s="439"/>
      <c r="Q304" s="439"/>
      <c r="R304" s="530"/>
      <c r="S304" s="439"/>
      <c r="T304" s="1070"/>
      <c r="U304" s="439"/>
    </row>
    <row r="305" ht="15.75" customHeight="1">
      <c r="A305" s="439"/>
      <c r="B305" s="439"/>
      <c r="C305" s="439"/>
      <c r="D305" s="439"/>
      <c r="E305" s="439"/>
      <c r="F305" s="530"/>
      <c r="G305" s="439"/>
      <c r="H305" s="1070"/>
      <c r="I305" s="439"/>
      <c r="J305" s="439"/>
      <c r="K305" s="439"/>
      <c r="L305" s="530"/>
      <c r="M305" s="439"/>
      <c r="N305" s="1070"/>
      <c r="O305" s="439"/>
      <c r="P305" s="439"/>
      <c r="Q305" s="439"/>
      <c r="R305" s="530"/>
      <c r="S305" s="439"/>
      <c r="T305" s="1070"/>
      <c r="U305" s="439"/>
    </row>
    <row r="306" ht="15.75" customHeight="1">
      <c r="A306" s="439"/>
      <c r="B306" s="439"/>
      <c r="C306" s="439"/>
      <c r="D306" s="439"/>
      <c r="E306" s="439"/>
      <c r="F306" s="530"/>
      <c r="G306" s="439"/>
      <c r="H306" s="1070"/>
      <c r="I306" s="439"/>
      <c r="J306" s="439"/>
      <c r="K306" s="439"/>
      <c r="L306" s="530"/>
      <c r="M306" s="439"/>
      <c r="N306" s="1070"/>
      <c r="O306" s="439"/>
      <c r="P306" s="439"/>
      <c r="Q306" s="439"/>
      <c r="R306" s="530"/>
      <c r="S306" s="439"/>
      <c r="T306" s="1070"/>
      <c r="U306" s="439"/>
    </row>
    <row r="307" ht="15.75" customHeight="1">
      <c r="A307" s="439"/>
      <c r="B307" s="439"/>
      <c r="C307" s="439"/>
      <c r="D307" s="439"/>
      <c r="E307" s="439"/>
      <c r="F307" s="530"/>
      <c r="G307" s="439"/>
      <c r="H307" s="1070"/>
      <c r="I307" s="439"/>
      <c r="J307" s="439"/>
      <c r="K307" s="439"/>
      <c r="L307" s="530"/>
      <c r="M307" s="439"/>
      <c r="N307" s="1070"/>
      <c r="O307" s="439"/>
      <c r="P307" s="439"/>
      <c r="Q307" s="439"/>
      <c r="R307" s="530"/>
      <c r="S307" s="439"/>
      <c r="T307" s="1070"/>
      <c r="U307" s="439"/>
    </row>
    <row r="308" ht="15.75" customHeight="1">
      <c r="A308" s="439"/>
      <c r="B308" s="439"/>
      <c r="C308" s="439"/>
      <c r="D308" s="439"/>
      <c r="E308" s="439"/>
      <c r="F308" s="530"/>
      <c r="G308" s="439"/>
      <c r="H308" s="1070"/>
      <c r="I308" s="439"/>
      <c r="J308" s="439"/>
      <c r="K308" s="439"/>
      <c r="L308" s="530"/>
      <c r="M308" s="439"/>
      <c r="N308" s="1070"/>
      <c r="O308" s="439"/>
      <c r="P308" s="439"/>
      <c r="Q308" s="439"/>
      <c r="R308" s="530"/>
      <c r="S308" s="439"/>
      <c r="T308" s="1070"/>
      <c r="U308" s="439"/>
    </row>
    <row r="309" ht="15.75" customHeight="1">
      <c r="A309" s="439"/>
      <c r="B309" s="439"/>
      <c r="C309" s="439"/>
      <c r="D309" s="439"/>
      <c r="E309" s="439"/>
      <c r="F309" s="530"/>
      <c r="G309" s="439"/>
      <c r="H309" s="1070"/>
      <c r="I309" s="439"/>
      <c r="J309" s="439"/>
      <c r="K309" s="439"/>
      <c r="L309" s="530"/>
      <c r="M309" s="439"/>
      <c r="N309" s="1070"/>
      <c r="O309" s="439"/>
      <c r="P309" s="439"/>
      <c r="Q309" s="439"/>
      <c r="R309" s="530"/>
      <c r="S309" s="439"/>
      <c r="T309" s="1070"/>
      <c r="U309" s="439"/>
    </row>
    <row r="310" ht="15.75" customHeight="1">
      <c r="A310" s="439"/>
      <c r="B310" s="439"/>
      <c r="C310" s="439"/>
      <c r="D310" s="439"/>
      <c r="E310" s="439"/>
      <c r="F310" s="530"/>
      <c r="G310" s="439"/>
      <c r="H310" s="1070"/>
      <c r="I310" s="439"/>
      <c r="J310" s="439"/>
      <c r="K310" s="439"/>
      <c r="L310" s="530"/>
      <c r="M310" s="439"/>
      <c r="N310" s="1070"/>
      <c r="O310" s="439"/>
      <c r="P310" s="439"/>
      <c r="Q310" s="439"/>
      <c r="R310" s="530"/>
      <c r="S310" s="439"/>
      <c r="T310" s="1070"/>
      <c r="U310" s="439"/>
    </row>
    <row r="311" ht="15.75" customHeight="1">
      <c r="A311" s="439"/>
      <c r="B311" s="439"/>
      <c r="C311" s="439"/>
      <c r="D311" s="439"/>
      <c r="E311" s="439"/>
      <c r="F311" s="530"/>
      <c r="G311" s="439"/>
      <c r="H311" s="1070"/>
      <c r="I311" s="439"/>
      <c r="J311" s="439"/>
      <c r="K311" s="439"/>
      <c r="L311" s="530"/>
      <c r="M311" s="439"/>
      <c r="N311" s="1070"/>
      <c r="O311" s="439"/>
      <c r="P311" s="439"/>
      <c r="Q311" s="439"/>
      <c r="R311" s="530"/>
      <c r="S311" s="439"/>
      <c r="T311" s="1070"/>
      <c r="U311" s="439"/>
    </row>
    <row r="312" ht="15.75" customHeight="1">
      <c r="A312" s="439"/>
      <c r="B312" s="439"/>
      <c r="C312" s="439"/>
      <c r="D312" s="439"/>
      <c r="E312" s="439"/>
      <c r="F312" s="530"/>
      <c r="G312" s="439"/>
      <c r="H312" s="1070"/>
      <c r="I312" s="439"/>
      <c r="J312" s="439"/>
      <c r="K312" s="439"/>
      <c r="L312" s="530"/>
      <c r="M312" s="439"/>
      <c r="N312" s="1070"/>
      <c r="O312" s="439"/>
      <c r="P312" s="439"/>
      <c r="Q312" s="439"/>
      <c r="R312" s="530"/>
      <c r="S312" s="439"/>
      <c r="T312" s="1070"/>
      <c r="U312" s="439"/>
    </row>
    <row r="313" ht="15.75" customHeight="1">
      <c r="A313" s="439"/>
      <c r="B313" s="439"/>
      <c r="C313" s="439"/>
      <c r="D313" s="439"/>
      <c r="E313" s="439"/>
      <c r="F313" s="530"/>
      <c r="G313" s="439"/>
      <c r="H313" s="1070"/>
      <c r="I313" s="439"/>
      <c r="J313" s="439"/>
      <c r="K313" s="439"/>
      <c r="L313" s="530"/>
      <c r="M313" s="439"/>
      <c r="N313" s="1070"/>
      <c r="O313" s="439"/>
      <c r="P313" s="439"/>
      <c r="Q313" s="439"/>
      <c r="R313" s="530"/>
      <c r="S313" s="439"/>
      <c r="T313" s="1070"/>
      <c r="U313" s="439"/>
    </row>
    <row r="314" ht="15.75" customHeight="1">
      <c r="A314" s="439"/>
      <c r="B314" s="439"/>
      <c r="C314" s="439"/>
      <c r="D314" s="439"/>
      <c r="E314" s="439"/>
      <c r="F314" s="530"/>
      <c r="G314" s="439"/>
      <c r="H314" s="1070"/>
      <c r="I314" s="439"/>
      <c r="J314" s="439"/>
      <c r="K314" s="439"/>
      <c r="L314" s="530"/>
      <c r="M314" s="439"/>
      <c r="N314" s="1070"/>
      <c r="O314" s="439"/>
      <c r="P314" s="439"/>
      <c r="Q314" s="439"/>
      <c r="R314" s="530"/>
      <c r="S314" s="439"/>
      <c r="T314" s="1070"/>
      <c r="U314" s="439"/>
    </row>
    <row r="315" ht="15.75" customHeight="1">
      <c r="A315" s="439"/>
      <c r="B315" s="439"/>
      <c r="C315" s="439"/>
      <c r="D315" s="439"/>
      <c r="E315" s="439"/>
      <c r="F315" s="530"/>
      <c r="G315" s="439"/>
      <c r="H315" s="1070"/>
      <c r="I315" s="439"/>
      <c r="J315" s="439"/>
      <c r="K315" s="439"/>
      <c r="L315" s="530"/>
      <c r="M315" s="439"/>
      <c r="N315" s="1070"/>
      <c r="O315" s="439"/>
      <c r="P315" s="439"/>
      <c r="Q315" s="439"/>
      <c r="R315" s="530"/>
      <c r="S315" s="439"/>
      <c r="T315" s="1070"/>
      <c r="U315" s="439"/>
    </row>
    <row r="316" ht="15.75" customHeight="1">
      <c r="A316" s="439"/>
      <c r="B316" s="439"/>
      <c r="C316" s="439"/>
      <c r="D316" s="439"/>
      <c r="E316" s="439"/>
      <c r="F316" s="530"/>
      <c r="G316" s="439"/>
      <c r="H316" s="1070"/>
      <c r="I316" s="439"/>
      <c r="J316" s="439"/>
      <c r="K316" s="439"/>
      <c r="L316" s="530"/>
      <c r="M316" s="439"/>
      <c r="N316" s="1070"/>
      <c r="O316" s="439"/>
      <c r="P316" s="439"/>
      <c r="Q316" s="439"/>
      <c r="R316" s="530"/>
      <c r="S316" s="439"/>
      <c r="T316" s="1070"/>
      <c r="U316" s="439"/>
    </row>
    <row r="317" ht="15.75" customHeight="1">
      <c r="A317" s="439"/>
      <c r="B317" s="439"/>
      <c r="C317" s="439"/>
      <c r="D317" s="439"/>
      <c r="E317" s="439"/>
      <c r="F317" s="530"/>
      <c r="G317" s="439"/>
      <c r="H317" s="1070"/>
      <c r="I317" s="439"/>
      <c r="J317" s="439"/>
      <c r="K317" s="439"/>
      <c r="L317" s="530"/>
      <c r="M317" s="439"/>
      <c r="N317" s="1070"/>
      <c r="O317" s="439"/>
      <c r="P317" s="439"/>
      <c r="Q317" s="439"/>
      <c r="R317" s="530"/>
      <c r="S317" s="439"/>
      <c r="T317" s="1070"/>
      <c r="U317" s="439"/>
    </row>
    <row r="318" ht="15.75" customHeight="1">
      <c r="A318" s="439"/>
      <c r="B318" s="439"/>
      <c r="C318" s="439"/>
      <c r="D318" s="439"/>
      <c r="E318" s="439"/>
      <c r="F318" s="530"/>
      <c r="G318" s="439"/>
      <c r="H318" s="1070"/>
      <c r="I318" s="439"/>
      <c r="J318" s="439"/>
      <c r="K318" s="439"/>
      <c r="L318" s="530"/>
      <c r="M318" s="439"/>
      <c r="N318" s="1070"/>
      <c r="O318" s="439"/>
      <c r="P318" s="439"/>
      <c r="Q318" s="439"/>
      <c r="R318" s="530"/>
      <c r="S318" s="439"/>
      <c r="T318" s="1070"/>
      <c r="U318" s="439"/>
    </row>
    <row r="319" ht="15.75" customHeight="1">
      <c r="A319" s="439"/>
      <c r="B319" s="439"/>
      <c r="C319" s="439"/>
      <c r="D319" s="439"/>
      <c r="E319" s="439"/>
      <c r="F319" s="530"/>
      <c r="G319" s="439"/>
      <c r="H319" s="1070"/>
      <c r="I319" s="439"/>
      <c r="J319" s="439"/>
      <c r="K319" s="439"/>
      <c r="L319" s="530"/>
      <c r="M319" s="439"/>
      <c r="N319" s="1070"/>
      <c r="O319" s="439"/>
      <c r="P319" s="439"/>
      <c r="Q319" s="439"/>
      <c r="R319" s="530"/>
      <c r="S319" s="439"/>
      <c r="T319" s="1070"/>
      <c r="U319" s="439"/>
    </row>
    <row r="320" ht="15.75" customHeight="1">
      <c r="A320" s="439"/>
      <c r="B320" s="439"/>
      <c r="C320" s="439"/>
      <c r="D320" s="439"/>
      <c r="E320" s="439"/>
      <c r="F320" s="530"/>
      <c r="G320" s="439"/>
      <c r="H320" s="1070"/>
      <c r="I320" s="439"/>
      <c r="J320" s="439"/>
      <c r="K320" s="439"/>
      <c r="L320" s="530"/>
      <c r="M320" s="439"/>
      <c r="N320" s="1070"/>
      <c r="O320" s="439"/>
      <c r="P320" s="439"/>
      <c r="Q320" s="439"/>
      <c r="R320" s="530"/>
      <c r="S320" s="439"/>
      <c r="T320" s="1070"/>
      <c r="U320" s="439"/>
    </row>
    <row r="321" ht="15.75" customHeight="1">
      <c r="A321" s="439"/>
      <c r="B321" s="439"/>
      <c r="C321" s="439"/>
      <c r="D321" s="439"/>
      <c r="E321" s="439"/>
      <c r="F321" s="530"/>
      <c r="G321" s="439"/>
      <c r="H321" s="1070"/>
      <c r="I321" s="439"/>
      <c r="J321" s="439"/>
      <c r="K321" s="439"/>
      <c r="L321" s="530"/>
      <c r="M321" s="439"/>
      <c r="N321" s="1070"/>
      <c r="O321" s="439"/>
      <c r="P321" s="439"/>
      <c r="Q321" s="439"/>
      <c r="R321" s="530"/>
      <c r="S321" s="439"/>
      <c r="T321" s="1070"/>
      <c r="U321" s="439"/>
    </row>
    <row r="322" ht="15.75" customHeight="1">
      <c r="A322" s="439"/>
      <c r="B322" s="439"/>
      <c r="C322" s="439"/>
      <c r="D322" s="439"/>
      <c r="E322" s="439"/>
      <c r="F322" s="530"/>
      <c r="G322" s="439"/>
      <c r="H322" s="1070"/>
      <c r="I322" s="439"/>
      <c r="J322" s="439"/>
      <c r="K322" s="439"/>
      <c r="L322" s="530"/>
      <c r="M322" s="439"/>
      <c r="N322" s="1070"/>
      <c r="O322" s="439"/>
      <c r="P322" s="439"/>
      <c r="Q322" s="439"/>
      <c r="R322" s="530"/>
      <c r="S322" s="439"/>
      <c r="T322" s="1070"/>
      <c r="U322" s="439"/>
    </row>
    <row r="323" ht="15.75" customHeight="1">
      <c r="A323" s="439"/>
      <c r="B323" s="439"/>
      <c r="C323" s="439"/>
      <c r="D323" s="439"/>
      <c r="E323" s="439"/>
      <c r="F323" s="530"/>
      <c r="G323" s="439"/>
      <c r="H323" s="1070"/>
      <c r="I323" s="439"/>
      <c r="J323" s="439"/>
      <c r="K323" s="439"/>
      <c r="L323" s="530"/>
      <c r="M323" s="439"/>
      <c r="N323" s="1070"/>
      <c r="O323" s="439"/>
      <c r="P323" s="439"/>
      <c r="Q323" s="439"/>
      <c r="R323" s="530"/>
      <c r="S323" s="439"/>
      <c r="T323" s="1070"/>
      <c r="U323" s="439"/>
    </row>
    <row r="324" ht="15.75" customHeight="1">
      <c r="A324" s="439"/>
      <c r="B324" s="439"/>
      <c r="C324" s="439"/>
      <c r="D324" s="439"/>
      <c r="E324" s="439"/>
      <c r="F324" s="530"/>
      <c r="G324" s="439"/>
      <c r="H324" s="1070"/>
      <c r="I324" s="439"/>
      <c r="J324" s="439"/>
      <c r="K324" s="439"/>
      <c r="L324" s="530"/>
      <c r="M324" s="439"/>
      <c r="N324" s="1070"/>
      <c r="O324" s="439"/>
      <c r="P324" s="439"/>
      <c r="Q324" s="439"/>
      <c r="R324" s="530"/>
      <c r="S324" s="439"/>
      <c r="T324" s="1070"/>
      <c r="U324" s="439"/>
    </row>
    <row r="325" ht="15.75" customHeight="1">
      <c r="A325" s="439"/>
      <c r="B325" s="439"/>
      <c r="C325" s="439"/>
      <c r="D325" s="439"/>
      <c r="E325" s="439"/>
      <c r="F325" s="530"/>
      <c r="G325" s="439"/>
      <c r="H325" s="1070"/>
      <c r="I325" s="439"/>
      <c r="J325" s="439"/>
      <c r="K325" s="439"/>
      <c r="L325" s="530"/>
      <c r="M325" s="439"/>
      <c r="N325" s="1070"/>
      <c r="O325" s="439"/>
      <c r="P325" s="439"/>
      <c r="Q325" s="439"/>
      <c r="R325" s="530"/>
      <c r="S325" s="439"/>
      <c r="T325" s="1070"/>
      <c r="U325" s="439"/>
    </row>
    <row r="326" ht="15.75" customHeight="1">
      <c r="A326" s="439"/>
      <c r="B326" s="439"/>
      <c r="C326" s="439"/>
      <c r="D326" s="439"/>
      <c r="E326" s="439"/>
      <c r="F326" s="530"/>
      <c r="G326" s="439"/>
      <c r="H326" s="1070"/>
      <c r="I326" s="439"/>
      <c r="J326" s="439"/>
      <c r="K326" s="439"/>
      <c r="L326" s="530"/>
      <c r="M326" s="439"/>
      <c r="N326" s="1070"/>
      <c r="O326" s="439"/>
      <c r="P326" s="439"/>
      <c r="Q326" s="439"/>
      <c r="R326" s="530"/>
      <c r="S326" s="439"/>
      <c r="T326" s="1070"/>
      <c r="U326" s="439"/>
    </row>
    <row r="327" ht="15.75" customHeight="1">
      <c r="A327" s="439"/>
      <c r="B327" s="439"/>
      <c r="C327" s="439"/>
      <c r="D327" s="439"/>
      <c r="E327" s="439"/>
      <c r="F327" s="530"/>
      <c r="G327" s="439"/>
      <c r="H327" s="1070"/>
      <c r="I327" s="439"/>
      <c r="J327" s="439"/>
      <c r="K327" s="439"/>
      <c r="L327" s="530"/>
      <c r="M327" s="439"/>
      <c r="N327" s="1070"/>
      <c r="O327" s="439"/>
      <c r="P327" s="439"/>
      <c r="Q327" s="439"/>
      <c r="R327" s="530"/>
      <c r="S327" s="439"/>
      <c r="T327" s="1070"/>
      <c r="U327" s="439"/>
    </row>
    <row r="328" ht="15.75" customHeight="1">
      <c r="A328" s="439"/>
      <c r="B328" s="439"/>
      <c r="C328" s="439"/>
      <c r="D328" s="439"/>
      <c r="E328" s="439"/>
      <c r="F328" s="530"/>
      <c r="G328" s="439"/>
      <c r="H328" s="1070"/>
      <c r="I328" s="439"/>
      <c r="J328" s="439"/>
      <c r="K328" s="439"/>
      <c r="L328" s="530"/>
      <c r="M328" s="439"/>
      <c r="N328" s="1070"/>
      <c r="O328" s="439"/>
      <c r="P328" s="439"/>
      <c r="Q328" s="439"/>
      <c r="R328" s="530"/>
      <c r="S328" s="439"/>
      <c r="T328" s="1070"/>
      <c r="U328" s="439"/>
    </row>
    <row r="329" ht="15.75" customHeight="1">
      <c r="A329" s="439"/>
      <c r="B329" s="439"/>
      <c r="C329" s="439"/>
      <c r="D329" s="439"/>
      <c r="E329" s="439"/>
      <c r="F329" s="530"/>
      <c r="G329" s="439"/>
      <c r="H329" s="1070"/>
      <c r="I329" s="439"/>
      <c r="J329" s="439"/>
      <c r="K329" s="439"/>
      <c r="L329" s="530"/>
      <c r="M329" s="439"/>
      <c r="N329" s="1070"/>
      <c r="O329" s="439"/>
      <c r="P329" s="439"/>
      <c r="Q329" s="439"/>
      <c r="R329" s="530"/>
      <c r="S329" s="439"/>
      <c r="T329" s="1070"/>
      <c r="U329" s="439"/>
    </row>
    <row r="330" ht="15.75" customHeight="1">
      <c r="A330" s="439"/>
      <c r="B330" s="439"/>
      <c r="C330" s="439"/>
      <c r="D330" s="439"/>
      <c r="E330" s="439"/>
      <c r="F330" s="530"/>
      <c r="G330" s="439"/>
      <c r="H330" s="1070"/>
      <c r="I330" s="439"/>
      <c r="J330" s="439"/>
      <c r="K330" s="439"/>
      <c r="L330" s="530"/>
      <c r="M330" s="439"/>
      <c r="N330" s="1070"/>
      <c r="O330" s="439"/>
      <c r="P330" s="439"/>
      <c r="Q330" s="439"/>
      <c r="R330" s="530"/>
      <c r="S330" s="439"/>
      <c r="T330" s="1070"/>
      <c r="U330" s="439"/>
    </row>
    <row r="331" ht="15.75" customHeight="1">
      <c r="A331" s="439"/>
      <c r="B331" s="439"/>
      <c r="C331" s="439"/>
      <c r="D331" s="439"/>
      <c r="E331" s="439"/>
      <c r="F331" s="530"/>
      <c r="G331" s="439"/>
      <c r="H331" s="1070"/>
      <c r="I331" s="439"/>
      <c r="J331" s="439"/>
      <c r="K331" s="439"/>
      <c r="L331" s="530"/>
      <c r="M331" s="439"/>
      <c r="N331" s="1070"/>
      <c r="O331" s="439"/>
      <c r="P331" s="439"/>
      <c r="Q331" s="439"/>
      <c r="R331" s="530"/>
      <c r="S331" s="439"/>
      <c r="T331" s="1070"/>
      <c r="U331" s="439"/>
    </row>
    <row r="332" ht="15.75" customHeight="1">
      <c r="A332" s="439"/>
      <c r="B332" s="439"/>
      <c r="C332" s="439"/>
      <c r="D332" s="439"/>
      <c r="E332" s="439"/>
      <c r="F332" s="530"/>
      <c r="G332" s="439"/>
      <c r="H332" s="1070"/>
      <c r="I332" s="439"/>
      <c r="J332" s="439"/>
      <c r="K332" s="439"/>
      <c r="L332" s="530"/>
      <c r="M332" s="439"/>
      <c r="N332" s="1070"/>
      <c r="O332" s="439"/>
      <c r="P332" s="439"/>
      <c r="Q332" s="439"/>
      <c r="R332" s="530"/>
      <c r="S332" s="439"/>
      <c r="T332" s="1070"/>
      <c r="U332" s="439"/>
    </row>
    <row r="333" ht="15.75" customHeight="1">
      <c r="A333" s="439"/>
      <c r="B333" s="439"/>
      <c r="C333" s="439"/>
      <c r="D333" s="439"/>
      <c r="E333" s="439"/>
      <c r="F333" s="530"/>
      <c r="G333" s="439"/>
      <c r="H333" s="1070"/>
      <c r="I333" s="439"/>
      <c r="J333" s="439"/>
      <c r="K333" s="439"/>
      <c r="L333" s="530"/>
      <c r="M333" s="439"/>
      <c r="N333" s="1070"/>
      <c r="O333" s="439"/>
      <c r="P333" s="439"/>
      <c r="Q333" s="439"/>
      <c r="R333" s="530"/>
      <c r="S333" s="439"/>
      <c r="T333" s="1070"/>
      <c r="U333" s="439"/>
    </row>
    <row r="334" ht="15.75" customHeight="1">
      <c r="A334" s="439"/>
      <c r="B334" s="439"/>
      <c r="C334" s="439"/>
      <c r="D334" s="439"/>
      <c r="E334" s="439"/>
      <c r="F334" s="530"/>
      <c r="G334" s="439"/>
      <c r="H334" s="1070"/>
      <c r="I334" s="439"/>
      <c r="J334" s="439"/>
      <c r="K334" s="439"/>
      <c r="L334" s="530"/>
      <c r="M334" s="439"/>
      <c r="N334" s="1070"/>
      <c r="O334" s="439"/>
      <c r="P334" s="439"/>
      <c r="Q334" s="439"/>
      <c r="R334" s="530"/>
      <c r="S334" s="439"/>
      <c r="T334" s="1070"/>
      <c r="U334" s="439"/>
    </row>
    <row r="335" ht="15.75" customHeight="1">
      <c r="A335" s="439"/>
      <c r="B335" s="439"/>
      <c r="C335" s="439"/>
      <c r="D335" s="439"/>
      <c r="E335" s="439"/>
      <c r="F335" s="530"/>
      <c r="G335" s="439"/>
      <c r="H335" s="1070"/>
      <c r="I335" s="439"/>
      <c r="J335" s="439"/>
      <c r="K335" s="439"/>
      <c r="L335" s="530"/>
      <c r="M335" s="439"/>
      <c r="N335" s="1070"/>
      <c r="O335" s="439"/>
      <c r="P335" s="439"/>
      <c r="Q335" s="439"/>
      <c r="R335" s="530"/>
      <c r="S335" s="439"/>
      <c r="T335" s="1070"/>
      <c r="U335" s="439"/>
    </row>
    <row r="336" ht="15.75" customHeight="1">
      <c r="A336" s="439"/>
      <c r="B336" s="439"/>
      <c r="C336" s="439"/>
      <c r="D336" s="439"/>
      <c r="E336" s="439"/>
      <c r="F336" s="530"/>
      <c r="G336" s="439"/>
      <c r="H336" s="1070"/>
      <c r="I336" s="439"/>
      <c r="J336" s="439"/>
      <c r="K336" s="439"/>
      <c r="L336" s="530"/>
      <c r="M336" s="439"/>
      <c r="N336" s="1070"/>
      <c r="O336" s="439"/>
      <c r="P336" s="439"/>
      <c r="Q336" s="439"/>
      <c r="R336" s="530"/>
      <c r="S336" s="439"/>
      <c r="T336" s="1070"/>
      <c r="U336" s="439"/>
    </row>
    <row r="337" ht="15.75" customHeight="1">
      <c r="A337" s="439"/>
      <c r="B337" s="439"/>
      <c r="C337" s="439"/>
      <c r="D337" s="439"/>
      <c r="E337" s="439"/>
      <c r="F337" s="530"/>
      <c r="G337" s="439"/>
      <c r="H337" s="1070"/>
      <c r="I337" s="439"/>
      <c r="J337" s="439"/>
      <c r="K337" s="439"/>
      <c r="L337" s="530"/>
      <c r="M337" s="439"/>
      <c r="N337" s="1070"/>
      <c r="O337" s="439"/>
      <c r="P337" s="439"/>
      <c r="Q337" s="439"/>
      <c r="R337" s="530"/>
      <c r="S337" s="439"/>
      <c r="T337" s="1070"/>
      <c r="U337" s="439"/>
    </row>
    <row r="338" ht="15.75" customHeight="1">
      <c r="A338" s="439"/>
      <c r="B338" s="439"/>
      <c r="C338" s="439"/>
      <c r="D338" s="439"/>
      <c r="E338" s="439"/>
      <c r="F338" s="530"/>
      <c r="G338" s="439"/>
      <c r="H338" s="1070"/>
      <c r="I338" s="439"/>
      <c r="J338" s="439"/>
      <c r="K338" s="439"/>
      <c r="L338" s="530"/>
      <c r="M338" s="439"/>
      <c r="N338" s="1070"/>
      <c r="O338" s="439"/>
      <c r="P338" s="439"/>
      <c r="Q338" s="439"/>
      <c r="R338" s="530"/>
      <c r="S338" s="439"/>
      <c r="T338" s="1070"/>
      <c r="U338" s="439"/>
    </row>
    <row r="339" ht="15.75" customHeight="1">
      <c r="A339" s="439"/>
      <c r="B339" s="439"/>
      <c r="C339" s="439"/>
      <c r="D339" s="439"/>
      <c r="E339" s="439"/>
      <c r="F339" s="530"/>
      <c r="G339" s="439"/>
      <c r="H339" s="1070"/>
      <c r="I339" s="439"/>
      <c r="J339" s="439"/>
      <c r="K339" s="439"/>
      <c r="L339" s="530"/>
      <c r="M339" s="439"/>
      <c r="N339" s="1070"/>
      <c r="O339" s="439"/>
      <c r="P339" s="439"/>
      <c r="Q339" s="439"/>
      <c r="R339" s="530"/>
      <c r="S339" s="439"/>
      <c r="T339" s="1070"/>
      <c r="U339" s="439"/>
    </row>
    <row r="340" ht="15.75" customHeight="1">
      <c r="A340" s="439"/>
      <c r="B340" s="439"/>
      <c r="C340" s="439"/>
      <c r="D340" s="439"/>
      <c r="E340" s="439"/>
      <c r="F340" s="530"/>
      <c r="G340" s="439"/>
      <c r="H340" s="1070"/>
      <c r="I340" s="439"/>
      <c r="J340" s="439"/>
      <c r="K340" s="439"/>
      <c r="L340" s="530"/>
      <c r="M340" s="439"/>
      <c r="N340" s="1070"/>
      <c r="O340" s="439"/>
      <c r="P340" s="439"/>
      <c r="Q340" s="439"/>
      <c r="R340" s="530"/>
      <c r="S340" s="439"/>
      <c r="T340" s="1070"/>
      <c r="U340" s="439"/>
    </row>
    <row r="341" ht="15.75" customHeight="1">
      <c r="A341" s="439"/>
      <c r="B341" s="439"/>
      <c r="C341" s="439"/>
      <c r="D341" s="439"/>
      <c r="E341" s="439"/>
      <c r="F341" s="530"/>
      <c r="G341" s="439"/>
      <c r="H341" s="1070"/>
      <c r="I341" s="439"/>
      <c r="J341" s="439"/>
      <c r="K341" s="439"/>
      <c r="L341" s="530"/>
      <c r="M341" s="439"/>
      <c r="N341" s="1070"/>
      <c r="O341" s="439"/>
      <c r="P341" s="439"/>
      <c r="Q341" s="439"/>
      <c r="R341" s="530"/>
      <c r="S341" s="439"/>
      <c r="T341" s="1070"/>
      <c r="U341" s="439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6">
    <mergeCell ref="B4:B5"/>
    <mergeCell ref="C4:C5"/>
    <mergeCell ref="D4:I4"/>
    <mergeCell ref="J4:O4"/>
    <mergeCell ref="P4:U4"/>
    <mergeCell ref="B64:C6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7.5"/>
    <col customWidth="1" min="4" max="4" width="12.63"/>
    <col customWidth="1" hidden="1" min="5" max="9" width="12.63"/>
    <col customWidth="1" min="10" max="10" width="12.63"/>
    <col customWidth="1" hidden="1" min="11" max="15" width="12.63"/>
    <col customWidth="1" min="16" max="16" width="12.63"/>
    <col customWidth="1" hidden="1" min="17" max="21" width="12.63"/>
    <col customWidth="1" min="22" max="29" width="12.63"/>
  </cols>
  <sheetData>
    <row r="1" ht="15.75" customHeight="1">
      <c r="A1" s="439"/>
      <c r="B1" s="440" t="s">
        <v>0</v>
      </c>
      <c r="C1" s="439"/>
      <c r="D1" s="439"/>
      <c r="E1" s="247"/>
      <c r="F1" s="439"/>
      <c r="G1" s="439"/>
      <c r="H1" s="439"/>
      <c r="I1" s="439"/>
      <c r="J1" s="439"/>
      <c r="K1" s="247"/>
      <c r="L1" s="439"/>
      <c r="M1" s="439"/>
      <c r="N1" s="439"/>
      <c r="O1" s="439"/>
      <c r="P1" s="439"/>
      <c r="Q1" s="247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</row>
    <row r="2" ht="15.75" customHeight="1">
      <c r="A2" s="439"/>
      <c r="B2" s="692" t="s">
        <v>360</v>
      </c>
      <c r="C2" s="439"/>
      <c r="D2" s="439"/>
      <c r="E2" s="247"/>
      <c r="F2" s="439"/>
      <c r="G2" s="439"/>
      <c r="H2" s="439"/>
      <c r="I2" s="439"/>
      <c r="J2" s="439"/>
      <c r="K2" s="247"/>
      <c r="L2" s="439"/>
      <c r="M2" s="439"/>
      <c r="N2" s="439"/>
      <c r="O2" s="439"/>
      <c r="P2" s="439"/>
      <c r="Q2" s="247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</row>
    <row r="3" ht="15.75" customHeight="1">
      <c r="A3" s="439"/>
      <c r="B3" s="439"/>
      <c r="C3" s="439"/>
      <c r="D3" s="439"/>
      <c r="E3" s="247"/>
      <c r="F3" s="439"/>
      <c r="G3" s="439"/>
      <c r="H3" s="439"/>
      <c r="I3" s="439"/>
      <c r="J3" s="439"/>
      <c r="K3" s="247"/>
      <c r="L3" s="439"/>
      <c r="M3" s="439"/>
      <c r="N3" s="439"/>
      <c r="O3" s="439"/>
      <c r="P3" s="439"/>
      <c r="Q3" s="247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</row>
    <row r="4" ht="15.75" customHeight="1">
      <c r="A4" s="439"/>
      <c r="B4" s="443" t="s">
        <v>162</v>
      </c>
      <c r="C4" s="443" t="s">
        <v>163</v>
      </c>
      <c r="D4" s="694" t="s">
        <v>164</v>
      </c>
      <c r="E4" s="10"/>
      <c r="F4" s="10"/>
      <c r="G4" s="10"/>
      <c r="H4" s="10"/>
      <c r="I4" s="13"/>
      <c r="J4" s="694" t="s">
        <v>165</v>
      </c>
      <c r="K4" s="10"/>
      <c r="L4" s="10"/>
      <c r="M4" s="10"/>
      <c r="N4" s="10"/>
      <c r="O4" s="13"/>
      <c r="P4" s="695" t="s">
        <v>166</v>
      </c>
      <c r="Q4" s="10"/>
      <c r="R4" s="10"/>
      <c r="S4" s="10"/>
      <c r="T4" s="10"/>
      <c r="U4" s="13"/>
      <c r="V4" s="696"/>
      <c r="W4" s="696"/>
      <c r="X4" s="696"/>
      <c r="Y4" s="696"/>
      <c r="Z4" s="696"/>
      <c r="AA4" s="696"/>
      <c r="AB4" s="696"/>
      <c r="AC4" s="696"/>
    </row>
    <row r="5">
      <c r="A5" s="532"/>
      <c r="B5" s="533"/>
      <c r="C5" s="533"/>
      <c r="D5" s="1116" t="s">
        <v>167</v>
      </c>
      <c r="E5" s="1117" t="s">
        <v>18</v>
      </c>
      <c r="F5" s="1117" t="s">
        <v>168</v>
      </c>
      <c r="G5" s="1117" t="s">
        <v>18</v>
      </c>
      <c r="H5" s="1117" t="s">
        <v>169</v>
      </c>
      <c r="I5" s="1118" t="s">
        <v>260</v>
      </c>
      <c r="J5" s="803" t="s">
        <v>167</v>
      </c>
      <c r="K5" s="1119" t="s">
        <v>18</v>
      </c>
      <c r="L5" s="1117" t="s">
        <v>168</v>
      </c>
      <c r="M5" s="1117" t="s">
        <v>18</v>
      </c>
      <c r="N5" s="1117" t="s">
        <v>169</v>
      </c>
      <c r="O5" s="1118" t="s">
        <v>260</v>
      </c>
      <c r="P5" s="803" t="s">
        <v>167</v>
      </c>
      <c r="Q5" s="803" t="s">
        <v>18</v>
      </c>
      <c r="R5" s="803" t="s">
        <v>168</v>
      </c>
      <c r="S5" s="803" t="s">
        <v>18</v>
      </c>
      <c r="T5" s="803" t="s">
        <v>169</v>
      </c>
      <c r="U5" s="803" t="s">
        <v>260</v>
      </c>
      <c r="V5" s="805"/>
      <c r="W5" s="805"/>
      <c r="X5" s="805"/>
      <c r="Y5" s="805"/>
      <c r="Z5" s="805"/>
      <c r="AA5" s="805"/>
      <c r="AB5" s="805"/>
      <c r="AC5" s="805"/>
    </row>
    <row r="6" hidden="1">
      <c r="A6" s="439"/>
      <c r="B6" s="469"/>
      <c r="C6" s="469" t="s">
        <v>73</v>
      </c>
      <c r="D6" s="703">
        <v>0.0</v>
      </c>
      <c r="E6" s="540"/>
      <c r="F6" s="646"/>
      <c r="G6" s="540"/>
      <c r="H6" s="646"/>
      <c r="I6" s="542"/>
      <c r="J6" s="703">
        <v>0.0</v>
      </c>
      <c r="K6" s="540"/>
      <c r="L6" s="646"/>
      <c r="M6" s="540"/>
      <c r="N6" s="646"/>
      <c r="O6" s="542"/>
      <c r="P6" s="741">
        <v>0.0</v>
      </c>
      <c r="Q6" s="461"/>
      <c r="R6" s="741"/>
      <c r="S6" s="461"/>
      <c r="T6" s="741"/>
      <c r="U6" s="461"/>
      <c r="V6" s="439"/>
      <c r="W6" s="439"/>
      <c r="X6" s="439"/>
      <c r="Y6" s="439"/>
      <c r="Z6" s="439"/>
      <c r="AA6" s="439"/>
      <c r="AB6" s="439"/>
      <c r="AC6" s="439"/>
    </row>
    <row r="7" hidden="1">
      <c r="A7" s="439"/>
      <c r="B7" s="469"/>
      <c r="C7" s="469" t="s">
        <v>80</v>
      </c>
      <c r="D7" s="704">
        <v>0.0</v>
      </c>
      <c r="E7" s="539"/>
      <c r="F7" s="649"/>
      <c r="G7" s="539"/>
      <c r="H7" s="649"/>
      <c r="I7" s="479"/>
      <c r="J7" s="704">
        <v>0.0</v>
      </c>
      <c r="K7" s="539"/>
      <c r="L7" s="649"/>
      <c r="M7" s="539"/>
      <c r="N7" s="649"/>
      <c r="O7" s="479"/>
      <c r="P7" s="737">
        <v>0.0</v>
      </c>
      <c r="Q7" s="469"/>
      <c r="R7" s="737"/>
      <c r="S7" s="469"/>
      <c r="T7" s="737"/>
      <c r="U7" s="469"/>
      <c r="V7" s="439"/>
      <c r="W7" s="439"/>
      <c r="X7" s="439"/>
      <c r="Y7" s="439"/>
      <c r="Z7" s="439"/>
      <c r="AA7" s="439"/>
      <c r="AB7" s="439"/>
      <c r="AC7" s="439"/>
    </row>
    <row r="8" hidden="1">
      <c r="A8" s="439"/>
      <c r="B8" s="469"/>
      <c r="C8" s="469" t="s">
        <v>87</v>
      </c>
      <c r="D8" s="704">
        <v>0.0</v>
      </c>
      <c r="E8" s="539"/>
      <c r="F8" s="649"/>
      <c r="G8" s="539"/>
      <c r="H8" s="649"/>
      <c r="I8" s="479"/>
      <c r="J8" s="704">
        <v>0.0</v>
      </c>
      <c r="K8" s="539"/>
      <c r="L8" s="649"/>
      <c r="M8" s="539"/>
      <c r="N8" s="649"/>
      <c r="O8" s="479"/>
      <c r="P8" s="737">
        <v>0.0</v>
      </c>
      <c r="Q8" s="469"/>
      <c r="R8" s="737"/>
      <c r="S8" s="469"/>
      <c r="T8" s="737"/>
      <c r="U8" s="469"/>
      <c r="V8" s="439"/>
      <c r="W8" s="439"/>
      <c r="X8" s="439"/>
      <c r="Y8" s="439"/>
      <c r="Z8" s="439"/>
      <c r="AA8" s="439"/>
      <c r="AB8" s="439"/>
      <c r="AC8" s="439"/>
    </row>
    <row r="9" hidden="1">
      <c r="A9" s="439"/>
      <c r="B9" s="469"/>
      <c r="C9" s="469" t="s">
        <v>94</v>
      </c>
      <c r="D9" s="704">
        <v>0.0</v>
      </c>
      <c r="E9" s="539"/>
      <c r="F9" s="649"/>
      <c r="G9" s="539"/>
      <c r="H9" s="649"/>
      <c r="I9" s="479"/>
      <c r="J9" s="704">
        <v>0.0</v>
      </c>
      <c r="K9" s="539"/>
      <c r="L9" s="649"/>
      <c r="M9" s="539"/>
      <c r="N9" s="649"/>
      <c r="O9" s="479"/>
      <c r="P9" s="737">
        <v>0.0</v>
      </c>
      <c r="Q9" s="469"/>
      <c r="R9" s="737"/>
      <c r="S9" s="469"/>
      <c r="T9" s="737"/>
      <c r="U9" s="469"/>
      <c r="V9" s="439"/>
      <c r="W9" s="439"/>
      <c r="X9" s="439"/>
      <c r="Y9" s="439"/>
      <c r="Z9" s="439"/>
      <c r="AA9" s="439"/>
      <c r="AB9" s="439"/>
      <c r="AC9" s="439"/>
    </row>
    <row r="10" hidden="1">
      <c r="A10" s="439"/>
      <c r="B10" s="469"/>
      <c r="C10" s="469" t="s">
        <v>101</v>
      </c>
      <c r="D10" s="704">
        <f>SUM(D8:D9)-D27</f>
        <v>-124708.89</v>
      </c>
      <c r="E10" s="539"/>
      <c r="F10" s="649"/>
      <c r="G10" s="539"/>
      <c r="H10" s="649"/>
      <c r="I10" s="479"/>
      <c r="J10" s="704">
        <f>SUM(J8:J9)-J27</f>
        <v>-103369</v>
      </c>
      <c r="K10" s="539"/>
      <c r="L10" s="649"/>
      <c r="M10" s="539"/>
      <c r="N10" s="649"/>
      <c r="O10" s="479"/>
      <c r="P10" s="737">
        <f>SUM(P8:P9)-P27</f>
        <v>0</v>
      </c>
      <c r="Q10" s="469"/>
      <c r="R10" s="737"/>
      <c r="S10" s="469"/>
      <c r="T10" s="737"/>
      <c r="U10" s="469"/>
      <c r="V10" s="439"/>
      <c r="W10" s="439"/>
      <c r="X10" s="439"/>
      <c r="Y10" s="439"/>
      <c r="Z10" s="439"/>
      <c r="AA10" s="439"/>
      <c r="AB10" s="439"/>
      <c r="AC10" s="439"/>
    </row>
    <row r="11" hidden="1">
      <c r="A11" s="439"/>
      <c r="B11" s="469"/>
      <c r="C11" s="469" t="s">
        <v>108</v>
      </c>
      <c r="D11" s="704"/>
      <c r="E11" s="539"/>
      <c r="F11" s="649"/>
      <c r="G11" s="539"/>
      <c r="H11" s="649"/>
      <c r="I11" s="479"/>
      <c r="J11" s="704"/>
      <c r="K11" s="539"/>
      <c r="L11" s="649"/>
      <c r="M11" s="539"/>
      <c r="N11" s="649"/>
      <c r="O11" s="479"/>
      <c r="P11" s="737"/>
      <c r="Q11" s="469"/>
      <c r="R11" s="737"/>
      <c r="S11" s="469"/>
      <c r="T11" s="737"/>
      <c r="U11" s="469"/>
      <c r="V11" s="439"/>
      <c r="W11" s="439"/>
      <c r="X11" s="439"/>
      <c r="Y11" s="439"/>
      <c r="Z11" s="439"/>
      <c r="AA11" s="439"/>
      <c r="AB11" s="439"/>
      <c r="AC11" s="439"/>
    </row>
    <row r="12" hidden="1">
      <c r="A12" s="439"/>
      <c r="B12" s="469"/>
      <c r="C12" s="469" t="s">
        <v>115</v>
      </c>
      <c r="D12" s="704"/>
      <c r="E12" s="539"/>
      <c r="F12" s="649"/>
      <c r="G12" s="539"/>
      <c r="H12" s="649"/>
      <c r="I12" s="479"/>
      <c r="J12" s="704"/>
      <c r="K12" s="539"/>
      <c r="L12" s="649"/>
      <c r="M12" s="539"/>
      <c r="N12" s="649"/>
      <c r="O12" s="479"/>
      <c r="P12" s="737"/>
      <c r="Q12" s="469"/>
      <c r="R12" s="737"/>
      <c r="S12" s="469"/>
      <c r="T12" s="737"/>
      <c r="U12" s="469"/>
      <c r="V12" s="439"/>
      <c r="W12" s="439"/>
      <c r="X12" s="439"/>
      <c r="Y12" s="439"/>
      <c r="Z12" s="439"/>
      <c r="AA12" s="439"/>
      <c r="AB12" s="439"/>
      <c r="AC12" s="439"/>
    </row>
    <row r="13" hidden="1">
      <c r="A13" s="439"/>
      <c r="B13" s="469"/>
      <c r="C13" s="465"/>
      <c r="D13" s="704"/>
      <c r="E13" s="539"/>
      <c r="F13" s="649"/>
      <c r="G13" s="256"/>
      <c r="H13" s="649"/>
      <c r="I13" s="674"/>
      <c r="J13" s="704"/>
      <c r="K13" s="539"/>
      <c r="L13" s="649"/>
      <c r="M13" s="256"/>
      <c r="N13" s="649"/>
      <c r="O13" s="674"/>
      <c r="P13" s="737"/>
      <c r="Q13" s="469"/>
      <c r="R13" s="737"/>
      <c r="S13" s="465"/>
      <c r="T13" s="737"/>
      <c r="U13" s="465"/>
      <c r="V13" s="439"/>
      <c r="W13" s="439"/>
      <c r="X13" s="439"/>
      <c r="Y13" s="439"/>
      <c r="Z13" s="439"/>
      <c r="AA13" s="439"/>
      <c r="AB13" s="439"/>
      <c r="AC13" s="439"/>
    </row>
    <row r="14" hidden="1">
      <c r="A14" s="439"/>
      <c r="B14" s="543"/>
      <c r="C14" s="483"/>
      <c r="D14" s="705"/>
      <c r="E14" s="544"/>
      <c r="F14" s="706"/>
      <c r="G14" s="677"/>
      <c r="H14" s="706"/>
      <c r="I14" s="679"/>
      <c r="J14" s="705"/>
      <c r="K14" s="544"/>
      <c r="L14" s="706"/>
      <c r="M14" s="677"/>
      <c r="N14" s="706"/>
      <c r="O14" s="679"/>
      <c r="P14" s="731"/>
      <c r="Q14" s="543"/>
      <c r="R14" s="731"/>
      <c r="S14" s="483"/>
      <c r="T14" s="731"/>
      <c r="U14" s="483"/>
      <c r="V14" s="439"/>
      <c r="W14" s="439"/>
      <c r="X14" s="439"/>
      <c r="Y14" s="439"/>
      <c r="Z14" s="439"/>
      <c r="AA14" s="439"/>
      <c r="AB14" s="439"/>
      <c r="AC14" s="439"/>
    </row>
    <row r="15" ht="15.75" customHeight="1">
      <c r="A15" s="439"/>
      <c r="B15" s="457" t="s">
        <v>170</v>
      </c>
      <c r="C15" s="490" t="s">
        <v>329</v>
      </c>
      <c r="D15" s="668">
        <f>SUM(D16:D20)</f>
        <v>124708.89</v>
      </c>
      <c r="E15" s="457"/>
      <c r="F15" s="668"/>
      <c r="G15" s="490"/>
      <c r="H15" s="668">
        <f>SUM(H16:H19)</f>
        <v>48936.42</v>
      </c>
      <c r="I15" s="490"/>
      <c r="J15" s="668">
        <f>SUM(J16:J20)</f>
        <v>103369</v>
      </c>
      <c r="K15" s="670"/>
      <c r="L15" s="755"/>
      <c r="M15" s="493"/>
      <c r="N15" s="755">
        <f>SUM(N16:N19)</f>
        <v>53228</v>
      </c>
      <c r="O15" s="493"/>
      <c r="P15" s="668">
        <f>SUM(P16:P20)</f>
        <v>0</v>
      </c>
      <c r="Q15" s="670"/>
      <c r="R15" s="755"/>
      <c r="S15" s="493"/>
      <c r="T15" s="755">
        <f>SUM(T16:T19)</f>
        <v>0</v>
      </c>
      <c r="U15" s="493"/>
      <c r="V15" s="692"/>
      <c r="W15" s="692"/>
      <c r="X15" s="692"/>
      <c r="Y15" s="692"/>
      <c r="Z15" s="692"/>
      <c r="AA15" s="692"/>
      <c r="AB15" s="692"/>
      <c r="AC15" s="692"/>
    </row>
    <row r="16" ht="15.75" customHeight="1">
      <c r="A16" s="439"/>
      <c r="B16" s="461"/>
      <c r="C16" s="497"/>
      <c r="D16" s="703"/>
      <c r="E16" s="540"/>
      <c r="F16" s="646"/>
      <c r="G16" s="671"/>
      <c r="H16" s="646"/>
      <c r="I16" s="672"/>
      <c r="J16" s="703"/>
      <c r="K16" s="540"/>
      <c r="L16" s="646"/>
      <c r="M16" s="671"/>
      <c r="N16" s="646"/>
      <c r="O16" s="672"/>
      <c r="P16" s="741"/>
      <c r="Q16" s="461"/>
      <c r="R16" s="741"/>
      <c r="S16" s="497"/>
      <c r="T16" s="741"/>
      <c r="U16" s="497"/>
      <c r="V16" s="439"/>
      <c r="W16" s="439"/>
      <c r="X16" s="439"/>
      <c r="Y16" s="439"/>
      <c r="Z16" s="439"/>
      <c r="AA16" s="439"/>
      <c r="AB16" s="439"/>
      <c r="AC16" s="439"/>
    </row>
    <row r="17" ht="15.75" customHeight="1">
      <c r="A17" s="439"/>
      <c r="B17" s="469" t="s">
        <v>23</v>
      </c>
      <c r="C17" s="465" t="s">
        <v>361</v>
      </c>
      <c r="D17" s="704">
        <v>48936.42</v>
      </c>
      <c r="E17" s="557">
        <f t="shared" ref="E17:E18" si="1">D17/D$27</f>
        <v>0.3924052247</v>
      </c>
      <c r="F17" s="649"/>
      <c r="G17" s="256"/>
      <c r="H17" s="649">
        <f>D17-F17</f>
        <v>48936.42</v>
      </c>
      <c r="I17" s="674"/>
      <c r="J17" s="704">
        <v>53228.0</v>
      </c>
      <c r="K17" s="557">
        <f t="shared" ref="K17:K18" si="2">J17/J$27</f>
        <v>0.5149319428</v>
      </c>
      <c r="L17" s="649"/>
      <c r="M17" s="256"/>
      <c r="N17" s="649">
        <f>J17-L17</f>
        <v>53228</v>
      </c>
      <c r="O17" s="674"/>
      <c r="P17" s="752">
        <v>0.0</v>
      </c>
      <c r="Q17" s="605" t="str">
        <f t="shared" ref="Q17:Q18" si="3">P17/P$27</f>
        <v>#DIV/0!</v>
      </c>
      <c r="R17" s="737"/>
      <c r="S17" s="465"/>
      <c r="T17" s="737">
        <f>P17-R17</f>
        <v>0</v>
      </c>
      <c r="U17" s="465"/>
      <c r="V17" s="439"/>
      <c r="W17" s="439"/>
      <c r="X17" s="439"/>
      <c r="Y17" s="439"/>
      <c r="Z17" s="439"/>
      <c r="AA17" s="439"/>
      <c r="AB17" s="439"/>
      <c r="AC17" s="439"/>
    </row>
    <row r="18" ht="15.75" customHeight="1">
      <c r="A18" s="439"/>
      <c r="B18" s="465"/>
      <c r="C18" s="465" t="s">
        <v>362</v>
      </c>
      <c r="D18" s="704">
        <v>69393.25</v>
      </c>
      <c r="E18" s="557">
        <f t="shared" si="1"/>
        <v>0.5564418864</v>
      </c>
      <c r="F18" s="649"/>
      <c r="G18" s="256"/>
      <c r="H18" s="649"/>
      <c r="I18" s="674"/>
      <c r="J18" s="704">
        <v>50141.0</v>
      </c>
      <c r="K18" s="557">
        <f t="shared" si="2"/>
        <v>0.4850680572</v>
      </c>
      <c r="L18" s="649"/>
      <c r="M18" s="256"/>
      <c r="N18" s="649"/>
      <c r="O18" s="674"/>
      <c r="P18" s="752">
        <v>0.0</v>
      </c>
      <c r="Q18" s="605" t="str">
        <f t="shared" si="3"/>
        <v>#DIV/0!</v>
      </c>
      <c r="R18" s="737"/>
      <c r="S18" s="465"/>
      <c r="T18" s="737"/>
      <c r="U18" s="465"/>
      <c r="V18" s="439"/>
      <c r="W18" s="439"/>
      <c r="X18" s="439"/>
      <c r="Y18" s="439"/>
      <c r="Z18" s="439"/>
      <c r="AA18" s="439"/>
      <c r="AB18" s="439"/>
      <c r="AC18" s="439"/>
    </row>
    <row r="19" ht="15.75" customHeight="1">
      <c r="A19" s="439"/>
      <c r="B19" s="465"/>
      <c r="C19" s="465" t="s">
        <v>176</v>
      </c>
      <c r="D19" s="704">
        <f>2909.5+3469.72</f>
        <v>6379.22</v>
      </c>
      <c r="E19" s="256"/>
      <c r="F19" s="649"/>
      <c r="G19" s="256"/>
      <c r="H19" s="649"/>
      <c r="I19" s="674"/>
      <c r="J19" s="704"/>
      <c r="K19" s="256"/>
      <c r="L19" s="649"/>
      <c r="M19" s="256"/>
      <c r="N19" s="649"/>
      <c r="O19" s="674"/>
      <c r="P19" s="737"/>
      <c r="Q19" s="465"/>
      <c r="R19" s="737"/>
      <c r="S19" s="465"/>
      <c r="T19" s="737"/>
      <c r="U19" s="465"/>
      <c r="V19" s="439"/>
      <c r="W19" s="439"/>
      <c r="X19" s="439"/>
      <c r="Y19" s="439"/>
      <c r="Z19" s="439"/>
      <c r="AA19" s="439"/>
      <c r="AB19" s="439"/>
      <c r="AC19" s="439"/>
    </row>
    <row r="20" ht="15.75" customHeight="1">
      <c r="A20" s="439"/>
      <c r="B20" s="465"/>
      <c r="C20" s="465" t="s">
        <v>263</v>
      </c>
      <c r="D20" s="704"/>
      <c r="E20" s="539"/>
      <c r="F20" s="649"/>
      <c r="G20" s="256"/>
      <c r="H20" s="649"/>
      <c r="I20" s="674"/>
      <c r="J20" s="704"/>
      <c r="K20" s="539"/>
      <c r="L20" s="649"/>
      <c r="M20" s="256"/>
      <c r="N20" s="649"/>
      <c r="O20" s="674"/>
      <c r="P20" s="737"/>
      <c r="Q20" s="469"/>
      <c r="R20" s="737"/>
      <c r="S20" s="465"/>
      <c r="T20" s="737"/>
      <c r="U20" s="465"/>
      <c r="V20" s="439"/>
      <c r="W20" s="439"/>
      <c r="X20" s="439"/>
      <c r="Y20" s="439"/>
      <c r="Z20" s="439"/>
      <c r="AA20" s="439"/>
      <c r="AB20" s="439"/>
      <c r="AC20" s="439"/>
    </row>
    <row r="21" ht="15.75" customHeight="1">
      <c r="A21" s="439"/>
      <c r="B21" s="469"/>
      <c r="C21" s="465"/>
      <c r="D21" s="704"/>
      <c r="E21" s="539"/>
      <c r="F21" s="649"/>
      <c r="G21" s="256"/>
      <c r="H21" s="649"/>
      <c r="I21" s="674"/>
      <c r="J21" s="704"/>
      <c r="K21" s="539"/>
      <c r="L21" s="649"/>
      <c r="M21" s="256"/>
      <c r="N21" s="649"/>
      <c r="O21" s="674"/>
      <c r="P21" s="737"/>
      <c r="Q21" s="469"/>
      <c r="R21" s="737"/>
      <c r="S21" s="465"/>
      <c r="T21" s="737"/>
      <c r="U21" s="465"/>
      <c r="V21" s="439"/>
      <c r="W21" s="439"/>
      <c r="X21" s="439"/>
      <c r="Y21" s="439"/>
      <c r="Z21" s="439"/>
      <c r="AA21" s="439"/>
      <c r="AB21" s="439"/>
      <c r="AC21" s="439"/>
    </row>
    <row r="22" ht="15.75" customHeight="1">
      <c r="A22" s="439"/>
      <c r="B22" s="469" t="s">
        <v>21</v>
      </c>
      <c r="C22" s="465" t="s">
        <v>21</v>
      </c>
      <c r="D22" s="748">
        <v>0.0</v>
      </c>
      <c r="E22" s="784"/>
      <c r="F22" s="784"/>
      <c r="G22" s="1120"/>
      <c r="H22" s="784">
        <v>0.0</v>
      </c>
      <c r="I22" s="1121"/>
      <c r="J22" s="748">
        <v>0.0</v>
      </c>
      <c r="K22" s="539"/>
      <c r="L22" s="649"/>
      <c r="M22" s="256"/>
      <c r="N22" s="649">
        <v>0.0</v>
      </c>
      <c r="O22" s="674"/>
      <c r="P22" s="749">
        <v>0.0</v>
      </c>
      <c r="Q22" s="469"/>
      <c r="R22" s="737"/>
      <c r="S22" s="465"/>
      <c r="T22" s="737">
        <v>0.0</v>
      </c>
      <c r="U22" s="465"/>
      <c r="V22" s="439"/>
      <c r="W22" s="439"/>
      <c r="X22" s="439"/>
      <c r="Y22" s="439"/>
      <c r="Z22" s="439"/>
      <c r="AA22" s="439"/>
      <c r="AB22" s="439"/>
      <c r="AC22" s="439"/>
    </row>
    <row r="23" ht="15.75" customHeight="1">
      <c r="A23" s="439"/>
      <c r="B23" s="469" t="s">
        <v>22</v>
      </c>
      <c r="C23" s="465" t="s">
        <v>22</v>
      </c>
      <c r="D23" s="748">
        <v>0.0</v>
      </c>
      <c r="E23" s="784"/>
      <c r="F23" s="784"/>
      <c r="G23" s="1120"/>
      <c r="H23" s="784">
        <v>0.0</v>
      </c>
      <c r="I23" s="1121"/>
      <c r="J23" s="748">
        <v>0.0</v>
      </c>
      <c r="K23" s="539"/>
      <c r="L23" s="649"/>
      <c r="M23" s="256"/>
      <c r="N23" s="649">
        <v>0.0</v>
      </c>
      <c r="O23" s="674"/>
      <c r="P23" s="749">
        <v>0.0</v>
      </c>
      <c r="Q23" s="469"/>
      <c r="R23" s="737"/>
      <c r="S23" s="465"/>
      <c r="T23" s="737">
        <v>0.0</v>
      </c>
      <c r="U23" s="465"/>
      <c r="V23" s="439"/>
      <c r="W23" s="439"/>
      <c r="X23" s="439"/>
      <c r="Y23" s="439"/>
      <c r="Z23" s="439"/>
      <c r="AA23" s="439"/>
      <c r="AB23" s="439"/>
      <c r="AC23" s="439"/>
    </row>
    <row r="24" ht="15.75" customHeight="1">
      <c r="A24" s="439"/>
      <c r="B24" s="469" t="s">
        <v>23</v>
      </c>
      <c r="C24" s="465" t="s">
        <v>177</v>
      </c>
      <c r="D24" s="1122">
        <f>SUM(D16:D19)</f>
        <v>124708.89</v>
      </c>
      <c r="E24" s="539"/>
      <c r="F24" s="658"/>
      <c r="G24" s="256"/>
      <c r="H24" s="658">
        <f>SUM(H16:H19)</f>
        <v>48936.42</v>
      </c>
      <c r="I24" s="674"/>
      <c r="J24" s="1122">
        <f>SUM(J16:J19)</f>
        <v>103369</v>
      </c>
      <c r="K24" s="539"/>
      <c r="L24" s="658"/>
      <c r="M24" s="256"/>
      <c r="N24" s="658">
        <f>SUM(N16:N19)</f>
        <v>53228</v>
      </c>
      <c r="O24" s="674"/>
      <c r="P24" s="749">
        <f>SUM(P16:P19)</f>
        <v>0</v>
      </c>
      <c r="Q24" s="469"/>
      <c r="R24" s="1123"/>
      <c r="S24" s="465"/>
      <c r="T24" s="1123">
        <f>SUM(T16:T19)</f>
        <v>0</v>
      </c>
      <c r="U24" s="465"/>
      <c r="V24" s="439"/>
      <c r="W24" s="439"/>
      <c r="X24" s="439"/>
      <c r="Y24" s="439"/>
      <c r="Z24" s="439"/>
      <c r="AA24" s="439"/>
      <c r="AB24" s="439"/>
      <c r="AC24" s="439"/>
    </row>
    <row r="25" ht="15.75" customHeight="1">
      <c r="A25" s="439"/>
      <c r="B25" s="465"/>
      <c r="C25" s="465"/>
      <c r="D25" s="704"/>
      <c r="E25" s="539"/>
      <c r="F25" s="539"/>
      <c r="G25" s="256"/>
      <c r="H25" s="256"/>
      <c r="I25" s="674"/>
      <c r="J25" s="704"/>
      <c r="K25" s="539"/>
      <c r="L25" s="539"/>
      <c r="M25" s="256"/>
      <c r="N25" s="256"/>
      <c r="O25" s="674"/>
      <c r="P25" s="737"/>
      <c r="Q25" s="469"/>
      <c r="R25" s="469"/>
      <c r="S25" s="465"/>
      <c r="T25" s="465"/>
      <c r="U25" s="465"/>
      <c r="V25" s="439"/>
      <c r="W25" s="439"/>
      <c r="X25" s="439"/>
      <c r="Y25" s="439"/>
      <c r="Z25" s="439"/>
      <c r="AA25" s="439"/>
      <c r="AB25" s="439"/>
      <c r="AC25" s="439"/>
    </row>
    <row r="26" ht="15.75" hidden="1" customHeight="1">
      <c r="A26" s="439"/>
      <c r="B26" s="483"/>
      <c r="C26" s="483" t="s">
        <v>178</v>
      </c>
      <c r="D26" s="705"/>
      <c r="E26" s="544"/>
      <c r="F26" s="544"/>
      <c r="G26" s="677"/>
      <c r="H26" s="677"/>
      <c r="I26" s="679"/>
      <c r="J26" s="705"/>
      <c r="K26" s="544"/>
      <c r="L26" s="544"/>
      <c r="M26" s="677"/>
      <c r="N26" s="677"/>
      <c r="O26" s="679"/>
      <c r="P26" s="731"/>
      <c r="Q26" s="543"/>
      <c r="R26" s="543"/>
      <c r="S26" s="483"/>
      <c r="T26" s="483"/>
      <c r="U26" s="483"/>
      <c r="V26" s="439"/>
      <c r="W26" s="439"/>
      <c r="X26" s="439"/>
      <c r="Y26" s="439"/>
      <c r="Z26" s="439"/>
      <c r="AA26" s="439"/>
      <c r="AB26" s="439"/>
      <c r="AC26" s="439"/>
    </row>
    <row r="27" ht="15.75" customHeight="1">
      <c r="A27" s="439"/>
      <c r="B27" s="490"/>
      <c r="C27" s="490" t="s">
        <v>179</v>
      </c>
      <c r="D27" s="740">
        <f>D22+D23+D24+D26</f>
        <v>124708.89</v>
      </c>
      <c r="E27" s="584"/>
      <c r="F27" s="645">
        <f>F22+F23+F24+F26</f>
        <v>0</v>
      </c>
      <c r="G27" s="690"/>
      <c r="H27" s="645">
        <f>H22+H23+H24+H26</f>
        <v>48936.42</v>
      </c>
      <c r="I27" s="691"/>
      <c r="J27" s="740">
        <f>J22+J23+J24+J26</f>
        <v>103369</v>
      </c>
      <c r="K27" s="584"/>
      <c r="L27" s="645">
        <f>L22+L23+L24+L26</f>
        <v>0</v>
      </c>
      <c r="M27" s="690"/>
      <c r="N27" s="645">
        <f>N22+N23+N24+N26</f>
        <v>53228</v>
      </c>
      <c r="O27" s="691"/>
      <c r="P27" s="668">
        <f>P22+P23+P24+P26</f>
        <v>0</v>
      </c>
      <c r="Q27" s="457"/>
      <c r="R27" s="668">
        <f>R22+R23+R24+R26</f>
        <v>0</v>
      </c>
      <c r="S27" s="490"/>
      <c r="T27" s="668">
        <f>T22+T23+T24+T26</f>
        <v>0</v>
      </c>
      <c r="U27" s="490"/>
      <c r="V27" s="692"/>
      <c r="W27" s="692"/>
      <c r="X27" s="692"/>
      <c r="Y27" s="692"/>
      <c r="Z27" s="692"/>
      <c r="AA27" s="692"/>
      <c r="AB27" s="692"/>
      <c r="AC27" s="692"/>
    </row>
    <row r="28" ht="15.75" hidden="1" customHeight="1">
      <c r="A28" s="439"/>
      <c r="B28" s="461"/>
      <c r="C28" s="497"/>
      <c r="D28" s="1124"/>
      <c r="E28" s="540"/>
      <c r="F28" s="540"/>
      <c r="G28" s="540"/>
      <c r="H28" s="540"/>
      <c r="I28" s="542"/>
      <c r="J28" s="1124"/>
      <c r="K28" s="540"/>
      <c r="L28" s="540"/>
      <c r="M28" s="540"/>
      <c r="N28" s="540"/>
      <c r="O28" s="542"/>
      <c r="P28" s="461"/>
      <c r="Q28" s="461"/>
      <c r="R28" s="461"/>
      <c r="S28" s="461"/>
      <c r="T28" s="461"/>
      <c r="U28" s="461"/>
      <c r="V28" s="439"/>
      <c r="W28" s="439"/>
      <c r="X28" s="439"/>
      <c r="Y28" s="439"/>
      <c r="Z28" s="439"/>
      <c r="AA28" s="439"/>
      <c r="AB28" s="439"/>
      <c r="AC28" s="439"/>
    </row>
    <row r="29" ht="15.75" hidden="1" customHeight="1">
      <c r="A29" s="439"/>
      <c r="B29" s="465"/>
      <c r="C29" s="465"/>
      <c r="D29" s="704"/>
      <c r="E29" s="557"/>
      <c r="F29" s="649"/>
      <c r="G29" s="649"/>
      <c r="H29" s="649"/>
      <c r="I29" s="742"/>
      <c r="J29" s="704"/>
      <c r="K29" s="557"/>
      <c r="L29" s="649"/>
      <c r="M29" s="649"/>
      <c r="N29" s="649"/>
      <c r="O29" s="742"/>
      <c r="P29" s="737"/>
      <c r="Q29" s="605"/>
      <c r="R29" s="737"/>
      <c r="S29" s="737"/>
      <c r="T29" s="737"/>
      <c r="U29" s="737"/>
      <c r="V29" s="439"/>
      <c r="W29" s="439"/>
      <c r="X29" s="439"/>
      <c r="Y29" s="439"/>
      <c r="Z29" s="439"/>
      <c r="AA29" s="439"/>
      <c r="AB29" s="439"/>
      <c r="AC29" s="439"/>
    </row>
    <row r="30" ht="15.75" hidden="1" customHeight="1">
      <c r="A30" s="439"/>
      <c r="B30" s="465"/>
      <c r="C30" s="465"/>
      <c r="D30" s="704"/>
      <c r="E30" s="557"/>
      <c r="F30" s="649"/>
      <c r="G30" s="649"/>
      <c r="H30" s="649"/>
      <c r="I30" s="742"/>
      <c r="J30" s="704"/>
      <c r="K30" s="557"/>
      <c r="L30" s="649"/>
      <c r="M30" s="649"/>
      <c r="N30" s="649"/>
      <c r="O30" s="742"/>
      <c r="P30" s="737"/>
      <c r="Q30" s="605"/>
      <c r="R30" s="737"/>
      <c r="S30" s="737"/>
      <c r="T30" s="737"/>
      <c r="U30" s="737"/>
      <c r="V30" s="439"/>
      <c r="W30" s="439"/>
      <c r="X30" s="439"/>
      <c r="Y30" s="439"/>
      <c r="Z30" s="439"/>
      <c r="AA30" s="439"/>
      <c r="AB30" s="439"/>
      <c r="AC30" s="439"/>
    </row>
    <row r="31" ht="15.75" hidden="1" customHeight="1">
      <c r="A31" s="439"/>
      <c r="B31" s="465"/>
      <c r="C31" s="465"/>
      <c r="D31" s="704"/>
      <c r="E31" s="557"/>
      <c r="F31" s="649"/>
      <c r="G31" s="649"/>
      <c r="H31" s="649"/>
      <c r="I31" s="742"/>
      <c r="J31" s="704"/>
      <c r="K31" s="557"/>
      <c r="L31" s="649"/>
      <c r="M31" s="649"/>
      <c r="N31" s="649"/>
      <c r="O31" s="742"/>
      <c r="P31" s="737"/>
      <c r="Q31" s="605"/>
      <c r="R31" s="737"/>
      <c r="S31" s="737"/>
      <c r="T31" s="737"/>
      <c r="U31" s="737"/>
      <c r="V31" s="439"/>
      <c r="W31" s="439"/>
      <c r="X31" s="439"/>
      <c r="Y31" s="439"/>
      <c r="Z31" s="439"/>
      <c r="AA31" s="439"/>
      <c r="AB31" s="439"/>
      <c r="AC31" s="439"/>
    </row>
    <row r="32" ht="15.75" hidden="1" customHeight="1">
      <c r="A32" s="439"/>
      <c r="B32" s="465"/>
      <c r="C32" s="465"/>
      <c r="D32" s="704"/>
      <c r="E32" s="557"/>
      <c r="F32" s="649"/>
      <c r="G32" s="649"/>
      <c r="H32" s="649"/>
      <c r="I32" s="742"/>
      <c r="J32" s="704"/>
      <c r="K32" s="557"/>
      <c r="L32" s="649"/>
      <c r="M32" s="649"/>
      <c r="N32" s="649"/>
      <c r="O32" s="742"/>
      <c r="P32" s="737"/>
      <c r="Q32" s="605"/>
      <c r="R32" s="737"/>
      <c r="S32" s="737"/>
      <c r="T32" s="737"/>
      <c r="U32" s="737"/>
      <c r="V32" s="439"/>
      <c r="W32" s="439"/>
      <c r="X32" s="439"/>
      <c r="Y32" s="439"/>
      <c r="Z32" s="439"/>
      <c r="AA32" s="439"/>
      <c r="AB32" s="439"/>
      <c r="AC32" s="439"/>
    </row>
    <row r="33" ht="15.75" hidden="1" customHeight="1">
      <c r="A33" s="439"/>
      <c r="B33" s="465"/>
      <c r="C33" s="465"/>
      <c r="D33" s="704"/>
      <c r="E33" s="557"/>
      <c r="F33" s="649"/>
      <c r="G33" s="649"/>
      <c r="H33" s="649"/>
      <c r="I33" s="742"/>
      <c r="J33" s="704"/>
      <c r="K33" s="557"/>
      <c r="L33" s="649"/>
      <c r="M33" s="649"/>
      <c r="N33" s="649"/>
      <c r="O33" s="742"/>
      <c r="P33" s="737"/>
      <c r="Q33" s="605"/>
      <c r="R33" s="737"/>
      <c r="S33" s="737"/>
      <c r="T33" s="737"/>
      <c r="U33" s="737"/>
      <c r="V33" s="439"/>
      <c r="W33" s="439"/>
      <c r="X33" s="439"/>
      <c r="Y33" s="439"/>
      <c r="Z33" s="439"/>
      <c r="AA33" s="439"/>
      <c r="AB33" s="439"/>
      <c r="AC33" s="439"/>
    </row>
    <row r="34" ht="15.75" hidden="1" customHeight="1">
      <c r="A34" s="439"/>
      <c r="B34" s="465"/>
      <c r="C34" s="465"/>
      <c r="D34" s="704"/>
      <c r="E34" s="557"/>
      <c r="F34" s="649"/>
      <c r="G34" s="649"/>
      <c r="H34" s="649"/>
      <c r="I34" s="742"/>
      <c r="J34" s="704"/>
      <c r="K34" s="557"/>
      <c r="L34" s="649"/>
      <c r="M34" s="649"/>
      <c r="N34" s="649"/>
      <c r="O34" s="742"/>
      <c r="P34" s="737"/>
      <c r="Q34" s="605"/>
      <c r="R34" s="737"/>
      <c r="S34" s="737"/>
      <c r="T34" s="737"/>
      <c r="U34" s="737"/>
      <c r="V34" s="439"/>
      <c r="W34" s="439"/>
      <c r="X34" s="439"/>
      <c r="Y34" s="439"/>
      <c r="Z34" s="439"/>
      <c r="AA34" s="439"/>
      <c r="AB34" s="439"/>
      <c r="AC34" s="439"/>
    </row>
    <row r="35" ht="15.75" hidden="1" customHeight="1">
      <c r="A35" s="439"/>
      <c r="B35" s="465"/>
      <c r="C35" s="465"/>
      <c r="D35" s="704"/>
      <c r="E35" s="557"/>
      <c r="F35" s="649"/>
      <c r="G35" s="649"/>
      <c r="H35" s="649"/>
      <c r="I35" s="742"/>
      <c r="J35" s="704"/>
      <c r="K35" s="557"/>
      <c r="L35" s="649"/>
      <c r="M35" s="649"/>
      <c r="N35" s="649"/>
      <c r="O35" s="742"/>
      <c r="P35" s="737"/>
      <c r="Q35" s="605"/>
      <c r="R35" s="737"/>
      <c r="S35" s="737"/>
      <c r="T35" s="737"/>
      <c r="U35" s="737"/>
      <c r="V35" s="692"/>
      <c r="W35" s="692"/>
      <c r="X35" s="692"/>
      <c r="Y35" s="692"/>
      <c r="Z35" s="692"/>
      <c r="AA35" s="692"/>
      <c r="AB35" s="692"/>
      <c r="AC35" s="692"/>
    </row>
    <row r="36" ht="15.75" customHeight="1">
      <c r="A36" s="439"/>
      <c r="B36" s="469"/>
      <c r="C36" s="469"/>
      <c r="D36" s="704"/>
      <c r="E36" s="539"/>
      <c r="F36" s="256"/>
      <c r="G36" s="256"/>
      <c r="H36" s="256"/>
      <c r="I36" s="674"/>
      <c r="J36" s="704"/>
      <c r="K36" s="539"/>
      <c r="L36" s="256"/>
      <c r="M36" s="256"/>
      <c r="N36" s="256"/>
      <c r="O36" s="674"/>
      <c r="P36" s="737"/>
      <c r="Q36" s="469"/>
      <c r="R36" s="465"/>
      <c r="S36" s="465"/>
      <c r="T36" s="465"/>
      <c r="U36" s="465"/>
      <c r="V36" s="439"/>
      <c r="W36" s="439"/>
      <c r="X36" s="439"/>
      <c r="Y36" s="439"/>
      <c r="Z36" s="439"/>
      <c r="AA36" s="439"/>
      <c r="AB36" s="439"/>
      <c r="AC36" s="439"/>
    </row>
    <row r="37" ht="15.75" customHeight="1">
      <c r="A37" s="439"/>
      <c r="B37" s="1125" t="s">
        <v>183</v>
      </c>
      <c r="C37" s="1126"/>
      <c r="D37" s="704"/>
      <c r="E37" s="539"/>
      <c r="F37" s="256"/>
      <c r="G37" s="256"/>
      <c r="H37" s="256"/>
      <c r="I37" s="674"/>
      <c r="J37" s="704"/>
      <c r="K37" s="539"/>
      <c r="L37" s="256"/>
      <c r="M37" s="256"/>
      <c r="N37" s="256"/>
      <c r="O37" s="674"/>
      <c r="P37" s="737"/>
      <c r="Q37" s="469"/>
      <c r="R37" s="465"/>
      <c r="S37" s="465"/>
      <c r="T37" s="465"/>
      <c r="U37" s="465"/>
      <c r="V37" s="439"/>
      <c r="W37" s="439"/>
      <c r="X37" s="439"/>
      <c r="Y37" s="439"/>
      <c r="Z37" s="439"/>
      <c r="AA37" s="439"/>
      <c r="AB37" s="439"/>
      <c r="AC37" s="439"/>
    </row>
    <row r="38" ht="15.75" customHeight="1">
      <c r="A38" s="439"/>
      <c r="B38" s="469" t="s">
        <v>28</v>
      </c>
      <c r="C38" s="465"/>
      <c r="D38" s="704"/>
      <c r="E38" s="539"/>
      <c r="F38" s="256"/>
      <c r="G38" s="256"/>
      <c r="H38" s="256"/>
      <c r="I38" s="674"/>
      <c r="J38" s="704"/>
      <c r="K38" s="539"/>
      <c r="L38" s="256"/>
      <c r="M38" s="256"/>
      <c r="N38" s="256"/>
      <c r="O38" s="674"/>
      <c r="P38" s="737"/>
      <c r="Q38" s="469"/>
      <c r="R38" s="465"/>
      <c r="S38" s="465"/>
      <c r="T38" s="465"/>
      <c r="U38" s="465"/>
      <c r="V38" s="439"/>
      <c r="W38" s="439"/>
      <c r="X38" s="439"/>
      <c r="Y38" s="439"/>
      <c r="Z38" s="439"/>
      <c r="AA38" s="439"/>
      <c r="AB38" s="439"/>
      <c r="AC38" s="439"/>
    </row>
    <row r="39" ht="15.75" customHeight="1">
      <c r="A39" s="439"/>
      <c r="B39" s="465"/>
      <c r="C39" s="587" t="s">
        <v>184</v>
      </c>
      <c r="D39" s="704"/>
      <c r="E39" s="539"/>
      <c r="F39" s="256"/>
      <c r="G39" s="256"/>
      <c r="H39" s="256"/>
      <c r="I39" s="674"/>
      <c r="J39" s="704"/>
      <c r="K39" s="539"/>
      <c r="L39" s="256"/>
      <c r="M39" s="256"/>
      <c r="N39" s="256"/>
      <c r="O39" s="674"/>
      <c r="P39" s="737"/>
      <c r="Q39" s="469"/>
      <c r="R39" s="465"/>
      <c r="S39" s="465"/>
      <c r="T39" s="465"/>
      <c r="U39" s="465"/>
      <c r="V39" s="439"/>
      <c r="W39" s="439"/>
      <c r="X39" s="439"/>
      <c r="Y39" s="439"/>
      <c r="Z39" s="439"/>
      <c r="AA39" s="439"/>
      <c r="AB39" s="439"/>
      <c r="AC39" s="439"/>
    </row>
    <row r="40" ht="15.75" customHeight="1">
      <c r="A40" s="439"/>
      <c r="B40" s="465"/>
      <c r="C40" s="465" t="s">
        <v>185</v>
      </c>
      <c r="D40" s="704">
        <f>'MSBC CK Allocation'!B37</f>
        <v>92439.97592</v>
      </c>
      <c r="E40" s="704">
        <f>'MSBC CK Allocation'!C37</f>
        <v>127603.827</v>
      </c>
      <c r="F40" s="704">
        <f>'MSBC CK Allocation'!D37</f>
        <v>0</v>
      </c>
      <c r="G40" s="704" t="str">
        <f>'MSBC CK Allocation'!E37</f>
        <v>#DIV/0!</v>
      </c>
      <c r="H40" s="704" t="str">
        <f>'MSBC CK Allocation'!F37</f>
        <v>#DIV/0!</v>
      </c>
      <c r="I40" s="704" t="str">
        <f>'MSBC CK Allocation'!G37</f>
        <v>#DIV/0!</v>
      </c>
      <c r="J40" s="704">
        <f>'MSBC CK Allocation'!C37</f>
        <v>127603.827</v>
      </c>
      <c r="K40" s="557"/>
      <c r="L40" s="256"/>
      <c r="M40" s="256"/>
      <c r="N40" s="649"/>
      <c r="O40" s="674"/>
      <c r="P40" s="749">
        <f>'MSBC CK Allocation'!D37</f>
        <v>0</v>
      </c>
      <c r="Q40" s="605"/>
      <c r="R40" s="465"/>
      <c r="S40" s="465"/>
      <c r="T40" s="737"/>
      <c r="U40" s="465"/>
      <c r="V40" s="439"/>
      <c r="W40" s="439"/>
      <c r="X40" s="439"/>
      <c r="Y40" s="439"/>
      <c r="Z40" s="439"/>
      <c r="AA40" s="439"/>
      <c r="AB40" s="439"/>
      <c r="AC40" s="439"/>
    </row>
    <row r="41" ht="15.75" customHeight="1">
      <c r="A41" s="439"/>
      <c r="B41" s="465"/>
      <c r="C41" s="465" t="s">
        <v>186</v>
      </c>
      <c r="D41" s="704">
        <v>64451.783199843565</v>
      </c>
      <c r="E41" s="539"/>
      <c r="F41" s="256"/>
      <c r="G41" s="256"/>
      <c r="H41" s="649"/>
      <c r="I41" s="674"/>
      <c r="J41" s="704">
        <v>58135.18</v>
      </c>
      <c r="K41" s="539"/>
      <c r="L41" s="256"/>
      <c r="M41" s="256"/>
      <c r="N41" s="649"/>
      <c r="O41" s="674"/>
      <c r="P41" s="749">
        <v>0.0</v>
      </c>
      <c r="Q41" s="469"/>
      <c r="R41" s="465"/>
      <c r="S41" s="465"/>
      <c r="T41" s="737"/>
      <c r="U41" s="465"/>
      <c r="V41" s="439"/>
      <c r="W41" s="439"/>
      <c r="X41" s="439"/>
      <c r="Y41" s="439"/>
      <c r="Z41" s="439"/>
      <c r="AA41" s="439"/>
      <c r="AB41" s="439"/>
      <c r="AC41" s="439"/>
    </row>
    <row r="42" ht="15.75" customHeight="1">
      <c r="A42" s="439"/>
      <c r="B42" s="465"/>
      <c r="C42" s="465" t="s">
        <v>22</v>
      </c>
      <c r="D42" s="704"/>
      <c r="E42" s="539"/>
      <c r="F42" s="256"/>
      <c r="G42" s="256"/>
      <c r="H42" s="649"/>
      <c r="I42" s="674"/>
      <c r="J42" s="704"/>
      <c r="K42" s="539"/>
      <c r="L42" s="256"/>
      <c r="M42" s="256"/>
      <c r="N42" s="649"/>
      <c r="O42" s="674"/>
      <c r="P42" s="749">
        <v>0.0</v>
      </c>
      <c r="Q42" s="469"/>
      <c r="R42" s="465"/>
      <c r="S42" s="465"/>
      <c r="T42" s="737"/>
      <c r="U42" s="465"/>
      <c r="V42" s="439"/>
      <c r="W42" s="439"/>
      <c r="X42" s="439"/>
      <c r="Y42" s="439"/>
      <c r="Z42" s="439"/>
      <c r="AA42" s="439"/>
      <c r="AB42" s="439"/>
      <c r="AC42" s="439"/>
    </row>
    <row r="43" ht="15.75" customHeight="1">
      <c r="A43" s="439"/>
      <c r="B43" s="465"/>
      <c r="C43" s="465" t="s">
        <v>187</v>
      </c>
      <c r="D43" s="704">
        <f>'Calculation Sheet for GST on Pu'!C29</f>
        <v>2707.405781</v>
      </c>
      <c r="E43" s="704">
        <f>'Calculation Sheet for GST on Pu'!D29</f>
        <v>2395.596822</v>
      </c>
      <c r="F43" s="704">
        <f>'Calculation Sheet for GST on Pu'!E29</f>
        <v>0</v>
      </c>
      <c r="G43" s="704" t="str">
        <f>'Calculation Sheet for GST on Pu'!F29</f>
        <v>#DIV/0!</v>
      </c>
      <c r="H43" s="704" t="str">
        <f>'Calculation Sheet for GST on Pu'!G29</f>
        <v>#DIV/0!</v>
      </c>
      <c r="I43" s="704" t="str">
        <f>'Calculation Sheet for GST on Pu'!H29</f>
        <v>#DIV/0!</v>
      </c>
      <c r="J43" s="704">
        <f>'Calculation Sheet for GST on Pu'!D29</f>
        <v>2395.596822</v>
      </c>
      <c r="K43" s="539"/>
      <c r="L43" s="256"/>
      <c r="M43" s="256"/>
      <c r="N43" s="649"/>
      <c r="O43" s="674"/>
      <c r="P43" s="749">
        <v>0.0</v>
      </c>
      <c r="Q43" s="469"/>
      <c r="R43" s="465"/>
      <c r="S43" s="465"/>
      <c r="T43" s="737"/>
      <c r="U43" s="465"/>
      <c r="V43" s="439"/>
      <c r="W43" s="439"/>
      <c r="X43" s="439"/>
      <c r="Y43" s="439"/>
      <c r="Z43" s="439"/>
      <c r="AA43" s="439"/>
      <c r="AB43" s="439"/>
      <c r="AC43" s="439"/>
    </row>
    <row r="44" ht="15.75" customHeight="1">
      <c r="A44" s="439"/>
      <c r="B44" s="465"/>
      <c r="C44" s="465" t="s">
        <v>188</v>
      </c>
      <c r="D44" s="704">
        <f>SUM(D40:D43)</f>
        <v>159599.1649</v>
      </c>
      <c r="E44" s="557">
        <f>D44/D$27</f>
        <v>1.279773759</v>
      </c>
      <c r="F44" s="1127">
        <f>SUM(F40:F43)</f>
        <v>0</v>
      </c>
      <c r="G44" s="256"/>
      <c r="H44" s="1127" t="str">
        <f>SUM(H40:H43)</f>
        <v>#DIV/0!</v>
      </c>
      <c r="I44" s="674"/>
      <c r="J44" s="704">
        <f>SUM(J40:J43)</f>
        <v>188134.6038</v>
      </c>
      <c r="K44" s="557">
        <f>J44/J$27</f>
        <v>1.820029252</v>
      </c>
      <c r="L44" s="256">
        <f>SUM(L40:L43)</f>
        <v>0</v>
      </c>
      <c r="M44" s="256"/>
      <c r="N44" s="1127">
        <f>SUM(N40:N43)</f>
        <v>0</v>
      </c>
      <c r="O44" s="674"/>
      <c r="P44" s="749">
        <v>0.0</v>
      </c>
      <c r="Q44" s="605" t="str">
        <f>P44/P$27</f>
        <v>#DIV/0!</v>
      </c>
      <c r="R44" s="465">
        <f>SUM(R40:R43)</f>
        <v>0</v>
      </c>
      <c r="S44" s="465"/>
      <c r="T44" s="1128">
        <f>SUM(T40:T43)</f>
        <v>0</v>
      </c>
      <c r="U44" s="465"/>
      <c r="V44" s="692"/>
      <c r="W44" s="692"/>
      <c r="X44" s="692"/>
      <c r="Y44" s="692"/>
      <c r="Z44" s="692"/>
      <c r="AA44" s="692"/>
      <c r="AB44" s="692"/>
      <c r="AC44" s="692"/>
    </row>
    <row r="45" ht="15.75" customHeight="1">
      <c r="A45" s="439"/>
      <c r="B45" s="483"/>
      <c r="C45" s="483" t="s">
        <v>189</v>
      </c>
      <c r="D45" s="705">
        <v>8754.0</v>
      </c>
      <c r="E45" s="544"/>
      <c r="F45" s="677"/>
      <c r="G45" s="677"/>
      <c r="H45" s="677"/>
      <c r="I45" s="679"/>
      <c r="J45" s="705">
        <v>668.0</v>
      </c>
      <c r="K45" s="544"/>
      <c r="L45" s="677"/>
      <c r="M45" s="677"/>
      <c r="N45" s="677"/>
      <c r="O45" s="679"/>
      <c r="P45" s="749">
        <v>0.0</v>
      </c>
      <c r="Q45" s="543"/>
      <c r="R45" s="483"/>
      <c r="S45" s="483"/>
      <c r="T45" s="483"/>
      <c r="U45" s="483"/>
      <c r="V45" s="439"/>
      <c r="W45" s="439"/>
      <c r="X45" s="439"/>
      <c r="Y45" s="439"/>
      <c r="Z45" s="439"/>
      <c r="AA45" s="439"/>
      <c r="AB45" s="439"/>
      <c r="AC45" s="439"/>
    </row>
    <row r="46" ht="15.75" customHeight="1">
      <c r="A46" s="439"/>
      <c r="B46" s="686"/>
      <c r="C46" s="686" t="s">
        <v>190</v>
      </c>
      <c r="D46" s="459">
        <f>D44+D45</f>
        <v>168353.1649</v>
      </c>
      <c r="E46" s="548">
        <f>D46/D$27</f>
        <v>1.349969236</v>
      </c>
      <c r="F46" s="812">
        <f>F44+F45</f>
        <v>0</v>
      </c>
      <c r="G46" s="812"/>
      <c r="H46" s="812" t="str">
        <f>H44+H45</f>
        <v>#DIV/0!</v>
      </c>
      <c r="I46" s="813"/>
      <c r="J46" s="459">
        <f>J44+J45</f>
        <v>188802.6038</v>
      </c>
      <c r="K46" s="548">
        <f>J46/J$27</f>
        <v>1.826491538</v>
      </c>
      <c r="L46" s="812">
        <f>L44+L45</f>
        <v>0</v>
      </c>
      <c r="M46" s="812"/>
      <c r="N46" s="812">
        <f>N44+N45</f>
        <v>0</v>
      </c>
      <c r="O46" s="813"/>
      <c r="P46" s="491">
        <f>P44+P45</f>
        <v>0</v>
      </c>
      <c r="Q46" s="491" t="str">
        <f>P46/P$27</f>
        <v>#DIV/0!</v>
      </c>
      <c r="R46" s="686">
        <f>R44+R45</f>
        <v>0</v>
      </c>
      <c r="S46" s="686"/>
      <c r="T46" s="686">
        <f>T44+T45</f>
        <v>0</v>
      </c>
      <c r="U46" s="686"/>
      <c r="V46" s="692"/>
      <c r="W46" s="692"/>
      <c r="X46" s="692"/>
      <c r="Y46" s="692"/>
      <c r="Z46" s="692"/>
      <c r="AA46" s="692"/>
      <c r="AB46" s="692"/>
      <c r="AC46" s="692"/>
    </row>
    <row r="47" ht="15.75" customHeight="1">
      <c r="A47" s="439"/>
      <c r="B47" s="686"/>
      <c r="C47" s="686" t="s">
        <v>32</v>
      </c>
      <c r="D47" s="491">
        <f>D27-D46</f>
        <v>-43644.2749</v>
      </c>
      <c r="E47" s="491"/>
      <c r="F47" s="686"/>
      <c r="G47" s="686"/>
      <c r="H47" s="686"/>
      <c r="I47" s="686"/>
      <c r="J47" s="491">
        <f>J27-J46</f>
        <v>-85433.60379</v>
      </c>
      <c r="K47" s="1129"/>
      <c r="L47" s="1130"/>
      <c r="M47" s="1130"/>
      <c r="N47" s="1130"/>
      <c r="O47" s="1131"/>
      <c r="P47" s="491">
        <f>P27-P46</f>
        <v>0</v>
      </c>
      <c r="Q47" s="1132"/>
      <c r="R47" s="1133"/>
      <c r="S47" s="1133"/>
      <c r="T47" s="1133"/>
      <c r="U47" s="1133"/>
      <c r="V47" s="692"/>
      <c r="W47" s="692"/>
      <c r="X47" s="692"/>
      <c r="Y47" s="692"/>
      <c r="Z47" s="692"/>
      <c r="AA47" s="692"/>
      <c r="AB47" s="692"/>
      <c r="AC47" s="692"/>
    </row>
    <row r="48" ht="15.75" customHeight="1">
      <c r="A48" s="439"/>
      <c r="B48" s="497"/>
      <c r="C48" s="601" t="s">
        <v>191</v>
      </c>
      <c r="D48" s="703"/>
      <c r="E48" s="540"/>
      <c r="F48" s="671"/>
      <c r="G48" s="671"/>
      <c r="H48" s="646">
        <f t="shared" ref="H48:H54" si="4">D48-F48</f>
        <v>0</v>
      </c>
      <c r="I48" s="672"/>
      <c r="J48" s="703"/>
      <c r="K48" s="539"/>
      <c r="L48" s="256"/>
      <c r="M48" s="256"/>
      <c r="N48" s="649">
        <f t="shared" ref="N48:N54" si="5">J48-L48</f>
        <v>0</v>
      </c>
      <c r="O48" s="674"/>
      <c r="P48" s="741"/>
      <c r="Q48" s="469"/>
      <c r="R48" s="465"/>
      <c r="S48" s="465"/>
      <c r="T48" s="737">
        <f t="shared" ref="T48:T54" si="6">P48-R48</f>
        <v>0</v>
      </c>
      <c r="U48" s="465"/>
      <c r="V48" s="439"/>
      <c r="W48" s="439"/>
      <c r="X48" s="439"/>
      <c r="Y48" s="439"/>
      <c r="Z48" s="439"/>
      <c r="AA48" s="439"/>
      <c r="AB48" s="439"/>
      <c r="AC48" s="439"/>
    </row>
    <row r="49" ht="15.75" customHeight="1">
      <c r="A49" s="439"/>
      <c r="B49" s="465"/>
      <c r="C49" s="465" t="s">
        <v>192</v>
      </c>
      <c r="D49" s="749">
        <v>0.0</v>
      </c>
      <c r="E49" s="539"/>
      <c r="F49" s="1127"/>
      <c r="G49" s="256"/>
      <c r="H49" s="649">
        <f t="shared" si="4"/>
        <v>0</v>
      </c>
      <c r="I49" s="674"/>
      <c r="J49" s="749">
        <v>0.0</v>
      </c>
      <c r="K49" s="539"/>
      <c r="L49" s="1127"/>
      <c r="M49" s="256"/>
      <c r="N49" s="649">
        <f t="shared" si="5"/>
        <v>0</v>
      </c>
      <c r="O49" s="674"/>
      <c r="P49" s="749">
        <v>0.0</v>
      </c>
      <c r="Q49" s="469"/>
      <c r="R49" s="1128"/>
      <c r="S49" s="465"/>
      <c r="T49" s="737">
        <f t="shared" si="6"/>
        <v>0</v>
      </c>
      <c r="U49" s="465"/>
      <c r="V49" s="439"/>
      <c r="W49" s="439"/>
      <c r="X49" s="439"/>
      <c r="Y49" s="439"/>
      <c r="Z49" s="439"/>
      <c r="AA49" s="439"/>
      <c r="AB49" s="439"/>
      <c r="AC49" s="439"/>
    </row>
    <row r="50" ht="15.75" customHeight="1">
      <c r="A50" s="439"/>
      <c r="B50" s="465"/>
      <c r="C50" s="465" t="s">
        <v>193</v>
      </c>
      <c r="D50" s="749">
        <v>0.0</v>
      </c>
      <c r="E50" s="539"/>
      <c r="F50" s="256"/>
      <c r="G50" s="256"/>
      <c r="H50" s="649">
        <f t="shared" si="4"/>
        <v>0</v>
      </c>
      <c r="I50" s="674"/>
      <c r="J50" s="749">
        <v>0.0</v>
      </c>
      <c r="K50" s="539"/>
      <c r="L50" s="256"/>
      <c r="M50" s="256"/>
      <c r="N50" s="649">
        <f t="shared" si="5"/>
        <v>0</v>
      </c>
      <c r="O50" s="674"/>
      <c r="P50" s="749">
        <v>0.0</v>
      </c>
      <c r="Q50" s="469"/>
      <c r="R50" s="465"/>
      <c r="S50" s="465"/>
      <c r="T50" s="737">
        <f t="shared" si="6"/>
        <v>0</v>
      </c>
      <c r="U50" s="465"/>
      <c r="V50" s="439"/>
      <c r="W50" s="439"/>
      <c r="X50" s="439"/>
      <c r="Y50" s="439"/>
      <c r="Z50" s="439"/>
      <c r="AA50" s="439"/>
      <c r="AB50" s="439"/>
      <c r="AC50" s="439"/>
    </row>
    <row r="51" ht="15.75" customHeight="1">
      <c r="A51" s="439"/>
      <c r="B51" s="465"/>
      <c r="C51" s="465" t="s">
        <v>266</v>
      </c>
      <c r="D51" s="749">
        <v>0.0</v>
      </c>
      <c r="E51" s="539"/>
      <c r="F51" s="256"/>
      <c r="G51" s="256"/>
      <c r="H51" s="649">
        <f t="shared" si="4"/>
        <v>0</v>
      </c>
      <c r="I51" s="674"/>
      <c r="J51" s="749">
        <v>0.0</v>
      </c>
      <c r="K51" s="539"/>
      <c r="L51" s="256"/>
      <c r="M51" s="256"/>
      <c r="N51" s="649">
        <f t="shared" si="5"/>
        <v>0</v>
      </c>
      <c r="O51" s="674"/>
      <c r="P51" s="749">
        <v>0.0</v>
      </c>
      <c r="Q51" s="469"/>
      <c r="R51" s="465"/>
      <c r="S51" s="465"/>
      <c r="T51" s="737">
        <f t="shared" si="6"/>
        <v>0</v>
      </c>
      <c r="U51" s="465"/>
      <c r="V51" s="439"/>
      <c r="W51" s="439"/>
      <c r="X51" s="439"/>
      <c r="Y51" s="439"/>
      <c r="Z51" s="439"/>
      <c r="AA51" s="439"/>
      <c r="AB51" s="439"/>
      <c r="AC51" s="439"/>
    </row>
    <row r="52" ht="15.75" customHeight="1">
      <c r="A52" s="439"/>
      <c r="B52" s="465"/>
      <c r="C52" s="465" t="s">
        <v>194</v>
      </c>
      <c r="D52" s="749">
        <v>0.0</v>
      </c>
      <c r="E52" s="539"/>
      <c r="F52" s="256"/>
      <c r="G52" s="256"/>
      <c r="H52" s="649">
        <f t="shared" si="4"/>
        <v>0</v>
      </c>
      <c r="I52" s="674"/>
      <c r="J52" s="749">
        <v>0.0</v>
      </c>
      <c r="K52" s="539"/>
      <c r="L52" s="256"/>
      <c r="M52" s="256"/>
      <c r="N52" s="649">
        <f t="shared" si="5"/>
        <v>0</v>
      </c>
      <c r="O52" s="674"/>
      <c r="P52" s="749">
        <v>0.0</v>
      </c>
      <c r="Q52" s="469"/>
      <c r="R52" s="465"/>
      <c r="S52" s="465"/>
      <c r="T52" s="737">
        <f t="shared" si="6"/>
        <v>0</v>
      </c>
      <c r="U52" s="465"/>
      <c r="V52" s="439"/>
      <c r="W52" s="439"/>
      <c r="X52" s="439"/>
      <c r="Y52" s="439"/>
      <c r="Z52" s="439"/>
      <c r="AA52" s="439"/>
      <c r="AB52" s="439"/>
      <c r="AC52" s="439"/>
    </row>
    <row r="53" ht="15.75" customHeight="1">
      <c r="A53" s="439"/>
      <c r="B53" s="465"/>
      <c r="C53" s="465" t="s">
        <v>195</v>
      </c>
      <c r="D53" s="749">
        <v>0.0</v>
      </c>
      <c r="E53" s="539"/>
      <c r="F53" s="256"/>
      <c r="G53" s="256"/>
      <c r="H53" s="649">
        <f t="shared" si="4"/>
        <v>0</v>
      </c>
      <c r="I53" s="674"/>
      <c r="J53" s="749">
        <v>0.0</v>
      </c>
      <c r="K53" s="539"/>
      <c r="L53" s="256"/>
      <c r="M53" s="256"/>
      <c r="N53" s="649">
        <f t="shared" si="5"/>
        <v>0</v>
      </c>
      <c r="O53" s="674"/>
      <c r="P53" s="749">
        <v>0.0</v>
      </c>
      <c r="Q53" s="469"/>
      <c r="R53" s="465"/>
      <c r="S53" s="465"/>
      <c r="T53" s="737">
        <f t="shared" si="6"/>
        <v>0</v>
      </c>
      <c r="U53" s="465"/>
      <c r="V53" s="439"/>
      <c r="W53" s="439"/>
      <c r="X53" s="439"/>
      <c r="Y53" s="439"/>
      <c r="Z53" s="439"/>
      <c r="AA53" s="439"/>
      <c r="AB53" s="439"/>
      <c r="AC53" s="439"/>
    </row>
    <row r="54" ht="15.75" customHeight="1">
      <c r="A54" s="439"/>
      <c r="B54" s="483"/>
      <c r="C54" s="483" t="s">
        <v>196</v>
      </c>
      <c r="D54" s="749">
        <v>0.0</v>
      </c>
      <c r="E54" s="544"/>
      <c r="F54" s="677"/>
      <c r="G54" s="677"/>
      <c r="H54" s="706">
        <f t="shared" si="4"/>
        <v>0</v>
      </c>
      <c r="I54" s="679"/>
      <c r="J54" s="749">
        <v>0.0</v>
      </c>
      <c r="K54" s="544"/>
      <c r="L54" s="677"/>
      <c r="M54" s="677"/>
      <c r="N54" s="706">
        <f t="shared" si="5"/>
        <v>0</v>
      </c>
      <c r="O54" s="679"/>
      <c r="P54" s="749">
        <v>0.0</v>
      </c>
      <c r="Q54" s="543"/>
      <c r="R54" s="483"/>
      <c r="S54" s="483"/>
      <c r="T54" s="731">
        <f t="shared" si="6"/>
        <v>0</v>
      </c>
      <c r="U54" s="483"/>
      <c r="V54" s="439"/>
      <c r="W54" s="439"/>
      <c r="X54" s="439"/>
      <c r="Y54" s="439"/>
      <c r="Z54" s="439"/>
      <c r="AA54" s="439"/>
      <c r="AB54" s="439"/>
      <c r="AC54" s="439"/>
    </row>
    <row r="55" ht="15.75" customHeight="1">
      <c r="A55" s="439"/>
      <c r="B55" s="490"/>
      <c r="C55" s="490" t="s">
        <v>197</v>
      </c>
      <c r="D55" s="668">
        <f>SUM(D49:D54)</f>
        <v>0</v>
      </c>
      <c r="E55" s="457"/>
      <c r="F55" s="668">
        <f>SUM(F49:F54)</f>
        <v>0</v>
      </c>
      <c r="G55" s="490"/>
      <c r="H55" s="668">
        <f>SUM(H49:H54)</f>
        <v>0</v>
      </c>
      <c r="I55" s="490"/>
      <c r="J55" s="668">
        <f>SUM(J49:J54)</f>
        <v>0</v>
      </c>
      <c r="K55" s="457"/>
      <c r="L55" s="668">
        <f>SUM(L49:L54)</f>
        <v>0</v>
      </c>
      <c r="M55" s="490"/>
      <c r="N55" s="668">
        <f>SUM(N49:N54)</f>
        <v>0</v>
      </c>
      <c r="O55" s="490"/>
      <c r="P55" s="668">
        <f>SUM(P49:P54)</f>
        <v>0</v>
      </c>
      <c r="Q55" s="457"/>
      <c r="R55" s="668">
        <f>SUM(R49:R54)</f>
        <v>0</v>
      </c>
      <c r="S55" s="490"/>
      <c r="T55" s="668">
        <f>SUM(T49:T54)</f>
        <v>0</v>
      </c>
      <c r="U55" s="490"/>
      <c r="V55" s="692"/>
      <c r="W55" s="692"/>
      <c r="X55" s="692"/>
      <c r="Y55" s="692"/>
      <c r="Z55" s="692"/>
      <c r="AA55" s="692"/>
      <c r="AB55" s="692"/>
      <c r="AC55" s="692"/>
    </row>
    <row r="56" ht="15.75" customHeight="1">
      <c r="A56" s="439"/>
      <c r="B56" s="1039" t="s">
        <v>201</v>
      </c>
      <c r="C56" s="1040"/>
      <c r="D56" s="454"/>
      <c r="E56" s="620"/>
      <c r="F56" s="687"/>
      <c r="G56" s="687"/>
      <c r="H56" s="687"/>
      <c r="I56" s="688"/>
      <c r="J56" s="454"/>
      <c r="K56" s="620"/>
      <c r="L56" s="687"/>
      <c r="M56" s="687"/>
      <c r="N56" s="687"/>
      <c r="O56" s="688"/>
      <c r="P56" s="793"/>
      <c r="Q56" s="794"/>
      <c r="R56" s="526"/>
      <c r="S56" s="526"/>
      <c r="T56" s="526"/>
      <c r="U56" s="526"/>
      <c r="V56" s="439"/>
      <c r="W56" s="439"/>
      <c r="X56" s="439"/>
      <c r="Y56" s="439"/>
      <c r="Z56" s="439"/>
      <c r="AA56" s="439"/>
      <c r="AB56" s="439"/>
      <c r="AC56" s="439"/>
    </row>
    <row r="57" ht="15.75" customHeight="1">
      <c r="A57" s="439"/>
      <c r="B57" s="490"/>
      <c r="C57" s="511" t="s">
        <v>202</v>
      </c>
      <c r="D57" s="740">
        <f>SUM(D58:D63)</f>
        <v>38620.46</v>
      </c>
      <c r="E57" s="547">
        <f t="shared" ref="E57:E60" si="7">D57/D$27</f>
        <v>0.309684899</v>
      </c>
      <c r="F57" s="645">
        <f>SUM(F58:F63)</f>
        <v>0</v>
      </c>
      <c r="G57" s="547" t="str">
        <f t="shared" ref="G57:G60" si="8">F57/F$27</f>
        <v>#DIV/0!</v>
      </c>
      <c r="H57" s="645">
        <f>SUM(H58:H63)</f>
        <v>35851.46</v>
      </c>
      <c r="I57" s="549">
        <f t="shared" ref="I57:I60" si="9">H57/H$27</f>
        <v>0.7326130518</v>
      </c>
      <c r="J57" s="740">
        <f>SUM(J58:J63)</f>
        <v>4563</v>
      </c>
      <c r="K57" s="547">
        <f t="shared" ref="K57:K60" si="10">J57/J$27</f>
        <v>0.04414282812</v>
      </c>
      <c r="L57" s="645">
        <f>SUM(L58:L63)</f>
        <v>0</v>
      </c>
      <c r="M57" s="547" t="str">
        <f t="shared" ref="M57:M60" si="11">L57/L$27</f>
        <v>#DIV/0!</v>
      </c>
      <c r="N57" s="645">
        <f>SUM(N58:N63)</f>
        <v>2428</v>
      </c>
      <c r="O57" s="549">
        <f t="shared" ref="O57:O60" si="12">N57/N$27</f>
        <v>0.0456150898</v>
      </c>
      <c r="P57" s="668">
        <f>SUM(P58:P63)</f>
        <v>0</v>
      </c>
      <c r="Q57" s="613" t="str">
        <f t="shared" ref="Q57:Q60" si="13">P57/P$27</f>
        <v>#DIV/0!</v>
      </c>
      <c r="R57" s="668">
        <f>SUM(R58:R63)</f>
        <v>0</v>
      </c>
      <c r="S57" s="613" t="str">
        <f t="shared" ref="S57:S60" si="14">R57/R$27</f>
        <v>#DIV/0!</v>
      </c>
      <c r="T57" s="668">
        <f>SUM(T58:T63)</f>
        <v>0</v>
      </c>
      <c r="U57" s="613" t="str">
        <f t="shared" ref="U57:U60" si="15">T57/T$27</f>
        <v>#DIV/0!</v>
      </c>
      <c r="V57" s="692"/>
      <c r="W57" s="692"/>
      <c r="X57" s="692"/>
      <c r="Y57" s="692"/>
      <c r="Z57" s="692"/>
      <c r="AA57" s="692"/>
      <c r="AB57" s="692"/>
      <c r="AC57" s="692"/>
    </row>
    <row r="58" ht="15.75" customHeight="1">
      <c r="A58" s="439"/>
      <c r="B58" s="497"/>
      <c r="C58" s="497" t="s">
        <v>268</v>
      </c>
      <c r="D58" s="703">
        <v>2769.0</v>
      </c>
      <c r="E58" s="552">
        <f t="shared" si="7"/>
        <v>0.02220370978</v>
      </c>
      <c r="F58" s="646"/>
      <c r="G58" s="552" t="str">
        <f t="shared" si="8"/>
        <v>#DIV/0!</v>
      </c>
      <c r="H58" s="646"/>
      <c r="I58" s="556">
        <f t="shared" si="9"/>
        <v>0</v>
      </c>
      <c r="J58" s="703">
        <v>2135.0</v>
      </c>
      <c r="K58" s="552">
        <f t="shared" si="10"/>
        <v>0.02065416131</v>
      </c>
      <c r="L58" s="646"/>
      <c r="M58" s="552" t="str">
        <f t="shared" si="11"/>
        <v>#DIV/0!</v>
      </c>
      <c r="N58" s="646"/>
      <c r="O58" s="556">
        <f t="shared" si="12"/>
        <v>0</v>
      </c>
      <c r="P58" s="749">
        <v>0.0</v>
      </c>
      <c r="Q58" s="778" t="str">
        <f t="shared" si="13"/>
        <v>#DIV/0!</v>
      </c>
      <c r="R58" s="741"/>
      <c r="S58" s="778" t="str">
        <f t="shared" si="14"/>
        <v>#DIV/0!</v>
      </c>
      <c r="T58" s="741"/>
      <c r="U58" s="778" t="str">
        <f t="shared" si="15"/>
        <v>#DIV/0!</v>
      </c>
      <c r="V58" s="439"/>
      <c r="W58" s="439"/>
      <c r="X58" s="439"/>
      <c r="Y58" s="439"/>
      <c r="Z58" s="439"/>
      <c r="AA58" s="439"/>
      <c r="AB58" s="439"/>
      <c r="AC58" s="439"/>
    </row>
    <row r="59" ht="15.75" customHeight="1">
      <c r="A59" s="439"/>
      <c r="B59" s="465"/>
      <c r="C59" s="526" t="s">
        <v>269</v>
      </c>
      <c r="D59" s="467">
        <v>0.0</v>
      </c>
      <c r="E59" s="557">
        <f t="shared" si="7"/>
        <v>0</v>
      </c>
      <c r="F59" s="649"/>
      <c r="G59" s="557" t="str">
        <f t="shared" si="8"/>
        <v>#DIV/0!</v>
      </c>
      <c r="H59" s="649"/>
      <c r="I59" s="562">
        <f t="shared" si="9"/>
        <v>0</v>
      </c>
      <c r="J59" s="467">
        <v>0.0</v>
      </c>
      <c r="K59" s="557">
        <f t="shared" si="10"/>
        <v>0</v>
      </c>
      <c r="L59" s="649"/>
      <c r="M59" s="557" t="str">
        <f t="shared" si="11"/>
        <v>#DIV/0!</v>
      </c>
      <c r="N59" s="649"/>
      <c r="O59" s="562">
        <f t="shared" si="12"/>
        <v>0</v>
      </c>
      <c r="P59" s="506">
        <v>0.0</v>
      </c>
      <c r="Q59" s="605" t="str">
        <f t="shared" si="13"/>
        <v>#DIV/0!</v>
      </c>
      <c r="R59" s="737"/>
      <c r="S59" s="605" t="str">
        <f t="shared" si="14"/>
        <v>#DIV/0!</v>
      </c>
      <c r="T59" s="737"/>
      <c r="U59" s="605" t="str">
        <f t="shared" si="15"/>
        <v>#DIV/0!</v>
      </c>
      <c r="V59" s="439"/>
      <c r="W59" s="439"/>
      <c r="X59" s="439"/>
      <c r="Y59" s="439"/>
      <c r="Z59" s="439"/>
      <c r="AA59" s="439"/>
      <c r="AB59" s="439"/>
      <c r="AC59" s="439"/>
    </row>
    <row r="60" ht="15.75" customHeight="1">
      <c r="A60" s="439"/>
      <c r="B60" s="465"/>
      <c r="C60" s="465" t="s">
        <v>209</v>
      </c>
      <c r="D60" s="467">
        <v>0.0</v>
      </c>
      <c r="E60" s="557">
        <f t="shared" si="7"/>
        <v>0</v>
      </c>
      <c r="F60" s="649"/>
      <c r="G60" s="557" t="str">
        <f t="shared" si="8"/>
        <v>#DIV/0!</v>
      </c>
      <c r="H60" s="649"/>
      <c r="I60" s="562">
        <f t="shared" si="9"/>
        <v>0</v>
      </c>
      <c r="J60" s="467">
        <v>0.0</v>
      </c>
      <c r="K60" s="557">
        <f t="shared" si="10"/>
        <v>0</v>
      </c>
      <c r="L60" s="649"/>
      <c r="M60" s="557" t="str">
        <f t="shared" si="11"/>
        <v>#DIV/0!</v>
      </c>
      <c r="N60" s="649"/>
      <c r="O60" s="562">
        <f t="shared" si="12"/>
        <v>0</v>
      </c>
      <c r="P60" s="506">
        <v>0.0</v>
      </c>
      <c r="Q60" s="605" t="str">
        <f t="shared" si="13"/>
        <v>#DIV/0!</v>
      </c>
      <c r="R60" s="737"/>
      <c r="S60" s="605" t="str">
        <f t="shared" si="14"/>
        <v>#DIV/0!</v>
      </c>
      <c r="T60" s="737"/>
      <c r="U60" s="605" t="str">
        <f t="shared" si="15"/>
        <v>#DIV/0!</v>
      </c>
      <c r="V60" s="439"/>
      <c r="W60" s="439"/>
      <c r="X60" s="439"/>
      <c r="Y60" s="439"/>
      <c r="Z60" s="439"/>
      <c r="AA60" s="439"/>
      <c r="AB60" s="439"/>
      <c r="AC60" s="439"/>
    </row>
    <row r="61" ht="15.75" customHeight="1">
      <c r="A61" s="439"/>
      <c r="B61" s="465"/>
      <c r="C61" s="465" t="s">
        <v>310</v>
      </c>
      <c r="D61" s="467">
        <v>0.0</v>
      </c>
      <c r="E61" s="557"/>
      <c r="F61" s="649"/>
      <c r="G61" s="557"/>
      <c r="H61" s="649"/>
      <c r="I61" s="562"/>
      <c r="J61" s="467">
        <v>0.0</v>
      </c>
      <c r="K61" s="557"/>
      <c r="L61" s="649"/>
      <c r="M61" s="557"/>
      <c r="N61" s="649"/>
      <c r="O61" s="562"/>
      <c r="P61" s="506">
        <v>0.0</v>
      </c>
      <c r="Q61" s="605"/>
      <c r="R61" s="737"/>
      <c r="S61" s="605"/>
      <c r="T61" s="737"/>
      <c r="U61" s="605"/>
      <c r="V61" s="439"/>
      <c r="W61" s="439"/>
      <c r="X61" s="439"/>
      <c r="Y61" s="439"/>
      <c r="Z61" s="439"/>
      <c r="AA61" s="439"/>
      <c r="AB61" s="439"/>
      <c r="AC61" s="439"/>
    </row>
    <row r="62" ht="15.75" customHeight="1">
      <c r="A62" s="439"/>
      <c r="B62" s="465"/>
      <c r="C62" s="526" t="s">
        <v>363</v>
      </c>
      <c r="D62" s="467">
        <v>0.0</v>
      </c>
      <c r="E62" s="557">
        <f t="shared" ref="E62:E63" si="16">D62/D$27</f>
        <v>0</v>
      </c>
      <c r="F62" s="649"/>
      <c r="G62" s="557" t="str">
        <f t="shared" ref="G62:G63" si="17">F62/F$27</f>
        <v>#DIV/0!</v>
      </c>
      <c r="H62" s="649"/>
      <c r="I62" s="562">
        <f t="shared" ref="I62:I63" si="18">H62/H$27</f>
        <v>0</v>
      </c>
      <c r="J62" s="467">
        <v>0.0</v>
      </c>
      <c r="K62" s="557">
        <f t="shared" ref="K62:K63" si="19">J62/J$27</f>
        <v>0</v>
      </c>
      <c r="L62" s="649"/>
      <c r="M62" s="557" t="str">
        <f t="shared" ref="M62:M63" si="20">L62/L$27</f>
        <v>#DIV/0!</v>
      </c>
      <c r="N62" s="649"/>
      <c r="O62" s="562">
        <f t="shared" ref="O62:O63" si="21">N62/N$27</f>
        <v>0</v>
      </c>
      <c r="P62" s="506">
        <v>0.0</v>
      </c>
      <c r="Q62" s="605" t="str">
        <f t="shared" ref="Q62:Q63" si="22">P62/P$27</f>
        <v>#DIV/0!</v>
      </c>
      <c r="R62" s="737"/>
      <c r="S62" s="605" t="str">
        <f t="shared" ref="S62:S63" si="23">R62/R$27</f>
        <v>#DIV/0!</v>
      </c>
      <c r="T62" s="737"/>
      <c r="U62" s="605" t="str">
        <f t="shared" ref="U62:U63" si="24">T62/T$27</f>
        <v>#DIV/0!</v>
      </c>
      <c r="V62" s="439"/>
      <c r="W62" s="439"/>
      <c r="X62" s="439"/>
      <c r="Y62" s="439"/>
      <c r="Z62" s="439"/>
      <c r="AA62" s="439"/>
      <c r="AB62" s="439"/>
      <c r="AC62" s="439"/>
    </row>
    <row r="63" ht="15.75" customHeight="1">
      <c r="A63" s="439"/>
      <c r="B63" s="465"/>
      <c r="C63" s="465" t="s">
        <v>271</v>
      </c>
      <c r="D63" s="467">
        <f>(16818.54)+19032.92</f>
        <v>35851.46</v>
      </c>
      <c r="E63" s="557">
        <f t="shared" si="16"/>
        <v>0.2874811892</v>
      </c>
      <c r="F63" s="539">
        <v>0.0</v>
      </c>
      <c r="G63" s="557" t="str">
        <f t="shared" si="17"/>
        <v>#DIV/0!</v>
      </c>
      <c r="H63" s="649">
        <f>D63-F63</f>
        <v>35851.46</v>
      </c>
      <c r="I63" s="562">
        <f t="shared" si="18"/>
        <v>0.7326130518</v>
      </c>
      <c r="J63" s="467">
        <v>2428.0</v>
      </c>
      <c r="K63" s="557">
        <f t="shared" si="19"/>
        <v>0.02348866682</v>
      </c>
      <c r="L63" s="539">
        <v>0.0</v>
      </c>
      <c r="M63" s="557" t="str">
        <f t="shared" si="20"/>
        <v>#DIV/0!</v>
      </c>
      <c r="N63" s="649">
        <f>J63-L63</f>
        <v>2428</v>
      </c>
      <c r="O63" s="562">
        <f t="shared" si="21"/>
        <v>0.0456150898</v>
      </c>
      <c r="P63" s="506">
        <v>0.0</v>
      </c>
      <c r="Q63" s="605" t="str">
        <f t="shared" si="22"/>
        <v>#DIV/0!</v>
      </c>
      <c r="R63" s="469">
        <v>0.0</v>
      </c>
      <c r="S63" s="605" t="str">
        <f t="shared" si="23"/>
        <v>#DIV/0!</v>
      </c>
      <c r="T63" s="737">
        <f>P63-R63</f>
        <v>0</v>
      </c>
      <c r="U63" s="605" t="str">
        <f t="shared" si="24"/>
        <v>#DIV/0!</v>
      </c>
      <c r="V63" s="439"/>
      <c r="W63" s="439"/>
      <c r="X63" s="439"/>
      <c r="Y63" s="439"/>
      <c r="Z63" s="439"/>
      <c r="AA63" s="439"/>
      <c r="AB63" s="439"/>
      <c r="AC63" s="439"/>
    </row>
    <row r="64" ht="15.75" customHeight="1">
      <c r="A64" s="439"/>
      <c r="B64" s="483"/>
      <c r="C64" s="610"/>
      <c r="D64" s="705"/>
      <c r="E64" s="544"/>
      <c r="F64" s="677"/>
      <c r="G64" s="677"/>
      <c r="H64" s="677"/>
      <c r="I64" s="679"/>
      <c r="J64" s="705"/>
      <c r="K64" s="544"/>
      <c r="L64" s="677"/>
      <c r="M64" s="677"/>
      <c r="N64" s="677"/>
      <c r="O64" s="679"/>
      <c r="P64" s="731"/>
      <c r="Q64" s="543"/>
      <c r="R64" s="483"/>
      <c r="S64" s="483"/>
      <c r="T64" s="483"/>
      <c r="U64" s="483"/>
      <c r="V64" s="439"/>
      <c r="W64" s="439"/>
      <c r="X64" s="439"/>
      <c r="Y64" s="439"/>
      <c r="Z64" s="439"/>
      <c r="AA64" s="439"/>
      <c r="AB64" s="439"/>
      <c r="AC64" s="439"/>
    </row>
    <row r="65" ht="15.75" customHeight="1">
      <c r="A65" s="439"/>
      <c r="B65" s="490"/>
      <c r="C65" s="511" t="s">
        <v>35</v>
      </c>
      <c r="D65" s="740">
        <f>SUM(D66:D72)</f>
        <v>53013.93</v>
      </c>
      <c r="E65" s="547">
        <f>D65/D$27</f>
        <v>0.4251014503</v>
      </c>
      <c r="F65" s="645">
        <f>SUM(F66:F72)</f>
        <v>0</v>
      </c>
      <c r="G65" s="1134" t="str">
        <f>F65/F$27</f>
        <v>#DIV/0!</v>
      </c>
      <c r="H65" s="645">
        <f>SUM(H66:H70)</f>
        <v>0</v>
      </c>
      <c r="I65" s="691"/>
      <c r="J65" s="740">
        <f>SUM(J66:J72)</f>
        <v>16021.92</v>
      </c>
      <c r="K65" s="547">
        <f>J65/J$27</f>
        <v>0.1549973396</v>
      </c>
      <c r="L65" s="645">
        <f>SUM(L66:L72)</f>
        <v>0</v>
      </c>
      <c r="M65" s="1134" t="str">
        <f>L65/L$27</f>
        <v>#DIV/0!</v>
      </c>
      <c r="N65" s="645">
        <f>SUM(N66:N70)</f>
        <v>0</v>
      </c>
      <c r="O65" s="691"/>
      <c r="P65" s="668">
        <f>SUM(P66:P72)</f>
        <v>0</v>
      </c>
      <c r="Q65" s="613" t="str">
        <f>P65/P$27</f>
        <v>#DIV/0!</v>
      </c>
      <c r="R65" s="668">
        <f>SUM(R66:R72)</f>
        <v>0</v>
      </c>
      <c r="S65" s="1135" t="str">
        <f>R65/R$27</f>
        <v>#DIV/0!</v>
      </c>
      <c r="T65" s="668">
        <f>SUM(T66:T70)</f>
        <v>0</v>
      </c>
      <c r="U65" s="490"/>
      <c r="V65" s="692"/>
      <c r="W65" s="692"/>
      <c r="X65" s="692"/>
      <c r="Y65" s="692"/>
      <c r="Z65" s="692"/>
      <c r="AA65" s="692"/>
      <c r="AB65" s="692"/>
      <c r="AC65" s="692"/>
    </row>
    <row r="66" ht="15.75" hidden="1" customHeight="1">
      <c r="A66" s="439"/>
      <c r="B66" s="497"/>
      <c r="C66" s="497" t="s">
        <v>212</v>
      </c>
      <c r="D66" s="703"/>
      <c r="E66" s="540"/>
      <c r="F66" s="646"/>
      <c r="G66" s="671"/>
      <c r="H66" s="646"/>
      <c r="I66" s="672"/>
      <c r="J66" s="703"/>
      <c r="K66" s="540"/>
      <c r="L66" s="646"/>
      <c r="M66" s="671"/>
      <c r="N66" s="646"/>
      <c r="O66" s="672"/>
      <c r="P66" s="741"/>
      <c r="Q66" s="461"/>
      <c r="R66" s="741"/>
      <c r="S66" s="497"/>
      <c r="T66" s="741"/>
      <c r="U66" s="497"/>
      <c r="V66" s="439"/>
      <c r="W66" s="439"/>
      <c r="X66" s="439"/>
      <c r="Y66" s="439"/>
      <c r="Z66" s="439"/>
      <c r="AA66" s="439"/>
      <c r="AB66" s="439"/>
      <c r="AC66" s="439"/>
    </row>
    <row r="67" ht="15.75" hidden="1" customHeight="1">
      <c r="A67" s="439"/>
      <c r="B67" s="465"/>
      <c r="C67" s="465" t="s">
        <v>213</v>
      </c>
      <c r="D67" s="704"/>
      <c r="E67" s="539"/>
      <c r="F67" s="649"/>
      <c r="G67" s="256"/>
      <c r="H67" s="649"/>
      <c r="I67" s="674"/>
      <c r="J67" s="705"/>
      <c r="K67" s="539"/>
      <c r="L67" s="649"/>
      <c r="M67" s="256"/>
      <c r="N67" s="649"/>
      <c r="O67" s="674"/>
      <c r="P67" s="731"/>
      <c r="Q67" s="469"/>
      <c r="R67" s="737"/>
      <c r="S67" s="465"/>
      <c r="T67" s="737"/>
      <c r="U67" s="465"/>
      <c r="V67" s="439"/>
      <c r="W67" s="439"/>
      <c r="X67" s="439"/>
      <c r="Y67" s="439"/>
      <c r="Z67" s="439"/>
      <c r="AA67" s="439"/>
      <c r="AB67" s="439"/>
      <c r="AC67" s="439"/>
    </row>
    <row r="68" ht="15.75" customHeight="1">
      <c r="A68" s="439"/>
      <c r="B68" s="465"/>
      <c r="C68" s="465" t="s">
        <v>272</v>
      </c>
      <c r="D68" s="726">
        <v>7375.17</v>
      </c>
      <c r="E68" s="1136">
        <f>D68/D17</f>
        <v>0.1507092264</v>
      </c>
      <c r="F68" s="1137"/>
      <c r="G68" s="1136"/>
      <c r="H68" s="1137"/>
      <c r="I68" s="1138"/>
      <c r="J68" s="1139">
        <f>2742.62+1928.72+1553.08+1794.73</f>
        <v>8019.15</v>
      </c>
      <c r="K68" s="1140">
        <f>J68/J17</f>
        <v>0.1506566093</v>
      </c>
      <c r="L68" s="649"/>
      <c r="M68" s="1141"/>
      <c r="N68" s="649"/>
      <c r="O68" s="674"/>
      <c r="P68" s="870">
        <v>0.0</v>
      </c>
      <c r="Q68" s="783" t="str">
        <f>P68/P17</f>
        <v>#DIV/0!</v>
      </c>
      <c r="R68" s="737"/>
      <c r="S68" s="783"/>
      <c r="T68" s="737"/>
      <c r="U68" s="465"/>
      <c r="V68" s="439"/>
      <c r="W68" s="439"/>
      <c r="X68" s="439"/>
      <c r="Y68" s="439"/>
      <c r="Z68" s="439"/>
      <c r="AA68" s="439"/>
      <c r="AB68" s="439"/>
      <c r="AC68" s="439"/>
    </row>
    <row r="69" ht="15.75" customHeight="1">
      <c r="A69" s="439"/>
      <c r="B69" s="465"/>
      <c r="C69" s="465" t="s">
        <v>364</v>
      </c>
      <c r="D69" s="724"/>
      <c r="E69" s="1136"/>
      <c r="F69" s="1137"/>
      <c r="G69" s="1136"/>
      <c r="H69" s="1137"/>
      <c r="I69" s="1142"/>
      <c r="J69" s="1143"/>
      <c r="K69" s="1141"/>
      <c r="L69" s="649"/>
      <c r="M69" s="1141"/>
      <c r="N69" s="649"/>
      <c r="O69" s="674"/>
      <c r="P69" s="498"/>
      <c r="Q69" s="783"/>
      <c r="R69" s="737"/>
      <c r="S69" s="783"/>
      <c r="T69" s="737"/>
      <c r="U69" s="465"/>
      <c r="V69" s="439"/>
      <c r="W69" s="439"/>
      <c r="X69" s="439"/>
      <c r="Y69" s="439"/>
      <c r="Z69" s="439"/>
      <c r="AA69" s="439"/>
      <c r="AB69" s="439"/>
      <c r="AC69" s="439"/>
    </row>
    <row r="70" ht="15.75" customHeight="1">
      <c r="A70" s="439"/>
      <c r="B70" s="465"/>
      <c r="C70" s="465" t="s">
        <v>311</v>
      </c>
      <c r="D70" s="724">
        <v>10258.76</v>
      </c>
      <c r="E70" s="1136">
        <f>D70/D18</f>
        <v>0.1478351281</v>
      </c>
      <c r="F70" s="1137"/>
      <c r="G70" s="1136"/>
      <c r="H70" s="1137"/>
      <c r="I70" s="1142"/>
      <c r="J70" s="1139">
        <v>7412.77</v>
      </c>
      <c r="K70" s="1141">
        <f>J70/J18</f>
        <v>0.1478384954</v>
      </c>
      <c r="L70" s="649"/>
      <c r="M70" s="1141"/>
      <c r="N70" s="649"/>
      <c r="O70" s="674"/>
      <c r="P70" s="890">
        <v>0.0</v>
      </c>
      <c r="Q70" s="783" t="str">
        <f>P70/P18</f>
        <v>#DIV/0!</v>
      </c>
      <c r="R70" s="737"/>
      <c r="S70" s="783"/>
      <c r="T70" s="737"/>
      <c r="U70" s="465"/>
      <c r="V70" s="439"/>
      <c r="W70" s="439"/>
      <c r="X70" s="439"/>
      <c r="Y70" s="439"/>
      <c r="Z70" s="439"/>
      <c r="AA70" s="439"/>
      <c r="AB70" s="439"/>
      <c r="AC70" s="439"/>
    </row>
    <row r="71" ht="15.75" customHeight="1">
      <c r="A71" s="439"/>
      <c r="B71" s="465"/>
      <c r="C71" s="465" t="s">
        <v>365</v>
      </c>
      <c r="D71" s="724"/>
      <c r="E71" s="1136"/>
      <c r="F71" s="1137"/>
      <c r="G71" s="1136"/>
      <c r="H71" s="1137"/>
      <c r="I71" s="1142"/>
      <c r="J71" s="724"/>
      <c r="K71" s="1141"/>
      <c r="L71" s="649"/>
      <c r="M71" s="1141"/>
      <c r="N71" s="649"/>
      <c r="O71" s="674"/>
      <c r="P71" s="474"/>
      <c r="Q71" s="783"/>
      <c r="R71" s="737"/>
      <c r="S71" s="783"/>
      <c r="T71" s="737"/>
      <c r="U71" s="465"/>
      <c r="V71" s="439"/>
      <c r="W71" s="439"/>
      <c r="X71" s="439"/>
      <c r="Y71" s="439"/>
      <c r="Z71" s="439"/>
      <c r="AA71" s="439"/>
      <c r="AB71" s="439"/>
      <c r="AC71" s="439"/>
    </row>
    <row r="72" ht="15.75" customHeight="1">
      <c r="A72" s="439"/>
      <c r="B72" s="465"/>
      <c r="C72" s="465" t="s">
        <v>366</v>
      </c>
      <c r="D72" s="724">
        <f>34800+580</f>
        <v>35380</v>
      </c>
      <c r="E72" s="1136">
        <f>D72/D27</f>
        <v>0.2837007049</v>
      </c>
      <c r="F72" s="1137"/>
      <c r="G72" s="1136"/>
      <c r="H72" s="1137"/>
      <c r="I72" s="1142"/>
      <c r="J72" s="1143">
        <v>590.0</v>
      </c>
      <c r="K72" s="1141">
        <f>J72/J27</f>
        <v>0.00570770734</v>
      </c>
      <c r="L72" s="649"/>
      <c r="M72" s="1141"/>
      <c r="N72" s="649"/>
      <c r="O72" s="674"/>
      <c r="P72" s="505">
        <v>0.0</v>
      </c>
      <c r="Q72" s="783" t="str">
        <f>P72/P27</f>
        <v>#DIV/0!</v>
      </c>
      <c r="R72" s="737"/>
      <c r="S72" s="783"/>
      <c r="T72" s="737"/>
      <c r="U72" s="465"/>
      <c r="V72" s="439"/>
      <c r="W72" s="439"/>
      <c r="X72" s="439"/>
      <c r="Y72" s="439"/>
      <c r="Z72" s="439"/>
      <c r="AA72" s="439"/>
      <c r="AB72" s="439"/>
      <c r="AC72" s="439"/>
    </row>
    <row r="73" ht="15.75" customHeight="1">
      <c r="A73" s="439"/>
      <c r="B73" s="483"/>
      <c r="C73" s="483"/>
      <c r="D73" s="730"/>
      <c r="E73" s="1144"/>
      <c r="F73" s="1144"/>
      <c r="G73" s="1144"/>
      <c r="H73" s="1144"/>
      <c r="I73" s="1145"/>
      <c r="J73" s="730"/>
      <c r="K73" s="544"/>
      <c r="L73" s="677"/>
      <c r="M73" s="677"/>
      <c r="N73" s="677"/>
      <c r="O73" s="679"/>
      <c r="P73" s="731"/>
      <c r="Q73" s="543"/>
      <c r="R73" s="483"/>
      <c r="S73" s="483"/>
      <c r="T73" s="483"/>
      <c r="U73" s="483"/>
      <c r="V73" s="439"/>
      <c r="W73" s="439"/>
      <c r="X73" s="439"/>
      <c r="Y73" s="439"/>
      <c r="Z73" s="439"/>
      <c r="AA73" s="439"/>
      <c r="AB73" s="439"/>
      <c r="AC73" s="439"/>
    </row>
    <row r="74" ht="15.75" customHeight="1">
      <c r="A74" s="439"/>
      <c r="B74" s="490"/>
      <c r="C74" s="511" t="s">
        <v>216</v>
      </c>
      <c r="D74" s="459">
        <f>SUM(D75:D78)</f>
        <v>0</v>
      </c>
      <c r="E74" s="547">
        <f>D74/D$27</f>
        <v>0</v>
      </c>
      <c r="F74" s="690">
        <f>SUM(F75:F78)</f>
        <v>0</v>
      </c>
      <c r="G74" s="1134" t="str">
        <f>F74/F$27</f>
        <v>#DIV/0!</v>
      </c>
      <c r="H74" s="1146">
        <f>SUM(H75:H78)</f>
        <v>0</v>
      </c>
      <c r="I74" s="691"/>
      <c r="J74" s="459">
        <f>SUM(J75:J78)</f>
        <v>0</v>
      </c>
      <c r="K74" s="547">
        <f>J74/J$27</f>
        <v>0</v>
      </c>
      <c r="L74" s="690">
        <f>SUM(L75:L78)</f>
        <v>0</v>
      </c>
      <c r="M74" s="1134" t="str">
        <f>L74/L$27</f>
        <v>#DIV/0!</v>
      </c>
      <c r="N74" s="1146">
        <f>SUM(N75:N78)</f>
        <v>0</v>
      </c>
      <c r="O74" s="691"/>
      <c r="P74" s="491">
        <f>SUM(P75:P78)</f>
        <v>0</v>
      </c>
      <c r="Q74" s="613" t="str">
        <f>P74/P$27</f>
        <v>#DIV/0!</v>
      </c>
      <c r="R74" s="490">
        <f>SUM(R75:R78)</f>
        <v>0</v>
      </c>
      <c r="S74" s="1135" t="str">
        <f>R74/R$27</f>
        <v>#DIV/0!</v>
      </c>
      <c r="T74" s="1147">
        <f>SUM(T75:T78)</f>
        <v>0</v>
      </c>
      <c r="U74" s="490"/>
      <c r="V74" s="692"/>
      <c r="W74" s="692"/>
      <c r="X74" s="692"/>
      <c r="Y74" s="692"/>
      <c r="Z74" s="692"/>
      <c r="AA74" s="692"/>
      <c r="AB74" s="692"/>
      <c r="AC74" s="692"/>
    </row>
    <row r="75" ht="15.75" hidden="1" customHeight="1">
      <c r="A75" s="439"/>
      <c r="B75" s="497"/>
      <c r="C75" s="497" t="s">
        <v>217</v>
      </c>
      <c r="D75" s="463"/>
      <c r="E75" s="552"/>
      <c r="F75" s="671"/>
      <c r="G75" s="1148"/>
      <c r="H75" s="646"/>
      <c r="I75" s="672"/>
      <c r="J75" s="463"/>
      <c r="K75" s="552"/>
      <c r="L75" s="671"/>
      <c r="M75" s="1148"/>
      <c r="N75" s="646"/>
      <c r="O75" s="672"/>
      <c r="P75" s="498"/>
      <c r="Q75" s="778"/>
      <c r="R75" s="497"/>
      <c r="S75" s="1149"/>
      <c r="T75" s="741"/>
      <c r="U75" s="497"/>
      <c r="V75" s="439"/>
      <c r="W75" s="439"/>
      <c r="X75" s="439"/>
      <c r="Y75" s="439"/>
      <c r="Z75" s="439"/>
      <c r="AA75" s="439"/>
      <c r="AB75" s="439"/>
      <c r="AC75" s="439"/>
    </row>
    <row r="76" ht="15.75" hidden="1" customHeight="1">
      <c r="A76" s="439"/>
      <c r="B76" s="465"/>
      <c r="C76" s="465" t="s">
        <v>218</v>
      </c>
      <c r="D76" s="467"/>
      <c r="E76" s="557"/>
      <c r="F76" s="256"/>
      <c r="G76" s="1141"/>
      <c r="H76" s="649"/>
      <c r="I76" s="674"/>
      <c r="J76" s="467"/>
      <c r="K76" s="557"/>
      <c r="L76" s="256"/>
      <c r="M76" s="1141"/>
      <c r="N76" s="649"/>
      <c r="O76" s="674"/>
      <c r="P76" s="474"/>
      <c r="Q76" s="605"/>
      <c r="R76" s="465"/>
      <c r="S76" s="783"/>
      <c r="T76" s="737"/>
      <c r="U76" s="465"/>
      <c r="V76" s="439"/>
      <c r="W76" s="439"/>
      <c r="X76" s="439"/>
      <c r="Y76" s="439"/>
      <c r="Z76" s="439"/>
      <c r="AA76" s="439"/>
      <c r="AB76" s="439"/>
      <c r="AC76" s="439"/>
    </row>
    <row r="77" ht="15.75" hidden="1" customHeight="1">
      <c r="A77" s="439"/>
      <c r="B77" s="465"/>
      <c r="C77" s="465" t="s">
        <v>219</v>
      </c>
      <c r="D77" s="467"/>
      <c r="E77" s="539"/>
      <c r="F77" s="256"/>
      <c r="G77" s="256"/>
      <c r="H77" s="256"/>
      <c r="I77" s="674"/>
      <c r="J77" s="467"/>
      <c r="K77" s="539"/>
      <c r="L77" s="256"/>
      <c r="M77" s="256"/>
      <c r="N77" s="256"/>
      <c r="O77" s="674"/>
      <c r="P77" s="474"/>
      <c r="Q77" s="469"/>
      <c r="R77" s="465"/>
      <c r="S77" s="465"/>
      <c r="T77" s="465"/>
      <c r="U77" s="465"/>
      <c r="V77" s="439"/>
      <c r="W77" s="439"/>
      <c r="X77" s="439"/>
      <c r="Y77" s="439"/>
      <c r="Z77" s="439"/>
      <c r="AA77" s="439"/>
      <c r="AB77" s="439"/>
      <c r="AC77" s="439"/>
    </row>
    <row r="78" ht="15.75" hidden="1" customHeight="1">
      <c r="A78" s="439"/>
      <c r="B78" s="465"/>
      <c r="C78" s="465" t="s">
        <v>220</v>
      </c>
      <c r="D78" s="467"/>
      <c r="E78" s="539"/>
      <c r="F78" s="256"/>
      <c r="G78" s="256"/>
      <c r="H78" s="256"/>
      <c r="I78" s="674"/>
      <c r="J78" s="467"/>
      <c r="K78" s="539"/>
      <c r="L78" s="256"/>
      <c r="M78" s="256"/>
      <c r="N78" s="256"/>
      <c r="O78" s="674"/>
      <c r="P78" s="474"/>
      <c r="Q78" s="469"/>
      <c r="R78" s="465"/>
      <c r="S78" s="465"/>
      <c r="T78" s="465"/>
      <c r="U78" s="465"/>
      <c r="V78" s="439"/>
      <c r="W78" s="439"/>
      <c r="X78" s="439"/>
      <c r="Y78" s="439"/>
      <c r="Z78" s="439"/>
      <c r="AA78" s="439"/>
      <c r="AB78" s="439"/>
      <c r="AC78" s="439"/>
    </row>
    <row r="79" ht="15.75" customHeight="1">
      <c r="A79" s="439"/>
      <c r="B79" s="483"/>
      <c r="C79" s="610"/>
      <c r="D79" s="485"/>
      <c r="E79" s="544"/>
      <c r="F79" s="677"/>
      <c r="G79" s="677"/>
      <c r="H79" s="677"/>
      <c r="I79" s="679"/>
      <c r="J79" s="485"/>
      <c r="K79" s="544"/>
      <c r="L79" s="677"/>
      <c r="M79" s="677"/>
      <c r="N79" s="677"/>
      <c r="O79" s="679"/>
      <c r="P79" s="501"/>
      <c r="Q79" s="543"/>
      <c r="R79" s="483"/>
      <c r="S79" s="483"/>
      <c r="T79" s="483"/>
      <c r="U79" s="483"/>
      <c r="V79" s="439"/>
      <c r="W79" s="439"/>
      <c r="X79" s="439"/>
      <c r="Y79" s="439"/>
      <c r="Z79" s="439"/>
      <c r="AA79" s="439"/>
      <c r="AB79" s="439"/>
      <c r="AC79" s="439"/>
    </row>
    <row r="80" ht="15.75" customHeight="1">
      <c r="A80" s="439"/>
      <c r="B80" s="493"/>
      <c r="C80" s="511" t="s">
        <v>37</v>
      </c>
      <c r="D80" s="459">
        <f>SUM(D81:D87)</f>
        <v>0</v>
      </c>
      <c r="E80" s="547">
        <f>D80/D$27</f>
        <v>0</v>
      </c>
      <c r="F80" s="645">
        <f>SUM(F81:F87)</f>
        <v>0</v>
      </c>
      <c r="G80" s="1134" t="str">
        <f>F80/F$27</f>
        <v>#DIV/0!</v>
      </c>
      <c r="H80" s="645">
        <f>SUM(H81:H87)</f>
        <v>0</v>
      </c>
      <c r="I80" s="691"/>
      <c r="J80" s="459">
        <f>SUM(J81:J87)</f>
        <v>0</v>
      </c>
      <c r="K80" s="547">
        <f>J80/J$27</f>
        <v>0</v>
      </c>
      <c r="L80" s="645">
        <f>SUM(L81:L87)</f>
        <v>0</v>
      </c>
      <c r="M80" s="1134" t="str">
        <f>L80/L$27</f>
        <v>#DIV/0!</v>
      </c>
      <c r="N80" s="645">
        <f>SUM(N81:N87)</f>
        <v>0</v>
      </c>
      <c r="O80" s="691"/>
      <c r="P80" s="491">
        <f>SUM(P81:P87)</f>
        <v>0</v>
      </c>
      <c r="Q80" s="613" t="str">
        <f>P80/P$27</f>
        <v>#DIV/0!</v>
      </c>
      <c r="R80" s="668">
        <f>SUM(R81:R87)</f>
        <v>0</v>
      </c>
      <c r="S80" s="1135" t="str">
        <f>R80/R$27</f>
        <v>#DIV/0!</v>
      </c>
      <c r="T80" s="668">
        <f>SUM(T81:T87)</f>
        <v>0</v>
      </c>
      <c r="U80" s="490"/>
      <c r="V80" s="692"/>
      <c r="W80" s="692"/>
      <c r="X80" s="692"/>
      <c r="Y80" s="692"/>
      <c r="Z80" s="692"/>
      <c r="AA80" s="692"/>
      <c r="AB80" s="692"/>
      <c r="AC80" s="692"/>
    </row>
    <row r="81" ht="15.75" hidden="1" customHeight="1">
      <c r="A81" s="439"/>
      <c r="B81" s="497"/>
      <c r="C81" s="497" t="s">
        <v>221</v>
      </c>
      <c r="D81" s="463"/>
      <c r="E81" s="552"/>
      <c r="F81" s="671"/>
      <c r="G81" s="1148"/>
      <c r="H81" s="646"/>
      <c r="I81" s="672"/>
      <c r="J81" s="463"/>
      <c r="K81" s="552"/>
      <c r="L81" s="671"/>
      <c r="M81" s="1148"/>
      <c r="N81" s="646"/>
      <c r="O81" s="672"/>
      <c r="P81" s="498"/>
      <c r="Q81" s="778"/>
      <c r="R81" s="497"/>
      <c r="S81" s="1149"/>
      <c r="T81" s="741"/>
      <c r="U81" s="497"/>
      <c r="V81" s="439"/>
      <c r="W81" s="439"/>
      <c r="X81" s="439"/>
      <c r="Y81" s="439"/>
      <c r="Z81" s="439"/>
      <c r="AA81" s="439"/>
      <c r="AB81" s="439"/>
      <c r="AC81" s="439"/>
    </row>
    <row r="82" ht="15.75" hidden="1" customHeight="1">
      <c r="A82" s="439"/>
      <c r="B82" s="465"/>
      <c r="C82" s="465" t="s">
        <v>222</v>
      </c>
      <c r="D82" s="467"/>
      <c r="E82" s="557"/>
      <c r="F82" s="256"/>
      <c r="G82" s="1141"/>
      <c r="H82" s="649"/>
      <c r="I82" s="674"/>
      <c r="J82" s="467"/>
      <c r="K82" s="557"/>
      <c r="L82" s="256"/>
      <c r="M82" s="1141"/>
      <c r="N82" s="649"/>
      <c r="O82" s="674"/>
      <c r="P82" s="474"/>
      <c r="Q82" s="605"/>
      <c r="R82" s="465"/>
      <c r="S82" s="783"/>
      <c r="T82" s="737"/>
      <c r="U82" s="465"/>
      <c r="V82" s="439"/>
      <c r="W82" s="439"/>
      <c r="X82" s="439"/>
      <c r="Y82" s="439"/>
      <c r="Z82" s="439"/>
      <c r="AA82" s="439"/>
      <c r="AB82" s="439"/>
      <c r="AC82" s="439"/>
    </row>
    <row r="83" ht="15.75" hidden="1" customHeight="1">
      <c r="A83" s="439"/>
      <c r="B83" s="465"/>
      <c r="C83" s="465" t="s">
        <v>223</v>
      </c>
      <c r="D83" s="467"/>
      <c r="E83" s="557"/>
      <c r="F83" s="256"/>
      <c r="G83" s="1141"/>
      <c r="H83" s="649"/>
      <c r="I83" s="674"/>
      <c r="J83" s="467"/>
      <c r="K83" s="557"/>
      <c r="L83" s="256"/>
      <c r="M83" s="1141"/>
      <c r="N83" s="649"/>
      <c r="O83" s="674"/>
      <c r="P83" s="474"/>
      <c r="Q83" s="605"/>
      <c r="R83" s="465"/>
      <c r="S83" s="783"/>
      <c r="T83" s="737"/>
      <c r="U83" s="465"/>
      <c r="V83" s="439"/>
      <c r="W83" s="439"/>
      <c r="X83" s="439"/>
      <c r="Y83" s="439"/>
      <c r="Z83" s="439"/>
      <c r="AA83" s="439"/>
      <c r="AB83" s="439"/>
      <c r="AC83" s="439"/>
    </row>
    <row r="84" ht="15.75" hidden="1" customHeight="1">
      <c r="A84" s="439"/>
      <c r="B84" s="465"/>
      <c r="C84" s="465" t="s">
        <v>225</v>
      </c>
      <c r="D84" s="467"/>
      <c r="E84" s="557"/>
      <c r="F84" s="256"/>
      <c r="G84" s="1141"/>
      <c r="H84" s="649"/>
      <c r="I84" s="674"/>
      <c r="J84" s="467"/>
      <c r="K84" s="557"/>
      <c r="L84" s="256"/>
      <c r="M84" s="1141"/>
      <c r="N84" s="649"/>
      <c r="O84" s="674"/>
      <c r="P84" s="474"/>
      <c r="Q84" s="605"/>
      <c r="R84" s="465"/>
      <c r="S84" s="783"/>
      <c r="T84" s="737"/>
      <c r="U84" s="465"/>
      <c r="V84" s="439"/>
      <c r="W84" s="439"/>
      <c r="X84" s="439"/>
      <c r="Y84" s="439"/>
      <c r="Z84" s="439"/>
      <c r="AA84" s="439"/>
      <c r="AB84" s="439"/>
      <c r="AC84" s="439"/>
    </row>
    <row r="85" ht="15.75" hidden="1" customHeight="1">
      <c r="A85" s="439"/>
      <c r="B85" s="465"/>
      <c r="C85" s="465" t="s">
        <v>226</v>
      </c>
      <c r="D85" s="467"/>
      <c r="E85" s="557"/>
      <c r="F85" s="256"/>
      <c r="G85" s="1141"/>
      <c r="H85" s="649"/>
      <c r="I85" s="674"/>
      <c r="J85" s="467"/>
      <c r="K85" s="557"/>
      <c r="L85" s="256"/>
      <c r="M85" s="1141"/>
      <c r="N85" s="649"/>
      <c r="O85" s="674"/>
      <c r="P85" s="474"/>
      <c r="Q85" s="605"/>
      <c r="R85" s="465"/>
      <c r="S85" s="783"/>
      <c r="T85" s="737"/>
      <c r="U85" s="465"/>
      <c r="V85" s="439"/>
      <c r="W85" s="439"/>
      <c r="X85" s="439"/>
      <c r="Y85" s="439"/>
      <c r="Z85" s="439"/>
      <c r="AA85" s="439"/>
      <c r="AB85" s="439"/>
      <c r="AC85" s="439"/>
    </row>
    <row r="86" ht="15.75" hidden="1" customHeight="1">
      <c r="A86" s="439"/>
      <c r="B86" s="465"/>
      <c r="C86" s="465" t="s">
        <v>227</v>
      </c>
      <c r="D86" s="467"/>
      <c r="E86" s="557"/>
      <c r="F86" s="256"/>
      <c r="G86" s="1141"/>
      <c r="H86" s="649"/>
      <c r="I86" s="674"/>
      <c r="J86" s="467"/>
      <c r="K86" s="557"/>
      <c r="L86" s="256"/>
      <c r="M86" s="1141"/>
      <c r="N86" s="649"/>
      <c r="O86" s="674"/>
      <c r="P86" s="474"/>
      <c r="Q86" s="605"/>
      <c r="R86" s="465"/>
      <c r="S86" s="783"/>
      <c r="T86" s="737"/>
      <c r="U86" s="465"/>
      <c r="V86" s="439"/>
      <c r="W86" s="439"/>
      <c r="X86" s="439"/>
      <c r="Y86" s="439"/>
      <c r="Z86" s="439"/>
      <c r="AA86" s="439"/>
      <c r="AB86" s="439"/>
      <c r="AC86" s="439"/>
    </row>
    <row r="87" ht="15.75" hidden="1" customHeight="1">
      <c r="A87" s="439"/>
      <c r="B87" s="465"/>
      <c r="C87" s="465" t="s">
        <v>228</v>
      </c>
      <c r="D87" s="467"/>
      <c r="E87" s="557"/>
      <c r="F87" s="256"/>
      <c r="G87" s="1141"/>
      <c r="H87" s="649"/>
      <c r="I87" s="674"/>
      <c r="J87" s="467"/>
      <c r="K87" s="557"/>
      <c r="L87" s="256"/>
      <c r="M87" s="1141"/>
      <c r="N87" s="649"/>
      <c r="O87" s="674"/>
      <c r="P87" s="474"/>
      <c r="Q87" s="605"/>
      <c r="R87" s="465"/>
      <c r="S87" s="783"/>
      <c r="T87" s="737"/>
      <c r="U87" s="465"/>
      <c r="V87" s="439"/>
      <c r="W87" s="439"/>
      <c r="X87" s="439"/>
      <c r="Y87" s="439"/>
      <c r="Z87" s="439"/>
      <c r="AA87" s="439"/>
      <c r="AB87" s="439"/>
      <c r="AC87" s="439"/>
    </row>
    <row r="88" ht="15.75" customHeight="1">
      <c r="A88" s="439"/>
      <c r="B88" s="465"/>
      <c r="C88" s="465" t="s">
        <v>227</v>
      </c>
      <c r="D88" s="467"/>
      <c r="E88" s="539"/>
      <c r="F88" s="256"/>
      <c r="G88" s="256"/>
      <c r="H88" s="649"/>
      <c r="I88" s="674"/>
      <c r="J88" s="467"/>
      <c r="K88" s="539"/>
      <c r="L88" s="256"/>
      <c r="M88" s="256"/>
      <c r="N88" s="649"/>
      <c r="O88" s="674"/>
      <c r="P88" s="474"/>
      <c r="Q88" s="469"/>
      <c r="R88" s="465"/>
      <c r="S88" s="465"/>
      <c r="T88" s="737"/>
      <c r="U88" s="465"/>
      <c r="V88" s="439"/>
      <c r="W88" s="439"/>
      <c r="X88" s="439"/>
      <c r="Y88" s="439"/>
      <c r="Z88" s="439"/>
      <c r="AA88" s="439"/>
      <c r="AB88" s="439"/>
      <c r="AC88" s="439"/>
    </row>
    <row r="89" ht="15.75" customHeight="1">
      <c r="A89" s="439"/>
      <c r="B89" s="483"/>
      <c r="C89" s="610"/>
      <c r="D89" s="485"/>
      <c r="E89" s="544"/>
      <c r="F89" s="677"/>
      <c r="G89" s="677"/>
      <c r="H89" s="677"/>
      <c r="I89" s="679"/>
      <c r="J89" s="485"/>
      <c r="K89" s="544"/>
      <c r="L89" s="677"/>
      <c r="M89" s="677"/>
      <c r="N89" s="677"/>
      <c r="O89" s="679"/>
      <c r="P89" s="501"/>
      <c r="Q89" s="543"/>
      <c r="R89" s="483"/>
      <c r="S89" s="483"/>
      <c r="T89" s="483"/>
      <c r="U89" s="483"/>
      <c r="V89" s="439"/>
      <c r="W89" s="439"/>
      <c r="X89" s="439"/>
      <c r="Y89" s="439"/>
      <c r="Z89" s="439"/>
      <c r="AA89" s="439"/>
      <c r="AB89" s="439"/>
      <c r="AC89" s="439"/>
    </row>
    <row r="90" ht="15.75" customHeight="1">
      <c r="A90" s="439"/>
      <c r="B90" s="493"/>
      <c r="C90" s="511" t="s">
        <v>38</v>
      </c>
      <c r="D90" s="459">
        <f>SUM(D91)</f>
        <v>0</v>
      </c>
      <c r="E90" s="547">
        <f>D90/D$27</f>
        <v>0</v>
      </c>
      <c r="F90" s="690">
        <f>SUM(F91)</f>
        <v>0</v>
      </c>
      <c r="G90" s="1134" t="str">
        <f>F90/F$27</f>
        <v>#DIV/0!</v>
      </c>
      <c r="H90" s="1146">
        <f>SUM(H91)</f>
        <v>0</v>
      </c>
      <c r="I90" s="691"/>
      <c r="J90" s="459">
        <f>SUM(J91)</f>
        <v>0</v>
      </c>
      <c r="K90" s="547">
        <f>J90/J$27</f>
        <v>0</v>
      </c>
      <c r="L90" s="690">
        <f>SUM(L91)</f>
        <v>0</v>
      </c>
      <c r="M90" s="1134" t="str">
        <f>L90/L$27</f>
        <v>#DIV/0!</v>
      </c>
      <c r="N90" s="1146">
        <f>SUM(N91)</f>
        <v>0</v>
      </c>
      <c r="O90" s="691"/>
      <c r="P90" s="491">
        <f>SUM(P91)</f>
        <v>0</v>
      </c>
      <c r="Q90" s="613" t="str">
        <f>P90/P$27</f>
        <v>#DIV/0!</v>
      </c>
      <c r="R90" s="490">
        <f>SUM(R91)</f>
        <v>0</v>
      </c>
      <c r="S90" s="1135" t="str">
        <f>R90/R$27</f>
        <v>#DIV/0!</v>
      </c>
      <c r="T90" s="1147">
        <f>SUM(T91)</f>
        <v>0</v>
      </c>
      <c r="U90" s="490"/>
      <c r="V90" s="692"/>
      <c r="W90" s="692"/>
      <c r="X90" s="692"/>
      <c r="Y90" s="692"/>
      <c r="Z90" s="692"/>
      <c r="AA90" s="692"/>
      <c r="AB90" s="692"/>
      <c r="AC90" s="692"/>
    </row>
    <row r="91" ht="15.75" hidden="1" customHeight="1">
      <c r="A91" s="439"/>
      <c r="B91" s="497"/>
      <c r="C91" s="497" t="s">
        <v>277</v>
      </c>
      <c r="D91" s="463">
        <v>0.0</v>
      </c>
      <c r="E91" s="552">
        <f>IFERROR((D91/D$27),"")</f>
        <v>0</v>
      </c>
      <c r="F91" s="671"/>
      <c r="G91" s="671"/>
      <c r="H91" s="646">
        <f>D91-F91</f>
        <v>0</v>
      </c>
      <c r="I91" s="672"/>
      <c r="J91" s="463">
        <v>0.0</v>
      </c>
      <c r="K91" s="552">
        <f>IFERROR((J91/J$27),"")</f>
        <v>0</v>
      </c>
      <c r="L91" s="671"/>
      <c r="M91" s="671"/>
      <c r="N91" s="646">
        <f>J91-L91</f>
        <v>0</v>
      </c>
      <c r="O91" s="672"/>
      <c r="P91" s="498">
        <v>0.0</v>
      </c>
      <c r="Q91" s="778" t="str">
        <f>IFERROR((P91/P$27),"")</f>
        <v/>
      </c>
      <c r="R91" s="497"/>
      <c r="S91" s="497"/>
      <c r="T91" s="741">
        <f>P91-R91</f>
        <v>0</v>
      </c>
      <c r="U91" s="497"/>
      <c r="V91" s="439"/>
      <c r="W91" s="439"/>
      <c r="X91" s="439"/>
      <c r="Y91" s="439"/>
      <c r="Z91" s="439"/>
      <c r="AA91" s="439"/>
      <c r="AB91" s="439"/>
      <c r="AC91" s="439"/>
    </row>
    <row r="92" ht="15.75" customHeight="1">
      <c r="A92" s="439"/>
      <c r="B92" s="483"/>
      <c r="C92" s="483"/>
      <c r="D92" s="485"/>
      <c r="E92" s="544"/>
      <c r="F92" s="677"/>
      <c r="G92" s="677"/>
      <c r="H92" s="677"/>
      <c r="I92" s="679"/>
      <c r="J92" s="485"/>
      <c r="K92" s="544"/>
      <c r="L92" s="677"/>
      <c r="M92" s="677"/>
      <c r="N92" s="677"/>
      <c r="O92" s="679"/>
      <c r="P92" s="501"/>
      <c r="Q92" s="543"/>
      <c r="R92" s="483"/>
      <c r="S92" s="483"/>
      <c r="T92" s="483"/>
      <c r="U92" s="483"/>
      <c r="V92" s="439"/>
      <c r="W92" s="439"/>
      <c r="X92" s="439"/>
      <c r="Y92" s="439"/>
      <c r="Z92" s="439"/>
      <c r="AA92" s="439"/>
      <c r="AB92" s="439"/>
      <c r="AC92" s="439"/>
    </row>
    <row r="93" ht="15.75" customHeight="1">
      <c r="A93" s="439"/>
      <c r="B93" s="493"/>
      <c r="C93" s="511" t="s">
        <v>235</v>
      </c>
      <c r="D93" s="459">
        <f>SUM(D94:D95)</f>
        <v>23091</v>
      </c>
      <c r="E93" s="547">
        <f>D93/D$27</f>
        <v>0.1851592136</v>
      </c>
      <c r="F93" s="690">
        <f>SUM(F94:F95)</f>
        <v>0</v>
      </c>
      <c r="G93" s="1134" t="str">
        <f>F93/F$27</f>
        <v>#DIV/0!</v>
      </c>
      <c r="H93" s="645">
        <f>SUM(H94:H95)</f>
        <v>0</v>
      </c>
      <c r="I93" s="691"/>
      <c r="J93" s="459">
        <f>SUM(J94:J95)</f>
        <v>23091</v>
      </c>
      <c r="K93" s="547">
        <f>J93/J$27</f>
        <v>0.2233841867</v>
      </c>
      <c r="L93" s="690">
        <f>SUM(L94:L95)</f>
        <v>0</v>
      </c>
      <c r="M93" s="1134" t="str">
        <f>L93/L$27</f>
        <v>#DIV/0!</v>
      </c>
      <c r="N93" s="645">
        <f>SUM(N94:N95)</f>
        <v>0</v>
      </c>
      <c r="O93" s="691"/>
      <c r="P93" s="491">
        <f>SUM(P94:P95)</f>
        <v>0</v>
      </c>
      <c r="Q93" s="613" t="str">
        <f>P93/P$27</f>
        <v>#DIV/0!</v>
      </c>
      <c r="R93" s="490">
        <f>SUM(R94:R95)</f>
        <v>0</v>
      </c>
      <c r="S93" s="1135" t="str">
        <f>R93/R$27</f>
        <v>#DIV/0!</v>
      </c>
      <c r="T93" s="668">
        <f>SUM(T94:T95)</f>
        <v>0</v>
      </c>
      <c r="U93" s="490"/>
      <c r="V93" s="692"/>
      <c r="W93" s="692"/>
      <c r="X93" s="692"/>
      <c r="Y93" s="692"/>
      <c r="Z93" s="692"/>
      <c r="AA93" s="692"/>
      <c r="AB93" s="692"/>
      <c r="AC93" s="692"/>
    </row>
    <row r="94" ht="15.75" customHeight="1">
      <c r="A94" s="439"/>
      <c r="B94" s="497"/>
      <c r="C94" s="497" t="s">
        <v>236</v>
      </c>
      <c r="D94" s="463"/>
      <c r="E94" s="552"/>
      <c r="F94" s="671"/>
      <c r="G94" s="1148"/>
      <c r="H94" s="646"/>
      <c r="I94" s="672"/>
      <c r="J94" s="463"/>
      <c r="K94" s="552"/>
      <c r="L94" s="671"/>
      <c r="M94" s="1148"/>
      <c r="N94" s="646"/>
      <c r="O94" s="672"/>
      <c r="P94" s="498"/>
      <c r="Q94" s="778"/>
      <c r="R94" s="497"/>
      <c r="S94" s="1149"/>
      <c r="T94" s="741"/>
      <c r="U94" s="497"/>
      <c r="V94" s="439"/>
      <c r="W94" s="439"/>
      <c r="X94" s="439"/>
      <c r="Y94" s="439"/>
      <c r="Z94" s="439"/>
      <c r="AA94" s="439"/>
      <c r="AB94" s="439"/>
      <c r="AC94" s="439"/>
    </row>
    <row r="95" ht="15.75" customHeight="1">
      <c r="A95" s="439"/>
      <c r="B95" s="465"/>
      <c r="C95" s="465" t="s">
        <v>291</v>
      </c>
      <c r="D95" s="467">
        <v>23091.0</v>
      </c>
      <c r="E95" s="557"/>
      <c r="F95" s="256"/>
      <c r="G95" s="1141"/>
      <c r="H95" s="649"/>
      <c r="I95" s="674"/>
      <c r="J95" s="467">
        <v>23091.0</v>
      </c>
      <c r="K95" s="557"/>
      <c r="L95" s="256"/>
      <c r="M95" s="1141"/>
      <c r="N95" s="649"/>
      <c r="O95" s="674"/>
      <c r="P95" s="506">
        <v>0.0</v>
      </c>
      <c r="Q95" s="605"/>
      <c r="R95" s="465"/>
      <c r="S95" s="783"/>
      <c r="T95" s="737"/>
      <c r="U95" s="465"/>
      <c r="V95" s="439"/>
      <c r="W95" s="439"/>
      <c r="X95" s="439"/>
      <c r="Y95" s="439"/>
      <c r="Z95" s="439"/>
      <c r="AA95" s="439"/>
      <c r="AB95" s="439"/>
      <c r="AC95" s="439"/>
    </row>
    <row r="96" ht="15.75" customHeight="1">
      <c r="A96" s="439"/>
      <c r="B96" s="483"/>
      <c r="C96" s="483"/>
      <c r="D96" s="485"/>
      <c r="E96" s="544"/>
      <c r="F96" s="677"/>
      <c r="G96" s="677"/>
      <c r="H96" s="677"/>
      <c r="I96" s="679"/>
      <c r="J96" s="485"/>
      <c r="K96" s="544"/>
      <c r="L96" s="677"/>
      <c r="M96" s="677"/>
      <c r="N96" s="677"/>
      <c r="O96" s="679"/>
      <c r="P96" s="501"/>
      <c r="Q96" s="543"/>
      <c r="R96" s="483"/>
      <c r="S96" s="483"/>
      <c r="T96" s="483"/>
      <c r="U96" s="483"/>
      <c r="V96" s="439"/>
      <c r="W96" s="439"/>
      <c r="X96" s="439"/>
      <c r="Y96" s="439"/>
      <c r="Z96" s="439"/>
      <c r="AA96" s="439"/>
      <c r="AB96" s="439"/>
      <c r="AC96" s="439"/>
    </row>
    <row r="97" ht="15.75" customHeight="1">
      <c r="A97" s="439"/>
      <c r="B97" s="493"/>
      <c r="C97" s="511" t="s">
        <v>40</v>
      </c>
      <c r="D97" s="459">
        <f>SUM(D98:D108)</f>
        <v>8100</v>
      </c>
      <c r="E97" s="547">
        <f>D97/D$27</f>
        <v>0.0649512637</v>
      </c>
      <c r="F97" s="690">
        <f>SUM(F98:F108)</f>
        <v>0</v>
      </c>
      <c r="G97" s="1134" t="str">
        <f>F97/F$27</f>
        <v>#DIV/0!</v>
      </c>
      <c r="H97" s="1146">
        <f>SUM(H98:H108)</f>
        <v>0</v>
      </c>
      <c r="I97" s="691"/>
      <c r="J97" s="459">
        <f>SUM(J98:J108)</f>
        <v>0</v>
      </c>
      <c r="K97" s="547">
        <f>J97/J$27</f>
        <v>0</v>
      </c>
      <c r="L97" s="690">
        <f>SUM(L98:L108)</f>
        <v>0</v>
      </c>
      <c r="M97" s="1134" t="str">
        <f>L97/L$27</f>
        <v>#DIV/0!</v>
      </c>
      <c r="N97" s="1146">
        <f>SUM(N98:N108)</f>
        <v>0</v>
      </c>
      <c r="O97" s="691"/>
      <c r="P97" s="491">
        <f>SUM(P98:P108)</f>
        <v>0</v>
      </c>
      <c r="Q97" s="613" t="str">
        <f>P97/P$27</f>
        <v>#DIV/0!</v>
      </c>
      <c r="R97" s="490">
        <f>SUM(R98:R108)</f>
        <v>0</v>
      </c>
      <c r="S97" s="1135" t="str">
        <f>R97/R$27</f>
        <v>#DIV/0!</v>
      </c>
      <c r="T97" s="1147">
        <f>SUM(T98:T108)</f>
        <v>0</v>
      </c>
      <c r="U97" s="490"/>
      <c r="V97" s="692"/>
      <c r="W97" s="692"/>
      <c r="X97" s="692"/>
      <c r="Y97" s="692"/>
      <c r="Z97" s="692"/>
      <c r="AA97" s="692"/>
      <c r="AB97" s="692"/>
      <c r="AC97" s="692"/>
    </row>
    <row r="98" ht="15.75" hidden="1" customHeight="1">
      <c r="A98" s="439"/>
      <c r="B98" s="497"/>
      <c r="C98" s="497" t="s">
        <v>238</v>
      </c>
      <c r="D98" s="463"/>
      <c r="E98" s="552"/>
      <c r="F98" s="671"/>
      <c r="G98" s="1148"/>
      <c r="H98" s="646"/>
      <c r="I98" s="672"/>
      <c r="J98" s="463"/>
      <c r="K98" s="552"/>
      <c r="L98" s="671"/>
      <c r="M98" s="1148"/>
      <c r="N98" s="646"/>
      <c r="O98" s="672"/>
      <c r="P98" s="498"/>
      <c r="Q98" s="778"/>
      <c r="R98" s="497"/>
      <c r="S98" s="1149"/>
      <c r="T98" s="741"/>
      <c r="U98" s="497"/>
      <c r="V98" s="439"/>
      <c r="W98" s="439"/>
      <c r="X98" s="439"/>
      <c r="Y98" s="439"/>
      <c r="Z98" s="439"/>
      <c r="AA98" s="439"/>
      <c r="AB98" s="439"/>
      <c r="AC98" s="439"/>
    </row>
    <row r="99" ht="15.75" customHeight="1">
      <c r="A99" s="439"/>
      <c r="B99" s="465"/>
      <c r="C99" s="465" t="s">
        <v>239</v>
      </c>
      <c r="D99" s="467">
        <v>8100.0</v>
      </c>
      <c r="E99" s="557"/>
      <c r="F99" s="256"/>
      <c r="G99" s="1141"/>
      <c r="H99" s="649"/>
      <c r="I99" s="674"/>
      <c r="J99" s="514">
        <v>0.0</v>
      </c>
      <c r="K99" s="557"/>
      <c r="L99" s="256"/>
      <c r="M99" s="1141"/>
      <c r="N99" s="649"/>
      <c r="O99" s="674"/>
      <c r="P99" s="506">
        <v>0.0</v>
      </c>
      <c r="Q99" s="605"/>
      <c r="R99" s="465"/>
      <c r="S99" s="783"/>
      <c r="T99" s="737"/>
      <c r="U99" s="465"/>
      <c r="V99" s="439"/>
      <c r="W99" s="439"/>
      <c r="X99" s="439"/>
      <c r="Y99" s="439"/>
      <c r="Z99" s="439"/>
      <c r="AA99" s="439"/>
      <c r="AB99" s="439"/>
      <c r="AC99" s="439"/>
    </row>
    <row r="100" ht="15.75" hidden="1" customHeight="1">
      <c r="A100" s="439"/>
      <c r="B100" s="465"/>
      <c r="C100" s="465" t="s">
        <v>240</v>
      </c>
      <c r="D100" s="467"/>
      <c r="E100" s="557"/>
      <c r="F100" s="256"/>
      <c r="G100" s="1141"/>
      <c r="H100" s="649"/>
      <c r="I100" s="674"/>
      <c r="J100" s="467"/>
      <c r="K100" s="557"/>
      <c r="L100" s="256"/>
      <c r="M100" s="1141"/>
      <c r="N100" s="649"/>
      <c r="O100" s="674"/>
      <c r="P100" s="474"/>
      <c r="Q100" s="605"/>
      <c r="R100" s="465"/>
      <c r="S100" s="783"/>
      <c r="T100" s="737"/>
      <c r="U100" s="465"/>
      <c r="V100" s="439"/>
      <c r="W100" s="439"/>
      <c r="X100" s="439"/>
      <c r="Y100" s="439"/>
      <c r="Z100" s="439"/>
      <c r="AA100" s="439"/>
      <c r="AB100" s="439"/>
      <c r="AC100" s="439"/>
    </row>
    <row r="101" ht="15.75" hidden="1" customHeight="1">
      <c r="A101" s="439"/>
      <c r="B101" s="465"/>
      <c r="C101" s="465" t="s">
        <v>241</v>
      </c>
      <c r="D101" s="467"/>
      <c r="E101" s="557"/>
      <c r="F101" s="256"/>
      <c r="G101" s="1141"/>
      <c r="H101" s="649"/>
      <c r="I101" s="674"/>
      <c r="J101" s="467"/>
      <c r="K101" s="557"/>
      <c r="L101" s="256"/>
      <c r="M101" s="1141"/>
      <c r="N101" s="649"/>
      <c r="O101" s="674"/>
      <c r="P101" s="474"/>
      <c r="Q101" s="605"/>
      <c r="R101" s="465"/>
      <c r="S101" s="783"/>
      <c r="T101" s="737"/>
      <c r="U101" s="465"/>
      <c r="V101" s="439"/>
      <c r="W101" s="439"/>
      <c r="X101" s="439"/>
      <c r="Y101" s="439"/>
      <c r="Z101" s="439"/>
      <c r="AA101" s="439"/>
      <c r="AB101" s="439"/>
      <c r="AC101" s="439"/>
    </row>
    <row r="102" ht="15.75" hidden="1" customHeight="1">
      <c r="A102" s="439"/>
      <c r="B102" s="465"/>
      <c r="C102" s="465" t="s">
        <v>292</v>
      </c>
      <c r="D102" s="467"/>
      <c r="E102" s="557"/>
      <c r="F102" s="256"/>
      <c r="G102" s="1141"/>
      <c r="H102" s="649"/>
      <c r="I102" s="674"/>
      <c r="J102" s="467"/>
      <c r="K102" s="557"/>
      <c r="L102" s="256"/>
      <c r="M102" s="1141"/>
      <c r="N102" s="649"/>
      <c r="O102" s="674"/>
      <c r="P102" s="474"/>
      <c r="Q102" s="605"/>
      <c r="R102" s="465"/>
      <c r="S102" s="783"/>
      <c r="T102" s="737"/>
      <c r="U102" s="465"/>
      <c r="V102" s="439"/>
      <c r="W102" s="439"/>
      <c r="X102" s="439"/>
      <c r="Y102" s="439"/>
      <c r="Z102" s="439"/>
      <c r="AA102" s="439"/>
      <c r="AB102" s="439"/>
      <c r="AC102" s="439"/>
    </row>
    <row r="103" ht="15.75" hidden="1" customHeight="1">
      <c r="A103" s="439"/>
      <c r="B103" s="465"/>
      <c r="C103" s="465" t="s">
        <v>244</v>
      </c>
      <c r="D103" s="467"/>
      <c r="E103" s="557"/>
      <c r="F103" s="256"/>
      <c r="G103" s="1141"/>
      <c r="H103" s="649"/>
      <c r="I103" s="674"/>
      <c r="J103" s="467"/>
      <c r="K103" s="557"/>
      <c r="L103" s="256"/>
      <c r="M103" s="1141"/>
      <c r="N103" s="649"/>
      <c r="O103" s="674"/>
      <c r="P103" s="474"/>
      <c r="Q103" s="605"/>
      <c r="R103" s="465"/>
      <c r="S103" s="783"/>
      <c r="T103" s="737"/>
      <c r="U103" s="465"/>
      <c r="V103" s="439"/>
      <c r="W103" s="439"/>
      <c r="X103" s="439"/>
      <c r="Y103" s="439"/>
      <c r="Z103" s="439"/>
      <c r="AA103" s="439"/>
      <c r="AB103" s="439"/>
      <c r="AC103" s="439"/>
    </row>
    <row r="104" ht="15.75" hidden="1" customHeight="1">
      <c r="A104" s="439"/>
      <c r="B104" s="465"/>
      <c r="C104" s="465" t="s">
        <v>246</v>
      </c>
      <c r="D104" s="467"/>
      <c r="E104" s="557"/>
      <c r="F104" s="256"/>
      <c r="G104" s="1141"/>
      <c r="H104" s="649"/>
      <c r="I104" s="674"/>
      <c r="J104" s="467"/>
      <c r="K104" s="557"/>
      <c r="L104" s="256"/>
      <c r="M104" s="1141"/>
      <c r="N104" s="649"/>
      <c r="O104" s="674"/>
      <c r="P104" s="474"/>
      <c r="Q104" s="605"/>
      <c r="R104" s="465"/>
      <c r="S104" s="783"/>
      <c r="T104" s="737"/>
      <c r="U104" s="465"/>
      <c r="V104" s="439"/>
      <c r="W104" s="439"/>
      <c r="X104" s="439"/>
      <c r="Y104" s="439"/>
      <c r="Z104" s="439"/>
      <c r="AA104" s="439"/>
      <c r="AB104" s="439"/>
      <c r="AC104" s="439"/>
    </row>
    <row r="105" ht="15.75" hidden="1" customHeight="1">
      <c r="A105" s="439"/>
      <c r="B105" s="465"/>
      <c r="C105" s="465" t="s">
        <v>247</v>
      </c>
      <c r="D105" s="467"/>
      <c r="E105" s="557"/>
      <c r="F105" s="256"/>
      <c r="G105" s="1141"/>
      <c r="H105" s="649"/>
      <c r="I105" s="674"/>
      <c r="J105" s="467"/>
      <c r="K105" s="557"/>
      <c r="L105" s="256"/>
      <c r="M105" s="1141"/>
      <c r="N105" s="649"/>
      <c r="O105" s="674"/>
      <c r="P105" s="474"/>
      <c r="Q105" s="605"/>
      <c r="R105" s="465"/>
      <c r="S105" s="783"/>
      <c r="T105" s="737"/>
      <c r="U105" s="465"/>
      <c r="V105" s="439"/>
      <c r="W105" s="439"/>
      <c r="X105" s="439"/>
      <c r="Y105" s="439"/>
      <c r="Z105" s="439"/>
      <c r="AA105" s="439"/>
      <c r="AB105" s="439"/>
      <c r="AC105" s="439"/>
    </row>
    <row r="106" ht="15.75" hidden="1" customHeight="1">
      <c r="A106" s="439"/>
      <c r="B106" s="465"/>
      <c r="C106" s="465" t="s">
        <v>248</v>
      </c>
      <c r="D106" s="467"/>
      <c r="E106" s="557"/>
      <c r="F106" s="256"/>
      <c r="G106" s="1141"/>
      <c r="H106" s="649"/>
      <c r="I106" s="674"/>
      <c r="J106" s="467"/>
      <c r="K106" s="557"/>
      <c r="L106" s="256"/>
      <c r="M106" s="1141"/>
      <c r="N106" s="649"/>
      <c r="O106" s="674"/>
      <c r="P106" s="474"/>
      <c r="Q106" s="605"/>
      <c r="R106" s="465"/>
      <c r="S106" s="783"/>
      <c r="T106" s="737"/>
      <c r="U106" s="465"/>
      <c r="V106" s="439"/>
      <c r="W106" s="439"/>
      <c r="X106" s="439"/>
      <c r="Y106" s="439"/>
      <c r="Z106" s="439"/>
      <c r="AA106" s="439"/>
      <c r="AB106" s="439"/>
      <c r="AC106" s="439"/>
    </row>
    <row r="107" ht="15.75" hidden="1" customHeight="1">
      <c r="A107" s="439"/>
      <c r="B107" s="465"/>
      <c r="C107" s="465" t="s">
        <v>249</v>
      </c>
      <c r="D107" s="467"/>
      <c r="E107" s="557"/>
      <c r="F107" s="256"/>
      <c r="G107" s="1141"/>
      <c r="H107" s="649"/>
      <c r="I107" s="674"/>
      <c r="J107" s="467"/>
      <c r="K107" s="557"/>
      <c r="L107" s="256"/>
      <c r="M107" s="1141"/>
      <c r="N107" s="649"/>
      <c r="O107" s="674"/>
      <c r="P107" s="474"/>
      <c r="Q107" s="605"/>
      <c r="R107" s="465"/>
      <c r="S107" s="783"/>
      <c r="T107" s="737"/>
      <c r="U107" s="465"/>
      <c r="V107" s="439"/>
      <c r="W107" s="439"/>
      <c r="X107" s="439"/>
      <c r="Y107" s="439"/>
      <c r="Z107" s="439"/>
      <c r="AA107" s="439"/>
      <c r="AB107" s="439"/>
      <c r="AC107" s="439"/>
    </row>
    <row r="108" ht="15.75" hidden="1" customHeight="1">
      <c r="A108" s="439"/>
      <c r="B108" s="465"/>
      <c r="C108" s="465" t="s">
        <v>306</v>
      </c>
      <c r="D108" s="467"/>
      <c r="E108" s="557"/>
      <c r="F108" s="256"/>
      <c r="G108" s="1141"/>
      <c r="H108" s="649"/>
      <c r="I108" s="674"/>
      <c r="J108" s="467"/>
      <c r="K108" s="557"/>
      <c r="L108" s="256"/>
      <c r="M108" s="1141"/>
      <c r="N108" s="649"/>
      <c r="O108" s="674"/>
      <c r="P108" s="474"/>
      <c r="Q108" s="605"/>
      <c r="R108" s="465"/>
      <c r="S108" s="783"/>
      <c r="T108" s="737"/>
      <c r="U108" s="465"/>
      <c r="V108" s="439"/>
      <c r="W108" s="439"/>
      <c r="X108" s="439"/>
      <c r="Y108" s="439"/>
      <c r="Z108" s="439"/>
      <c r="AA108" s="439"/>
      <c r="AB108" s="439"/>
      <c r="AC108" s="439"/>
    </row>
    <row r="109" ht="15.75" hidden="1" customHeight="1">
      <c r="A109" s="439"/>
      <c r="B109" s="465"/>
      <c r="C109" s="465" t="s">
        <v>281</v>
      </c>
      <c r="D109" s="467"/>
      <c r="E109" s="557"/>
      <c r="F109" s="256"/>
      <c r="G109" s="1141"/>
      <c r="H109" s="256"/>
      <c r="I109" s="674"/>
      <c r="J109" s="467"/>
      <c r="K109" s="557"/>
      <c r="L109" s="256"/>
      <c r="M109" s="1141"/>
      <c r="N109" s="256"/>
      <c r="O109" s="674"/>
      <c r="P109" s="474"/>
      <c r="Q109" s="605"/>
      <c r="R109" s="465"/>
      <c r="S109" s="783"/>
      <c r="T109" s="465"/>
      <c r="U109" s="465"/>
      <c r="V109" s="439"/>
      <c r="W109" s="439"/>
      <c r="X109" s="439"/>
      <c r="Y109" s="439"/>
      <c r="Z109" s="439"/>
      <c r="AA109" s="439"/>
      <c r="AB109" s="439"/>
      <c r="AC109" s="439"/>
    </row>
    <row r="110" ht="15.75" customHeight="1">
      <c r="A110" s="439"/>
      <c r="B110" s="465"/>
      <c r="C110" s="465" t="s">
        <v>244</v>
      </c>
      <c r="D110" s="514">
        <v>0.0</v>
      </c>
      <c r="E110" s="539"/>
      <c r="F110" s="256"/>
      <c r="G110" s="256"/>
      <c r="H110" s="256"/>
      <c r="I110" s="674"/>
      <c r="J110" s="514">
        <v>0.0</v>
      </c>
      <c r="K110" s="539"/>
      <c r="L110" s="256"/>
      <c r="M110" s="256"/>
      <c r="N110" s="256"/>
      <c r="O110" s="674"/>
      <c r="P110" s="506">
        <v>0.0</v>
      </c>
      <c r="Q110" s="469"/>
      <c r="R110" s="465"/>
      <c r="S110" s="465"/>
      <c r="T110" s="465"/>
      <c r="U110" s="465"/>
      <c r="V110" s="439"/>
      <c r="W110" s="439"/>
      <c r="X110" s="439"/>
      <c r="Y110" s="439"/>
      <c r="Z110" s="439"/>
      <c r="AA110" s="439"/>
      <c r="AB110" s="439"/>
      <c r="AC110" s="439"/>
    </row>
    <row r="111" ht="15.75" customHeight="1">
      <c r="A111" s="439"/>
      <c r="B111" s="483"/>
      <c r="C111" s="619"/>
      <c r="D111" s="485"/>
      <c r="E111" s="544"/>
      <c r="F111" s="677"/>
      <c r="G111" s="677"/>
      <c r="H111" s="677"/>
      <c r="I111" s="679"/>
      <c r="J111" s="485"/>
      <c r="K111" s="544"/>
      <c r="L111" s="677"/>
      <c r="M111" s="677"/>
      <c r="N111" s="677"/>
      <c r="O111" s="679"/>
      <c r="P111" s="501"/>
      <c r="Q111" s="543"/>
      <c r="R111" s="483"/>
      <c r="S111" s="483"/>
      <c r="T111" s="483"/>
      <c r="U111" s="483"/>
      <c r="V111" s="439"/>
      <c r="W111" s="439"/>
      <c r="X111" s="439"/>
      <c r="Y111" s="439"/>
      <c r="Z111" s="439"/>
      <c r="AA111" s="439"/>
      <c r="AB111" s="439"/>
      <c r="AC111" s="439"/>
    </row>
    <row r="112" ht="15.75" customHeight="1">
      <c r="A112" s="439"/>
      <c r="B112" s="493"/>
      <c r="C112" s="511" t="s">
        <v>41</v>
      </c>
      <c r="D112" s="459">
        <f>SUM(D113:D114)</f>
        <v>0</v>
      </c>
      <c r="E112" s="584"/>
      <c r="F112" s="645">
        <f>SUM(F113:F114)</f>
        <v>0</v>
      </c>
      <c r="G112" s="690"/>
      <c r="H112" s="645">
        <f>SUM(H113:H114)</f>
        <v>0</v>
      </c>
      <c r="I112" s="691"/>
      <c r="J112" s="459">
        <f>SUM(J113:J114)</f>
        <v>0</v>
      </c>
      <c r="K112" s="584"/>
      <c r="L112" s="645">
        <f>SUM(L113:L114)</f>
        <v>0</v>
      </c>
      <c r="M112" s="690"/>
      <c r="N112" s="645">
        <f>SUM(N113:N114)</f>
        <v>0</v>
      </c>
      <c r="O112" s="691"/>
      <c r="P112" s="491">
        <f>SUM(P113:P114)</f>
        <v>0</v>
      </c>
      <c r="Q112" s="457"/>
      <c r="R112" s="668">
        <f>SUM(R113:R114)</f>
        <v>0</v>
      </c>
      <c r="S112" s="490"/>
      <c r="T112" s="668">
        <f>SUM(T113:T114)</f>
        <v>0</v>
      </c>
      <c r="U112" s="490"/>
      <c r="V112" s="692"/>
      <c r="W112" s="692"/>
      <c r="X112" s="692"/>
      <c r="Y112" s="692"/>
      <c r="Z112" s="692"/>
      <c r="AA112" s="692"/>
      <c r="AB112" s="692"/>
      <c r="AC112" s="692"/>
    </row>
    <row r="113" ht="15.75" hidden="1" customHeight="1">
      <c r="A113" s="439"/>
      <c r="B113" s="497"/>
      <c r="C113" s="497" t="s">
        <v>250</v>
      </c>
      <c r="D113" s="463"/>
      <c r="E113" s="552">
        <f t="shared" ref="E113:E114" si="25">IFERROR((D113/D$27),"")</f>
        <v>0</v>
      </c>
      <c r="F113" s="671"/>
      <c r="G113" s="671"/>
      <c r="H113" s="646">
        <f t="shared" ref="H113:H114" si="26">D113-F113</f>
        <v>0</v>
      </c>
      <c r="I113" s="672"/>
      <c r="J113" s="463"/>
      <c r="K113" s="552">
        <f t="shared" ref="K113:K114" si="27">IFERROR((J113/J$27),"")</f>
        <v>0</v>
      </c>
      <c r="L113" s="671"/>
      <c r="M113" s="671"/>
      <c r="N113" s="646">
        <f t="shared" ref="N113:N114" si="28">J113-L113</f>
        <v>0</v>
      </c>
      <c r="O113" s="672"/>
      <c r="P113" s="498"/>
      <c r="Q113" s="778" t="str">
        <f t="shared" ref="Q113:Q114" si="29">IFERROR((P113/P$27),"")</f>
        <v/>
      </c>
      <c r="R113" s="497"/>
      <c r="S113" s="497"/>
      <c r="T113" s="741">
        <f t="shared" ref="T113:T114" si="30">P113-R113</f>
        <v>0</v>
      </c>
      <c r="U113" s="497"/>
      <c r="V113" s="439"/>
      <c r="W113" s="439"/>
      <c r="X113" s="439"/>
      <c r="Y113" s="439"/>
      <c r="Z113" s="439"/>
      <c r="AA113" s="439"/>
      <c r="AB113" s="439"/>
      <c r="AC113" s="439"/>
    </row>
    <row r="114" ht="15.75" hidden="1" customHeight="1">
      <c r="A114" s="439"/>
      <c r="B114" s="465"/>
      <c r="C114" s="465" t="s">
        <v>294</v>
      </c>
      <c r="D114" s="467"/>
      <c r="E114" s="557">
        <f t="shared" si="25"/>
        <v>0</v>
      </c>
      <c r="F114" s="256"/>
      <c r="G114" s="256"/>
      <c r="H114" s="649">
        <f t="shared" si="26"/>
        <v>0</v>
      </c>
      <c r="I114" s="674"/>
      <c r="J114" s="467"/>
      <c r="K114" s="557">
        <f t="shared" si="27"/>
        <v>0</v>
      </c>
      <c r="L114" s="256"/>
      <c r="M114" s="256"/>
      <c r="N114" s="649">
        <f t="shared" si="28"/>
        <v>0</v>
      </c>
      <c r="O114" s="674"/>
      <c r="P114" s="474"/>
      <c r="Q114" s="605" t="str">
        <f t="shared" si="29"/>
        <v/>
      </c>
      <c r="R114" s="465"/>
      <c r="S114" s="465"/>
      <c r="T114" s="737">
        <f t="shared" si="30"/>
        <v>0</v>
      </c>
      <c r="U114" s="465"/>
      <c r="V114" s="439"/>
      <c r="W114" s="439"/>
      <c r="X114" s="439"/>
      <c r="Y114" s="439"/>
      <c r="Z114" s="439"/>
      <c r="AA114" s="439"/>
      <c r="AB114" s="439"/>
      <c r="AC114" s="439"/>
    </row>
    <row r="115" ht="15.75" customHeight="1">
      <c r="A115" s="439"/>
      <c r="B115" s="483"/>
      <c r="C115" s="483"/>
      <c r="D115" s="485"/>
      <c r="E115" s="544"/>
      <c r="F115" s="677"/>
      <c r="G115" s="677"/>
      <c r="H115" s="677"/>
      <c r="I115" s="679"/>
      <c r="J115" s="485"/>
      <c r="K115" s="544"/>
      <c r="L115" s="677"/>
      <c r="M115" s="677"/>
      <c r="N115" s="677"/>
      <c r="O115" s="679"/>
      <c r="P115" s="501"/>
      <c r="Q115" s="543"/>
      <c r="R115" s="483"/>
      <c r="S115" s="483"/>
      <c r="T115" s="483"/>
      <c r="U115" s="483"/>
      <c r="V115" s="439"/>
      <c r="W115" s="439"/>
      <c r="X115" s="439"/>
      <c r="Y115" s="439"/>
      <c r="Z115" s="439"/>
      <c r="AA115" s="439"/>
      <c r="AB115" s="439"/>
      <c r="AC115" s="439"/>
    </row>
    <row r="116" ht="15.75" customHeight="1">
      <c r="A116" s="439"/>
      <c r="B116" s="493"/>
      <c r="C116" s="511" t="s">
        <v>42</v>
      </c>
      <c r="D116" s="459">
        <f>SUM(D117:D118)</f>
        <v>0</v>
      </c>
      <c r="E116" s="584"/>
      <c r="F116" s="690">
        <f>SUM(F117:F118)</f>
        <v>0</v>
      </c>
      <c r="G116" s="690"/>
      <c r="H116" s="1146">
        <f>SUM(H117:H118)</f>
        <v>0</v>
      </c>
      <c r="I116" s="691"/>
      <c r="J116" s="459">
        <f>SUM(J117:J118)</f>
        <v>0</v>
      </c>
      <c r="K116" s="584"/>
      <c r="L116" s="690">
        <f>SUM(L117:L118)</f>
        <v>0</v>
      </c>
      <c r="M116" s="690"/>
      <c r="N116" s="1146">
        <f>SUM(N117:N118)</f>
        <v>0</v>
      </c>
      <c r="O116" s="691"/>
      <c r="P116" s="491">
        <f>SUM(P117:P118)</f>
        <v>0</v>
      </c>
      <c r="Q116" s="457"/>
      <c r="R116" s="490">
        <f>SUM(R117:R118)</f>
        <v>0</v>
      </c>
      <c r="S116" s="490"/>
      <c r="T116" s="1147">
        <f>SUM(T117:T118)</f>
        <v>0</v>
      </c>
      <c r="U116" s="490"/>
      <c r="V116" s="692"/>
      <c r="W116" s="692"/>
      <c r="X116" s="692"/>
      <c r="Y116" s="692"/>
      <c r="Z116" s="692"/>
      <c r="AA116" s="692"/>
      <c r="AB116" s="692"/>
      <c r="AC116" s="692"/>
    </row>
    <row r="117" ht="15.75" hidden="1" customHeight="1">
      <c r="A117" s="439"/>
      <c r="B117" s="497"/>
      <c r="C117" s="497" t="s">
        <v>349</v>
      </c>
      <c r="D117" s="463"/>
      <c r="E117" s="552"/>
      <c r="F117" s="671"/>
      <c r="G117" s="671"/>
      <c r="H117" s="646"/>
      <c r="I117" s="672"/>
      <c r="J117" s="463"/>
      <c r="K117" s="552"/>
      <c r="L117" s="671"/>
      <c r="M117" s="671"/>
      <c r="N117" s="646"/>
      <c r="O117" s="672"/>
      <c r="P117" s="498"/>
      <c r="Q117" s="778"/>
      <c r="R117" s="497"/>
      <c r="S117" s="497"/>
      <c r="T117" s="741"/>
      <c r="U117" s="497"/>
      <c r="V117" s="439"/>
      <c r="W117" s="439"/>
      <c r="X117" s="439"/>
      <c r="Y117" s="439"/>
      <c r="Z117" s="439"/>
      <c r="AA117" s="439"/>
      <c r="AB117" s="439"/>
      <c r="AC117" s="439"/>
    </row>
    <row r="118" ht="15.75" customHeight="1">
      <c r="A118" s="439"/>
      <c r="B118" s="465"/>
      <c r="C118" s="465" t="s">
        <v>253</v>
      </c>
      <c r="D118" s="514">
        <v>0.0</v>
      </c>
      <c r="E118" s="557"/>
      <c r="F118" s="256"/>
      <c r="G118" s="256"/>
      <c r="H118" s="649"/>
      <c r="I118" s="674"/>
      <c r="J118" s="514">
        <v>0.0</v>
      </c>
      <c r="K118" s="557"/>
      <c r="L118" s="256"/>
      <c r="M118" s="256"/>
      <c r="N118" s="649"/>
      <c r="O118" s="674"/>
      <c r="P118" s="506">
        <v>0.0</v>
      </c>
      <c r="Q118" s="605"/>
      <c r="R118" s="465"/>
      <c r="S118" s="465"/>
      <c r="T118" s="737"/>
      <c r="U118" s="465"/>
      <c r="V118" s="439"/>
      <c r="W118" s="439"/>
      <c r="X118" s="439"/>
      <c r="Y118" s="439"/>
      <c r="Z118" s="439"/>
      <c r="AA118" s="439"/>
      <c r="AB118" s="439"/>
      <c r="AC118" s="439"/>
    </row>
    <row r="119" ht="15.75" customHeight="1">
      <c r="A119" s="439"/>
      <c r="B119" s="465"/>
      <c r="C119" s="465"/>
      <c r="D119" s="704"/>
      <c r="E119" s="539"/>
      <c r="F119" s="256"/>
      <c r="G119" s="256"/>
      <c r="H119" s="256"/>
      <c r="I119" s="674"/>
      <c r="J119" s="704"/>
      <c r="K119" s="539"/>
      <c r="L119" s="256"/>
      <c r="M119" s="256"/>
      <c r="N119" s="256"/>
      <c r="O119" s="674"/>
      <c r="P119" s="737"/>
      <c r="Q119" s="469"/>
      <c r="R119" s="465"/>
      <c r="S119" s="465"/>
      <c r="T119" s="465"/>
      <c r="U119" s="465"/>
      <c r="V119" s="439"/>
      <c r="W119" s="439"/>
      <c r="X119" s="439"/>
      <c r="Y119" s="439"/>
      <c r="Z119" s="439"/>
      <c r="AA119" s="439"/>
      <c r="AB119" s="439"/>
      <c r="AC119" s="439"/>
    </row>
    <row r="120" ht="15.75" customHeight="1">
      <c r="A120" s="439"/>
      <c r="B120" s="483"/>
      <c r="C120" s="483"/>
      <c r="D120" s="705"/>
      <c r="E120" s="544"/>
      <c r="F120" s="677"/>
      <c r="G120" s="677"/>
      <c r="H120" s="677"/>
      <c r="I120" s="679"/>
      <c r="J120" s="705"/>
      <c r="K120" s="544"/>
      <c r="L120" s="677"/>
      <c r="M120" s="677"/>
      <c r="N120" s="677"/>
      <c r="O120" s="679"/>
      <c r="P120" s="731"/>
      <c r="Q120" s="543"/>
      <c r="R120" s="483"/>
      <c r="S120" s="483"/>
      <c r="T120" s="483"/>
      <c r="U120" s="483"/>
      <c r="V120" s="439"/>
      <c r="W120" s="439"/>
      <c r="X120" s="439"/>
      <c r="Y120" s="439"/>
      <c r="Z120" s="439"/>
      <c r="AA120" s="439"/>
      <c r="AB120" s="439"/>
      <c r="AC120" s="439"/>
    </row>
    <row r="121" ht="15.75" customHeight="1">
      <c r="A121" s="439"/>
      <c r="B121" s="490"/>
      <c r="C121" s="490" t="s">
        <v>254</v>
      </c>
      <c r="D121" s="740">
        <f>D116+D112+D97+D93+D90+D80+D74+D65+D57+D55</f>
        <v>122825.39</v>
      </c>
      <c r="E121" s="547">
        <f>IFERROR((D121/D$27),"")</f>
        <v>0.9848968265</v>
      </c>
      <c r="F121" s="645">
        <f>F116+F112+F97+F93+F90+F80+F74+F65+F57</f>
        <v>0</v>
      </c>
      <c r="G121" s="1134" t="str">
        <f>IFERROR((F121/F$27),"")</f>
        <v/>
      </c>
      <c r="H121" s="645"/>
      <c r="I121" s="691"/>
      <c r="J121" s="740">
        <f>J116+J112+J97+J93+J90+J80+J74+J65+J57+J55</f>
        <v>43675.92</v>
      </c>
      <c r="K121" s="547">
        <f>IFERROR((J121/J$27),"")</f>
        <v>0.4225243545</v>
      </c>
      <c r="L121" s="645">
        <f>L116+L112+L97+L93+L90+L80+L74+L65+L57</f>
        <v>0</v>
      </c>
      <c r="M121" s="1134" t="str">
        <f>IFERROR((L121/L$27),"")</f>
        <v/>
      </c>
      <c r="N121" s="645"/>
      <c r="O121" s="691"/>
      <c r="P121" s="668">
        <f>P116+P112+P97+P93+P90+P80+P74+P65+P57+P55</f>
        <v>0</v>
      </c>
      <c r="Q121" s="613" t="str">
        <f>IFERROR((P121/P$27),"")</f>
        <v/>
      </c>
      <c r="R121" s="668">
        <f>R116+R112+R97+R93+R90+R80+R74+R65+R57</f>
        <v>0</v>
      </c>
      <c r="S121" s="1135" t="str">
        <f>IFERROR((R121/R$27),"")</f>
        <v/>
      </c>
      <c r="T121" s="668"/>
      <c r="U121" s="490"/>
      <c r="V121" s="439"/>
      <c r="W121" s="439"/>
      <c r="X121" s="439"/>
      <c r="Y121" s="439"/>
      <c r="Z121" s="439"/>
      <c r="AA121" s="439"/>
      <c r="AB121" s="439"/>
      <c r="AC121" s="439"/>
    </row>
    <row r="122" ht="15.75" customHeight="1">
      <c r="A122" s="439"/>
      <c r="B122" s="526"/>
      <c r="C122" s="526"/>
      <c r="D122" s="454"/>
      <c r="E122" s="620"/>
      <c r="F122" s="687"/>
      <c r="G122" s="687"/>
      <c r="H122" s="687"/>
      <c r="I122" s="688"/>
      <c r="J122" s="454"/>
      <c r="K122" s="620"/>
      <c r="L122" s="687"/>
      <c r="M122" s="687"/>
      <c r="N122" s="687"/>
      <c r="O122" s="688"/>
      <c r="P122" s="793"/>
      <c r="Q122" s="794"/>
      <c r="R122" s="526"/>
      <c r="S122" s="526"/>
      <c r="T122" s="526"/>
      <c r="U122" s="526"/>
      <c r="V122" s="439"/>
      <c r="W122" s="439"/>
      <c r="X122" s="439"/>
      <c r="Y122" s="439"/>
      <c r="Z122" s="439"/>
      <c r="AA122" s="439"/>
      <c r="AB122" s="439"/>
      <c r="AC122" s="439"/>
    </row>
    <row r="123" ht="15.75" customHeight="1">
      <c r="A123" s="439"/>
      <c r="B123" s="490"/>
      <c r="C123" s="490" t="s">
        <v>255</v>
      </c>
      <c r="D123" s="740">
        <f>D47-D121</f>
        <v>-166469.6649</v>
      </c>
      <c r="E123" s="547">
        <f>IFERROR((D123/D$27),"")</f>
        <v>-1.334866062</v>
      </c>
      <c r="F123" s="645" t="str">
        <f>#REF!-F121</f>
        <v>#REF!</v>
      </c>
      <c r="G123" s="1134" t="str">
        <f>IFERROR((F123/F$27),"")</f>
        <v/>
      </c>
      <c r="H123" s="645" t="str">
        <f>#REF!-H121</f>
        <v>#REF!</v>
      </c>
      <c r="I123" s="691"/>
      <c r="J123" s="740">
        <f>J47-J121</f>
        <v>-129109.5238</v>
      </c>
      <c r="K123" s="547">
        <f>IFERROR((J123/J$27),"")</f>
        <v>-1.249015893</v>
      </c>
      <c r="L123" s="645" t="str">
        <f>#REF!-L121</f>
        <v>#REF!</v>
      </c>
      <c r="M123" s="1134" t="str">
        <f>IFERROR((L123/L$27),"")</f>
        <v/>
      </c>
      <c r="N123" s="645" t="str">
        <f>#REF!-N121</f>
        <v>#REF!</v>
      </c>
      <c r="O123" s="691"/>
      <c r="P123" s="668">
        <f>P47-P121</f>
        <v>0</v>
      </c>
      <c r="Q123" s="613" t="str">
        <f>IFERROR((P123/P$27),"")</f>
        <v/>
      </c>
      <c r="R123" s="668" t="str">
        <f>#REF!-R121</f>
        <v>#REF!</v>
      </c>
      <c r="S123" s="1135" t="str">
        <f>IFERROR((R123/R$27),"")</f>
        <v/>
      </c>
      <c r="T123" s="668" t="str">
        <f>#REF!-T121</f>
        <v>#REF!</v>
      </c>
      <c r="U123" s="490"/>
      <c r="V123" s="439"/>
      <c r="W123" s="439"/>
      <c r="X123" s="439"/>
      <c r="Y123" s="439"/>
      <c r="Z123" s="439"/>
      <c r="AA123" s="439"/>
      <c r="AB123" s="439"/>
      <c r="AC123" s="439"/>
    </row>
    <row r="124" ht="15.75" customHeight="1">
      <c r="A124" s="439"/>
      <c r="B124" s="439"/>
      <c r="C124" s="439"/>
      <c r="D124" s="439"/>
      <c r="E124" s="247"/>
      <c r="F124" s="439"/>
      <c r="G124" s="439"/>
      <c r="H124" s="439"/>
      <c r="I124" s="439"/>
      <c r="J124" s="439"/>
      <c r="K124" s="247"/>
      <c r="L124" s="439"/>
      <c r="M124" s="439"/>
      <c r="N124" s="439"/>
      <c r="O124" s="439"/>
      <c r="P124" s="439"/>
      <c r="Q124" s="247"/>
      <c r="R124" s="439"/>
      <c r="S124" s="439"/>
      <c r="T124" s="439"/>
      <c r="U124" s="439"/>
      <c r="V124" s="439"/>
      <c r="W124" s="439"/>
      <c r="X124" s="439"/>
      <c r="Y124" s="439"/>
      <c r="Z124" s="439"/>
      <c r="AA124" s="439"/>
      <c r="AB124" s="439"/>
      <c r="AC124" s="439"/>
    </row>
    <row r="125" ht="15.75" customHeight="1">
      <c r="A125" s="439"/>
      <c r="B125" s="439"/>
      <c r="C125" s="439"/>
      <c r="D125" s="439"/>
      <c r="E125" s="247"/>
      <c r="F125" s="439"/>
      <c r="G125" s="439"/>
      <c r="H125" s="439"/>
      <c r="I125" s="439"/>
      <c r="J125" s="439"/>
      <c r="K125" s="247"/>
      <c r="L125" s="439"/>
      <c r="M125" s="439"/>
      <c r="N125" s="439"/>
      <c r="O125" s="439"/>
      <c r="P125" s="439"/>
      <c r="Q125" s="247"/>
      <c r="R125" s="439"/>
      <c r="S125" s="439"/>
      <c r="T125" s="439"/>
      <c r="U125" s="439"/>
      <c r="V125" s="439"/>
      <c r="W125" s="439"/>
      <c r="X125" s="439"/>
      <c r="Y125" s="439"/>
      <c r="Z125" s="439"/>
      <c r="AA125" s="439"/>
      <c r="AB125" s="439"/>
      <c r="AC125" s="439"/>
    </row>
    <row r="126" ht="15.75" customHeight="1">
      <c r="A126" s="439"/>
      <c r="B126" s="439"/>
      <c r="C126" s="439"/>
      <c r="D126" s="439"/>
      <c r="E126" s="247"/>
      <c r="F126" s="439"/>
      <c r="G126" s="439"/>
      <c r="H126" s="439"/>
      <c r="I126" s="439"/>
      <c r="J126" s="439"/>
      <c r="K126" s="247"/>
      <c r="L126" s="439"/>
      <c r="M126" s="439"/>
      <c r="N126" s="439"/>
      <c r="O126" s="439"/>
      <c r="P126" s="439"/>
      <c r="Q126" s="247"/>
      <c r="R126" s="439"/>
      <c r="S126" s="439"/>
      <c r="T126" s="439"/>
      <c r="U126" s="439"/>
      <c r="V126" s="439"/>
      <c r="W126" s="439"/>
      <c r="X126" s="439"/>
      <c r="Y126" s="439"/>
      <c r="Z126" s="439"/>
      <c r="AA126" s="439"/>
      <c r="AB126" s="439"/>
      <c r="AC126" s="439"/>
    </row>
    <row r="127" ht="15.75" customHeight="1">
      <c r="A127" s="439"/>
      <c r="B127" s="439"/>
      <c r="C127" s="439"/>
      <c r="D127" s="439"/>
      <c r="E127" s="247"/>
      <c r="F127" s="439"/>
      <c r="G127" s="439"/>
      <c r="H127" s="439"/>
      <c r="I127" s="439"/>
      <c r="J127" s="439"/>
      <c r="K127" s="247"/>
      <c r="L127" s="439"/>
      <c r="M127" s="439"/>
      <c r="N127" s="439"/>
      <c r="O127" s="439"/>
      <c r="P127" s="439"/>
      <c r="Q127" s="247"/>
      <c r="R127" s="439"/>
      <c r="S127" s="439"/>
      <c r="T127" s="439"/>
      <c r="U127" s="439"/>
      <c r="V127" s="439"/>
      <c r="W127" s="439"/>
      <c r="X127" s="439"/>
      <c r="Y127" s="439"/>
      <c r="Z127" s="439"/>
      <c r="AA127" s="439"/>
      <c r="AB127" s="439"/>
      <c r="AC127" s="439"/>
    </row>
    <row r="128" ht="15.75" customHeight="1">
      <c r="A128" s="439"/>
      <c r="B128" s="439"/>
      <c r="C128" s="439"/>
      <c r="D128" s="692"/>
      <c r="E128" s="247"/>
      <c r="F128" s="439"/>
      <c r="G128" s="439"/>
      <c r="H128" s="439"/>
      <c r="I128" s="439"/>
      <c r="J128" s="692"/>
      <c r="K128" s="247"/>
      <c r="L128" s="439"/>
      <c r="M128" s="439"/>
      <c r="N128" s="439"/>
      <c r="O128" s="439"/>
      <c r="P128" s="692"/>
      <c r="Q128" s="247"/>
      <c r="R128" s="439"/>
      <c r="S128" s="439"/>
      <c r="T128" s="439"/>
      <c r="U128" s="439"/>
      <c r="V128" s="439"/>
      <c r="W128" s="439"/>
      <c r="X128" s="439"/>
      <c r="Y128" s="439"/>
      <c r="Z128" s="439"/>
      <c r="AA128" s="439"/>
      <c r="AB128" s="439"/>
      <c r="AC128" s="439"/>
    </row>
    <row r="129" ht="15.75" customHeight="1">
      <c r="A129" s="439"/>
      <c r="B129" s="439"/>
      <c r="C129" s="439"/>
      <c r="D129" s="439"/>
      <c r="E129" s="247"/>
      <c r="F129" s="439"/>
      <c r="G129" s="439"/>
      <c r="H129" s="439"/>
      <c r="I129" s="439"/>
      <c r="J129" s="439"/>
      <c r="K129" s="247"/>
      <c r="L129" s="439"/>
      <c r="M129" s="439"/>
      <c r="N129" s="439"/>
      <c r="O129" s="439"/>
      <c r="P129" s="439"/>
      <c r="Q129" s="247"/>
      <c r="R129" s="439"/>
      <c r="S129" s="439"/>
      <c r="T129" s="439"/>
      <c r="U129" s="439"/>
      <c r="V129" s="439"/>
      <c r="W129" s="439"/>
      <c r="X129" s="439"/>
      <c r="Y129" s="439"/>
      <c r="Z129" s="439"/>
      <c r="AA129" s="439"/>
      <c r="AB129" s="439"/>
      <c r="AC129" s="439"/>
    </row>
    <row r="130" ht="15.75" customHeight="1">
      <c r="A130" s="439"/>
      <c r="B130" s="439"/>
      <c r="C130" s="439"/>
      <c r="D130" s="439"/>
      <c r="E130" s="247"/>
      <c r="F130" s="439"/>
      <c r="G130" s="439"/>
      <c r="H130" s="439"/>
      <c r="I130" s="439"/>
      <c r="J130" s="439"/>
      <c r="K130" s="247"/>
      <c r="L130" s="439"/>
      <c r="M130" s="439"/>
      <c r="N130" s="439"/>
      <c r="O130" s="439"/>
      <c r="P130" s="439"/>
      <c r="Q130" s="247"/>
      <c r="R130" s="439"/>
      <c r="S130" s="439"/>
      <c r="T130" s="439"/>
      <c r="U130" s="439"/>
      <c r="V130" s="439"/>
      <c r="W130" s="439"/>
      <c r="X130" s="439"/>
      <c r="Y130" s="439"/>
      <c r="Z130" s="439"/>
      <c r="AA130" s="439"/>
      <c r="AB130" s="439"/>
      <c r="AC130" s="439"/>
    </row>
    <row r="131" ht="15.75" customHeight="1">
      <c r="A131" s="439"/>
      <c r="B131" s="439"/>
      <c r="C131" s="439"/>
      <c r="D131" s="439"/>
      <c r="E131" s="247"/>
      <c r="F131" s="439"/>
      <c r="G131" s="439"/>
      <c r="H131" s="439"/>
      <c r="I131" s="439"/>
      <c r="J131" s="439"/>
      <c r="K131" s="247"/>
      <c r="L131" s="439"/>
      <c r="M131" s="439"/>
      <c r="N131" s="439"/>
      <c r="O131" s="439"/>
      <c r="P131" s="439"/>
      <c r="Q131" s="247"/>
      <c r="R131" s="439"/>
      <c r="S131" s="439"/>
      <c r="T131" s="439"/>
      <c r="U131" s="439"/>
      <c r="V131" s="439"/>
      <c r="W131" s="439"/>
      <c r="X131" s="439"/>
      <c r="Y131" s="439"/>
      <c r="Z131" s="439"/>
      <c r="AA131" s="439"/>
      <c r="AB131" s="439"/>
      <c r="AC131" s="439"/>
    </row>
    <row r="132" ht="15.75" customHeight="1">
      <c r="A132" s="439"/>
      <c r="B132" s="439"/>
      <c r="C132" s="439"/>
      <c r="D132" s="439"/>
      <c r="E132" s="247"/>
      <c r="F132" s="439"/>
      <c r="G132" s="439"/>
      <c r="H132" s="439"/>
      <c r="I132" s="439"/>
      <c r="J132" s="439"/>
      <c r="K132" s="247"/>
      <c r="L132" s="439"/>
      <c r="M132" s="439"/>
      <c r="N132" s="439"/>
      <c r="O132" s="439"/>
      <c r="P132" s="439"/>
      <c r="Q132" s="247"/>
      <c r="R132" s="439"/>
      <c r="S132" s="439"/>
      <c r="T132" s="439"/>
      <c r="U132" s="439"/>
      <c r="V132" s="439"/>
      <c r="W132" s="439"/>
      <c r="X132" s="439"/>
      <c r="Y132" s="439"/>
      <c r="Z132" s="439"/>
      <c r="AA132" s="439"/>
      <c r="AB132" s="439"/>
      <c r="AC132" s="439"/>
    </row>
    <row r="133" ht="15.75" customHeight="1">
      <c r="A133" s="439"/>
      <c r="B133" s="439"/>
      <c r="C133" s="439"/>
      <c r="D133" s="439"/>
      <c r="E133" s="247"/>
      <c r="F133" s="439"/>
      <c r="G133" s="439"/>
      <c r="H133" s="439"/>
      <c r="I133" s="439"/>
      <c r="J133" s="439"/>
      <c r="K133" s="247"/>
      <c r="L133" s="439"/>
      <c r="M133" s="439"/>
      <c r="N133" s="439"/>
      <c r="O133" s="439"/>
      <c r="P133" s="439"/>
      <c r="Q133" s="247"/>
      <c r="R133" s="439"/>
      <c r="S133" s="439"/>
      <c r="T133" s="439"/>
      <c r="U133" s="439"/>
      <c r="V133" s="439"/>
      <c r="W133" s="439"/>
      <c r="X133" s="439"/>
      <c r="Y133" s="439"/>
      <c r="Z133" s="439"/>
      <c r="AA133" s="439"/>
      <c r="AB133" s="439"/>
      <c r="AC133" s="439"/>
    </row>
    <row r="134" ht="15.75" customHeight="1">
      <c r="A134" s="439"/>
      <c r="B134" s="439"/>
      <c r="C134" s="439"/>
      <c r="D134" s="439"/>
      <c r="E134" s="247"/>
      <c r="F134" s="439"/>
      <c r="G134" s="439"/>
      <c r="H134" s="439"/>
      <c r="I134" s="439"/>
      <c r="J134" s="439"/>
      <c r="K134" s="247"/>
      <c r="L134" s="439"/>
      <c r="M134" s="439"/>
      <c r="N134" s="439"/>
      <c r="O134" s="439"/>
      <c r="P134" s="439"/>
      <c r="Q134" s="247"/>
      <c r="R134" s="439"/>
      <c r="S134" s="439"/>
      <c r="T134" s="439"/>
      <c r="U134" s="439"/>
      <c r="V134" s="439"/>
      <c r="W134" s="439"/>
      <c r="X134" s="439"/>
      <c r="Y134" s="439"/>
      <c r="Z134" s="439"/>
      <c r="AA134" s="439"/>
      <c r="AB134" s="439"/>
      <c r="AC134" s="439"/>
    </row>
    <row r="135" ht="15.75" customHeight="1">
      <c r="A135" s="439"/>
      <c r="B135" s="439"/>
      <c r="C135" s="439"/>
      <c r="D135" s="439"/>
      <c r="E135" s="247"/>
      <c r="F135" s="439"/>
      <c r="G135" s="439"/>
      <c r="H135" s="439"/>
      <c r="I135" s="439"/>
      <c r="J135" s="439"/>
      <c r="K135" s="247"/>
      <c r="L135" s="439"/>
      <c r="M135" s="439"/>
      <c r="N135" s="439"/>
      <c r="O135" s="439"/>
      <c r="P135" s="439"/>
      <c r="Q135" s="247"/>
      <c r="R135" s="439"/>
      <c r="S135" s="439"/>
      <c r="T135" s="439"/>
      <c r="U135" s="439"/>
      <c r="V135" s="439"/>
      <c r="W135" s="439"/>
      <c r="X135" s="439"/>
      <c r="Y135" s="439"/>
      <c r="Z135" s="439"/>
      <c r="AA135" s="439"/>
      <c r="AB135" s="439"/>
      <c r="AC135" s="439"/>
    </row>
    <row r="136" ht="15.75" customHeight="1">
      <c r="A136" s="439"/>
      <c r="B136" s="439"/>
      <c r="C136" s="439"/>
      <c r="D136" s="439"/>
      <c r="E136" s="247"/>
      <c r="F136" s="439"/>
      <c r="G136" s="439"/>
      <c r="H136" s="439"/>
      <c r="I136" s="439"/>
      <c r="J136" s="439"/>
      <c r="K136" s="247"/>
      <c r="L136" s="439"/>
      <c r="M136" s="439"/>
      <c r="N136" s="439"/>
      <c r="O136" s="439"/>
      <c r="P136" s="439"/>
      <c r="Q136" s="247"/>
      <c r="R136" s="439"/>
      <c r="S136" s="439"/>
      <c r="T136" s="439"/>
      <c r="U136" s="439"/>
      <c r="V136" s="439"/>
      <c r="W136" s="439"/>
      <c r="X136" s="439"/>
      <c r="Y136" s="439"/>
      <c r="Z136" s="439"/>
      <c r="AA136" s="439"/>
      <c r="AB136" s="439"/>
      <c r="AC136" s="439"/>
    </row>
    <row r="137" ht="15.75" customHeight="1">
      <c r="A137" s="439"/>
      <c r="B137" s="439"/>
      <c r="C137" s="439"/>
      <c r="D137" s="439"/>
      <c r="E137" s="247"/>
      <c r="F137" s="439"/>
      <c r="G137" s="439"/>
      <c r="H137" s="439"/>
      <c r="I137" s="439"/>
      <c r="J137" s="439"/>
      <c r="K137" s="247"/>
      <c r="L137" s="439"/>
      <c r="M137" s="439"/>
      <c r="N137" s="439"/>
      <c r="O137" s="439"/>
      <c r="P137" s="439"/>
      <c r="Q137" s="247"/>
      <c r="R137" s="439"/>
      <c r="S137" s="439"/>
      <c r="T137" s="439"/>
      <c r="U137" s="439"/>
      <c r="V137" s="439"/>
      <c r="W137" s="439"/>
      <c r="X137" s="439"/>
      <c r="Y137" s="439"/>
      <c r="Z137" s="439"/>
      <c r="AA137" s="439"/>
      <c r="AB137" s="439"/>
      <c r="AC137" s="439"/>
    </row>
    <row r="138" ht="15.75" customHeight="1">
      <c r="A138" s="439"/>
      <c r="B138" s="439"/>
      <c r="C138" s="439"/>
      <c r="D138" s="439"/>
      <c r="E138" s="247"/>
      <c r="F138" s="439"/>
      <c r="G138" s="439"/>
      <c r="H138" s="439"/>
      <c r="I138" s="439"/>
      <c r="J138" s="439"/>
      <c r="K138" s="247"/>
      <c r="L138" s="439"/>
      <c r="M138" s="439"/>
      <c r="N138" s="439"/>
      <c r="O138" s="439"/>
      <c r="P138" s="439"/>
      <c r="Q138" s="247"/>
      <c r="R138" s="439"/>
      <c r="S138" s="439"/>
      <c r="T138" s="439"/>
      <c r="U138" s="439"/>
      <c r="V138" s="439"/>
      <c r="W138" s="439"/>
      <c r="X138" s="439"/>
      <c r="Y138" s="439"/>
      <c r="Z138" s="439"/>
      <c r="AA138" s="439"/>
      <c r="AB138" s="439"/>
      <c r="AC138" s="439"/>
    </row>
    <row r="139" ht="15.75" customHeight="1">
      <c r="A139" s="439"/>
      <c r="B139" s="439"/>
      <c r="C139" s="439"/>
      <c r="D139" s="439"/>
      <c r="E139" s="247"/>
      <c r="F139" s="439"/>
      <c r="G139" s="439"/>
      <c r="H139" s="439"/>
      <c r="I139" s="439"/>
      <c r="J139" s="439"/>
      <c r="K139" s="247"/>
      <c r="L139" s="439"/>
      <c r="M139" s="439"/>
      <c r="N139" s="439"/>
      <c r="O139" s="439"/>
      <c r="P139" s="439"/>
      <c r="Q139" s="247"/>
      <c r="R139" s="439"/>
      <c r="S139" s="439"/>
      <c r="T139" s="439"/>
      <c r="U139" s="439"/>
      <c r="V139" s="439"/>
      <c r="W139" s="439"/>
      <c r="X139" s="439"/>
      <c r="Y139" s="439"/>
      <c r="Z139" s="439"/>
      <c r="AA139" s="439"/>
      <c r="AB139" s="439"/>
      <c r="AC139" s="439"/>
    </row>
    <row r="140" ht="15.75" customHeight="1">
      <c r="A140" s="439"/>
      <c r="B140" s="439"/>
      <c r="C140" s="439"/>
      <c r="D140" s="439"/>
      <c r="E140" s="247"/>
      <c r="F140" s="439"/>
      <c r="G140" s="439"/>
      <c r="H140" s="439"/>
      <c r="I140" s="439"/>
      <c r="J140" s="439"/>
      <c r="K140" s="247"/>
      <c r="L140" s="439"/>
      <c r="M140" s="439"/>
      <c r="N140" s="439"/>
      <c r="O140" s="439"/>
      <c r="P140" s="439"/>
      <c r="Q140" s="247"/>
      <c r="R140" s="439"/>
      <c r="S140" s="439"/>
      <c r="T140" s="439"/>
      <c r="U140" s="439"/>
      <c r="V140" s="439"/>
      <c r="W140" s="439"/>
      <c r="X140" s="439"/>
      <c r="Y140" s="439"/>
      <c r="Z140" s="439"/>
      <c r="AA140" s="439"/>
      <c r="AB140" s="439"/>
      <c r="AC140" s="439"/>
    </row>
    <row r="141" ht="15.75" customHeight="1">
      <c r="A141" s="439"/>
      <c r="B141" s="439"/>
      <c r="C141" s="439"/>
      <c r="D141" s="439"/>
      <c r="E141" s="247"/>
      <c r="F141" s="439"/>
      <c r="G141" s="439"/>
      <c r="H141" s="439"/>
      <c r="I141" s="439"/>
      <c r="J141" s="439"/>
      <c r="K141" s="247"/>
      <c r="L141" s="439"/>
      <c r="M141" s="439"/>
      <c r="N141" s="439"/>
      <c r="O141" s="439"/>
      <c r="P141" s="439"/>
      <c r="Q141" s="247"/>
      <c r="R141" s="439"/>
      <c r="S141" s="439"/>
      <c r="T141" s="439"/>
      <c r="U141" s="439"/>
      <c r="V141" s="439"/>
      <c r="W141" s="439"/>
      <c r="X141" s="439"/>
      <c r="Y141" s="439"/>
      <c r="Z141" s="439"/>
      <c r="AA141" s="439"/>
      <c r="AB141" s="439"/>
      <c r="AC141" s="439"/>
    </row>
    <row r="142" ht="15.75" customHeight="1">
      <c r="A142" s="439"/>
      <c r="B142" s="439"/>
      <c r="C142" s="439"/>
      <c r="D142" s="439"/>
      <c r="E142" s="247"/>
      <c r="F142" s="439"/>
      <c r="G142" s="439"/>
      <c r="H142" s="439"/>
      <c r="I142" s="439"/>
      <c r="J142" s="439"/>
      <c r="K142" s="247"/>
      <c r="L142" s="439"/>
      <c r="M142" s="439"/>
      <c r="N142" s="439"/>
      <c r="O142" s="439"/>
      <c r="P142" s="439"/>
      <c r="Q142" s="247"/>
      <c r="R142" s="439"/>
      <c r="S142" s="439"/>
      <c r="T142" s="439"/>
      <c r="U142" s="439"/>
      <c r="V142" s="439"/>
      <c r="W142" s="439"/>
      <c r="X142" s="439"/>
      <c r="Y142" s="439"/>
      <c r="Z142" s="439"/>
      <c r="AA142" s="439"/>
      <c r="AB142" s="439"/>
      <c r="AC142" s="439"/>
    </row>
    <row r="143" ht="15.75" customHeight="1">
      <c r="A143" s="439"/>
      <c r="B143" s="439"/>
      <c r="C143" s="439"/>
      <c r="D143" s="439"/>
      <c r="E143" s="247"/>
      <c r="F143" s="439"/>
      <c r="G143" s="439"/>
      <c r="H143" s="439"/>
      <c r="I143" s="439"/>
      <c r="J143" s="439"/>
      <c r="K143" s="247"/>
      <c r="L143" s="439"/>
      <c r="M143" s="439"/>
      <c r="N143" s="439"/>
      <c r="O143" s="439"/>
      <c r="P143" s="439"/>
      <c r="Q143" s="247"/>
      <c r="R143" s="439"/>
      <c r="S143" s="439"/>
      <c r="T143" s="439"/>
      <c r="U143" s="439"/>
      <c r="V143" s="439"/>
      <c r="W143" s="439"/>
      <c r="X143" s="439"/>
      <c r="Y143" s="439"/>
      <c r="Z143" s="439"/>
      <c r="AA143" s="439"/>
      <c r="AB143" s="439"/>
      <c r="AC143" s="439"/>
    </row>
    <row r="144" ht="15.75" customHeight="1">
      <c r="A144" s="439"/>
      <c r="B144" s="439"/>
      <c r="C144" s="439"/>
      <c r="D144" s="439"/>
      <c r="E144" s="247"/>
      <c r="F144" s="439"/>
      <c r="G144" s="439"/>
      <c r="H144" s="439"/>
      <c r="I144" s="439"/>
      <c r="J144" s="439"/>
      <c r="K144" s="247"/>
      <c r="L144" s="439"/>
      <c r="M144" s="439"/>
      <c r="N144" s="439"/>
      <c r="O144" s="439"/>
      <c r="P144" s="439"/>
      <c r="Q144" s="247"/>
      <c r="R144" s="439"/>
      <c r="S144" s="439"/>
      <c r="T144" s="439"/>
      <c r="U144" s="439"/>
      <c r="V144" s="439"/>
      <c r="W144" s="439"/>
      <c r="X144" s="439"/>
      <c r="Y144" s="439"/>
      <c r="Z144" s="439"/>
      <c r="AA144" s="439"/>
      <c r="AB144" s="439"/>
      <c r="AC144" s="439"/>
    </row>
    <row r="145" ht="15.75" customHeight="1">
      <c r="A145" s="439"/>
      <c r="B145" s="439"/>
      <c r="C145" s="439"/>
      <c r="D145" s="439"/>
      <c r="E145" s="247"/>
      <c r="F145" s="439"/>
      <c r="G145" s="439"/>
      <c r="H145" s="439"/>
      <c r="I145" s="439"/>
      <c r="J145" s="439"/>
      <c r="K145" s="247"/>
      <c r="L145" s="439"/>
      <c r="M145" s="439"/>
      <c r="N145" s="439"/>
      <c r="O145" s="439"/>
      <c r="P145" s="439"/>
      <c r="Q145" s="247"/>
      <c r="R145" s="439"/>
      <c r="S145" s="439"/>
      <c r="T145" s="439"/>
      <c r="U145" s="439"/>
      <c r="V145" s="439"/>
      <c r="W145" s="439"/>
      <c r="X145" s="439"/>
      <c r="Y145" s="439"/>
      <c r="Z145" s="439"/>
      <c r="AA145" s="439"/>
      <c r="AB145" s="439"/>
      <c r="AC145" s="439"/>
    </row>
    <row r="146" ht="15.75" customHeight="1">
      <c r="A146" s="439"/>
      <c r="B146" s="439"/>
      <c r="C146" s="439"/>
      <c r="D146" s="439"/>
      <c r="E146" s="247"/>
      <c r="F146" s="439"/>
      <c r="G146" s="439"/>
      <c r="H146" s="439"/>
      <c r="I146" s="439"/>
      <c r="J146" s="439"/>
      <c r="K146" s="247"/>
      <c r="L146" s="439"/>
      <c r="M146" s="439"/>
      <c r="N146" s="439"/>
      <c r="O146" s="439"/>
      <c r="P146" s="439"/>
      <c r="Q146" s="247"/>
      <c r="R146" s="439"/>
      <c r="S146" s="439"/>
      <c r="T146" s="439"/>
      <c r="U146" s="439"/>
      <c r="V146" s="439"/>
      <c r="W146" s="439"/>
      <c r="X146" s="439"/>
      <c r="Y146" s="439"/>
      <c r="Z146" s="439"/>
      <c r="AA146" s="439"/>
      <c r="AB146" s="439"/>
      <c r="AC146" s="439"/>
    </row>
    <row r="147" ht="15.75" customHeight="1">
      <c r="A147" s="439"/>
      <c r="B147" s="439"/>
      <c r="C147" s="439"/>
      <c r="D147" s="439"/>
      <c r="E147" s="247"/>
      <c r="F147" s="439"/>
      <c r="G147" s="439"/>
      <c r="H147" s="439"/>
      <c r="I147" s="439"/>
      <c r="J147" s="439"/>
      <c r="K147" s="247"/>
      <c r="L147" s="439"/>
      <c r="M147" s="439"/>
      <c r="N147" s="439"/>
      <c r="O147" s="439"/>
      <c r="P147" s="439"/>
      <c r="Q147" s="247"/>
      <c r="R147" s="439"/>
      <c r="S147" s="439"/>
      <c r="T147" s="439"/>
      <c r="U147" s="439"/>
      <c r="V147" s="439"/>
      <c r="W147" s="439"/>
      <c r="X147" s="439"/>
      <c r="Y147" s="439"/>
      <c r="Z147" s="439"/>
      <c r="AA147" s="439"/>
      <c r="AB147" s="439"/>
      <c r="AC147" s="439"/>
    </row>
    <row r="148" ht="15.75" customHeight="1">
      <c r="A148" s="439"/>
      <c r="B148" s="439"/>
      <c r="C148" s="439"/>
      <c r="D148" s="439"/>
      <c r="E148" s="247"/>
      <c r="F148" s="439"/>
      <c r="G148" s="439"/>
      <c r="H148" s="439"/>
      <c r="I148" s="439"/>
      <c r="J148" s="439"/>
      <c r="K148" s="247"/>
      <c r="L148" s="439"/>
      <c r="M148" s="439"/>
      <c r="N148" s="439"/>
      <c r="O148" s="439"/>
      <c r="P148" s="439"/>
      <c r="Q148" s="247"/>
      <c r="R148" s="439"/>
      <c r="S148" s="439"/>
      <c r="T148" s="439"/>
      <c r="U148" s="439"/>
      <c r="V148" s="439"/>
      <c r="W148" s="439"/>
      <c r="X148" s="439"/>
      <c r="Y148" s="439"/>
      <c r="Z148" s="439"/>
      <c r="AA148" s="439"/>
      <c r="AB148" s="439"/>
      <c r="AC148" s="439"/>
    </row>
    <row r="149" ht="15.75" customHeight="1">
      <c r="A149" s="439"/>
      <c r="B149" s="439"/>
      <c r="C149" s="439"/>
      <c r="D149" s="439"/>
      <c r="E149" s="247"/>
      <c r="F149" s="439"/>
      <c r="G149" s="439"/>
      <c r="H149" s="439"/>
      <c r="I149" s="439"/>
      <c r="J149" s="439"/>
      <c r="K149" s="247"/>
      <c r="L149" s="439"/>
      <c r="M149" s="439"/>
      <c r="N149" s="439"/>
      <c r="O149" s="439"/>
      <c r="P149" s="439"/>
      <c r="Q149" s="247"/>
      <c r="R149" s="439"/>
      <c r="S149" s="439"/>
      <c r="T149" s="439"/>
      <c r="U149" s="439"/>
      <c r="V149" s="439"/>
      <c r="W149" s="439"/>
      <c r="X149" s="439"/>
      <c r="Y149" s="439"/>
      <c r="Z149" s="439"/>
      <c r="AA149" s="439"/>
      <c r="AB149" s="439"/>
      <c r="AC149" s="439"/>
    </row>
    <row r="150" ht="15.75" customHeight="1">
      <c r="A150" s="439"/>
      <c r="B150" s="439"/>
      <c r="C150" s="439"/>
      <c r="D150" s="439"/>
      <c r="E150" s="247"/>
      <c r="F150" s="439"/>
      <c r="G150" s="439"/>
      <c r="H150" s="439"/>
      <c r="I150" s="439"/>
      <c r="J150" s="439"/>
      <c r="K150" s="247"/>
      <c r="L150" s="439"/>
      <c r="M150" s="439"/>
      <c r="N150" s="439"/>
      <c r="O150" s="439"/>
      <c r="P150" s="439"/>
      <c r="Q150" s="247"/>
      <c r="R150" s="439"/>
      <c r="S150" s="439"/>
      <c r="T150" s="439"/>
      <c r="U150" s="439"/>
      <c r="V150" s="439"/>
      <c r="W150" s="439"/>
      <c r="X150" s="439"/>
      <c r="Y150" s="439"/>
      <c r="Z150" s="439"/>
      <c r="AA150" s="439"/>
      <c r="AB150" s="439"/>
      <c r="AC150" s="439"/>
    </row>
    <row r="151" ht="15.75" customHeight="1">
      <c r="A151" s="439"/>
      <c r="B151" s="439"/>
      <c r="C151" s="439"/>
      <c r="D151" s="439"/>
      <c r="E151" s="247"/>
      <c r="F151" s="439"/>
      <c r="G151" s="439"/>
      <c r="H151" s="439"/>
      <c r="I151" s="439"/>
      <c r="J151" s="439"/>
      <c r="K151" s="247"/>
      <c r="L151" s="439"/>
      <c r="M151" s="439"/>
      <c r="N151" s="439"/>
      <c r="O151" s="439"/>
      <c r="P151" s="439"/>
      <c r="Q151" s="247"/>
      <c r="R151" s="439"/>
      <c r="S151" s="439"/>
      <c r="T151" s="439"/>
      <c r="U151" s="439"/>
      <c r="V151" s="439"/>
      <c r="W151" s="439"/>
      <c r="X151" s="439"/>
      <c r="Y151" s="439"/>
      <c r="Z151" s="439"/>
      <c r="AA151" s="439"/>
      <c r="AB151" s="439"/>
      <c r="AC151" s="439"/>
    </row>
    <row r="152" ht="15.75" customHeight="1">
      <c r="A152" s="439"/>
      <c r="B152" s="439"/>
      <c r="C152" s="439"/>
      <c r="D152" s="439"/>
      <c r="E152" s="247"/>
      <c r="F152" s="439"/>
      <c r="G152" s="439"/>
      <c r="H152" s="439"/>
      <c r="I152" s="439"/>
      <c r="J152" s="439"/>
      <c r="K152" s="247"/>
      <c r="L152" s="439"/>
      <c r="M152" s="439"/>
      <c r="N152" s="439"/>
      <c r="O152" s="439"/>
      <c r="P152" s="439"/>
      <c r="Q152" s="247"/>
      <c r="R152" s="439"/>
      <c r="S152" s="439"/>
      <c r="T152" s="439"/>
      <c r="U152" s="439"/>
      <c r="V152" s="439"/>
      <c r="W152" s="439"/>
      <c r="X152" s="439"/>
      <c r="Y152" s="439"/>
      <c r="Z152" s="439"/>
      <c r="AA152" s="439"/>
      <c r="AB152" s="439"/>
      <c r="AC152" s="439"/>
    </row>
    <row r="153" ht="15.75" customHeight="1">
      <c r="A153" s="439"/>
      <c r="B153" s="439"/>
      <c r="C153" s="439"/>
      <c r="D153" s="439"/>
      <c r="E153" s="247"/>
      <c r="F153" s="439"/>
      <c r="G153" s="439"/>
      <c r="H153" s="439"/>
      <c r="I153" s="439"/>
      <c r="J153" s="439"/>
      <c r="K153" s="247"/>
      <c r="L153" s="439"/>
      <c r="M153" s="439"/>
      <c r="N153" s="439"/>
      <c r="O153" s="439"/>
      <c r="P153" s="439"/>
      <c r="Q153" s="247"/>
      <c r="R153" s="439"/>
      <c r="S153" s="439"/>
      <c r="T153" s="439"/>
      <c r="U153" s="439"/>
      <c r="V153" s="439"/>
      <c r="W153" s="439"/>
      <c r="X153" s="439"/>
      <c r="Y153" s="439"/>
      <c r="Z153" s="439"/>
      <c r="AA153" s="439"/>
      <c r="AB153" s="439"/>
      <c r="AC153" s="439"/>
    </row>
    <row r="154" ht="15.75" customHeight="1">
      <c r="A154" s="439"/>
      <c r="B154" s="439"/>
      <c r="C154" s="439"/>
      <c r="D154" s="439"/>
      <c r="E154" s="247"/>
      <c r="F154" s="439"/>
      <c r="G154" s="439"/>
      <c r="H154" s="439"/>
      <c r="I154" s="439"/>
      <c r="J154" s="439"/>
      <c r="K154" s="247"/>
      <c r="L154" s="439"/>
      <c r="M154" s="439"/>
      <c r="N154" s="439"/>
      <c r="O154" s="439"/>
      <c r="P154" s="439"/>
      <c r="Q154" s="247"/>
      <c r="R154" s="439"/>
      <c r="S154" s="439"/>
      <c r="T154" s="439"/>
      <c r="U154" s="439"/>
      <c r="V154" s="439"/>
      <c r="W154" s="439"/>
      <c r="X154" s="439"/>
      <c r="Y154" s="439"/>
      <c r="Z154" s="439"/>
      <c r="AA154" s="439"/>
      <c r="AB154" s="439"/>
      <c r="AC154" s="439"/>
    </row>
    <row r="155" ht="15.75" customHeight="1">
      <c r="A155" s="439"/>
      <c r="B155" s="439"/>
      <c r="C155" s="439"/>
      <c r="D155" s="439"/>
      <c r="E155" s="247"/>
      <c r="F155" s="439"/>
      <c r="G155" s="439"/>
      <c r="H155" s="439"/>
      <c r="I155" s="439"/>
      <c r="J155" s="439"/>
      <c r="K155" s="247"/>
      <c r="L155" s="439"/>
      <c r="M155" s="439"/>
      <c r="N155" s="439"/>
      <c r="O155" s="439"/>
      <c r="P155" s="439"/>
      <c r="Q155" s="247"/>
      <c r="R155" s="439"/>
      <c r="S155" s="439"/>
      <c r="T155" s="439"/>
      <c r="U155" s="439"/>
      <c r="V155" s="439"/>
      <c r="W155" s="439"/>
      <c r="X155" s="439"/>
      <c r="Y155" s="439"/>
      <c r="Z155" s="439"/>
      <c r="AA155" s="439"/>
      <c r="AB155" s="439"/>
      <c r="AC155" s="439"/>
    </row>
    <row r="156" ht="15.75" customHeight="1">
      <c r="A156" s="439"/>
      <c r="B156" s="439"/>
      <c r="C156" s="439"/>
      <c r="D156" s="439"/>
      <c r="E156" s="247"/>
      <c r="F156" s="439"/>
      <c r="G156" s="439"/>
      <c r="H156" s="439"/>
      <c r="I156" s="439"/>
      <c r="J156" s="439"/>
      <c r="K156" s="247"/>
      <c r="L156" s="439"/>
      <c r="M156" s="439"/>
      <c r="N156" s="439"/>
      <c r="O156" s="439"/>
      <c r="P156" s="439"/>
      <c r="Q156" s="247"/>
      <c r="R156" s="439"/>
      <c r="S156" s="439"/>
      <c r="T156" s="439"/>
      <c r="U156" s="439"/>
      <c r="V156" s="439"/>
      <c r="W156" s="439"/>
      <c r="X156" s="439"/>
      <c r="Y156" s="439"/>
      <c r="Z156" s="439"/>
      <c r="AA156" s="439"/>
      <c r="AB156" s="439"/>
      <c r="AC156" s="439"/>
    </row>
    <row r="157" ht="15.75" customHeight="1">
      <c r="A157" s="439"/>
      <c r="B157" s="439"/>
      <c r="C157" s="439"/>
      <c r="D157" s="439"/>
      <c r="E157" s="247"/>
      <c r="F157" s="439"/>
      <c r="G157" s="439"/>
      <c r="H157" s="439"/>
      <c r="I157" s="439"/>
      <c r="J157" s="439"/>
      <c r="K157" s="247"/>
      <c r="L157" s="439"/>
      <c r="M157" s="439"/>
      <c r="N157" s="439"/>
      <c r="O157" s="439"/>
      <c r="P157" s="439"/>
      <c r="Q157" s="247"/>
      <c r="R157" s="439"/>
      <c r="S157" s="439"/>
      <c r="T157" s="439"/>
      <c r="U157" s="439"/>
      <c r="V157" s="439"/>
      <c r="W157" s="439"/>
      <c r="X157" s="439"/>
      <c r="Y157" s="439"/>
      <c r="Z157" s="439"/>
      <c r="AA157" s="439"/>
      <c r="AB157" s="439"/>
      <c r="AC157" s="439"/>
    </row>
    <row r="158" ht="15.75" customHeight="1">
      <c r="A158" s="439"/>
      <c r="B158" s="439"/>
      <c r="C158" s="439"/>
      <c r="D158" s="439"/>
      <c r="E158" s="247"/>
      <c r="F158" s="439"/>
      <c r="G158" s="439"/>
      <c r="H158" s="439"/>
      <c r="I158" s="439"/>
      <c r="J158" s="439"/>
      <c r="K158" s="247"/>
      <c r="L158" s="439"/>
      <c r="M158" s="439"/>
      <c r="N158" s="439"/>
      <c r="O158" s="439"/>
      <c r="P158" s="439"/>
      <c r="Q158" s="247"/>
      <c r="R158" s="439"/>
      <c r="S158" s="439"/>
      <c r="T158" s="439"/>
      <c r="U158" s="439"/>
      <c r="V158" s="439"/>
      <c r="W158" s="439"/>
      <c r="X158" s="439"/>
      <c r="Y158" s="439"/>
      <c r="Z158" s="439"/>
      <c r="AA158" s="439"/>
      <c r="AB158" s="439"/>
      <c r="AC158" s="439"/>
    </row>
    <row r="159" ht="15.75" customHeight="1">
      <c r="A159" s="439"/>
      <c r="B159" s="439"/>
      <c r="C159" s="439"/>
      <c r="D159" s="439"/>
      <c r="E159" s="247"/>
      <c r="F159" s="439"/>
      <c r="G159" s="439"/>
      <c r="H159" s="439"/>
      <c r="I159" s="439"/>
      <c r="J159" s="439"/>
      <c r="K159" s="247"/>
      <c r="L159" s="439"/>
      <c r="M159" s="439"/>
      <c r="N159" s="439"/>
      <c r="O159" s="439"/>
      <c r="P159" s="439"/>
      <c r="Q159" s="247"/>
      <c r="R159" s="439"/>
      <c r="S159" s="439"/>
      <c r="T159" s="439"/>
      <c r="U159" s="439"/>
      <c r="V159" s="439"/>
      <c r="W159" s="439"/>
      <c r="X159" s="439"/>
      <c r="Y159" s="439"/>
      <c r="Z159" s="439"/>
      <c r="AA159" s="439"/>
      <c r="AB159" s="439"/>
      <c r="AC159" s="439"/>
    </row>
    <row r="160" ht="15.75" customHeight="1">
      <c r="A160" s="439"/>
      <c r="B160" s="439"/>
      <c r="C160" s="439"/>
      <c r="D160" s="439"/>
      <c r="E160" s="247"/>
      <c r="F160" s="439"/>
      <c r="G160" s="439"/>
      <c r="H160" s="439"/>
      <c r="I160" s="439"/>
      <c r="J160" s="439"/>
      <c r="K160" s="247"/>
      <c r="L160" s="439"/>
      <c r="M160" s="439"/>
      <c r="N160" s="439"/>
      <c r="O160" s="439"/>
      <c r="P160" s="439"/>
      <c r="Q160" s="247"/>
      <c r="R160" s="439"/>
      <c r="S160" s="439"/>
      <c r="T160" s="439"/>
      <c r="U160" s="439"/>
      <c r="V160" s="439"/>
      <c r="W160" s="439"/>
      <c r="X160" s="439"/>
      <c r="Y160" s="439"/>
      <c r="Z160" s="439"/>
      <c r="AA160" s="439"/>
      <c r="AB160" s="439"/>
      <c r="AC160" s="439"/>
    </row>
    <row r="161" ht="15.75" customHeight="1">
      <c r="A161" s="439"/>
      <c r="B161" s="439"/>
      <c r="C161" s="439"/>
      <c r="D161" s="439"/>
      <c r="E161" s="247"/>
      <c r="F161" s="439"/>
      <c r="G161" s="439"/>
      <c r="H161" s="439"/>
      <c r="I161" s="439"/>
      <c r="J161" s="439"/>
      <c r="K161" s="247"/>
      <c r="L161" s="439"/>
      <c r="M161" s="439"/>
      <c r="N161" s="439"/>
      <c r="O161" s="439"/>
      <c r="P161" s="439"/>
      <c r="Q161" s="247"/>
      <c r="R161" s="439"/>
      <c r="S161" s="439"/>
      <c r="T161" s="439"/>
      <c r="U161" s="439"/>
      <c r="V161" s="439"/>
      <c r="W161" s="439"/>
      <c r="X161" s="439"/>
      <c r="Y161" s="439"/>
      <c r="Z161" s="439"/>
      <c r="AA161" s="439"/>
      <c r="AB161" s="439"/>
      <c r="AC161" s="439"/>
    </row>
    <row r="162" ht="15.75" customHeight="1">
      <c r="A162" s="439"/>
      <c r="B162" s="439"/>
      <c r="C162" s="439"/>
      <c r="D162" s="439"/>
      <c r="E162" s="247"/>
      <c r="F162" s="439"/>
      <c r="G162" s="439"/>
      <c r="H162" s="439"/>
      <c r="I162" s="439"/>
      <c r="J162" s="439"/>
      <c r="K162" s="247"/>
      <c r="L162" s="439"/>
      <c r="M162" s="439"/>
      <c r="N162" s="439"/>
      <c r="O162" s="439"/>
      <c r="P162" s="439"/>
      <c r="Q162" s="247"/>
      <c r="R162" s="439"/>
      <c r="S162" s="439"/>
      <c r="T162" s="439"/>
      <c r="U162" s="439"/>
      <c r="V162" s="439"/>
      <c r="W162" s="439"/>
      <c r="X162" s="439"/>
      <c r="Y162" s="439"/>
      <c r="Z162" s="439"/>
      <c r="AA162" s="439"/>
      <c r="AB162" s="439"/>
      <c r="AC162" s="439"/>
    </row>
    <row r="163" ht="15.75" customHeight="1">
      <c r="A163" s="439"/>
      <c r="B163" s="439"/>
      <c r="C163" s="439"/>
      <c r="D163" s="439"/>
      <c r="E163" s="247"/>
      <c r="F163" s="439"/>
      <c r="G163" s="439"/>
      <c r="H163" s="439"/>
      <c r="I163" s="439"/>
      <c r="J163" s="439"/>
      <c r="K163" s="247"/>
      <c r="L163" s="439"/>
      <c r="M163" s="439"/>
      <c r="N163" s="439"/>
      <c r="O163" s="439"/>
      <c r="P163" s="439"/>
      <c r="Q163" s="247"/>
      <c r="R163" s="439"/>
      <c r="S163" s="439"/>
      <c r="T163" s="439"/>
      <c r="U163" s="439"/>
      <c r="V163" s="439"/>
      <c r="W163" s="439"/>
      <c r="X163" s="439"/>
      <c r="Y163" s="439"/>
      <c r="Z163" s="439"/>
      <c r="AA163" s="439"/>
      <c r="AB163" s="439"/>
      <c r="AC163" s="439"/>
    </row>
    <row r="164" ht="15.75" customHeight="1">
      <c r="A164" s="439"/>
      <c r="B164" s="439"/>
      <c r="C164" s="439"/>
      <c r="D164" s="439"/>
      <c r="E164" s="247"/>
      <c r="F164" s="439"/>
      <c r="G164" s="439"/>
      <c r="H164" s="439"/>
      <c r="I164" s="439"/>
      <c r="J164" s="439"/>
      <c r="K164" s="247"/>
      <c r="L164" s="439"/>
      <c r="M164" s="439"/>
      <c r="N164" s="439"/>
      <c r="O164" s="439"/>
      <c r="P164" s="439"/>
      <c r="Q164" s="247"/>
      <c r="R164" s="439"/>
      <c r="S164" s="439"/>
      <c r="T164" s="439"/>
      <c r="U164" s="439"/>
      <c r="V164" s="439"/>
      <c r="W164" s="439"/>
      <c r="X164" s="439"/>
      <c r="Y164" s="439"/>
      <c r="Z164" s="439"/>
      <c r="AA164" s="439"/>
      <c r="AB164" s="439"/>
      <c r="AC164" s="439"/>
    </row>
    <row r="165" ht="15.75" customHeight="1">
      <c r="A165" s="439"/>
      <c r="B165" s="439"/>
      <c r="C165" s="439"/>
      <c r="D165" s="439"/>
      <c r="E165" s="247"/>
      <c r="F165" s="439"/>
      <c r="G165" s="439"/>
      <c r="H165" s="439"/>
      <c r="I165" s="439"/>
      <c r="J165" s="439"/>
      <c r="K165" s="247"/>
      <c r="L165" s="439"/>
      <c r="M165" s="439"/>
      <c r="N165" s="439"/>
      <c r="O165" s="439"/>
      <c r="P165" s="439"/>
      <c r="Q165" s="247"/>
      <c r="R165" s="439"/>
      <c r="S165" s="439"/>
      <c r="T165" s="439"/>
      <c r="U165" s="439"/>
      <c r="V165" s="439"/>
      <c r="W165" s="439"/>
      <c r="X165" s="439"/>
      <c r="Y165" s="439"/>
      <c r="Z165" s="439"/>
      <c r="AA165" s="439"/>
      <c r="AB165" s="439"/>
      <c r="AC165" s="439"/>
    </row>
    <row r="166" ht="15.75" customHeight="1">
      <c r="A166" s="439"/>
      <c r="B166" s="439"/>
      <c r="C166" s="439"/>
      <c r="D166" s="439"/>
      <c r="E166" s="247"/>
      <c r="F166" s="439"/>
      <c r="G166" s="439"/>
      <c r="H166" s="439"/>
      <c r="I166" s="439"/>
      <c r="J166" s="439"/>
      <c r="K166" s="247"/>
      <c r="L166" s="439"/>
      <c r="M166" s="439"/>
      <c r="N166" s="439"/>
      <c r="O166" s="439"/>
      <c r="P166" s="439"/>
      <c r="Q166" s="247"/>
      <c r="R166" s="439"/>
      <c r="S166" s="439"/>
      <c r="T166" s="439"/>
      <c r="U166" s="439"/>
      <c r="V166" s="439"/>
      <c r="W166" s="439"/>
      <c r="X166" s="439"/>
      <c r="Y166" s="439"/>
      <c r="Z166" s="439"/>
      <c r="AA166" s="439"/>
      <c r="AB166" s="439"/>
      <c r="AC166" s="439"/>
    </row>
    <row r="167" ht="15.75" customHeight="1">
      <c r="A167" s="439"/>
      <c r="B167" s="439"/>
      <c r="C167" s="439"/>
      <c r="D167" s="439"/>
      <c r="E167" s="247"/>
      <c r="F167" s="439"/>
      <c r="G167" s="439"/>
      <c r="H167" s="439"/>
      <c r="I167" s="439"/>
      <c r="J167" s="439"/>
      <c r="K167" s="247"/>
      <c r="L167" s="439"/>
      <c r="M167" s="439"/>
      <c r="N167" s="439"/>
      <c r="O167" s="439"/>
      <c r="P167" s="439"/>
      <c r="Q167" s="247"/>
      <c r="R167" s="439"/>
      <c r="S167" s="439"/>
      <c r="T167" s="439"/>
      <c r="U167" s="439"/>
      <c r="V167" s="439"/>
      <c r="W167" s="439"/>
      <c r="X167" s="439"/>
      <c r="Y167" s="439"/>
      <c r="Z167" s="439"/>
      <c r="AA167" s="439"/>
      <c r="AB167" s="439"/>
      <c r="AC167" s="439"/>
    </row>
    <row r="168" ht="15.75" customHeight="1">
      <c r="A168" s="439"/>
      <c r="B168" s="439"/>
      <c r="C168" s="439"/>
      <c r="D168" s="439"/>
      <c r="E168" s="247"/>
      <c r="F168" s="439"/>
      <c r="G168" s="439"/>
      <c r="H168" s="439"/>
      <c r="I168" s="439"/>
      <c r="J168" s="439"/>
      <c r="K168" s="247"/>
      <c r="L168" s="439"/>
      <c r="M168" s="439"/>
      <c r="N168" s="439"/>
      <c r="O168" s="439"/>
      <c r="P168" s="439"/>
      <c r="Q168" s="247"/>
      <c r="R168" s="439"/>
      <c r="S168" s="439"/>
      <c r="T168" s="439"/>
      <c r="U168" s="439"/>
      <c r="V168" s="439"/>
      <c r="W168" s="439"/>
      <c r="X168" s="439"/>
      <c r="Y168" s="439"/>
      <c r="Z168" s="439"/>
      <c r="AA168" s="439"/>
      <c r="AB168" s="439"/>
      <c r="AC168" s="439"/>
    </row>
    <row r="169" ht="15.75" customHeight="1">
      <c r="A169" s="439"/>
      <c r="B169" s="439"/>
      <c r="C169" s="439"/>
      <c r="D169" s="439"/>
      <c r="E169" s="247"/>
      <c r="F169" s="439"/>
      <c r="G169" s="439"/>
      <c r="H169" s="439"/>
      <c r="I169" s="439"/>
      <c r="J169" s="439"/>
      <c r="K169" s="247"/>
      <c r="L169" s="439"/>
      <c r="M169" s="439"/>
      <c r="N169" s="439"/>
      <c r="O169" s="439"/>
      <c r="P169" s="439"/>
      <c r="Q169" s="247"/>
      <c r="R169" s="439"/>
      <c r="S169" s="439"/>
      <c r="T169" s="439"/>
      <c r="U169" s="439"/>
      <c r="V169" s="439"/>
      <c r="W169" s="439"/>
      <c r="X169" s="439"/>
      <c r="Y169" s="439"/>
      <c r="Z169" s="439"/>
      <c r="AA169" s="439"/>
      <c r="AB169" s="439"/>
      <c r="AC169" s="439"/>
    </row>
    <row r="170" ht="15.75" customHeight="1">
      <c r="A170" s="439"/>
      <c r="B170" s="439"/>
      <c r="C170" s="439"/>
      <c r="D170" s="439"/>
      <c r="E170" s="247"/>
      <c r="F170" s="439"/>
      <c r="G170" s="439"/>
      <c r="H170" s="439"/>
      <c r="I170" s="439"/>
      <c r="J170" s="439"/>
      <c r="K170" s="247"/>
      <c r="L170" s="439"/>
      <c r="M170" s="439"/>
      <c r="N170" s="439"/>
      <c r="O170" s="439"/>
      <c r="P170" s="439"/>
      <c r="Q170" s="247"/>
      <c r="R170" s="439"/>
      <c r="S170" s="439"/>
      <c r="T170" s="439"/>
      <c r="U170" s="439"/>
      <c r="V170" s="439"/>
      <c r="W170" s="439"/>
      <c r="X170" s="439"/>
      <c r="Y170" s="439"/>
      <c r="Z170" s="439"/>
      <c r="AA170" s="439"/>
      <c r="AB170" s="439"/>
      <c r="AC170" s="439"/>
    </row>
    <row r="171" ht="15.75" customHeight="1">
      <c r="A171" s="439"/>
      <c r="B171" s="439"/>
      <c r="C171" s="439"/>
      <c r="D171" s="439"/>
      <c r="E171" s="247"/>
      <c r="F171" s="439"/>
      <c r="G171" s="439"/>
      <c r="H171" s="439"/>
      <c r="I171" s="439"/>
      <c r="J171" s="439"/>
      <c r="K171" s="247"/>
      <c r="L171" s="439"/>
      <c r="M171" s="439"/>
      <c r="N171" s="439"/>
      <c r="O171" s="439"/>
      <c r="P171" s="439"/>
      <c r="Q171" s="247"/>
      <c r="R171" s="439"/>
      <c r="S171" s="439"/>
      <c r="T171" s="439"/>
      <c r="U171" s="439"/>
      <c r="V171" s="439"/>
      <c r="W171" s="439"/>
      <c r="X171" s="439"/>
      <c r="Y171" s="439"/>
      <c r="Z171" s="439"/>
      <c r="AA171" s="439"/>
      <c r="AB171" s="439"/>
      <c r="AC171" s="439"/>
    </row>
    <row r="172" ht="15.75" customHeight="1">
      <c r="A172" s="439"/>
      <c r="B172" s="439"/>
      <c r="C172" s="439"/>
      <c r="D172" s="439"/>
      <c r="E172" s="247"/>
      <c r="F172" s="439"/>
      <c r="G172" s="439"/>
      <c r="H172" s="439"/>
      <c r="I172" s="439"/>
      <c r="J172" s="439"/>
      <c r="K172" s="247"/>
      <c r="L172" s="439"/>
      <c r="M172" s="439"/>
      <c r="N172" s="439"/>
      <c r="O172" s="439"/>
      <c r="P172" s="439"/>
      <c r="Q172" s="247"/>
      <c r="R172" s="439"/>
      <c r="S172" s="439"/>
      <c r="T172" s="439"/>
      <c r="U172" s="439"/>
      <c r="V172" s="439"/>
      <c r="W172" s="439"/>
      <c r="X172" s="439"/>
      <c r="Y172" s="439"/>
      <c r="Z172" s="439"/>
      <c r="AA172" s="439"/>
      <c r="AB172" s="439"/>
      <c r="AC172" s="439"/>
    </row>
    <row r="173" ht="15.75" customHeight="1">
      <c r="A173" s="439"/>
      <c r="B173" s="439"/>
      <c r="C173" s="439"/>
      <c r="D173" s="439"/>
      <c r="E173" s="247"/>
      <c r="F173" s="439"/>
      <c r="G173" s="439"/>
      <c r="H173" s="439"/>
      <c r="I173" s="439"/>
      <c r="J173" s="439"/>
      <c r="K173" s="247"/>
      <c r="L173" s="439"/>
      <c r="M173" s="439"/>
      <c r="N173" s="439"/>
      <c r="O173" s="439"/>
      <c r="P173" s="439"/>
      <c r="Q173" s="247"/>
      <c r="R173" s="439"/>
      <c r="S173" s="439"/>
      <c r="T173" s="439"/>
      <c r="U173" s="439"/>
      <c r="V173" s="439"/>
      <c r="W173" s="439"/>
      <c r="X173" s="439"/>
      <c r="Y173" s="439"/>
      <c r="Z173" s="439"/>
      <c r="AA173" s="439"/>
      <c r="AB173" s="439"/>
      <c r="AC173" s="439"/>
    </row>
    <row r="174" ht="15.75" customHeight="1">
      <c r="A174" s="439"/>
      <c r="B174" s="439"/>
      <c r="C174" s="439"/>
      <c r="D174" s="439"/>
      <c r="E174" s="247"/>
      <c r="F174" s="439"/>
      <c r="G174" s="439"/>
      <c r="H174" s="439"/>
      <c r="I174" s="439"/>
      <c r="J174" s="439"/>
      <c r="K174" s="247"/>
      <c r="L174" s="439"/>
      <c r="M174" s="439"/>
      <c r="N174" s="439"/>
      <c r="O174" s="439"/>
      <c r="P174" s="439"/>
      <c r="Q174" s="247"/>
      <c r="R174" s="439"/>
      <c r="S174" s="439"/>
      <c r="T174" s="439"/>
      <c r="U174" s="439"/>
      <c r="V174" s="439"/>
      <c r="W174" s="439"/>
      <c r="X174" s="439"/>
      <c r="Y174" s="439"/>
      <c r="Z174" s="439"/>
      <c r="AA174" s="439"/>
      <c r="AB174" s="439"/>
      <c r="AC174" s="439"/>
    </row>
    <row r="175" ht="15.75" customHeight="1">
      <c r="A175" s="439"/>
      <c r="B175" s="439"/>
      <c r="C175" s="439"/>
      <c r="D175" s="439"/>
      <c r="E175" s="247"/>
      <c r="F175" s="439"/>
      <c r="G175" s="439"/>
      <c r="H175" s="439"/>
      <c r="I175" s="439"/>
      <c r="J175" s="439"/>
      <c r="K175" s="247"/>
      <c r="L175" s="439"/>
      <c r="M175" s="439"/>
      <c r="N175" s="439"/>
      <c r="O175" s="439"/>
      <c r="P175" s="439"/>
      <c r="Q175" s="247"/>
      <c r="R175" s="439"/>
      <c r="S175" s="439"/>
      <c r="T175" s="439"/>
      <c r="U175" s="439"/>
      <c r="V175" s="439"/>
      <c r="W175" s="439"/>
      <c r="X175" s="439"/>
      <c r="Y175" s="439"/>
      <c r="Z175" s="439"/>
      <c r="AA175" s="439"/>
      <c r="AB175" s="439"/>
      <c r="AC175" s="439"/>
    </row>
    <row r="176" ht="15.75" customHeight="1">
      <c r="A176" s="439"/>
      <c r="B176" s="439"/>
      <c r="C176" s="439"/>
      <c r="D176" s="439"/>
      <c r="E176" s="247"/>
      <c r="F176" s="439"/>
      <c r="G176" s="439"/>
      <c r="H176" s="439"/>
      <c r="I176" s="439"/>
      <c r="J176" s="439"/>
      <c r="K176" s="247"/>
      <c r="L176" s="439"/>
      <c r="M176" s="439"/>
      <c r="N176" s="439"/>
      <c r="O176" s="439"/>
      <c r="P176" s="439"/>
      <c r="Q176" s="247"/>
      <c r="R176" s="439"/>
      <c r="S176" s="439"/>
      <c r="T176" s="439"/>
      <c r="U176" s="439"/>
      <c r="V176" s="439"/>
      <c r="W176" s="439"/>
      <c r="X176" s="439"/>
      <c r="Y176" s="439"/>
      <c r="Z176" s="439"/>
      <c r="AA176" s="439"/>
      <c r="AB176" s="439"/>
      <c r="AC176" s="439"/>
    </row>
    <row r="177" ht="15.75" customHeight="1">
      <c r="A177" s="439"/>
      <c r="B177" s="439"/>
      <c r="C177" s="439"/>
      <c r="D177" s="439"/>
      <c r="E177" s="247"/>
      <c r="F177" s="439"/>
      <c r="G177" s="439"/>
      <c r="H177" s="439"/>
      <c r="I177" s="439"/>
      <c r="J177" s="439"/>
      <c r="K177" s="247"/>
      <c r="L177" s="439"/>
      <c r="M177" s="439"/>
      <c r="N177" s="439"/>
      <c r="O177" s="439"/>
      <c r="P177" s="439"/>
      <c r="Q177" s="247"/>
      <c r="R177" s="439"/>
      <c r="S177" s="439"/>
      <c r="T177" s="439"/>
      <c r="U177" s="439"/>
      <c r="V177" s="439"/>
      <c r="W177" s="439"/>
      <c r="X177" s="439"/>
      <c r="Y177" s="439"/>
      <c r="Z177" s="439"/>
      <c r="AA177" s="439"/>
      <c r="AB177" s="439"/>
      <c r="AC177" s="439"/>
    </row>
    <row r="178" ht="15.75" customHeight="1">
      <c r="A178" s="439"/>
      <c r="B178" s="439"/>
      <c r="C178" s="439"/>
      <c r="D178" s="439"/>
      <c r="E178" s="247"/>
      <c r="F178" s="439"/>
      <c r="G178" s="439"/>
      <c r="H178" s="439"/>
      <c r="I178" s="439"/>
      <c r="J178" s="439"/>
      <c r="K178" s="247"/>
      <c r="L178" s="439"/>
      <c r="M178" s="439"/>
      <c r="N178" s="439"/>
      <c r="O178" s="439"/>
      <c r="P178" s="439"/>
      <c r="Q178" s="247"/>
      <c r="R178" s="439"/>
      <c r="S178" s="439"/>
      <c r="T178" s="439"/>
      <c r="U178" s="439"/>
      <c r="V178" s="439"/>
      <c r="W178" s="439"/>
      <c r="X178" s="439"/>
      <c r="Y178" s="439"/>
      <c r="Z178" s="439"/>
      <c r="AA178" s="439"/>
      <c r="AB178" s="439"/>
      <c r="AC178" s="439"/>
    </row>
    <row r="179" ht="15.75" customHeight="1">
      <c r="A179" s="439"/>
      <c r="B179" s="439"/>
      <c r="C179" s="439"/>
      <c r="D179" s="439"/>
      <c r="E179" s="247"/>
      <c r="F179" s="439"/>
      <c r="G179" s="439"/>
      <c r="H179" s="439"/>
      <c r="I179" s="439"/>
      <c r="J179" s="439"/>
      <c r="K179" s="247"/>
      <c r="L179" s="439"/>
      <c r="M179" s="439"/>
      <c r="N179" s="439"/>
      <c r="O179" s="439"/>
      <c r="P179" s="439"/>
      <c r="Q179" s="247"/>
      <c r="R179" s="439"/>
      <c r="S179" s="439"/>
      <c r="T179" s="439"/>
      <c r="U179" s="439"/>
      <c r="V179" s="439"/>
      <c r="W179" s="439"/>
      <c r="X179" s="439"/>
      <c r="Y179" s="439"/>
      <c r="Z179" s="439"/>
      <c r="AA179" s="439"/>
      <c r="AB179" s="439"/>
      <c r="AC179" s="439"/>
    </row>
    <row r="180" ht="15.75" customHeight="1">
      <c r="A180" s="439"/>
      <c r="B180" s="439"/>
      <c r="C180" s="439"/>
      <c r="D180" s="439"/>
      <c r="E180" s="247"/>
      <c r="F180" s="439"/>
      <c r="G180" s="439"/>
      <c r="H180" s="439"/>
      <c r="I180" s="439"/>
      <c r="J180" s="439"/>
      <c r="K180" s="247"/>
      <c r="L180" s="439"/>
      <c r="M180" s="439"/>
      <c r="N180" s="439"/>
      <c r="O180" s="439"/>
      <c r="P180" s="439"/>
      <c r="Q180" s="247"/>
      <c r="R180" s="439"/>
      <c r="S180" s="439"/>
      <c r="T180" s="439"/>
      <c r="U180" s="439"/>
      <c r="V180" s="439"/>
      <c r="W180" s="439"/>
      <c r="X180" s="439"/>
      <c r="Y180" s="439"/>
      <c r="Z180" s="439"/>
      <c r="AA180" s="439"/>
      <c r="AB180" s="439"/>
      <c r="AC180" s="439"/>
    </row>
    <row r="181" ht="15.75" customHeight="1">
      <c r="A181" s="439"/>
      <c r="B181" s="439"/>
      <c r="C181" s="439"/>
      <c r="D181" s="439"/>
      <c r="E181" s="247"/>
      <c r="F181" s="439"/>
      <c r="G181" s="439"/>
      <c r="H181" s="439"/>
      <c r="I181" s="439"/>
      <c r="J181" s="439"/>
      <c r="K181" s="247"/>
      <c r="L181" s="439"/>
      <c r="M181" s="439"/>
      <c r="N181" s="439"/>
      <c r="O181" s="439"/>
      <c r="P181" s="439"/>
      <c r="Q181" s="247"/>
      <c r="R181" s="439"/>
      <c r="S181" s="439"/>
      <c r="T181" s="439"/>
      <c r="U181" s="439"/>
      <c r="V181" s="439"/>
      <c r="W181" s="439"/>
      <c r="X181" s="439"/>
      <c r="Y181" s="439"/>
      <c r="Z181" s="439"/>
      <c r="AA181" s="439"/>
      <c r="AB181" s="439"/>
      <c r="AC181" s="439"/>
    </row>
    <row r="182" ht="15.75" customHeight="1">
      <c r="A182" s="439"/>
      <c r="B182" s="439"/>
      <c r="C182" s="439"/>
      <c r="D182" s="439"/>
      <c r="E182" s="247"/>
      <c r="F182" s="439"/>
      <c r="G182" s="439"/>
      <c r="H182" s="439"/>
      <c r="I182" s="439"/>
      <c r="J182" s="439"/>
      <c r="K182" s="247"/>
      <c r="L182" s="439"/>
      <c r="M182" s="439"/>
      <c r="N182" s="439"/>
      <c r="O182" s="439"/>
      <c r="P182" s="439"/>
      <c r="Q182" s="247"/>
      <c r="R182" s="439"/>
      <c r="S182" s="439"/>
      <c r="T182" s="439"/>
      <c r="U182" s="439"/>
      <c r="V182" s="439"/>
      <c r="W182" s="439"/>
      <c r="X182" s="439"/>
      <c r="Y182" s="439"/>
      <c r="Z182" s="439"/>
      <c r="AA182" s="439"/>
      <c r="AB182" s="439"/>
      <c r="AC182" s="439"/>
    </row>
    <row r="183" ht="15.75" customHeight="1">
      <c r="A183" s="439"/>
      <c r="B183" s="439"/>
      <c r="C183" s="439"/>
      <c r="D183" s="439"/>
      <c r="E183" s="247"/>
      <c r="F183" s="439"/>
      <c r="G183" s="439"/>
      <c r="H183" s="439"/>
      <c r="I183" s="439"/>
      <c r="J183" s="439"/>
      <c r="K183" s="247"/>
      <c r="L183" s="439"/>
      <c r="M183" s="439"/>
      <c r="N183" s="439"/>
      <c r="O183" s="439"/>
      <c r="P183" s="439"/>
      <c r="Q183" s="247"/>
      <c r="R183" s="439"/>
      <c r="S183" s="439"/>
      <c r="T183" s="439"/>
      <c r="U183" s="439"/>
      <c r="V183" s="439"/>
      <c r="W183" s="439"/>
      <c r="X183" s="439"/>
      <c r="Y183" s="439"/>
      <c r="Z183" s="439"/>
      <c r="AA183" s="439"/>
      <c r="AB183" s="439"/>
      <c r="AC183" s="439"/>
    </row>
    <row r="184" ht="15.75" customHeight="1">
      <c r="A184" s="439"/>
      <c r="B184" s="439"/>
      <c r="C184" s="439"/>
      <c r="D184" s="439"/>
      <c r="E184" s="247"/>
      <c r="F184" s="439"/>
      <c r="G184" s="439"/>
      <c r="H184" s="439"/>
      <c r="I184" s="439"/>
      <c r="J184" s="439"/>
      <c r="K184" s="247"/>
      <c r="L184" s="439"/>
      <c r="M184" s="439"/>
      <c r="N184" s="439"/>
      <c r="O184" s="439"/>
      <c r="P184" s="439"/>
      <c r="Q184" s="247"/>
      <c r="R184" s="439"/>
      <c r="S184" s="439"/>
      <c r="T184" s="439"/>
      <c r="U184" s="439"/>
      <c r="V184" s="439"/>
      <c r="W184" s="439"/>
      <c r="X184" s="439"/>
      <c r="Y184" s="439"/>
      <c r="Z184" s="439"/>
      <c r="AA184" s="439"/>
      <c r="AB184" s="439"/>
      <c r="AC184" s="439"/>
    </row>
    <row r="185" ht="15.75" customHeight="1">
      <c r="A185" s="439"/>
      <c r="B185" s="439"/>
      <c r="C185" s="439"/>
      <c r="D185" s="439"/>
      <c r="E185" s="247"/>
      <c r="F185" s="439"/>
      <c r="G185" s="439"/>
      <c r="H185" s="439"/>
      <c r="I185" s="439"/>
      <c r="J185" s="439"/>
      <c r="K185" s="247"/>
      <c r="L185" s="439"/>
      <c r="M185" s="439"/>
      <c r="N185" s="439"/>
      <c r="O185" s="439"/>
      <c r="P185" s="439"/>
      <c r="Q185" s="247"/>
      <c r="R185" s="439"/>
      <c r="S185" s="439"/>
      <c r="T185" s="439"/>
      <c r="U185" s="439"/>
      <c r="V185" s="439"/>
      <c r="W185" s="439"/>
      <c r="X185" s="439"/>
      <c r="Y185" s="439"/>
      <c r="Z185" s="439"/>
      <c r="AA185" s="439"/>
      <c r="AB185" s="439"/>
      <c r="AC185" s="439"/>
    </row>
    <row r="186" ht="15.75" customHeight="1">
      <c r="A186" s="439"/>
      <c r="B186" s="439"/>
      <c r="C186" s="439"/>
      <c r="D186" s="439"/>
      <c r="E186" s="247"/>
      <c r="F186" s="439"/>
      <c r="G186" s="439"/>
      <c r="H186" s="439"/>
      <c r="I186" s="439"/>
      <c r="J186" s="439"/>
      <c r="K186" s="247"/>
      <c r="L186" s="439"/>
      <c r="M186" s="439"/>
      <c r="N186" s="439"/>
      <c r="O186" s="439"/>
      <c r="P186" s="439"/>
      <c r="Q186" s="247"/>
      <c r="R186" s="439"/>
      <c r="S186" s="439"/>
      <c r="T186" s="439"/>
      <c r="U186" s="439"/>
      <c r="V186" s="439"/>
      <c r="W186" s="439"/>
      <c r="X186" s="439"/>
      <c r="Y186" s="439"/>
      <c r="Z186" s="439"/>
      <c r="AA186" s="439"/>
      <c r="AB186" s="439"/>
      <c r="AC186" s="439"/>
    </row>
    <row r="187" ht="15.75" customHeight="1">
      <c r="A187" s="439"/>
      <c r="B187" s="439"/>
      <c r="C187" s="439"/>
      <c r="D187" s="439"/>
      <c r="E187" s="247"/>
      <c r="F187" s="439"/>
      <c r="G187" s="439"/>
      <c r="H187" s="439"/>
      <c r="I187" s="439"/>
      <c r="J187" s="439"/>
      <c r="K187" s="247"/>
      <c r="L187" s="439"/>
      <c r="M187" s="439"/>
      <c r="N187" s="439"/>
      <c r="O187" s="439"/>
      <c r="P187" s="439"/>
      <c r="Q187" s="247"/>
      <c r="R187" s="439"/>
      <c r="S187" s="439"/>
      <c r="T187" s="439"/>
      <c r="U187" s="439"/>
      <c r="V187" s="439"/>
      <c r="W187" s="439"/>
      <c r="X187" s="439"/>
      <c r="Y187" s="439"/>
      <c r="Z187" s="439"/>
      <c r="AA187" s="439"/>
      <c r="AB187" s="439"/>
      <c r="AC187" s="439"/>
    </row>
    <row r="188" ht="15.75" customHeight="1">
      <c r="A188" s="439"/>
      <c r="B188" s="439"/>
      <c r="C188" s="439"/>
      <c r="D188" s="439"/>
      <c r="E188" s="247"/>
      <c r="F188" s="439"/>
      <c r="G188" s="439"/>
      <c r="H188" s="439"/>
      <c r="I188" s="439"/>
      <c r="J188" s="439"/>
      <c r="K188" s="247"/>
      <c r="L188" s="439"/>
      <c r="M188" s="439"/>
      <c r="N188" s="439"/>
      <c r="O188" s="439"/>
      <c r="P188" s="439"/>
      <c r="Q188" s="247"/>
      <c r="R188" s="439"/>
      <c r="S188" s="439"/>
      <c r="T188" s="439"/>
      <c r="U188" s="439"/>
      <c r="V188" s="439"/>
      <c r="W188" s="439"/>
      <c r="X188" s="439"/>
      <c r="Y188" s="439"/>
      <c r="Z188" s="439"/>
      <c r="AA188" s="439"/>
      <c r="AB188" s="439"/>
      <c r="AC188" s="439"/>
    </row>
    <row r="189" ht="15.75" customHeight="1">
      <c r="A189" s="439"/>
      <c r="B189" s="439"/>
      <c r="C189" s="439"/>
      <c r="D189" s="439"/>
      <c r="E189" s="247"/>
      <c r="F189" s="439"/>
      <c r="G189" s="439"/>
      <c r="H189" s="439"/>
      <c r="I189" s="439"/>
      <c r="J189" s="439"/>
      <c r="K189" s="247"/>
      <c r="L189" s="439"/>
      <c r="M189" s="439"/>
      <c r="N189" s="439"/>
      <c r="O189" s="439"/>
      <c r="P189" s="439"/>
      <c r="Q189" s="247"/>
      <c r="R189" s="439"/>
      <c r="S189" s="439"/>
      <c r="T189" s="439"/>
      <c r="U189" s="439"/>
      <c r="V189" s="439"/>
      <c r="W189" s="439"/>
      <c r="X189" s="439"/>
      <c r="Y189" s="439"/>
      <c r="Z189" s="439"/>
      <c r="AA189" s="439"/>
      <c r="AB189" s="439"/>
      <c r="AC189" s="439"/>
    </row>
    <row r="190" ht="15.75" customHeight="1">
      <c r="A190" s="439"/>
      <c r="B190" s="439"/>
      <c r="C190" s="439"/>
      <c r="D190" s="439"/>
      <c r="E190" s="247"/>
      <c r="F190" s="439"/>
      <c r="G190" s="439"/>
      <c r="H190" s="439"/>
      <c r="I190" s="439"/>
      <c r="J190" s="439"/>
      <c r="K190" s="247"/>
      <c r="L190" s="439"/>
      <c r="M190" s="439"/>
      <c r="N190" s="439"/>
      <c r="O190" s="439"/>
      <c r="P190" s="439"/>
      <c r="Q190" s="247"/>
      <c r="R190" s="439"/>
      <c r="S190" s="439"/>
      <c r="T190" s="439"/>
      <c r="U190" s="439"/>
      <c r="V190" s="439"/>
      <c r="W190" s="439"/>
      <c r="X190" s="439"/>
      <c r="Y190" s="439"/>
      <c r="Z190" s="439"/>
      <c r="AA190" s="439"/>
      <c r="AB190" s="439"/>
      <c r="AC190" s="439"/>
    </row>
    <row r="191" ht="15.75" customHeight="1">
      <c r="A191" s="439"/>
      <c r="B191" s="439"/>
      <c r="C191" s="439"/>
      <c r="D191" s="439"/>
      <c r="E191" s="247"/>
      <c r="F191" s="439"/>
      <c r="G191" s="439"/>
      <c r="H191" s="439"/>
      <c r="I191" s="439"/>
      <c r="J191" s="439"/>
      <c r="K191" s="247"/>
      <c r="L191" s="439"/>
      <c r="M191" s="439"/>
      <c r="N191" s="439"/>
      <c r="O191" s="439"/>
      <c r="P191" s="439"/>
      <c r="Q191" s="247"/>
      <c r="R191" s="439"/>
      <c r="S191" s="439"/>
      <c r="T191" s="439"/>
      <c r="U191" s="439"/>
      <c r="V191" s="439"/>
      <c r="W191" s="439"/>
      <c r="X191" s="439"/>
      <c r="Y191" s="439"/>
      <c r="Z191" s="439"/>
      <c r="AA191" s="439"/>
      <c r="AB191" s="439"/>
      <c r="AC191" s="439"/>
    </row>
    <row r="192" ht="15.75" customHeight="1">
      <c r="A192" s="439"/>
      <c r="B192" s="439"/>
      <c r="C192" s="439"/>
      <c r="D192" s="439"/>
      <c r="E192" s="247"/>
      <c r="F192" s="439"/>
      <c r="G192" s="439"/>
      <c r="H192" s="439"/>
      <c r="I192" s="439"/>
      <c r="J192" s="439"/>
      <c r="K192" s="247"/>
      <c r="L192" s="439"/>
      <c r="M192" s="439"/>
      <c r="N192" s="439"/>
      <c r="O192" s="439"/>
      <c r="P192" s="439"/>
      <c r="Q192" s="247"/>
      <c r="R192" s="439"/>
      <c r="S192" s="439"/>
      <c r="T192" s="439"/>
      <c r="U192" s="439"/>
      <c r="V192" s="439"/>
      <c r="W192" s="439"/>
      <c r="X192" s="439"/>
      <c r="Y192" s="439"/>
      <c r="Z192" s="439"/>
      <c r="AA192" s="439"/>
      <c r="AB192" s="439"/>
      <c r="AC192" s="439"/>
    </row>
    <row r="193" ht="15.75" customHeight="1">
      <c r="A193" s="439"/>
      <c r="B193" s="439"/>
      <c r="C193" s="439"/>
      <c r="D193" s="439"/>
      <c r="E193" s="247"/>
      <c r="F193" s="439"/>
      <c r="G193" s="439"/>
      <c r="H193" s="439"/>
      <c r="I193" s="439"/>
      <c r="J193" s="439"/>
      <c r="K193" s="247"/>
      <c r="L193" s="439"/>
      <c r="M193" s="439"/>
      <c r="N193" s="439"/>
      <c r="O193" s="439"/>
      <c r="P193" s="439"/>
      <c r="Q193" s="247"/>
      <c r="R193" s="439"/>
      <c r="S193" s="439"/>
      <c r="T193" s="439"/>
      <c r="U193" s="439"/>
      <c r="V193" s="439"/>
      <c r="W193" s="439"/>
      <c r="X193" s="439"/>
      <c r="Y193" s="439"/>
      <c r="Z193" s="439"/>
      <c r="AA193" s="439"/>
      <c r="AB193" s="439"/>
      <c r="AC193" s="439"/>
    </row>
    <row r="194" ht="15.75" customHeight="1">
      <c r="A194" s="439"/>
      <c r="B194" s="439"/>
      <c r="C194" s="439"/>
      <c r="D194" s="439"/>
      <c r="E194" s="247"/>
      <c r="F194" s="439"/>
      <c r="G194" s="439"/>
      <c r="H194" s="439"/>
      <c r="I194" s="439"/>
      <c r="J194" s="439"/>
      <c r="K194" s="247"/>
      <c r="L194" s="439"/>
      <c r="M194" s="439"/>
      <c r="N194" s="439"/>
      <c r="O194" s="439"/>
      <c r="P194" s="439"/>
      <c r="Q194" s="247"/>
      <c r="R194" s="439"/>
      <c r="S194" s="439"/>
      <c r="T194" s="439"/>
      <c r="U194" s="439"/>
      <c r="V194" s="439"/>
      <c r="W194" s="439"/>
      <c r="X194" s="439"/>
      <c r="Y194" s="439"/>
      <c r="Z194" s="439"/>
      <c r="AA194" s="439"/>
      <c r="AB194" s="439"/>
      <c r="AC194" s="439"/>
    </row>
    <row r="195" ht="15.75" customHeight="1">
      <c r="A195" s="439"/>
      <c r="B195" s="439"/>
      <c r="C195" s="439"/>
      <c r="D195" s="439"/>
      <c r="E195" s="247"/>
      <c r="F195" s="439"/>
      <c r="G195" s="439"/>
      <c r="H195" s="439"/>
      <c r="I195" s="439"/>
      <c r="J195" s="439"/>
      <c r="K195" s="247"/>
      <c r="L195" s="439"/>
      <c r="M195" s="439"/>
      <c r="N195" s="439"/>
      <c r="O195" s="439"/>
      <c r="P195" s="439"/>
      <c r="Q195" s="247"/>
      <c r="R195" s="439"/>
      <c r="S195" s="439"/>
      <c r="T195" s="439"/>
      <c r="U195" s="439"/>
      <c r="V195" s="439"/>
      <c r="W195" s="439"/>
      <c r="X195" s="439"/>
      <c r="Y195" s="439"/>
      <c r="Z195" s="439"/>
      <c r="AA195" s="439"/>
      <c r="AB195" s="439"/>
      <c r="AC195" s="439"/>
    </row>
    <row r="196" ht="15.75" customHeight="1">
      <c r="A196" s="439"/>
      <c r="B196" s="439"/>
      <c r="C196" s="439"/>
      <c r="D196" s="439"/>
      <c r="E196" s="247"/>
      <c r="F196" s="439"/>
      <c r="G196" s="439"/>
      <c r="H196" s="439"/>
      <c r="I196" s="439"/>
      <c r="J196" s="439"/>
      <c r="K196" s="247"/>
      <c r="L196" s="439"/>
      <c r="M196" s="439"/>
      <c r="N196" s="439"/>
      <c r="O196" s="439"/>
      <c r="P196" s="439"/>
      <c r="Q196" s="247"/>
      <c r="R196" s="439"/>
      <c r="S196" s="439"/>
      <c r="T196" s="439"/>
      <c r="U196" s="439"/>
      <c r="V196" s="439"/>
      <c r="W196" s="439"/>
      <c r="X196" s="439"/>
      <c r="Y196" s="439"/>
      <c r="Z196" s="439"/>
      <c r="AA196" s="439"/>
      <c r="AB196" s="439"/>
      <c r="AC196" s="439"/>
    </row>
    <row r="197" ht="15.75" customHeight="1">
      <c r="A197" s="439"/>
      <c r="B197" s="439"/>
      <c r="C197" s="439"/>
      <c r="D197" s="439"/>
      <c r="E197" s="247"/>
      <c r="F197" s="439"/>
      <c r="G197" s="439"/>
      <c r="H197" s="439"/>
      <c r="I197" s="439"/>
      <c r="J197" s="439"/>
      <c r="K197" s="247"/>
      <c r="L197" s="439"/>
      <c r="M197" s="439"/>
      <c r="N197" s="439"/>
      <c r="O197" s="439"/>
      <c r="P197" s="439"/>
      <c r="Q197" s="247"/>
      <c r="R197" s="439"/>
      <c r="S197" s="439"/>
      <c r="T197" s="439"/>
      <c r="U197" s="439"/>
      <c r="V197" s="439"/>
      <c r="W197" s="439"/>
      <c r="X197" s="439"/>
      <c r="Y197" s="439"/>
      <c r="Z197" s="439"/>
      <c r="AA197" s="439"/>
      <c r="AB197" s="439"/>
      <c r="AC197" s="439"/>
    </row>
    <row r="198" ht="15.75" customHeight="1">
      <c r="A198" s="439"/>
      <c r="B198" s="439"/>
      <c r="C198" s="439"/>
      <c r="D198" s="439"/>
      <c r="E198" s="247"/>
      <c r="F198" s="439"/>
      <c r="G198" s="439"/>
      <c r="H198" s="439"/>
      <c r="I198" s="439"/>
      <c r="J198" s="439"/>
      <c r="K198" s="247"/>
      <c r="L198" s="439"/>
      <c r="M198" s="439"/>
      <c r="N198" s="439"/>
      <c r="O198" s="439"/>
      <c r="P198" s="439"/>
      <c r="Q198" s="247"/>
      <c r="R198" s="439"/>
      <c r="S198" s="439"/>
      <c r="T198" s="439"/>
      <c r="U198" s="439"/>
      <c r="V198" s="439"/>
      <c r="W198" s="439"/>
      <c r="X198" s="439"/>
      <c r="Y198" s="439"/>
      <c r="Z198" s="439"/>
      <c r="AA198" s="439"/>
      <c r="AB198" s="439"/>
      <c r="AC198" s="439"/>
    </row>
    <row r="199" ht="15.75" customHeight="1">
      <c r="A199" s="439"/>
      <c r="B199" s="439"/>
      <c r="C199" s="439"/>
      <c r="D199" s="439"/>
      <c r="E199" s="247"/>
      <c r="F199" s="439"/>
      <c r="G199" s="439"/>
      <c r="H199" s="439"/>
      <c r="I199" s="439"/>
      <c r="J199" s="439"/>
      <c r="K199" s="247"/>
      <c r="L199" s="439"/>
      <c r="M199" s="439"/>
      <c r="N199" s="439"/>
      <c r="O199" s="439"/>
      <c r="P199" s="439"/>
      <c r="Q199" s="247"/>
      <c r="R199" s="439"/>
      <c r="S199" s="439"/>
      <c r="T199" s="439"/>
      <c r="U199" s="439"/>
      <c r="V199" s="439"/>
      <c r="W199" s="439"/>
      <c r="X199" s="439"/>
      <c r="Y199" s="439"/>
      <c r="Z199" s="439"/>
      <c r="AA199" s="439"/>
      <c r="AB199" s="439"/>
      <c r="AC199" s="439"/>
    </row>
    <row r="200" ht="15.75" customHeight="1">
      <c r="A200" s="439"/>
      <c r="B200" s="439"/>
      <c r="C200" s="439"/>
      <c r="D200" s="439"/>
      <c r="E200" s="247"/>
      <c r="F200" s="439"/>
      <c r="G200" s="439"/>
      <c r="H200" s="439"/>
      <c r="I200" s="439"/>
      <c r="J200" s="439"/>
      <c r="K200" s="247"/>
      <c r="L200" s="439"/>
      <c r="M200" s="439"/>
      <c r="N200" s="439"/>
      <c r="O200" s="439"/>
      <c r="P200" s="439"/>
      <c r="Q200" s="247"/>
      <c r="R200" s="439"/>
      <c r="S200" s="439"/>
      <c r="T200" s="439"/>
      <c r="U200" s="439"/>
      <c r="V200" s="439"/>
      <c r="W200" s="439"/>
      <c r="X200" s="439"/>
      <c r="Y200" s="439"/>
      <c r="Z200" s="439"/>
      <c r="AA200" s="439"/>
      <c r="AB200" s="439"/>
      <c r="AC200" s="439"/>
    </row>
    <row r="201" ht="15.75" customHeight="1">
      <c r="A201" s="439"/>
      <c r="B201" s="439"/>
      <c r="C201" s="439"/>
      <c r="D201" s="439"/>
      <c r="E201" s="247"/>
      <c r="F201" s="439"/>
      <c r="G201" s="439"/>
      <c r="H201" s="439"/>
      <c r="I201" s="439"/>
      <c r="J201" s="439"/>
      <c r="K201" s="247"/>
      <c r="L201" s="439"/>
      <c r="M201" s="439"/>
      <c r="N201" s="439"/>
      <c r="O201" s="439"/>
      <c r="P201" s="439"/>
      <c r="Q201" s="247"/>
      <c r="R201" s="439"/>
      <c r="S201" s="439"/>
      <c r="T201" s="439"/>
      <c r="U201" s="439"/>
      <c r="V201" s="439"/>
      <c r="W201" s="439"/>
      <c r="X201" s="439"/>
      <c r="Y201" s="439"/>
      <c r="Z201" s="439"/>
      <c r="AA201" s="439"/>
      <c r="AB201" s="439"/>
      <c r="AC201" s="439"/>
    </row>
    <row r="202" ht="15.75" customHeight="1">
      <c r="A202" s="439"/>
      <c r="B202" s="439"/>
      <c r="C202" s="439"/>
      <c r="D202" s="439"/>
      <c r="E202" s="247"/>
      <c r="F202" s="439"/>
      <c r="G202" s="439"/>
      <c r="H202" s="439"/>
      <c r="I202" s="439"/>
      <c r="J202" s="439"/>
      <c r="K202" s="247"/>
      <c r="L202" s="439"/>
      <c r="M202" s="439"/>
      <c r="N202" s="439"/>
      <c r="O202" s="439"/>
      <c r="P202" s="439"/>
      <c r="Q202" s="247"/>
      <c r="R202" s="439"/>
      <c r="S202" s="439"/>
      <c r="T202" s="439"/>
      <c r="U202" s="439"/>
      <c r="V202" s="439"/>
      <c r="W202" s="439"/>
      <c r="X202" s="439"/>
      <c r="Y202" s="439"/>
      <c r="Z202" s="439"/>
      <c r="AA202" s="439"/>
      <c r="AB202" s="439"/>
      <c r="AC202" s="439"/>
    </row>
    <row r="203" ht="15.75" customHeight="1">
      <c r="A203" s="439"/>
      <c r="B203" s="439"/>
      <c r="C203" s="439"/>
      <c r="D203" s="439"/>
      <c r="E203" s="247"/>
      <c r="F203" s="439"/>
      <c r="G203" s="439"/>
      <c r="H203" s="439"/>
      <c r="I203" s="439"/>
      <c r="J203" s="439"/>
      <c r="K203" s="247"/>
      <c r="L203" s="439"/>
      <c r="M203" s="439"/>
      <c r="N203" s="439"/>
      <c r="O203" s="439"/>
      <c r="P203" s="439"/>
      <c r="Q203" s="247"/>
      <c r="R203" s="439"/>
      <c r="S203" s="439"/>
      <c r="T203" s="439"/>
      <c r="U203" s="439"/>
      <c r="V203" s="439"/>
      <c r="W203" s="439"/>
      <c r="X203" s="439"/>
      <c r="Y203" s="439"/>
      <c r="Z203" s="439"/>
      <c r="AA203" s="439"/>
      <c r="AB203" s="439"/>
      <c r="AC203" s="439"/>
    </row>
    <row r="204" ht="15.75" customHeight="1">
      <c r="A204" s="439"/>
      <c r="B204" s="439"/>
      <c r="C204" s="439"/>
      <c r="D204" s="439"/>
      <c r="E204" s="247"/>
      <c r="F204" s="439"/>
      <c r="G204" s="439"/>
      <c r="H204" s="439"/>
      <c r="I204" s="439"/>
      <c r="J204" s="439"/>
      <c r="K204" s="247"/>
      <c r="L204" s="439"/>
      <c r="M204" s="439"/>
      <c r="N204" s="439"/>
      <c r="O204" s="439"/>
      <c r="P204" s="439"/>
      <c r="Q204" s="247"/>
      <c r="R204" s="439"/>
      <c r="S204" s="439"/>
      <c r="T204" s="439"/>
      <c r="U204" s="439"/>
      <c r="V204" s="439"/>
      <c r="W204" s="439"/>
      <c r="X204" s="439"/>
      <c r="Y204" s="439"/>
      <c r="Z204" s="439"/>
      <c r="AA204" s="439"/>
      <c r="AB204" s="439"/>
      <c r="AC204" s="439"/>
    </row>
    <row r="205" ht="15.75" customHeight="1">
      <c r="A205" s="439"/>
      <c r="B205" s="439"/>
      <c r="C205" s="439"/>
      <c r="D205" s="439"/>
      <c r="E205" s="247"/>
      <c r="F205" s="439"/>
      <c r="G205" s="439"/>
      <c r="H205" s="439"/>
      <c r="I205" s="439"/>
      <c r="J205" s="439"/>
      <c r="K205" s="247"/>
      <c r="L205" s="439"/>
      <c r="M205" s="439"/>
      <c r="N205" s="439"/>
      <c r="O205" s="439"/>
      <c r="P205" s="439"/>
      <c r="Q205" s="247"/>
      <c r="R205" s="439"/>
      <c r="S205" s="439"/>
      <c r="T205" s="439"/>
      <c r="U205" s="439"/>
      <c r="V205" s="439"/>
      <c r="W205" s="439"/>
      <c r="X205" s="439"/>
      <c r="Y205" s="439"/>
      <c r="Z205" s="439"/>
      <c r="AA205" s="439"/>
      <c r="AB205" s="439"/>
      <c r="AC205" s="439"/>
    </row>
    <row r="206" ht="15.75" customHeight="1">
      <c r="A206" s="439"/>
      <c r="B206" s="439"/>
      <c r="C206" s="439"/>
      <c r="D206" s="439"/>
      <c r="E206" s="247"/>
      <c r="F206" s="439"/>
      <c r="G206" s="439"/>
      <c r="H206" s="439"/>
      <c r="I206" s="439"/>
      <c r="J206" s="439"/>
      <c r="K206" s="247"/>
      <c r="L206" s="439"/>
      <c r="M206" s="439"/>
      <c r="N206" s="439"/>
      <c r="O206" s="439"/>
      <c r="P206" s="439"/>
      <c r="Q206" s="247"/>
      <c r="R206" s="439"/>
      <c r="S206" s="439"/>
      <c r="T206" s="439"/>
      <c r="U206" s="439"/>
      <c r="V206" s="439"/>
      <c r="W206" s="439"/>
      <c r="X206" s="439"/>
      <c r="Y206" s="439"/>
      <c r="Z206" s="439"/>
      <c r="AA206" s="439"/>
      <c r="AB206" s="439"/>
      <c r="AC206" s="439"/>
    </row>
    <row r="207" ht="15.75" customHeight="1">
      <c r="A207" s="439"/>
      <c r="B207" s="439"/>
      <c r="C207" s="439"/>
      <c r="D207" s="439"/>
      <c r="E207" s="247"/>
      <c r="F207" s="439"/>
      <c r="G207" s="439"/>
      <c r="H207" s="439"/>
      <c r="I207" s="439"/>
      <c r="J207" s="439"/>
      <c r="K207" s="247"/>
      <c r="L207" s="439"/>
      <c r="M207" s="439"/>
      <c r="N207" s="439"/>
      <c r="O207" s="439"/>
      <c r="P207" s="439"/>
      <c r="Q207" s="247"/>
      <c r="R207" s="439"/>
      <c r="S207" s="439"/>
      <c r="T207" s="439"/>
      <c r="U207" s="439"/>
      <c r="V207" s="439"/>
      <c r="W207" s="439"/>
      <c r="X207" s="439"/>
      <c r="Y207" s="439"/>
      <c r="Z207" s="439"/>
      <c r="AA207" s="439"/>
      <c r="AB207" s="439"/>
      <c r="AC207" s="439"/>
    </row>
    <row r="208" ht="15.75" customHeight="1">
      <c r="A208" s="439"/>
      <c r="B208" s="439"/>
      <c r="C208" s="439"/>
      <c r="D208" s="439"/>
      <c r="E208" s="247"/>
      <c r="F208" s="439"/>
      <c r="G208" s="439"/>
      <c r="H208" s="439"/>
      <c r="I208" s="439"/>
      <c r="J208" s="439"/>
      <c r="K208" s="247"/>
      <c r="L208" s="439"/>
      <c r="M208" s="439"/>
      <c r="N208" s="439"/>
      <c r="O208" s="439"/>
      <c r="P208" s="439"/>
      <c r="Q208" s="247"/>
      <c r="R208" s="439"/>
      <c r="S208" s="439"/>
      <c r="T208" s="439"/>
      <c r="U208" s="439"/>
      <c r="V208" s="439"/>
      <c r="W208" s="439"/>
      <c r="X208" s="439"/>
      <c r="Y208" s="439"/>
      <c r="Z208" s="439"/>
      <c r="AA208" s="439"/>
      <c r="AB208" s="439"/>
      <c r="AC208" s="439"/>
    </row>
    <row r="209" ht="15.75" customHeight="1">
      <c r="A209" s="439"/>
      <c r="B209" s="439"/>
      <c r="C209" s="439"/>
      <c r="D209" s="439"/>
      <c r="E209" s="247"/>
      <c r="F209" s="439"/>
      <c r="G209" s="439"/>
      <c r="H209" s="439"/>
      <c r="I209" s="439"/>
      <c r="J209" s="439"/>
      <c r="K209" s="247"/>
      <c r="L209" s="439"/>
      <c r="M209" s="439"/>
      <c r="N209" s="439"/>
      <c r="O209" s="439"/>
      <c r="P209" s="439"/>
      <c r="Q209" s="247"/>
      <c r="R209" s="439"/>
      <c r="S209" s="439"/>
      <c r="T209" s="439"/>
      <c r="U209" s="439"/>
      <c r="V209" s="439"/>
      <c r="W209" s="439"/>
      <c r="X209" s="439"/>
      <c r="Y209" s="439"/>
      <c r="Z209" s="439"/>
      <c r="AA209" s="439"/>
      <c r="AB209" s="439"/>
      <c r="AC209" s="439"/>
    </row>
    <row r="210" ht="15.75" customHeight="1">
      <c r="A210" s="439"/>
      <c r="B210" s="439"/>
      <c r="C210" s="439"/>
      <c r="D210" s="439"/>
      <c r="E210" s="247"/>
      <c r="F210" s="439"/>
      <c r="G210" s="439"/>
      <c r="H210" s="439"/>
      <c r="I210" s="439"/>
      <c r="J210" s="439"/>
      <c r="K210" s="247"/>
      <c r="L210" s="439"/>
      <c r="M210" s="439"/>
      <c r="N210" s="439"/>
      <c r="O210" s="439"/>
      <c r="P210" s="439"/>
      <c r="Q210" s="247"/>
      <c r="R210" s="439"/>
      <c r="S210" s="439"/>
      <c r="T210" s="439"/>
      <c r="U210" s="439"/>
      <c r="V210" s="439"/>
      <c r="W210" s="439"/>
      <c r="X210" s="439"/>
      <c r="Y210" s="439"/>
      <c r="Z210" s="439"/>
      <c r="AA210" s="439"/>
      <c r="AB210" s="439"/>
      <c r="AC210" s="439"/>
    </row>
    <row r="211" ht="15.75" customHeight="1">
      <c r="A211" s="439"/>
      <c r="B211" s="439"/>
      <c r="C211" s="439"/>
      <c r="D211" s="439"/>
      <c r="E211" s="247"/>
      <c r="F211" s="439"/>
      <c r="G211" s="439"/>
      <c r="H211" s="439"/>
      <c r="I211" s="439"/>
      <c r="J211" s="439"/>
      <c r="K211" s="247"/>
      <c r="L211" s="439"/>
      <c r="M211" s="439"/>
      <c r="N211" s="439"/>
      <c r="O211" s="439"/>
      <c r="P211" s="439"/>
      <c r="Q211" s="247"/>
      <c r="R211" s="439"/>
      <c r="S211" s="439"/>
      <c r="T211" s="439"/>
      <c r="U211" s="439"/>
      <c r="V211" s="439"/>
      <c r="W211" s="439"/>
      <c r="X211" s="439"/>
      <c r="Y211" s="439"/>
      <c r="Z211" s="439"/>
      <c r="AA211" s="439"/>
      <c r="AB211" s="439"/>
      <c r="AC211" s="439"/>
    </row>
    <row r="212" ht="15.75" customHeight="1">
      <c r="A212" s="439"/>
      <c r="B212" s="439"/>
      <c r="C212" s="439"/>
      <c r="D212" s="439"/>
      <c r="E212" s="247"/>
      <c r="F212" s="439"/>
      <c r="G212" s="439"/>
      <c r="H212" s="439"/>
      <c r="I212" s="439"/>
      <c r="J212" s="439"/>
      <c r="K212" s="247"/>
      <c r="L212" s="439"/>
      <c r="M212" s="439"/>
      <c r="N212" s="439"/>
      <c r="O212" s="439"/>
      <c r="P212" s="439"/>
      <c r="Q212" s="247"/>
      <c r="R212" s="439"/>
      <c r="S212" s="439"/>
      <c r="T212" s="439"/>
      <c r="U212" s="439"/>
      <c r="V212" s="439"/>
      <c r="W212" s="439"/>
      <c r="X212" s="439"/>
      <c r="Y212" s="439"/>
      <c r="Z212" s="439"/>
      <c r="AA212" s="439"/>
      <c r="AB212" s="439"/>
      <c r="AC212" s="439"/>
    </row>
    <row r="213" ht="15.75" customHeight="1">
      <c r="A213" s="439"/>
      <c r="B213" s="439"/>
      <c r="C213" s="439"/>
      <c r="D213" s="439"/>
      <c r="E213" s="247"/>
      <c r="F213" s="439"/>
      <c r="G213" s="439"/>
      <c r="H213" s="439"/>
      <c r="I213" s="439"/>
      <c r="J213" s="439"/>
      <c r="K213" s="247"/>
      <c r="L213" s="439"/>
      <c r="M213" s="439"/>
      <c r="N213" s="439"/>
      <c r="O213" s="439"/>
      <c r="P213" s="439"/>
      <c r="Q213" s="247"/>
      <c r="R213" s="439"/>
      <c r="S213" s="439"/>
      <c r="T213" s="439"/>
      <c r="U213" s="439"/>
      <c r="V213" s="439"/>
      <c r="W213" s="439"/>
      <c r="X213" s="439"/>
      <c r="Y213" s="439"/>
      <c r="Z213" s="439"/>
      <c r="AA213" s="439"/>
      <c r="AB213" s="439"/>
      <c r="AC213" s="439"/>
    </row>
    <row r="214" ht="15.75" customHeight="1">
      <c r="A214" s="439"/>
      <c r="B214" s="439"/>
      <c r="C214" s="439"/>
      <c r="D214" s="439"/>
      <c r="E214" s="247"/>
      <c r="F214" s="439"/>
      <c r="G214" s="439"/>
      <c r="H214" s="439"/>
      <c r="I214" s="439"/>
      <c r="J214" s="439"/>
      <c r="K214" s="247"/>
      <c r="L214" s="439"/>
      <c r="M214" s="439"/>
      <c r="N214" s="439"/>
      <c r="O214" s="439"/>
      <c r="P214" s="439"/>
      <c r="Q214" s="247"/>
      <c r="R214" s="439"/>
      <c r="S214" s="439"/>
      <c r="T214" s="439"/>
      <c r="U214" s="439"/>
      <c r="V214" s="439"/>
      <c r="W214" s="439"/>
      <c r="X214" s="439"/>
      <c r="Y214" s="439"/>
      <c r="Z214" s="439"/>
      <c r="AA214" s="439"/>
      <c r="AB214" s="439"/>
      <c r="AC214" s="439"/>
    </row>
    <row r="215" ht="15.75" customHeight="1">
      <c r="A215" s="439"/>
      <c r="B215" s="439"/>
      <c r="C215" s="439"/>
      <c r="D215" s="439"/>
      <c r="E215" s="247"/>
      <c r="F215" s="439"/>
      <c r="G215" s="439"/>
      <c r="H215" s="439"/>
      <c r="I215" s="439"/>
      <c r="J215" s="439"/>
      <c r="K215" s="247"/>
      <c r="L215" s="439"/>
      <c r="M215" s="439"/>
      <c r="N215" s="439"/>
      <c r="O215" s="439"/>
      <c r="P215" s="439"/>
      <c r="Q215" s="247"/>
      <c r="R215" s="439"/>
      <c r="S215" s="439"/>
      <c r="T215" s="439"/>
      <c r="U215" s="439"/>
      <c r="V215" s="439"/>
      <c r="W215" s="439"/>
      <c r="X215" s="439"/>
      <c r="Y215" s="439"/>
      <c r="Z215" s="439"/>
      <c r="AA215" s="439"/>
      <c r="AB215" s="439"/>
      <c r="AC215" s="439"/>
    </row>
    <row r="216" ht="15.75" customHeight="1">
      <c r="A216" s="439"/>
      <c r="B216" s="439"/>
      <c r="C216" s="439"/>
      <c r="D216" s="439"/>
      <c r="E216" s="247"/>
      <c r="F216" s="439"/>
      <c r="G216" s="439"/>
      <c r="H216" s="439"/>
      <c r="I216" s="439"/>
      <c r="J216" s="439"/>
      <c r="K216" s="247"/>
      <c r="L216" s="439"/>
      <c r="M216" s="439"/>
      <c r="N216" s="439"/>
      <c r="O216" s="439"/>
      <c r="P216" s="439"/>
      <c r="Q216" s="247"/>
      <c r="R216" s="439"/>
      <c r="S216" s="439"/>
      <c r="T216" s="439"/>
      <c r="U216" s="439"/>
      <c r="V216" s="439"/>
      <c r="W216" s="439"/>
      <c r="X216" s="439"/>
      <c r="Y216" s="439"/>
      <c r="Z216" s="439"/>
      <c r="AA216" s="439"/>
      <c r="AB216" s="439"/>
      <c r="AC216" s="439"/>
    </row>
    <row r="217" ht="15.75" customHeight="1">
      <c r="A217" s="439"/>
      <c r="B217" s="439"/>
      <c r="C217" s="439"/>
      <c r="D217" s="439"/>
      <c r="E217" s="247"/>
      <c r="F217" s="439"/>
      <c r="G217" s="439"/>
      <c r="H217" s="439"/>
      <c r="I217" s="439"/>
      <c r="J217" s="439"/>
      <c r="K217" s="247"/>
      <c r="L217" s="439"/>
      <c r="M217" s="439"/>
      <c r="N217" s="439"/>
      <c r="O217" s="439"/>
      <c r="P217" s="439"/>
      <c r="Q217" s="247"/>
      <c r="R217" s="439"/>
      <c r="S217" s="439"/>
      <c r="T217" s="439"/>
      <c r="U217" s="439"/>
      <c r="V217" s="439"/>
      <c r="W217" s="439"/>
      <c r="X217" s="439"/>
      <c r="Y217" s="439"/>
      <c r="Z217" s="439"/>
      <c r="AA217" s="439"/>
      <c r="AB217" s="439"/>
      <c r="AC217" s="439"/>
    </row>
    <row r="218" ht="15.75" customHeight="1">
      <c r="A218" s="439"/>
      <c r="B218" s="439"/>
      <c r="C218" s="439"/>
      <c r="D218" s="439"/>
      <c r="E218" s="247"/>
      <c r="F218" s="439"/>
      <c r="G218" s="439"/>
      <c r="H218" s="439"/>
      <c r="I218" s="439"/>
      <c r="J218" s="439"/>
      <c r="K218" s="247"/>
      <c r="L218" s="439"/>
      <c r="M218" s="439"/>
      <c r="N218" s="439"/>
      <c r="O218" s="439"/>
      <c r="P218" s="439"/>
      <c r="Q218" s="247"/>
      <c r="R218" s="439"/>
      <c r="S218" s="439"/>
      <c r="T218" s="439"/>
      <c r="U218" s="439"/>
      <c r="V218" s="439"/>
      <c r="W218" s="439"/>
      <c r="X218" s="439"/>
      <c r="Y218" s="439"/>
      <c r="Z218" s="439"/>
      <c r="AA218" s="439"/>
      <c r="AB218" s="439"/>
      <c r="AC218" s="439"/>
    </row>
    <row r="219" ht="15.75" customHeight="1">
      <c r="A219" s="439"/>
      <c r="B219" s="439"/>
      <c r="C219" s="439"/>
      <c r="D219" s="439"/>
      <c r="E219" s="247"/>
      <c r="F219" s="439"/>
      <c r="G219" s="439"/>
      <c r="H219" s="439"/>
      <c r="I219" s="439"/>
      <c r="J219" s="439"/>
      <c r="K219" s="247"/>
      <c r="L219" s="439"/>
      <c r="M219" s="439"/>
      <c r="N219" s="439"/>
      <c r="O219" s="439"/>
      <c r="P219" s="439"/>
      <c r="Q219" s="247"/>
      <c r="R219" s="439"/>
      <c r="S219" s="439"/>
      <c r="T219" s="439"/>
      <c r="U219" s="439"/>
      <c r="V219" s="439"/>
      <c r="W219" s="439"/>
      <c r="X219" s="439"/>
      <c r="Y219" s="439"/>
      <c r="Z219" s="439"/>
      <c r="AA219" s="439"/>
      <c r="AB219" s="439"/>
      <c r="AC219" s="439"/>
    </row>
    <row r="220" ht="15.75" customHeight="1">
      <c r="A220" s="439"/>
      <c r="B220" s="439"/>
      <c r="C220" s="439"/>
      <c r="D220" s="439"/>
      <c r="E220" s="247"/>
      <c r="F220" s="439"/>
      <c r="G220" s="439"/>
      <c r="H220" s="439"/>
      <c r="I220" s="439"/>
      <c r="J220" s="439"/>
      <c r="K220" s="247"/>
      <c r="L220" s="439"/>
      <c r="M220" s="439"/>
      <c r="N220" s="439"/>
      <c r="O220" s="439"/>
      <c r="P220" s="439"/>
      <c r="Q220" s="247"/>
      <c r="R220" s="439"/>
      <c r="S220" s="439"/>
      <c r="T220" s="439"/>
      <c r="U220" s="439"/>
      <c r="V220" s="439"/>
      <c r="W220" s="439"/>
      <c r="X220" s="439"/>
      <c r="Y220" s="439"/>
      <c r="Z220" s="439"/>
      <c r="AA220" s="439"/>
      <c r="AB220" s="439"/>
      <c r="AC220" s="439"/>
    </row>
    <row r="221" ht="15.75" customHeight="1">
      <c r="A221" s="439"/>
      <c r="B221" s="439"/>
      <c r="C221" s="439"/>
      <c r="D221" s="439"/>
      <c r="E221" s="247"/>
      <c r="F221" s="439"/>
      <c r="G221" s="439"/>
      <c r="H221" s="439"/>
      <c r="I221" s="439"/>
      <c r="J221" s="439"/>
      <c r="K221" s="247"/>
      <c r="L221" s="439"/>
      <c r="M221" s="439"/>
      <c r="N221" s="439"/>
      <c r="O221" s="439"/>
      <c r="P221" s="439"/>
      <c r="Q221" s="247"/>
      <c r="R221" s="439"/>
      <c r="S221" s="439"/>
      <c r="T221" s="439"/>
      <c r="U221" s="439"/>
      <c r="V221" s="439"/>
      <c r="W221" s="439"/>
      <c r="X221" s="439"/>
      <c r="Y221" s="439"/>
      <c r="Z221" s="439"/>
      <c r="AA221" s="439"/>
      <c r="AB221" s="439"/>
      <c r="AC221" s="439"/>
    </row>
    <row r="222" ht="15.75" customHeight="1">
      <c r="A222" s="439"/>
      <c r="B222" s="439"/>
      <c r="C222" s="439"/>
      <c r="D222" s="439"/>
      <c r="E222" s="247"/>
      <c r="F222" s="439"/>
      <c r="G222" s="439"/>
      <c r="H222" s="439"/>
      <c r="I222" s="439"/>
      <c r="J222" s="439"/>
      <c r="K222" s="247"/>
      <c r="L222" s="439"/>
      <c r="M222" s="439"/>
      <c r="N222" s="439"/>
      <c r="O222" s="439"/>
      <c r="P222" s="439"/>
      <c r="Q222" s="247"/>
      <c r="R222" s="439"/>
      <c r="S222" s="439"/>
      <c r="T222" s="439"/>
      <c r="U222" s="439"/>
      <c r="V222" s="439"/>
      <c r="W222" s="439"/>
      <c r="X222" s="439"/>
      <c r="Y222" s="439"/>
      <c r="Z222" s="439"/>
      <c r="AA222" s="439"/>
      <c r="AB222" s="439"/>
      <c r="AC222" s="439"/>
    </row>
    <row r="223" ht="15.75" customHeight="1">
      <c r="A223" s="439"/>
      <c r="B223" s="439"/>
      <c r="C223" s="439"/>
      <c r="D223" s="439"/>
      <c r="E223" s="247"/>
      <c r="F223" s="439"/>
      <c r="G223" s="439"/>
      <c r="H223" s="439"/>
      <c r="I223" s="439"/>
      <c r="J223" s="439"/>
      <c r="K223" s="247"/>
      <c r="L223" s="439"/>
      <c r="M223" s="439"/>
      <c r="N223" s="439"/>
      <c r="O223" s="439"/>
      <c r="P223" s="439"/>
      <c r="Q223" s="247"/>
      <c r="R223" s="439"/>
      <c r="S223" s="439"/>
      <c r="T223" s="439"/>
      <c r="U223" s="439"/>
      <c r="V223" s="439"/>
      <c r="W223" s="439"/>
      <c r="X223" s="439"/>
      <c r="Y223" s="439"/>
      <c r="Z223" s="439"/>
      <c r="AA223" s="439"/>
      <c r="AB223" s="439"/>
      <c r="AC223" s="439"/>
    </row>
    <row r="224" ht="15.75" customHeight="1">
      <c r="A224" s="439"/>
      <c r="B224" s="439"/>
      <c r="C224" s="439"/>
      <c r="D224" s="439"/>
      <c r="E224" s="247"/>
      <c r="F224" s="439"/>
      <c r="G224" s="439"/>
      <c r="H224" s="439"/>
      <c r="I224" s="439"/>
      <c r="J224" s="439"/>
      <c r="K224" s="247"/>
      <c r="L224" s="439"/>
      <c r="M224" s="439"/>
      <c r="N224" s="439"/>
      <c r="O224" s="439"/>
      <c r="P224" s="439"/>
      <c r="Q224" s="247"/>
      <c r="R224" s="439"/>
      <c r="S224" s="439"/>
      <c r="T224" s="439"/>
      <c r="U224" s="439"/>
      <c r="V224" s="439"/>
      <c r="W224" s="439"/>
      <c r="X224" s="439"/>
      <c r="Y224" s="439"/>
      <c r="Z224" s="439"/>
      <c r="AA224" s="439"/>
      <c r="AB224" s="439"/>
      <c r="AC224" s="439"/>
    </row>
    <row r="225" ht="15.75" customHeight="1">
      <c r="A225" s="439"/>
      <c r="B225" s="439"/>
      <c r="C225" s="439"/>
      <c r="D225" s="439"/>
      <c r="E225" s="247"/>
      <c r="F225" s="439"/>
      <c r="G225" s="439"/>
      <c r="H225" s="439"/>
      <c r="I225" s="439"/>
      <c r="J225" s="439"/>
      <c r="K225" s="247"/>
      <c r="L225" s="439"/>
      <c r="M225" s="439"/>
      <c r="N225" s="439"/>
      <c r="O225" s="439"/>
      <c r="P225" s="439"/>
      <c r="Q225" s="247"/>
      <c r="R225" s="439"/>
      <c r="S225" s="439"/>
      <c r="T225" s="439"/>
      <c r="U225" s="439"/>
      <c r="V225" s="439"/>
      <c r="W225" s="439"/>
      <c r="X225" s="439"/>
      <c r="Y225" s="439"/>
      <c r="Z225" s="439"/>
      <c r="AA225" s="439"/>
      <c r="AB225" s="439"/>
      <c r="AC225" s="439"/>
    </row>
    <row r="226" ht="15.75" customHeight="1">
      <c r="A226" s="439"/>
      <c r="B226" s="439"/>
      <c r="C226" s="439"/>
      <c r="D226" s="439"/>
      <c r="E226" s="247"/>
      <c r="F226" s="439"/>
      <c r="G226" s="439"/>
      <c r="H226" s="439"/>
      <c r="I226" s="439"/>
      <c r="J226" s="439"/>
      <c r="K226" s="247"/>
      <c r="L226" s="439"/>
      <c r="M226" s="439"/>
      <c r="N226" s="439"/>
      <c r="O226" s="439"/>
      <c r="P226" s="439"/>
      <c r="Q226" s="247"/>
      <c r="R226" s="439"/>
      <c r="S226" s="439"/>
      <c r="T226" s="439"/>
      <c r="U226" s="439"/>
      <c r="V226" s="439"/>
      <c r="W226" s="439"/>
      <c r="X226" s="439"/>
      <c r="Y226" s="439"/>
      <c r="Z226" s="439"/>
      <c r="AA226" s="439"/>
      <c r="AB226" s="439"/>
      <c r="AC226" s="439"/>
    </row>
    <row r="227" ht="15.75" customHeight="1">
      <c r="A227" s="439"/>
      <c r="B227" s="439"/>
      <c r="C227" s="439"/>
      <c r="D227" s="439"/>
      <c r="E227" s="247"/>
      <c r="F227" s="439"/>
      <c r="G227" s="439"/>
      <c r="H227" s="439"/>
      <c r="I227" s="439"/>
      <c r="J227" s="439"/>
      <c r="K227" s="247"/>
      <c r="L227" s="439"/>
      <c r="M227" s="439"/>
      <c r="N227" s="439"/>
      <c r="O227" s="439"/>
      <c r="P227" s="439"/>
      <c r="Q227" s="247"/>
      <c r="R227" s="439"/>
      <c r="S227" s="439"/>
      <c r="T227" s="439"/>
      <c r="U227" s="439"/>
      <c r="V227" s="439"/>
      <c r="W227" s="439"/>
      <c r="X227" s="439"/>
      <c r="Y227" s="439"/>
      <c r="Z227" s="439"/>
      <c r="AA227" s="439"/>
      <c r="AB227" s="439"/>
      <c r="AC227" s="439"/>
    </row>
    <row r="228" ht="15.75" customHeight="1">
      <c r="A228" s="439"/>
      <c r="B228" s="439"/>
      <c r="C228" s="439"/>
      <c r="D228" s="439"/>
      <c r="E228" s="247"/>
      <c r="F228" s="439"/>
      <c r="G228" s="439"/>
      <c r="H228" s="439"/>
      <c r="I228" s="439"/>
      <c r="J228" s="439"/>
      <c r="K228" s="247"/>
      <c r="L228" s="439"/>
      <c r="M228" s="439"/>
      <c r="N228" s="439"/>
      <c r="O228" s="439"/>
      <c r="P228" s="439"/>
      <c r="Q228" s="247"/>
      <c r="R228" s="439"/>
      <c r="S228" s="439"/>
      <c r="T228" s="439"/>
      <c r="U228" s="439"/>
      <c r="V228" s="439"/>
      <c r="W228" s="439"/>
      <c r="X228" s="439"/>
      <c r="Y228" s="439"/>
      <c r="Z228" s="439"/>
      <c r="AA228" s="439"/>
      <c r="AB228" s="439"/>
      <c r="AC228" s="439"/>
    </row>
    <row r="229" ht="15.75" customHeight="1">
      <c r="A229" s="439"/>
      <c r="B229" s="439"/>
      <c r="C229" s="439"/>
      <c r="D229" s="439"/>
      <c r="E229" s="247"/>
      <c r="F229" s="439"/>
      <c r="G229" s="439"/>
      <c r="H229" s="439"/>
      <c r="I229" s="439"/>
      <c r="J229" s="439"/>
      <c r="K229" s="247"/>
      <c r="L229" s="439"/>
      <c r="M229" s="439"/>
      <c r="N229" s="439"/>
      <c r="O229" s="439"/>
      <c r="P229" s="439"/>
      <c r="Q229" s="247"/>
      <c r="R229" s="439"/>
      <c r="S229" s="439"/>
      <c r="T229" s="439"/>
      <c r="U229" s="439"/>
      <c r="V229" s="439"/>
      <c r="W229" s="439"/>
      <c r="X229" s="439"/>
      <c r="Y229" s="439"/>
      <c r="Z229" s="439"/>
      <c r="AA229" s="439"/>
      <c r="AB229" s="439"/>
      <c r="AC229" s="439"/>
    </row>
    <row r="230" ht="15.75" customHeight="1">
      <c r="A230" s="439"/>
      <c r="B230" s="439"/>
      <c r="C230" s="439"/>
      <c r="D230" s="439"/>
      <c r="E230" s="247"/>
      <c r="F230" s="439"/>
      <c r="G230" s="439"/>
      <c r="H230" s="439"/>
      <c r="I230" s="439"/>
      <c r="J230" s="439"/>
      <c r="K230" s="247"/>
      <c r="L230" s="439"/>
      <c r="M230" s="439"/>
      <c r="N230" s="439"/>
      <c r="O230" s="439"/>
      <c r="P230" s="439"/>
      <c r="Q230" s="247"/>
      <c r="R230" s="439"/>
      <c r="S230" s="439"/>
      <c r="T230" s="439"/>
      <c r="U230" s="439"/>
      <c r="V230" s="439"/>
      <c r="W230" s="439"/>
      <c r="X230" s="439"/>
      <c r="Y230" s="439"/>
      <c r="Z230" s="439"/>
      <c r="AA230" s="439"/>
      <c r="AB230" s="439"/>
      <c r="AC230" s="439"/>
    </row>
    <row r="231" ht="15.75" customHeight="1">
      <c r="A231" s="439"/>
      <c r="B231" s="439"/>
      <c r="C231" s="439"/>
      <c r="D231" s="439"/>
      <c r="E231" s="247"/>
      <c r="F231" s="439"/>
      <c r="G231" s="439"/>
      <c r="H231" s="439"/>
      <c r="I231" s="439"/>
      <c r="J231" s="439"/>
      <c r="K231" s="247"/>
      <c r="L231" s="439"/>
      <c r="M231" s="439"/>
      <c r="N231" s="439"/>
      <c r="O231" s="439"/>
      <c r="P231" s="439"/>
      <c r="Q231" s="247"/>
      <c r="R231" s="439"/>
      <c r="S231" s="439"/>
      <c r="T231" s="439"/>
      <c r="U231" s="439"/>
      <c r="V231" s="439"/>
      <c r="W231" s="439"/>
      <c r="X231" s="439"/>
      <c r="Y231" s="439"/>
      <c r="Z231" s="439"/>
      <c r="AA231" s="439"/>
      <c r="AB231" s="439"/>
      <c r="AC231" s="439"/>
    </row>
    <row r="232" ht="15.75" customHeight="1">
      <c r="A232" s="439"/>
      <c r="B232" s="439"/>
      <c r="C232" s="439"/>
      <c r="D232" s="439"/>
      <c r="E232" s="247"/>
      <c r="F232" s="439"/>
      <c r="G232" s="439"/>
      <c r="H232" s="439"/>
      <c r="I232" s="439"/>
      <c r="J232" s="439"/>
      <c r="K232" s="247"/>
      <c r="L232" s="439"/>
      <c r="M232" s="439"/>
      <c r="N232" s="439"/>
      <c r="O232" s="439"/>
      <c r="P232" s="439"/>
      <c r="Q232" s="247"/>
      <c r="R232" s="439"/>
      <c r="S232" s="439"/>
      <c r="T232" s="439"/>
      <c r="U232" s="439"/>
      <c r="V232" s="439"/>
      <c r="W232" s="439"/>
      <c r="X232" s="439"/>
      <c r="Y232" s="439"/>
      <c r="Z232" s="439"/>
      <c r="AA232" s="439"/>
      <c r="AB232" s="439"/>
      <c r="AC232" s="439"/>
    </row>
    <row r="233" ht="15.75" customHeight="1">
      <c r="A233" s="439"/>
      <c r="B233" s="439"/>
      <c r="C233" s="439"/>
      <c r="D233" s="439"/>
      <c r="E233" s="247"/>
      <c r="F233" s="439"/>
      <c r="G233" s="439"/>
      <c r="H233" s="439"/>
      <c r="I233" s="439"/>
      <c r="J233" s="439"/>
      <c r="K233" s="247"/>
      <c r="L233" s="439"/>
      <c r="M233" s="439"/>
      <c r="N233" s="439"/>
      <c r="O233" s="439"/>
      <c r="P233" s="439"/>
      <c r="Q233" s="247"/>
      <c r="R233" s="439"/>
      <c r="S233" s="439"/>
      <c r="T233" s="439"/>
      <c r="U233" s="439"/>
      <c r="V233" s="439"/>
      <c r="W233" s="439"/>
      <c r="X233" s="439"/>
      <c r="Y233" s="439"/>
      <c r="Z233" s="439"/>
      <c r="AA233" s="439"/>
      <c r="AB233" s="439"/>
      <c r="AC233" s="439"/>
    </row>
    <row r="234" ht="15.75" customHeight="1">
      <c r="A234" s="439"/>
      <c r="B234" s="439"/>
      <c r="C234" s="439"/>
      <c r="D234" s="439"/>
      <c r="E234" s="247"/>
      <c r="F234" s="439"/>
      <c r="G234" s="439"/>
      <c r="H234" s="439"/>
      <c r="I234" s="439"/>
      <c r="J234" s="439"/>
      <c r="K234" s="247"/>
      <c r="L234" s="439"/>
      <c r="M234" s="439"/>
      <c r="N234" s="439"/>
      <c r="O234" s="439"/>
      <c r="P234" s="439"/>
      <c r="Q234" s="247"/>
      <c r="R234" s="439"/>
      <c r="S234" s="439"/>
      <c r="T234" s="439"/>
      <c r="U234" s="439"/>
      <c r="V234" s="439"/>
      <c r="W234" s="439"/>
      <c r="X234" s="439"/>
      <c r="Y234" s="439"/>
      <c r="Z234" s="439"/>
      <c r="AA234" s="439"/>
      <c r="AB234" s="439"/>
      <c r="AC234" s="439"/>
    </row>
    <row r="235" ht="15.75" customHeight="1">
      <c r="A235" s="439"/>
      <c r="B235" s="439"/>
      <c r="C235" s="439"/>
      <c r="D235" s="439"/>
      <c r="E235" s="247"/>
      <c r="F235" s="439"/>
      <c r="G235" s="439"/>
      <c r="H235" s="439"/>
      <c r="I235" s="439"/>
      <c r="J235" s="439"/>
      <c r="K235" s="247"/>
      <c r="L235" s="439"/>
      <c r="M235" s="439"/>
      <c r="N235" s="439"/>
      <c r="O235" s="439"/>
      <c r="P235" s="439"/>
      <c r="Q235" s="247"/>
      <c r="R235" s="439"/>
      <c r="S235" s="439"/>
      <c r="T235" s="439"/>
      <c r="U235" s="439"/>
      <c r="V235" s="439"/>
      <c r="W235" s="439"/>
      <c r="X235" s="439"/>
      <c r="Y235" s="439"/>
      <c r="Z235" s="439"/>
      <c r="AA235" s="439"/>
      <c r="AB235" s="439"/>
      <c r="AC235" s="439"/>
    </row>
    <row r="236" ht="15.75" customHeight="1">
      <c r="A236" s="439"/>
      <c r="B236" s="439"/>
      <c r="C236" s="439"/>
      <c r="D236" s="439"/>
      <c r="E236" s="247"/>
      <c r="F236" s="439"/>
      <c r="G236" s="439"/>
      <c r="H236" s="439"/>
      <c r="I236" s="439"/>
      <c r="J236" s="439"/>
      <c r="K236" s="247"/>
      <c r="L236" s="439"/>
      <c r="M236" s="439"/>
      <c r="N236" s="439"/>
      <c r="O236" s="439"/>
      <c r="P236" s="439"/>
      <c r="Q236" s="247"/>
      <c r="R236" s="439"/>
      <c r="S236" s="439"/>
      <c r="T236" s="439"/>
      <c r="U236" s="439"/>
      <c r="V236" s="439"/>
      <c r="W236" s="439"/>
      <c r="X236" s="439"/>
      <c r="Y236" s="439"/>
      <c r="Z236" s="439"/>
      <c r="AA236" s="439"/>
      <c r="AB236" s="439"/>
      <c r="AC236" s="439"/>
    </row>
    <row r="237" ht="15.75" customHeight="1">
      <c r="A237" s="439"/>
      <c r="B237" s="439"/>
      <c r="C237" s="439"/>
      <c r="D237" s="439"/>
      <c r="E237" s="247"/>
      <c r="F237" s="439"/>
      <c r="G237" s="439"/>
      <c r="H237" s="439"/>
      <c r="I237" s="439"/>
      <c r="J237" s="439"/>
      <c r="K237" s="247"/>
      <c r="L237" s="439"/>
      <c r="M237" s="439"/>
      <c r="N237" s="439"/>
      <c r="O237" s="439"/>
      <c r="P237" s="439"/>
      <c r="Q237" s="247"/>
      <c r="R237" s="439"/>
      <c r="S237" s="439"/>
      <c r="T237" s="439"/>
      <c r="U237" s="439"/>
      <c r="V237" s="439"/>
      <c r="W237" s="439"/>
      <c r="X237" s="439"/>
      <c r="Y237" s="439"/>
      <c r="Z237" s="439"/>
      <c r="AA237" s="439"/>
      <c r="AB237" s="439"/>
      <c r="AC237" s="439"/>
    </row>
    <row r="238" ht="15.75" customHeight="1">
      <c r="A238" s="439"/>
      <c r="B238" s="439"/>
      <c r="C238" s="439"/>
      <c r="D238" s="439"/>
      <c r="E238" s="247"/>
      <c r="F238" s="439"/>
      <c r="G238" s="439"/>
      <c r="H238" s="439"/>
      <c r="I238" s="439"/>
      <c r="J238" s="439"/>
      <c r="K238" s="247"/>
      <c r="L238" s="439"/>
      <c r="M238" s="439"/>
      <c r="N238" s="439"/>
      <c r="O238" s="439"/>
      <c r="P238" s="439"/>
      <c r="Q238" s="247"/>
      <c r="R238" s="439"/>
      <c r="S238" s="439"/>
      <c r="T238" s="439"/>
      <c r="U238" s="439"/>
      <c r="V238" s="439"/>
      <c r="W238" s="439"/>
      <c r="X238" s="439"/>
      <c r="Y238" s="439"/>
      <c r="Z238" s="439"/>
      <c r="AA238" s="439"/>
      <c r="AB238" s="439"/>
      <c r="AC238" s="439"/>
    </row>
    <row r="239" ht="15.75" customHeight="1">
      <c r="A239" s="439"/>
      <c r="B239" s="439"/>
      <c r="C239" s="439"/>
      <c r="D239" s="439"/>
      <c r="E239" s="247"/>
      <c r="F239" s="439"/>
      <c r="G239" s="439"/>
      <c r="H239" s="439"/>
      <c r="I239" s="439"/>
      <c r="J239" s="439"/>
      <c r="K239" s="247"/>
      <c r="L239" s="439"/>
      <c r="M239" s="439"/>
      <c r="N239" s="439"/>
      <c r="O239" s="439"/>
      <c r="P239" s="439"/>
      <c r="Q239" s="247"/>
      <c r="R239" s="439"/>
      <c r="S239" s="439"/>
      <c r="T239" s="439"/>
      <c r="U239" s="439"/>
      <c r="V239" s="439"/>
      <c r="W239" s="439"/>
      <c r="X239" s="439"/>
      <c r="Y239" s="439"/>
      <c r="Z239" s="439"/>
      <c r="AA239" s="439"/>
      <c r="AB239" s="439"/>
      <c r="AC239" s="439"/>
    </row>
    <row r="240" ht="15.75" customHeight="1">
      <c r="A240" s="439"/>
      <c r="B240" s="439"/>
      <c r="C240" s="439"/>
      <c r="D240" s="439"/>
      <c r="E240" s="247"/>
      <c r="F240" s="439"/>
      <c r="G240" s="439"/>
      <c r="H240" s="439"/>
      <c r="I240" s="439"/>
      <c r="J240" s="439"/>
      <c r="K240" s="247"/>
      <c r="L240" s="439"/>
      <c r="M240" s="439"/>
      <c r="N240" s="439"/>
      <c r="O240" s="439"/>
      <c r="P240" s="439"/>
      <c r="Q240" s="247"/>
      <c r="R240" s="439"/>
      <c r="S240" s="439"/>
      <c r="T240" s="439"/>
      <c r="U240" s="439"/>
      <c r="V240" s="439"/>
      <c r="W240" s="439"/>
      <c r="X240" s="439"/>
      <c r="Y240" s="439"/>
      <c r="Z240" s="439"/>
      <c r="AA240" s="439"/>
      <c r="AB240" s="439"/>
      <c r="AC240" s="439"/>
    </row>
    <row r="241" ht="15.75" customHeight="1">
      <c r="A241" s="439"/>
      <c r="B241" s="439"/>
      <c r="C241" s="439"/>
      <c r="D241" s="439"/>
      <c r="E241" s="247"/>
      <c r="F241" s="439"/>
      <c r="G241" s="439"/>
      <c r="H241" s="439"/>
      <c r="I241" s="439"/>
      <c r="J241" s="439"/>
      <c r="K241" s="247"/>
      <c r="L241" s="439"/>
      <c r="M241" s="439"/>
      <c r="N241" s="439"/>
      <c r="O241" s="439"/>
      <c r="P241" s="439"/>
      <c r="Q241" s="247"/>
      <c r="R241" s="439"/>
      <c r="S241" s="439"/>
      <c r="T241" s="439"/>
      <c r="U241" s="439"/>
      <c r="V241" s="439"/>
      <c r="W241" s="439"/>
      <c r="X241" s="439"/>
      <c r="Y241" s="439"/>
      <c r="Z241" s="439"/>
      <c r="AA241" s="439"/>
      <c r="AB241" s="439"/>
      <c r="AC241" s="439"/>
    </row>
    <row r="242" ht="15.75" customHeight="1">
      <c r="A242" s="439"/>
      <c r="B242" s="439"/>
      <c r="C242" s="439"/>
      <c r="D242" s="439"/>
      <c r="E242" s="247"/>
      <c r="F242" s="439"/>
      <c r="G242" s="439"/>
      <c r="H242" s="439"/>
      <c r="I242" s="439"/>
      <c r="J242" s="439"/>
      <c r="K242" s="247"/>
      <c r="L242" s="439"/>
      <c r="M242" s="439"/>
      <c r="N242" s="439"/>
      <c r="O242" s="439"/>
      <c r="P242" s="439"/>
      <c r="Q242" s="247"/>
      <c r="R242" s="439"/>
      <c r="S242" s="439"/>
      <c r="T242" s="439"/>
      <c r="U242" s="439"/>
      <c r="V242" s="439"/>
      <c r="W242" s="439"/>
      <c r="X242" s="439"/>
      <c r="Y242" s="439"/>
      <c r="Z242" s="439"/>
      <c r="AA242" s="439"/>
      <c r="AB242" s="439"/>
      <c r="AC242" s="439"/>
    </row>
    <row r="243" ht="15.75" customHeight="1">
      <c r="A243" s="439"/>
      <c r="B243" s="439"/>
      <c r="C243" s="439"/>
      <c r="D243" s="439"/>
      <c r="E243" s="247"/>
      <c r="F243" s="439"/>
      <c r="G243" s="439"/>
      <c r="H243" s="439"/>
      <c r="I243" s="439"/>
      <c r="J243" s="439"/>
      <c r="K243" s="247"/>
      <c r="L243" s="439"/>
      <c r="M243" s="439"/>
      <c r="N243" s="439"/>
      <c r="O243" s="439"/>
      <c r="P243" s="439"/>
      <c r="Q243" s="247"/>
      <c r="R243" s="439"/>
      <c r="S243" s="439"/>
      <c r="T243" s="439"/>
      <c r="U243" s="439"/>
      <c r="V243" s="439"/>
      <c r="W243" s="439"/>
      <c r="X243" s="439"/>
      <c r="Y243" s="439"/>
      <c r="Z243" s="439"/>
      <c r="AA243" s="439"/>
      <c r="AB243" s="439"/>
      <c r="AC243" s="439"/>
    </row>
    <row r="244" ht="15.75" customHeight="1">
      <c r="A244" s="439"/>
      <c r="B244" s="439"/>
      <c r="C244" s="439"/>
      <c r="D244" s="439"/>
      <c r="E244" s="247"/>
      <c r="F244" s="439"/>
      <c r="G244" s="439"/>
      <c r="H244" s="439"/>
      <c r="I244" s="439"/>
      <c r="J244" s="439"/>
      <c r="K244" s="247"/>
      <c r="L244" s="439"/>
      <c r="M244" s="439"/>
      <c r="N244" s="439"/>
      <c r="O244" s="439"/>
      <c r="P244" s="439"/>
      <c r="Q244" s="247"/>
      <c r="R244" s="439"/>
      <c r="S244" s="439"/>
      <c r="T244" s="439"/>
      <c r="U244" s="439"/>
      <c r="V244" s="439"/>
      <c r="W244" s="439"/>
      <c r="X244" s="439"/>
      <c r="Y244" s="439"/>
      <c r="Z244" s="439"/>
      <c r="AA244" s="439"/>
      <c r="AB244" s="439"/>
      <c r="AC244" s="439"/>
    </row>
    <row r="245" ht="15.75" customHeight="1">
      <c r="A245" s="439"/>
      <c r="B245" s="439"/>
      <c r="C245" s="439"/>
      <c r="D245" s="439"/>
      <c r="E245" s="247"/>
      <c r="F245" s="439"/>
      <c r="G245" s="439"/>
      <c r="H245" s="439"/>
      <c r="I245" s="439"/>
      <c r="J245" s="439"/>
      <c r="K245" s="247"/>
      <c r="L245" s="439"/>
      <c r="M245" s="439"/>
      <c r="N245" s="439"/>
      <c r="O245" s="439"/>
      <c r="P245" s="439"/>
      <c r="Q245" s="247"/>
      <c r="R245" s="439"/>
      <c r="S245" s="439"/>
      <c r="T245" s="439"/>
      <c r="U245" s="439"/>
      <c r="V245" s="439"/>
      <c r="W245" s="439"/>
      <c r="X245" s="439"/>
      <c r="Y245" s="439"/>
      <c r="Z245" s="439"/>
      <c r="AA245" s="439"/>
      <c r="AB245" s="439"/>
      <c r="AC245" s="439"/>
    </row>
    <row r="246" ht="15.75" customHeight="1">
      <c r="A246" s="439"/>
      <c r="B246" s="439"/>
      <c r="C246" s="439"/>
      <c r="D246" s="439"/>
      <c r="E246" s="247"/>
      <c r="F246" s="439"/>
      <c r="G246" s="439"/>
      <c r="H246" s="439"/>
      <c r="I246" s="439"/>
      <c r="J246" s="439"/>
      <c r="K246" s="247"/>
      <c r="L246" s="439"/>
      <c r="M246" s="439"/>
      <c r="N246" s="439"/>
      <c r="O246" s="439"/>
      <c r="P246" s="439"/>
      <c r="Q246" s="247"/>
      <c r="R246" s="439"/>
      <c r="S246" s="439"/>
      <c r="T246" s="439"/>
      <c r="U246" s="439"/>
      <c r="V246" s="439"/>
      <c r="W246" s="439"/>
      <c r="X246" s="439"/>
      <c r="Y246" s="439"/>
      <c r="Z246" s="439"/>
      <c r="AA246" s="439"/>
      <c r="AB246" s="439"/>
      <c r="AC246" s="439"/>
    </row>
    <row r="247" ht="15.75" customHeight="1">
      <c r="A247" s="439"/>
      <c r="B247" s="439"/>
      <c r="C247" s="439"/>
      <c r="D247" s="439"/>
      <c r="E247" s="247"/>
      <c r="F247" s="439"/>
      <c r="G247" s="439"/>
      <c r="H247" s="439"/>
      <c r="I247" s="439"/>
      <c r="J247" s="439"/>
      <c r="K247" s="247"/>
      <c r="L247" s="439"/>
      <c r="M247" s="439"/>
      <c r="N247" s="439"/>
      <c r="O247" s="439"/>
      <c r="P247" s="439"/>
      <c r="Q247" s="247"/>
      <c r="R247" s="439"/>
      <c r="S247" s="439"/>
      <c r="T247" s="439"/>
      <c r="U247" s="439"/>
      <c r="V247" s="439"/>
      <c r="W247" s="439"/>
      <c r="X247" s="439"/>
      <c r="Y247" s="439"/>
      <c r="Z247" s="439"/>
      <c r="AA247" s="439"/>
      <c r="AB247" s="439"/>
      <c r="AC247" s="439"/>
    </row>
    <row r="248" ht="15.75" customHeight="1">
      <c r="A248" s="439"/>
      <c r="B248" s="439"/>
      <c r="C248" s="439"/>
      <c r="D248" s="439"/>
      <c r="E248" s="247"/>
      <c r="F248" s="439"/>
      <c r="G248" s="439"/>
      <c r="H248" s="439"/>
      <c r="I248" s="439"/>
      <c r="J248" s="439"/>
      <c r="K248" s="247"/>
      <c r="L248" s="439"/>
      <c r="M248" s="439"/>
      <c r="N248" s="439"/>
      <c r="O248" s="439"/>
      <c r="P248" s="439"/>
      <c r="Q248" s="247"/>
      <c r="R248" s="439"/>
      <c r="S248" s="439"/>
      <c r="T248" s="439"/>
      <c r="U248" s="439"/>
      <c r="V248" s="439"/>
      <c r="W248" s="439"/>
      <c r="X248" s="439"/>
      <c r="Y248" s="439"/>
      <c r="Z248" s="439"/>
      <c r="AA248" s="439"/>
      <c r="AB248" s="439"/>
      <c r="AC248" s="439"/>
    </row>
    <row r="249" ht="15.75" customHeight="1">
      <c r="A249" s="439"/>
      <c r="B249" s="439"/>
      <c r="C249" s="439"/>
      <c r="D249" s="439"/>
      <c r="E249" s="247"/>
      <c r="F249" s="439"/>
      <c r="G249" s="439"/>
      <c r="H249" s="439"/>
      <c r="I249" s="439"/>
      <c r="J249" s="439"/>
      <c r="K249" s="247"/>
      <c r="L249" s="439"/>
      <c r="M249" s="439"/>
      <c r="N249" s="439"/>
      <c r="O249" s="439"/>
      <c r="P249" s="439"/>
      <c r="Q249" s="247"/>
      <c r="R249" s="439"/>
      <c r="S249" s="439"/>
      <c r="T249" s="439"/>
      <c r="U249" s="439"/>
      <c r="V249" s="439"/>
      <c r="W249" s="439"/>
      <c r="X249" s="439"/>
      <c r="Y249" s="439"/>
      <c r="Z249" s="439"/>
      <c r="AA249" s="439"/>
      <c r="AB249" s="439"/>
      <c r="AC249" s="439"/>
    </row>
    <row r="250" ht="15.75" customHeight="1">
      <c r="A250" s="439"/>
      <c r="B250" s="439"/>
      <c r="C250" s="439"/>
      <c r="D250" s="439"/>
      <c r="E250" s="247"/>
      <c r="F250" s="439"/>
      <c r="G250" s="439"/>
      <c r="H250" s="439"/>
      <c r="I250" s="439"/>
      <c r="J250" s="439"/>
      <c r="K250" s="247"/>
      <c r="L250" s="439"/>
      <c r="M250" s="439"/>
      <c r="N250" s="439"/>
      <c r="O250" s="439"/>
      <c r="P250" s="439"/>
      <c r="Q250" s="247"/>
      <c r="R250" s="439"/>
      <c r="S250" s="439"/>
      <c r="T250" s="439"/>
      <c r="U250" s="439"/>
      <c r="V250" s="439"/>
      <c r="W250" s="439"/>
      <c r="X250" s="439"/>
      <c r="Y250" s="439"/>
      <c r="Z250" s="439"/>
      <c r="AA250" s="439"/>
      <c r="AB250" s="439"/>
      <c r="AC250" s="439"/>
    </row>
    <row r="251" ht="15.75" customHeight="1">
      <c r="A251" s="439"/>
      <c r="B251" s="439"/>
      <c r="C251" s="439"/>
      <c r="D251" s="439"/>
      <c r="E251" s="247"/>
      <c r="F251" s="439"/>
      <c r="G251" s="439"/>
      <c r="H251" s="439"/>
      <c r="I251" s="439"/>
      <c r="J251" s="439"/>
      <c r="K251" s="247"/>
      <c r="L251" s="439"/>
      <c r="M251" s="439"/>
      <c r="N251" s="439"/>
      <c r="O251" s="439"/>
      <c r="P251" s="439"/>
      <c r="Q251" s="247"/>
      <c r="R251" s="439"/>
      <c r="S251" s="439"/>
      <c r="T251" s="439"/>
      <c r="U251" s="439"/>
      <c r="V251" s="439"/>
      <c r="W251" s="439"/>
      <c r="X251" s="439"/>
      <c r="Y251" s="439"/>
      <c r="Z251" s="439"/>
      <c r="AA251" s="439"/>
      <c r="AB251" s="439"/>
      <c r="AC251" s="439"/>
    </row>
    <row r="252" ht="15.75" customHeight="1">
      <c r="A252" s="439"/>
      <c r="B252" s="439"/>
      <c r="C252" s="439"/>
      <c r="D252" s="439"/>
      <c r="E252" s="247"/>
      <c r="F252" s="439"/>
      <c r="G252" s="439"/>
      <c r="H252" s="439"/>
      <c r="I252" s="439"/>
      <c r="J252" s="439"/>
      <c r="K252" s="247"/>
      <c r="L252" s="439"/>
      <c r="M252" s="439"/>
      <c r="N252" s="439"/>
      <c r="O252" s="439"/>
      <c r="P252" s="439"/>
      <c r="Q252" s="247"/>
      <c r="R252" s="439"/>
      <c r="S252" s="439"/>
      <c r="T252" s="439"/>
      <c r="U252" s="439"/>
      <c r="V252" s="439"/>
      <c r="W252" s="439"/>
      <c r="X252" s="439"/>
      <c r="Y252" s="439"/>
      <c r="Z252" s="439"/>
      <c r="AA252" s="439"/>
      <c r="AB252" s="439"/>
      <c r="AC252" s="439"/>
    </row>
    <row r="253" ht="15.75" customHeight="1">
      <c r="A253" s="439"/>
      <c r="B253" s="439"/>
      <c r="C253" s="439"/>
      <c r="D253" s="439"/>
      <c r="E253" s="247"/>
      <c r="F253" s="439"/>
      <c r="G253" s="439"/>
      <c r="H253" s="439"/>
      <c r="I253" s="439"/>
      <c r="J253" s="439"/>
      <c r="K253" s="247"/>
      <c r="L253" s="439"/>
      <c r="M253" s="439"/>
      <c r="N253" s="439"/>
      <c r="O253" s="439"/>
      <c r="P253" s="439"/>
      <c r="Q253" s="247"/>
      <c r="R253" s="439"/>
      <c r="S253" s="439"/>
      <c r="T253" s="439"/>
      <c r="U253" s="439"/>
      <c r="V253" s="439"/>
      <c r="W253" s="439"/>
      <c r="X253" s="439"/>
      <c r="Y253" s="439"/>
      <c r="Z253" s="439"/>
      <c r="AA253" s="439"/>
      <c r="AB253" s="439"/>
      <c r="AC253" s="439"/>
    </row>
    <row r="254" ht="15.75" customHeight="1">
      <c r="A254" s="439"/>
      <c r="B254" s="439"/>
      <c r="C254" s="439"/>
      <c r="D254" s="439"/>
      <c r="E254" s="247"/>
      <c r="F254" s="439"/>
      <c r="G254" s="439"/>
      <c r="H254" s="439"/>
      <c r="I254" s="439"/>
      <c r="J254" s="439"/>
      <c r="K254" s="247"/>
      <c r="L254" s="439"/>
      <c r="M254" s="439"/>
      <c r="N254" s="439"/>
      <c r="O254" s="439"/>
      <c r="P254" s="439"/>
      <c r="Q254" s="247"/>
      <c r="R254" s="439"/>
      <c r="S254" s="439"/>
      <c r="T254" s="439"/>
      <c r="U254" s="439"/>
      <c r="V254" s="439"/>
      <c r="W254" s="439"/>
      <c r="X254" s="439"/>
      <c r="Y254" s="439"/>
      <c r="Z254" s="439"/>
      <c r="AA254" s="439"/>
      <c r="AB254" s="439"/>
      <c r="AC254" s="439"/>
    </row>
    <row r="255" ht="15.75" customHeight="1">
      <c r="A255" s="439"/>
      <c r="B255" s="439"/>
      <c r="C255" s="439"/>
      <c r="D255" s="439"/>
      <c r="E255" s="247"/>
      <c r="F255" s="439"/>
      <c r="G255" s="439"/>
      <c r="H255" s="439"/>
      <c r="I255" s="439"/>
      <c r="J255" s="439"/>
      <c r="K255" s="247"/>
      <c r="L255" s="439"/>
      <c r="M255" s="439"/>
      <c r="N255" s="439"/>
      <c r="O255" s="439"/>
      <c r="P255" s="439"/>
      <c r="Q255" s="247"/>
      <c r="R255" s="439"/>
      <c r="S255" s="439"/>
      <c r="T255" s="439"/>
      <c r="U255" s="439"/>
      <c r="V255" s="439"/>
      <c r="W255" s="439"/>
      <c r="X255" s="439"/>
      <c r="Y255" s="439"/>
      <c r="Z255" s="439"/>
      <c r="AA255" s="439"/>
      <c r="AB255" s="439"/>
      <c r="AC255" s="439"/>
    </row>
    <row r="256" ht="15.75" customHeight="1">
      <c r="A256" s="439"/>
      <c r="B256" s="439"/>
      <c r="C256" s="439"/>
      <c r="D256" s="439"/>
      <c r="E256" s="247"/>
      <c r="F256" s="439"/>
      <c r="G256" s="439"/>
      <c r="H256" s="439"/>
      <c r="I256" s="439"/>
      <c r="J256" s="439"/>
      <c r="K256" s="247"/>
      <c r="L256" s="439"/>
      <c r="M256" s="439"/>
      <c r="N256" s="439"/>
      <c r="O256" s="439"/>
      <c r="P256" s="439"/>
      <c r="Q256" s="247"/>
      <c r="R256" s="439"/>
      <c r="S256" s="439"/>
      <c r="T256" s="439"/>
      <c r="U256" s="439"/>
      <c r="V256" s="439"/>
      <c r="W256" s="439"/>
      <c r="X256" s="439"/>
      <c r="Y256" s="439"/>
      <c r="Z256" s="439"/>
      <c r="AA256" s="439"/>
      <c r="AB256" s="439"/>
      <c r="AC256" s="439"/>
    </row>
    <row r="257" ht="15.75" customHeight="1">
      <c r="A257" s="439"/>
      <c r="B257" s="439"/>
      <c r="C257" s="439"/>
      <c r="D257" s="439"/>
      <c r="E257" s="247"/>
      <c r="F257" s="439"/>
      <c r="G257" s="439"/>
      <c r="H257" s="439"/>
      <c r="I257" s="439"/>
      <c r="J257" s="439"/>
      <c r="K257" s="247"/>
      <c r="L257" s="439"/>
      <c r="M257" s="439"/>
      <c r="N257" s="439"/>
      <c r="O257" s="439"/>
      <c r="P257" s="439"/>
      <c r="Q257" s="247"/>
      <c r="R257" s="439"/>
      <c r="S257" s="439"/>
      <c r="T257" s="439"/>
      <c r="U257" s="439"/>
      <c r="V257" s="439"/>
      <c r="W257" s="439"/>
      <c r="X257" s="439"/>
      <c r="Y257" s="439"/>
      <c r="Z257" s="439"/>
      <c r="AA257" s="439"/>
      <c r="AB257" s="439"/>
      <c r="AC257" s="439"/>
    </row>
    <row r="258" ht="15.75" customHeight="1">
      <c r="A258" s="439"/>
      <c r="B258" s="439"/>
      <c r="C258" s="439"/>
      <c r="D258" s="439"/>
      <c r="E258" s="247"/>
      <c r="F258" s="439"/>
      <c r="G258" s="439"/>
      <c r="H258" s="439"/>
      <c r="I258" s="439"/>
      <c r="J258" s="439"/>
      <c r="K258" s="247"/>
      <c r="L258" s="439"/>
      <c r="M258" s="439"/>
      <c r="N258" s="439"/>
      <c r="O258" s="439"/>
      <c r="P258" s="439"/>
      <c r="Q258" s="247"/>
      <c r="R258" s="439"/>
      <c r="S258" s="439"/>
      <c r="T258" s="439"/>
      <c r="U258" s="439"/>
      <c r="V258" s="439"/>
      <c r="W258" s="439"/>
      <c r="X258" s="439"/>
      <c r="Y258" s="439"/>
      <c r="Z258" s="439"/>
      <c r="AA258" s="439"/>
      <c r="AB258" s="439"/>
      <c r="AC258" s="439"/>
    </row>
    <row r="259" ht="15.75" customHeight="1">
      <c r="A259" s="439"/>
      <c r="B259" s="439"/>
      <c r="C259" s="439"/>
      <c r="D259" s="439"/>
      <c r="E259" s="247"/>
      <c r="F259" s="439"/>
      <c r="G259" s="439"/>
      <c r="H259" s="439"/>
      <c r="I259" s="439"/>
      <c r="J259" s="439"/>
      <c r="K259" s="247"/>
      <c r="L259" s="439"/>
      <c r="M259" s="439"/>
      <c r="N259" s="439"/>
      <c r="O259" s="439"/>
      <c r="P259" s="439"/>
      <c r="Q259" s="247"/>
      <c r="R259" s="439"/>
      <c r="S259" s="439"/>
      <c r="T259" s="439"/>
      <c r="U259" s="439"/>
      <c r="V259" s="439"/>
      <c r="W259" s="439"/>
      <c r="X259" s="439"/>
      <c r="Y259" s="439"/>
      <c r="Z259" s="439"/>
      <c r="AA259" s="439"/>
      <c r="AB259" s="439"/>
      <c r="AC259" s="439"/>
    </row>
    <row r="260" ht="15.75" customHeight="1">
      <c r="A260" s="439"/>
      <c r="B260" s="439"/>
      <c r="C260" s="439"/>
      <c r="D260" s="439"/>
      <c r="E260" s="247"/>
      <c r="F260" s="439"/>
      <c r="G260" s="439"/>
      <c r="H260" s="439"/>
      <c r="I260" s="439"/>
      <c r="J260" s="439"/>
      <c r="K260" s="247"/>
      <c r="L260" s="439"/>
      <c r="M260" s="439"/>
      <c r="N260" s="439"/>
      <c r="O260" s="439"/>
      <c r="P260" s="439"/>
      <c r="Q260" s="247"/>
      <c r="R260" s="439"/>
      <c r="S260" s="439"/>
      <c r="T260" s="439"/>
      <c r="U260" s="439"/>
      <c r="V260" s="439"/>
      <c r="W260" s="439"/>
      <c r="X260" s="439"/>
      <c r="Y260" s="439"/>
      <c r="Z260" s="439"/>
      <c r="AA260" s="439"/>
      <c r="AB260" s="439"/>
      <c r="AC260" s="439"/>
    </row>
    <row r="261" ht="15.75" customHeight="1">
      <c r="A261" s="439"/>
      <c r="B261" s="439"/>
      <c r="C261" s="439"/>
      <c r="D261" s="439"/>
      <c r="E261" s="247"/>
      <c r="F261" s="439"/>
      <c r="G261" s="439"/>
      <c r="H261" s="439"/>
      <c r="I261" s="439"/>
      <c r="J261" s="439"/>
      <c r="K261" s="247"/>
      <c r="L261" s="439"/>
      <c r="M261" s="439"/>
      <c r="N261" s="439"/>
      <c r="O261" s="439"/>
      <c r="P261" s="439"/>
      <c r="Q261" s="247"/>
      <c r="R261" s="439"/>
      <c r="S261" s="439"/>
      <c r="T261" s="439"/>
      <c r="U261" s="439"/>
      <c r="V261" s="439"/>
      <c r="W261" s="439"/>
      <c r="X261" s="439"/>
      <c r="Y261" s="439"/>
      <c r="Z261" s="439"/>
      <c r="AA261" s="439"/>
      <c r="AB261" s="439"/>
      <c r="AC261" s="439"/>
    </row>
    <row r="262" ht="15.75" customHeight="1">
      <c r="A262" s="439"/>
      <c r="B262" s="439"/>
      <c r="C262" s="439"/>
      <c r="D262" s="439"/>
      <c r="E262" s="247"/>
      <c r="F262" s="439"/>
      <c r="G262" s="439"/>
      <c r="H262" s="439"/>
      <c r="I262" s="439"/>
      <c r="J262" s="439"/>
      <c r="K262" s="247"/>
      <c r="L262" s="439"/>
      <c r="M262" s="439"/>
      <c r="N262" s="439"/>
      <c r="O262" s="439"/>
      <c r="P262" s="439"/>
      <c r="Q262" s="247"/>
      <c r="R262" s="439"/>
      <c r="S262" s="439"/>
      <c r="T262" s="439"/>
      <c r="U262" s="439"/>
      <c r="V262" s="439"/>
      <c r="W262" s="439"/>
      <c r="X262" s="439"/>
      <c r="Y262" s="439"/>
      <c r="Z262" s="439"/>
      <c r="AA262" s="439"/>
      <c r="AB262" s="439"/>
      <c r="AC262" s="439"/>
    </row>
    <row r="263" ht="15.75" customHeight="1">
      <c r="A263" s="439"/>
      <c r="B263" s="439"/>
      <c r="C263" s="439"/>
      <c r="D263" s="439"/>
      <c r="E263" s="247"/>
      <c r="F263" s="439"/>
      <c r="G263" s="439"/>
      <c r="H263" s="439"/>
      <c r="I263" s="439"/>
      <c r="J263" s="439"/>
      <c r="K263" s="247"/>
      <c r="L263" s="439"/>
      <c r="M263" s="439"/>
      <c r="N263" s="439"/>
      <c r="O263" s="439"/>
      <c r="P263" s="439"/>
      <c r="Q263" s="247"/>
      <c r="R263" s="439"/>
      <c r="S263" s="439"/>
      <c r="T263" s="439"/>
      <c r="U263" s="439"/>
      <c r="V263" s="439"/>
      <c r="W263" s="439"/>
      <c r="X263" s="439"/>
      <c r="Y263" s="439"/>
      <c r="Z263" s="439"/>
      <c r="AA263" s="439"/>
      <c r="AB263" s="439"/>
      <c r="AC263" s="439"/>
    </row>
    <row r="264" ht="15.75" customHeight="1">
      <c r="A264" s="439"/>
      <c r="B264" s="439"/>
      <c r="C264" s="439"/>
      <c r="D264" s="439"/>
      <c r="E264" s="247"/>
      <c r="F264" s="439"/>
      <c r="G264" s="439"/>
      <c r="H264" s="439"/>
      <c r="I264" s="439"/>
      <c r="J264" s="439"/>
      <c r="K264" s="247"/>
      <c r="L264" s="439"/>
      <c r="M264" s="439"/>
      <c r="N264" s="439"/>
      <c r="O264" s="439"/>
      <c r="P264" s="439"/>
      <c r="Q264" s="247"/>
      <c r="R264" s="439"/>
      <c r="S264" s="439"/>
      <c r="T264" s="439"/>
      <c r="U264" s="439"/>
      <c r="V264" s="439"/>
      <c r="W264" s="439"/>
      <c r="X264" s="439"/>
      <c r="Y264" s="439"/>
      <c r="Z264" s="439"/>
      <c r="AA264" s="439"/>
      <c r="AB264" s="439"/>
      <c r="AC264" s="439"/>
    </row>
    <row r="265" ht="15.75" customHeight="1">
      <c r="A265" s="439"/>
      <c r="B265" s="439"/>
      <c r="C265" s="439"/>
      <c r="D265" s="439"/>
      <c r="E265" s="247"/>
      <c r="F265" s="439"/>
      <c r="G265" s="439"/>
      <c r="H265" s="439"/>
      <c r="I265" s="439"/>
      <c r="J265" s="439"/>
      <c r="K265" s="247"/>
      <c r="L265" s="439"/>
      <c r="M265" s="439"/>
      <c r="N265" s="439"/>
      <c r="O265" s="439"/>
      <c r="P265" s="439"/>
      <c r="Q265" s="247"/>
      <c r="R265" s="439"/>
      <c r="S265" s="439"/>
      <c r="T265" s="439"/>
      <c r="U265" s="439"/>
      <c r="V265" s="439"/>
      <c r="W265" s="439"/>
      <c r="X265" s="439"/>
      <c r="Y265" s="439"/>
      <c r="Z265" s="439"/>
      <c r="AA265" s="439"/>
      <c r="AB265" s="439"/>
      <c r="AC265" s="439"/>
    </row>
    <row r="266" ht="15.75" customHeight="1">
      <c r="A266" s="439"/>
      <c r="B266" s="439"/>
      <c r="C266" s="439"/>
      <c r="D266" s="439"/>
      <c r="E266" s="247"/>
      <c r="F266" s="439"/>
      <c r="G266" s="439"/>
      <c r="H266" s="439"/>
      <c r="I266" s="439"/>
      <c r="J266" s="439"/>
      <c r="K266" s="247"/>
      <c r="L266" s="439"/>
      <c r="M266" s="439"/>
      <c r="N266" s="439"/>
      <c r="O266" s="439"/>
      <c r="P266" s="439"/>
      <c r="Q266" s="247"/>
      <c r="R266" s="439"/>
      <c r="S266" s="439"/>
      <c r="T266" s="439"/>
      <c r="U266" s="439"/>
      <c r="V266" s="439"/>
      <c r="W266" s="439"/>
      <c r="X266" s="439"/>
      <c r="Y266" s="439"/>
      <c r="Z266" s="439"/>
      <c r="AA266" s="439"/>
      <c r="AB266" s="439"/>
      <c r="AC266" s="439"/>
    </row>
    <row r="267" ht="15.75" customHeight="1">
      <c r="A267" s="439"/>
      <c r="B267" s="439"/>
      <c r="C267" s="439"/>
      <c r="D267" s="439"/>
      <c r="E267" s="247"/>
      <c r="F267" s="439"/>
      <c r="G267" s="439"/>
      <c r="H267" s="439"/>
      <c r="I267" s="439"/>
      <c r="J267" s="439"/>
      <c r="K267" s="247"/>
      <c r="L267" s="439"/>
      <c r="M267" s="439"/>
      <c r="N267" s="439"/>
      <c r="O267" s="439"/>
      <c r="P267" s="439"/>
      <c r="Q267" s="247"/>
      <c r="R267" s="439"/>
      <c r="S267" s="439"/>
      <c r="T267" s="439"/>
      <c r="U267" s="439"/>
      <c r="V267" s="439"/>
      <c r="W267" s="439"/>
      <c r="X267" s="439"/>
      <c r="Y267" s="439"/>
      <c r="Z267" s="439"/>
      <c r="AA267" s="439"/>
      <c r="AB267" s="439"/>
      <c r="AC267" s="439"/>
    </row>
    <row r="268" ht="15.75" customHeight="1">
      <c r="A268" s="439"/>
      <c r="B268" s="439"/>
      <c r="C268" s="439"/>
      <c r="D268" s="439"/>
      <c r="E268" s="247"/>
      <c r="F268" s="439"/>
      <c r="G268" s="439"/>
      <c r="H268" s="439"/>
      <c r="I268" s="439"/>
      <c r="J268" s="439"/>
      <c r="K268" s="247"/>
      <c r="L268" s="439"/>
      <c r="M268" s="439"/>
      <c r="N268" s="439"/>
      <c r="O268" s="439"/>
      <c r="P268" s="439"/>
      <c r="Q268" s="247"/>
      <c r="R268" s="439"/>
      <c r="S268" s="439"/>
      <c r="T268" s="439"/>
      <c r="U268" s="439"/>
      <c r="V268" s="439"/>
      <c r="W268" s="439"/>
      <c r="X268" s="439"/>
      <c r="Y268" s="439"/>
      <c r="Z268" s="439"/>
      <c r="AA268" s="439"/>
      <c r="AB268" s="439"/>
      <c r="AC268" s="439"/>
    </row>
    <row r="269" ht="15.75" customHeight="1">
      <c r="A269" s="439"/>
      <c r="B269" s="439"/>
      <c r="C269" s="439"/>
      <c r="D269" s="439"/>
      <c r="E269" s="247"/>
      <c r="F269" s="439"/>
      <c r="G269" s="439"/>
      <c r="H269" s="439"/>
      <c r="I269" s="439"/>
      <c r="J269" s="439"/>
      <c r="K269" s="247"/>
      <c r="L269" s="439"/>
      <c r="M269" s="439"/>
      <c r="N269" s="439"/>
      <c r="O269" s="439"/>
      <c r="P269" s="439"/>
      <c r="Q269" s="247"/>
      <c r="R269" s="439"/>
      <c r="S269" s="439"/>
      <c r="T269" s="439"/>
      <c r="U269" s="439"/>
      <c r="V269" s="439"/>
      <c r="W269" s="439"/>
      <c r="X269" s="439"/>
      <c r="Y269" s="439"/>
      <c r="Z269" s="439"/>
      <c r="AA269" s="439"/>
      <c r="AB269" s="439"/>
      <c r="AC269" s="439"/>
    </row>
    <row r="270" ht="15.75" customHeight="1">
      <c r="A270" s="439"/>
      <c r="B270" s="439"/>
      <c r="C270" s="439"/>
      <c r="D270" s="439"/>
      <c r="E270" s="247"/>
      <c r="F270" s="439"/>
      <c r="G270" s="439"/>
      <c r="H270" s="439"/>
      <c r="I270" s="439"/>
      <c r="J270" s="439"/>
      <c r="K270" s="247"/>
      <c r="L270" s="439"/>
      <c r="M270" s="439"/>
      <c r="N270" s="439"/>
      <c r="O270" s="439"/>
      <c r="P270" s="439"/>
      <c r="Q270" s="247"/>
      <c r="R270" s="439"/>
      <c r="S270" s="439"/>
      <c r="T270" s="439"/>
      <c r="U270" s="439"/>
      <c r="V270" s="439"/>
      <c r="W270" s="439"/>
      <c r="X270" s="439"/>
      <c r="Y270" s="439"/>
      <c r="Z270" s="439"/>
      <c r="AA270" s="439"/>
      <c r="AB270" s="439"/>
      <c r="AC270" s="439"/>
    </row>
    <row r="271" ht="15.75" customHeight="1">
      <c r="A271" s="439"/>
      <c r="B271" s="439"/>
      <c r="C271" s="439"/>
      <c r="D271" s="439"/>
      <c r="E271" s="247"/>
      <c r="F271" s="439"/>
      <c r="G271" s="439"/>
      <c r="H271" s="439"/>
      <c r="I271" s="439"/>
      <c r="J271" s="439"/>
      <c r="K271" s="247"/>
      <c r="L271" s="439"/>
      <c r="M271" s="439"/>
      <c r="N271" s="439"/>
      <c r="O271" s="439"/>
      <c r="P271" s="439"/>
      <c r="Q271" s="247"/>
      <c r="R271" s="439"/>
      <c r="S271" s="439"/>
      <c r="T271" s="439"/>
      <c r="U271" s="439"/>
      <c r="V271" s="439"/>
      <c r="W271" s="439"/>
      <c r="X271" s="439"/>
      <c r="Y271" s="439"/>
      <c r="Z271" s="439"/>
      <c r="AA271" s="439"/>
      <c r="AB271" s="439"/>
      <c r="AC271" s="439"/>
    </row>
    <row r="272" ht="15.75" customHeight="1">
      <c r="A272" s="439"/>
      <c r="B272" s="439"/>
      <c r="C272" s="439"/>
      <c r="D272" s="439"/>
      <c r="E272" s="247"/>
      <c r="F272" s="439"/>
      <c r="G272" s="439"/>
      <c r="H272" s="439"/>
      <c r="I272" s="439"/>
      <c r="J272" s="439"/>
      <c r="K272" s="247"/>
      <c r="L272" s="439"/>
      <c r="M272" s="439"/>
      <c r="N272" s="439"/>
      <c r="O272" s="439"/>
      <c r="P272" s="439"/>
      <c r="Q272" s="247"/>
      <c r="R272" s="439"/>
      <c r="S272" s="439"/>
      <c r="T272" s="439"/>
      <c r="U272" s="439"/>
      <c r="V272" s="439"/>
      <c r="W272" s="439"/>
      <c r="X272" s="439"/>
      <c r="Y272" s="439"/>
      <c r="Z272" s="439"/>
      <c r="AA272" s="439"/>
      <c r="AB272" s="439"/>
      <c r="AC272" s="439"/>
    </row>
    <row r="273" ht="15.75" customHeight="1">
      <c r="A273" s="439"/>
      <c r="B273" s="439"/>
      <c r="C273" s="439"/>
      <c r="D273" s="439"/>
      <c r="E273" s="247"/>
      <c r="F273" s="439"/>
      <c r="G273" s="439"/>
      <c r="H273" s="439"/>
      <c r="I273" s="439"/>
      <c r="J273" s="439"/>
      <c r="K273" s="247"/>
      <c r="L273" s="439"/>
      <c r="M273" s="439"/>
      <c r="N273" s="439"/>
      <c r="O273" s="439"/>
      <c r="P273" s="439"/>
      <c r="Q273" s="247"/>
      <c r="R273" s="439"/>
      <c r="S273" s="439"/>
      <c r="T273" s="439"/>
      <c r="U273" s="439"/>
      <c r="V273" s="439"/>
      <c r="W273" s="439"/>
      <c r="X273" s="439"/>
      <c r="Y273" s="439"/>
      <c r="Z273" s="439"/>
      <c r="AA273" s="439"/>
      <c r="AB273" s="439"/>
      <c r="AC273" s="439"/>
    </row>
    <row r="274" ht="15.75" customHeight="1">
      <c r="A274" s="439"/>
      <c r="B274" s="439"/>
      <c r="C274" s="439"/>
      <c r="D274" s="439"/>
      <c r="E274" s="247"/>
      <c r="F274" s="439"/>
      <c r="G274" s="439"/>
      <c r="H274" s="439"/>
      <c r="I274" s="439"/>
      <c r="J274" s="439"/>
      <c r="K274" s="247"/>
      <c r="L274" s="439"/>
      <c r="M274" s="439"/>
      <c r="N274" s="439"/>
      <c r="O274" s="439"/>
      <c r="P274" s="439"/>
      <c r="Q274" s="247"/>
      <c r="R274" s="439"/>
      <c r="S274" s="439"/>
      <c r="T274" s="439"/>
      <c r="U274" s="439"/>
      <c r="V274" s="439"/>
      <c r="W274" s="439"/>
      <c r="X274" s="439"/>
      <c r="Y274" s="439"/>
      <c r="Z274" s="439"/>
      <c r="AA274" s="439"/>
      <c r="AB274" s="439"/>
      <c r="AC274" s="439"/>
    </row>
    <row r="275" ht="15.75" customHeight="1">
      <c r="A275" s="439"/>
      <c r="B275" s="439"/>
      <c r="C275" s="439"/>
      <c r="D275" s="439"/>
      <c r="E275" s="247"/>
      <c r="F275" s="439"/>
      <c r="G275" s="439"/>
      <c r="H275" s="439"/>
      <c r="I275" s="439"/>
      <c r="J275" s="439"/>
      <c r="K275" s="247"/>
      <c r="L275" s="439"/>
      <c r="M275" s="439"/>
      <c r="N275" s="439"/>
      <c r="O275" s="439"/>
      <c r="P275" s="439"/>
      <c r="Q275" s="247"/>
      <c r="R275" s="439"/>
      <c r="S275" s="439"/>
      <c r="T275" s="439"/>
      <c r="U275" s="439"/>
      <c r="V275" s="439"/>
      <c r="W275" s="439"/>
      <c r="X275" s="439"/>
      <c r="Y275" s="439"/>
      <c r="Z275" s="439"/>
      <c r="AA275" s="439"/>
      <c r="AB275" s="439"/>
      <c r="AC275" s="439"/>
    </row>
    <row r="276" ht="15.75" customHeight="1">
      <c r="A276" s="439"/>
      <c r="B276" s="439"/>
      <c r="C276" s="439"/>
      <c r="D276" s="439"/>
      <c r="E276" s="247"/>
      <c r="F276" s="439"/>
      <c r="G276" s="439"/>
      <c r="H276" s="439"/>
      <c r="I276" s="439"/>
      <c r="J276" s="439"/>
      <c r="K276" s="247"/>
      <c r="L276" s="439"/>
      <c r="M276" s="439"/>
      <c r="N276" s="439"/>
      <c r="O276" s="439"/>
      <c r="P276" s="439"/>
      <c r="Q276" s="247"/>
      <c r="R276" s="439"/>
      <c r="S276" s="439"/>
      <c r="T276" s="439"/>
      <c r="U276" s="439"/>
      <c r="V276" s="439"/>
      <c r="W276" s="439"/>
      <c r="X276" s="439"/>
      <c r="Y276" s="439"/>
      <c r="Z276" s="439"/>
      <c r="AA276" s="439"/>
      <c r="AB276" s="439"/>
      <c r="AC276" s="439"/>
    </row>
    <row r="277" ht="15.75" customHeight="1">
      <c r="A277" s="439"/>
      <c r="B277" s="439"/>
      <c r="C277" s="439"/>
      <c r="D277" s="439"/>
      <c r="E277" s="247"/>
      <c r="F277" s="439"/>
      <c r="G277" s="439"/>
      <c r="H277" s="439"/>
      <c r="I277" s="439"/>
      <c r="J277" s="439"/>
      <c r="K277" s="247"/>
      <c r="L277" s="439"/>
      <c r="M277" s="439"/>
      <c r="N277" s="439"/>
      <c r="O277" s="439"/>
      <c r="P277" s="439"/>
      <c r="Q277" s="247"/>
      <c r="R277" s="439"/>
      <c r="S277" s="439"/>
      <c r="T277" s="439"/>
      <c r="U277" s="439"/>
      <c r="V277" s="439"/>
      <c r="W277" s="439"/>
      <c r="X277" s="439"/>
      <c r="Y277" s="439"/>
      <c r="Z277" s="439"/>
      <c r="AA277" s="439"/>
      <c r="AB277" s="439"/>
      <c r="AC277" s="439"/>
    </row>
    <row r="278" ht="15.75" customHeight="1">
      <c r="A278" s="439"/>
      <c r="B278" s="439"/>
      <c r="C278" s="439"/>
      <c r="D278" s="439"/>
      <c r="E278" s="247"/>
      <c r="F278" s="439"/>
      <c r="G278" s="439"/>
      <c r="H278" s="439"/>
      <c r="I278" s="439"/>
      <c r="J278" s="439"/>
      <c r="K278" s="247"/>
      <c r="L278" s="439"/>
      <c r="M278" s="439"/>
      <c r="N278" s="439"/>
      <c r="O278" s="439"/>
      <c r="P278" s="439"/>
      <c r="Q278" s="247"/>
      <c r="R278" s="439"/>
      <c r="S278" s="439"/>
      <c r="T278" s="439"/>
      <c r="U278" s="439"/>
      <c r="V278" s="439"/>
      <c r="W278" s="439"/>
      <c r="X278" s="439"/>
      <c r="Y278" s="439"/>
      <c r="Z278" s="439"/>
      <c r="AA278" s="439"/>
      <c r="AB278" s="439"/>
      <c r="AC278" s="439"/>
    </row>
    <row r="279" ht="15.75" customHeight="1">
      <c r="A279" s="439"/>
      <c r="B279" s="439"/>
      <c r="C279" s="439"/>
      <c r="D279" s="439"/>
      <c r="E279" s="247"/>
      <c r="F279" s="439"/>
      <c r="G279" s="439"/>
      <c r="H279" s="439"/>
      <c r="I279" s="439"/>
      <c r="J279" s="439"/>
      <c r="K279" s="247"/>
      <c r="L279" s="439"/>
      <c r="M279" s="439"/>
      <c r="N279" s="439"/>
      <c r="O279" s="439"/>
      <c r="P279" s="439"/>
      <c r="Q279" s="247"/>
      <c r="R279" s="439"/>
      <c r="S279" s="439"/>
      <c r="T279" s="439"/>
      <c r="U279" s="439"/>
      <c r="V279" s="439"/>
      <c r="W279" s="439"/>
      <c r="X279" s="439"/>
      <c r="Y279" s="439"/>
      <c r="Z279" s="439"/>
      <c r="AA279" s="439"/>
      <c r="AB279" s="439"/>
      <c r="AC279" s="439"/>
    </row>
    <row r="280" ht="15.75" customHeight="1">
      <c r="A280" s="439"/>
      <c r="B280" s="439"/>
      <c r="C280" s="439"/>
      <c r="D280" s="439"/>
      <c r="E280" s="247"/>
      <c r="F280" s="439"/>
      <c r="G280" s="439"/>
      <c r="H280" s="439"/>
      <c r="I280" s="439"/>
      <c r="J280" s="439"/>
      <c r="K280" s="247"/>
      <c r="L280" s="439"/>
      <c r="M280" s="439"/>
      <c r="N280" s="439"/>
      <c r="O280" s="439"/>
      <c r="P280" s="439"/>
      <c r="Q280" s="247"/>
      <c r="R280" s="439"/>
      <c r="S280" s="439"/>
      <c r="T280" s="439"/>
      <c r="U280" s="439"/>
      <c r="V280" s="439"/>
      <c r="W280" s="439"/>
      <c r="X280" s="439"/>
      <c r="Y280" s="439"/>
      <c r="Z280" s="439"/>
      <c r="AA280" s="439"/>
      <c r="AB280" s="439"/>
      <c r="AC280" s="439"/>
    </row>
    <row r="281" ht="15.75" customHeight="1">
      <c r="A281" s="439"/>
      <c r="B281" s="439"/>
      <c r="C281" s="439"/>
      <c r="D281" s="439"/>
      <c r="E281" s="247"/>
      <c r="F281" s="439"/>
      <c r="G281" s="439"/>
      <c r="H281" s="439"/>
      <c r="I281" s="439"/>
      <c r="J281" s="439"/>
      <c r="K281" s="247"/>
      <c r="L281" s="439"/>
      <c r="M281" s="439"/>
      <c r="N281" s="439"/>
      <c r="O281" s="439"/>
      <c r="P281" s="439"/>
      <c r="Q281" s="247"/>
      <c r="R281" s="439"/>
      <c r="S281" s="439"/>
      <c r="T281" s="439"/>
      <c r="U281" s="439"/>
      <c r="V281" s="439"/>
      <c r="W281" s="439"/>
      <c r="X281" s="439"/>
      <c r="Y281" s="439"/>
      <c r="Z281" s="439"/>
      <c r="AA281" s="439"/>
      <c r="AB281" s="439"/>
      <c r="AC281" s="439"/>
    </row>
    <row r="282" ht="15.75" customHeight="1">
      <c r="A282" s="439"/>
      <c r="B282" s="439"/>
      <c r="C282" s="439"/>
      <c r="D282" s="439"/>
      <c r="E282" s="247"/>
      <c r="F282" s="439"/>
      <c r="G282" s="439"/>
      <c r="H282" s="439"/>
      <c r="I282" s="439"/>
      <c r="J282" s="439"/>
      <c r="K282" s="247"/>
      <c r="L282" s="439"/>
      <c r="M282" s="439"/>
      <c r="N282" s="439"/>
      <c r="O282" s="439"/>
      <c r="P282" s="439"/>
      <c r="Q282" s="247"/>
      <c r="R282" s="439"/>
      <c r="S282" s="439"/>
      <c r="T282" s="439"/>
      <c r="U282" s="439"/>
      <c r="V282" s="439"/>
      <c r="W282" s="439"/>
      <c r="X282" s="439"/>
      <c r="Y282" s="439"/>
      <c r="Z282" s="439"/>
      <c r="AA282" s="439"/>
      <c r="AB282" s="439"/>
      <c r="AC282" s="439"/>
    </row>
    <row r="283" ht="15.75" customHeight="1">
      <c r="A283" s="439"/>
      <c r="B283" s="439"/>
      <c r="C283" s="439"/>
      <c r="D283" s="439"/>
      <c r="E283" s="247"/>
      <c r="F283" s="439"/>
      <c r="G283" s="439"/>
      <c r="H283" s="439"/>
      <c r="I283" s="439"/>
      <c r="J283" s="439"/>
      <c r="K283" s="247"/>
      <c r="L283" s="439"/>
      <c r="M283" s="439"/>
      <c r="N283" s="439"/>
      <c r="O283" s="439"/>
      <c r="P283" s="439"/>
      <c r="Q283" s="247"/>
      <c r="R283" s="439"/>
      <c r="S283" s="439"/>
      <c r="T283" s="439"/>
      <c r="U283" s="439"/>
      <c r="V283" s="439"/>
      <c r="W283" s="439"/>
      <c r="X283" s="439"/>
      <c r="Y283" s="439"/>
      <c r="Z283" s="439"/>
      <c r="AA283" s="439"/>
      <c r="AB283" s="439"/>
      <c r="AC283" s="439"/>
    </row>
    <row r="284" ht="15.75" customHeight="1">
      <c r="A284" s="439"/>
      <c r="B284" s="439"/>
      <c r="C284" s="439"/>
      <c r="D284" s="439"/>
      <c r="E284" s="247"/>
      <c r="F284" s="439"/>
      <c r="G284" s="439"/>
      <c r="H284" s="439"/>
      <c r="I284" s="439"/>
      <c r="J284" s="439"/>
      <c r="K284" s="247"/>
      <c r="L284" s="439"/>
      <c r="M284" s="439"/>
      <c r="N284" s="439"/>
      <c r="O284" s="439"/>
      <c r="P284" s="439"/>
      <c r="Q284" s="247"/>
      <c r="R284" s="439"/>
      <c r="S284" s="439"/>
      <c r="T284" s="439"/>
      <c r="U284" s="439"/>
      <c r="V284" s="439"/>
      <c r="W284" s="439"/>
      <c r="X284" s="439"/>
      <c r="Y284" s="439"/>
      <c r="Z284" s="439"/>
      <c r="AA284" s="439"/>
      <c r="AB284" s="439"/>
      <c r="AC284" s="439"/>
    </row>
    <row r="285" ht="15.75" customHeight="1">
      <c r="A285" s="439"/>
      <c r="B285" s="439"/>
      <c r="C285" s="439"/>
      <c r="D285" s="439"/>
      <c r="E285" s="247"/>
      <c r="F285" s="439"/>
      <c r="G285" s="439"/>
      <c r="H285" s="439"/>
      <c r="I285" s="439"/>
      <c r="J285" s="439"/>
      <c r="K285" s="247"/>
      <c r="L285" s="439"/>
      <c r="M285" s="439"/>
      <c r="N285" s="439"/>
      <c r="O285" s="439"/>
      <c r="P285" s="439"/>
      <c r="Q285" s="247"/>
      <c r="R285" s="439"/>
      <c r="S285" s="439"/>
      <c r="T285" s="439"/>
      <c r="U285" s="439"/>
      <c r="V285" s="439"/>
      <c r="W285" s="439"/>
      <c r="X285" s="439"/>
      <c r="Y285" s="439"/>
      <c r="Z285" s="439"/>
      <c r="AA285" s="439"/>
      <c r="AB285" s="439"/>
      <c r="AC285" s="439"/>
    </row>
    <row r="286" ht="15.75" customHeight="1">
      <c r="A286" s="439"/>
      <c r="B286" s="439"/>
      <c r="C286" s="439"/>
      <c r="D286" s="439"/>
      <c r="E286" s="247"/>
      <c r="F286" s="439"/>
      <c r="G286" s="439"/>
      <c r="H286" s="439"/>
      <c r="I286" s="439"/>
      <c r="J286" s="439"/>
      <c r="K286" s="247"/>
      <c r="L286" s="439"/>
      <c r="M286" s="439"/>
      <c r="N286" s="439"/>
      <c r="O286" s="439"/>
      <c r="P286" s="439"/>
      <c r="Q286" s="247"/>
      <c r="R286" s="439"/>
      <c r="S286" s="439"/>
      <c r="T286" s="439"/>
      <c r="U286" s="439"/>
      <c r="V286" s="439"/>
      <c r="W286" s="439"/>
      <c r="X286" s="439"/>
      <c r="Y286" s="439"/>
      <c r="Z286" s="439"/>
      <c r="AA286" s="439"/>
      <c r="AB286" s="439"/>
      <c r="AC286" s="439"/>
    </row>
    <row r="287" ht="15.75" customHeight="1">
      <c r="A287" s="439"/>
      <c r="B287" s="439"/>
      <c r="C287" s="439"/>
      <c r="D287" s="439"/>
      <c r="E287" s="247"/>
      <c r="F287" s="439"/>
      <c r="G287" s="439"/>
      <c r="H287" s="439"/>
      <c r="I287" s="439"/>
      <c r="J287" s="439"/>
      <c r="K287" s="247"/>
      <c r="L287" s="439"/>
      <c r="M287" s="439"/>
      <c r="N287" s="439"/>
      <c r="O287" s="439"/>
      <c r="P287" s="439"/>
      <c r="Q287" s="247"/>
      <c r="R287" s="439"/>
      <c r="S287" s="439"/>
      <c r="T287" s="439"/>
      <c r="U287" s="439"/>
      <c r="V287" s="439"/>
      <c r="W287" s="439"/>
      <c r="X287" s="439"/>
      <c r="Y287" s="439"/>
      <c r="Z287" s="439"/>
      <c r="AA287" s="439"/>
      <c r="AB287" s="439"/>
      <c r="AC287" s="439"/>
    </row>
    <row r="288" ht="15.75" customHeight="1">
      <c r="A288" s="439"/>
      <c r="B288" s="439"/>
      <c r="C288" s="439"/>
      <c r="D288" s="439"/>
      <c r="E288" s="247"/>
      <c r="F288" s="439"/>
      <c r="G288" s="439"/>
      <c r="H288" s="439"/>
      <c r="I288" s="439"/>
      <c r="J288" s="439"/>
      <c r="K288" s="247"/>
      <c r="L288" s="439"/>
      <c r="M288" s="439"/>
      <c r="N288" s="439"/>
      <c r="O288" s="439"/>
      <c r="P288" s="439"/>
      <c r="Q288" s="247"/>
      <c r="R288" s="439"/>
      <c r="S288" s="439"/>
      <c r="T288" s="439"/>
      <c r="U288" s="439"/>
      <c r="V288" s="439"/>
      <c r="W288" s="439"/>
      <c r="X288" s="439"/>
      <c r="Y288" s="439"/>
      <c r="Z288" s="439"/>
      <c r="AA288" s="439"/>
      <c r="AB288" s="439"/>
      <c r="AC288" s="439"/>
    </row>
    <row r="289" ht="15.75" customHeight="1">
      <c r="A289" s="439"/>
      <c r="B289" s="439"/>
      <c r="C289" s="439"/>
      <c r="D289" s="439"/>
      <c r="E289" s="247"/>
      <c r="F289" s="439"/>
      <c r="G289" s="439"/>
      <c r="H289" s="439"/>
      <c r="I289" s="439"/>
      <c r="J289" s="439"/>
      <c r="K289" s="247"/>
      <c r="L289" s="439"/>
      <c r="M289" s="439"/>
      <c r="N289" s="439"/>
      <c r="O289" s="439"/>
      <c r="P289" s="439"/>
      <c r="Q289" s="247"/>
      <c r="R289" s="439"/>
      <c r="S289" s="439"/>
      <c r="T289" s="439"/>
      <c r="U289" s="439"/>
      <c r="V289" s="439"/>
      <c r="W289" s="439"/>
      <c r="X289" s="439"/>
      <c r="Y289" s="439"/>
      <c r="Z289" s="439"/>
      <c r="AA289" s="439"/>
      <c r="AB289" s="439"/>
      <c r="AC289" s="439"/>
    </row>
    <row r="290" ht="15.75" customHeight="1">
      <c r="A290" s="439"/>
      <c r="B290" s="439"/>
      <c r="C290" s="439"/>
      <c r="D290" s="439"/>
      <c r="E290" s="247"/>
      <c r="F290" s="439"/>
      <c r="G290" s="439"/>
      <c r="H290" s="439"/>
      <c r="I290" s="439"/>
      <c r="J290" s="439"/>
      <c r="K290" s="247"/>
      <c r="L290" s="439"/>
      <c r="M290" s="439"/>
      <c r="N290" s="439"/>
      <c r="O290" s="439"/>
      <c r="P290" s="439"/>
      <c r="Q290" s="247"/>
      <c r="R290" s="439"/>
      <c r="S290" s="439"/>
      <c r="T290" s="439"/>
      <c r="U290" s="439"/>
      <c r="V290" s="439"/>
      <c r="W290" s="439"/>
      <c r="X290" s="439"/>
      <c r="Y290" s="439"/>
      <c r="Z290" s="439"/>
      <c r="AA290" s="439"/>
      <c r="AB290" s="439"/>
      <c r="AC290" s="439"/>
    </row>
    <row r="291" ht="15.75" customHeight="1">
      <c r="A291" s="439"/>
      <c r="B291" s="439"/>
      <c r="C291" s="439"/>
      <c r="D291" s="439"/>
      <c r="E291" s="247"/>
      <c r="F291" s="439"/>
      <c r="G291" s="439"/>
      <c r="H291" s="439"/>
      <c r="I291" s="439"/>
      <c r="J291" s="439"/>
      <c r="K291" s="247"/>
      <c r="L291" s="439"/>
      <c r="M291" s="439"/>
      <c r="N291" s="439"/>
      <c r="O291" s="439"/>
      <c r="P291" s="439"/>
      <c r="Q291" s="247"/>
      <c r="R291" s="439"/>
      <c r="S291" s="439"/>
      <c r="T291" s="439"/>
      <c r="U291" s="439"/>
      <c r="V291" s="439"/>
      <c r="W291" s="439"/>
      <c r="X291" s="439"/>
      <c r="Y291" s="439"/>
      <c r="Z291" s="439"/>
      <c r="AA291" s="439"/>
      <c r="AB291" s="439"/>
      <c r="AC291" s="439"/>
    </row>
    <row r="292" ht="15.75" customHeight="1">
      <c r="A292" s="439"/>
      <c r="B292" s="439"/>
      <c r="C292" s="439"/>
      <c r="D292" s="439"/>
      <c r="E292" s="247"/>
      <c r="F292" s="439"/>
      <c r="G292" s="439"/>
      <c r="H292" s="439"/>
      <c r="I292" s="439"/>
      <c r="J292" s="439"/>
      <c r="K292" s="247"/>
      <c r="L292" s="439"/>
      <c r="M292" s="439"/>
      <c r="N292" s="439"/>
      <c r="O292" s="439"/>
      <c r="P292" s="439"/>
      <c r="Q292" s="247"/>
      <c r="R292" s="439"/>
      <c r="S292" s="439"/>
      <c r="T292" s="439"/>
      <c r="U292" s="439"/>
      <c r="V292" s="439"/>
      <c r="W292" s="439"/>
      <c r="X292" s="439"/>
      <c r="Y292" s="439"/>
      <c r="Z292" s="439"/>
      <c r="AA292" s="439"/>
      <c r="AB292" s="439"/>
      <c r="AC292" s="439"/>
    </row>
    <row r="293" ht="15.75" customHeight="1">
      <c r="A293" s="439"/>
      <c r="B293" s="439"/>
      <c r="C293" s="439"/>
      <c r="D293" s="439"/>
      <c r="E293" s="247"/>
      <c r="F293" s="439"/>
      <c r="G293" s="439"/>
      <c r="H293" s="439"/>
      <c r="I293" s="439"/>
      <c r="J293" s="439"/>
      <c r="K293" s="247"/>
      <c r="L293" s="439"/>
      <c r="M293" s="439"/>
      <c r="N293" s="439"/>
      <c r="O293" s="439"/>
      <c r="P293" s="439"/>
      <c r="Q293" s="247"/>
      <c r="R293" s="439"/>
      <c r="S293" s="439"/>
      <c r="T293" s="439"/>
      <c r="U293" s="439"/>
      <c r="V293" s="439"/>
      <c r="W293" s="439"/>
      <c r="X293" s="439"/>
      <c r="Y293" s="439"/>
      <c r="Z293" s="439"/>
      <c r="AA293" s="439"/>
      <c r="AB293" s="439"/>
      <c r="AC293" s="439"/>
    </row>
    <row r="294" ht="15.75" customHeight="1">
      <c r="A294" s="439"/>
      <c r="B294" s="439"/>
      <c r="C294" s="439"/>
      <c r="D294" s="439"/>
      <c r="E294" s="247"/>
      <c r="F294" s="439"/>
      <c r="G294" s="439"/>
      <c r="H294" s="439"/>
      <c r="I294" s="439"/>
      <c r="J294" s="439"/>
      <c r="K294" s="247"/>
      <c r="L294" s="439"/>
      <c r="M294" s="439"/>
      <c r="N294" s="439"/>
      <c r="O294" s="439"/>
      <c r="P294" s="439"/>
      <c r="Q294" s="247"/>
      <c r="R294" s="439"/>
      <c r="S294" s="439"/>
      <c r="T294" s="439"/>
      <c r="U294" s="439"/>
      <c r="V294" s="439"/>
      <c r="W294" s="439"/>
      <c r="X294" s="439"/>
      <c r="Y294" s="439"/>
      <c r="Z294" s="439"/>
      <c r="AA294" s="439"/>
      <c r="AB294" s="439"/>
      <c r="AC294" s="439"/>
    </row>
    <row r="295" ht="15.75" customHeight="1">
      <c r="A295" s="439"/>
      <c r="B295" s="439"/>
      <c r="C295" s="439"/>
      <c r="D295" s="439"/>
      <c r="E295" s="247"/>
      <c r="F295" s="439"/>
      <c r="G295" s="439"/>
      <c r="H295" s="439"/>
      <c r="I295" s="439"/>
      <c r="J295" s="439"/>
      <c r="K295" s="247"/>
      <c r="L295" s="439"/>
      <c r="M295" s="439"/>
      <c r="N295" s="439"/>
      <c r="O295" s="439"/>
      <c r="P295" s="439"/>
      <c r="Q295" s="247"/>
      <c r="R295" s="439"/>
      <c r="S295" s="439"/>
      <c r="T295" s="439"/>
      <c r="U295" s="439"/>
      <c r="V295" s="439"/>
      <c r="W295" s="439"/>
      <c r="X295" s="439"/>
      <c r="Y295" s="439"/>
      <c r="Z295" s="439"/>
      <c r="AA295" s="439"/>
      <c r="AB295" s="439"/>
      <c r="AC295" s="439"/>
    </row>
    <row r="296" ht="15.75" customHeight="1">
      <c r="A296" s="439"/>
      <c r="B296" s="439"/>
      <c r="C296" s="439"/>
      <c r="D296" s="439"/>
      <c r="E296" s="247"/>
      <c r="F296" s="439"/>
      <c r="G296" s="439"/>
      <c r="H296" s="439"/>
      <c r="I296" s="439"/>
      <c r="J296" s="439"/>
      <c r="K296" s="247"/>
      <c r="L296" s="439"/>
      <c r="M296" s="439"/>
      <c r="N296" s="439"/>
      <c r="O296" s="439"/>
      <c r="P296" s="439"/>
      <c r="Q296" s="247"/>
      <c r="R296" s="439"/>
      <c r="S296" s="439"/>
      <c r="T296" s="439"/>
      <c r="U296" s="439"/>
      <c r="V296" s="439"/>
      <c r="W296" s="439"/>
      <c r="X296" s="439"/>
      <c r="Y296" s="439"/>
      <c r="Z296" s="439"/>
      <c r="AA296" s="439"/>
      <c r="AB296" s="439"/>
      <c r="AC296" s="439"/>
    </row>
    <row r="297" ht="15.75" customHeight="1">
      <c r="A297" s="439"/>
      <c r="B297" s="439"/>
      <c r="C297" s="439"/>
      <c r="D297" s="439"/>
      <c r="E297" s="247"/>
      <c r="F297" s="439"/>
      <c r="G297" s="439"/>
      <c r="H297" s="439"/>
      <c r="I297" s="439"/>
      <c r="J297" s="439"/>
      <c r="K297" s="247"/>
      <c r="L297" s="439"/>
      <c r="M297" s="439"/>
      <c r="N297" s="439"/>
      <c r="O297" s="439"/>
      <c r="P297" s="439"/>
      <c r="Q297" s="247"/>
      <c r="R297" s="439"/>
      <c r="S297" s="439"/>
      <c r="T297" s="439"/>
      <c r="U297" s="439"/>
      <c r="V297" s="439"/>
      <c r="W297" s="439"/>
      <c r="X297" s="439"/>
      <c r="Y297" s="439"/>
      <c r="Z297" s="439"/>
      <c r="AA297" s="439"/>
      <c r="AB297" s="439"/>
      <c r="AC297" s="439"/>
    </row>
    <row r="298" ht="15.75" customHeight="1">
      <c r="A298" s="439"/>
      <c r="B298" s="439"/>
      <c r="C298" s="439"/>
      <c r="D298" s="439"/>
      <c r="E298" s="247"/>
      <c r="F298" s="439"/>
      <c r="G298" s="439"/>
      <c r="H298" s="439"/>
      <c r="I298" s="439"/>
      <c r="J298" s="439"/>
      <c r="K298" s="247"/>
      <c r="L298" s="439"/>
      <c r="M298" s="439"/>
      <c r="N298" s="439"/>
      <c r="O298" s="439"/>
      <c r="P298" s="439"/>
      <c r="Q298" s="247"/>
      <c r="R298" s="439"/>
      <c r="S298" s="439"/>
      <c r="T298" s="439"/>
      <c r="U298" s="439"/>
      <c r="V298" s="439"/>
      <c r="W298" s="439"/>
      <c r="X298" s="439"/>
      <c r="Y298" s="439"/>
      <c r="Z298" s="439"/>
      <c r="AA298" s="439"/>
      <c r="AB298" s="439"/>
      <c r="AC298" s="439"/>
    </row>
    <row r="299" ht="15.75" customHeight="1">
      <c r="A299" s="439"/>
      <c r="B299" s="439"/>
      <c r="C299" s="439"/>
      <c r="D299" s="439"/>
      <c r="E299" s="247"/>
      <c r="F299" s="439"/>
      <c r="G299" s="439"/>
      <c r="H299" s="439"/>
      <c r="I299" s="439"/>
      <c r="J299" s="439"/>
      <c r="K299" s="247"/>
      <c r="L299" s="439"/>
      <c r="M299" s="439"/>
      <c r="N299" s="439"/>
      <c r="O299" s="439"/>
      <c r="P299" s="439"/>
      <c r="Q299" s="247"/>
      <c r="R299" s="439"/>
      <c r="S299" s="439"/>
      <c r="T299" s="439"/>
      <c r="U299" s="439"/>
      <c r="V299" s="439"/>
      <c r="W299" s="439"/>
      <c r="X299" s="439"/>
      <c r="Y299" s="439"/>
      <c r="Z299" s="439"/>
      <c r="AA299" s="439"/>
      <c r="AB299" s="439"/>
      <c r="AC299" s="439"/>
    </row>
    <row r="300" ht="15.75" customHeight="1">
      <c r="A300" s="439"/>
      <c r="B300" s="439"/>
      <c r="C300" s="439"/>
      <c r="D300" s="439"/>
      <c r="E300" s="247"/>
      <c r="F300" s="439"/>
      <c r="G300" s="439"/>
      <c r="H300" s="439"/>
      <c r="I300" s="439"/>
      <c r="J300" s="439"/>
      <c r="K300" s="247"/>
      <c r="L300" s="439"/>
      <c r="M300" s="439"/>
      <c r="N300" s="439"/>
      <c r="O300" s="439"/>
      <c r="P300" s="439"/>
      <c r="Q300" s="247"/>
      <c r="R300" s="439"/>
      <c r="S300" s="439"/>
      <c r="T300" s="439"/>
      <c r="U300" s="439"/>
      <c r="V300" s="439"/>
      <c r="W300" s="439"/>
      <c r="X300" s="439"/>
      <c r="Y300" s="439"/>
      <c r="Z300" s="439"/>
      <c r="AA300" s="439"/>
      <c r="AB300" s="439"/>
      <c r="AC300" s="439"/>
    </row>
    <row r="301" ht="15.75" customHeight="1">
      <c r="A301" s="439"/>
      <c r="B301" s="439"/>
      <c r="C301" s="439"/>
      <c r="D301" s="439"/>
      <c r="E301" s="247"/>
      <c r="F301" s="439"/>
      <c r="G301" s="439"/>
      <c r="H301" s="439"/>
      <c r="I301" s="439"/>
      <c r="J301" s="439"/>
      <c r="K301" s="247"/>
      <c r="L301" s="439"/>
      <c r="M301" s="439"/>
      <c r="N301" s="439"/>
      <c r="O301" s="439"/>
      <c r="P301" s="439"/>
      <c r="Q301" s="247"/>
      <c r="R301" s="439"/>
      <c r="S301" s="439"/>
      <c r="T301" s="439"/>
      <c r="U301" s="439"/>
      <c r="V301" s="439"/>
      <c r="W301" s="439"/>
      <c r="X301" s="439"/>
      <c r="Y301" s="439"/>
      <c r="Z301" s="439"/>
      <c r="AA301" s="439"/>
      <c r="AB301" s="439"/>
      <c r="AC301" s="439"/>
    </row>
    <row r="302" ht="15.75" customHeight="1">
      <c r="A302" s="439"/>
      <c r="B302" s="439"/>
      <c r="C302" s="439"/>
      <c r="D302" s="439"/>
      <c r="E302" s="247"/>
      <c r="F302" s="439"/>
      <c r="G302" s="439"/>
      <c r="H302" s="439"/>
      <c r="I302" s="439"/>
      <c r="J302" s="439"/>
      <c r="K302" s="247"/>
      <c r="L302" s="439"/>
      <c r="M302" s="439"/>
      <c r="N302" s="439"/>
      <c r="O302" s="439"/>
      <c r="P302" s="439"/>
      <c r="Q302" s="247"/>
      <c r="R302" s="439"/>
      <c r="S302" s="439"/>
      <c r="T302" s="439"/>
      <c r="U302" s="439"/>
      <c r="V302" s="439"/>
      <c r="W302" s="439"/>
      <c r="X302" s="439"/>
      <c r="Y302" s="439"/>
      <c r="Z302" s="439"/>
      <c r="AA302" s="439"/>
      <c r="AB302" s="439"/>
      <c r="AC302" s="439"/>
    </row>
    <row r="303" ht="15.75" customHeight="1">
      <c r="A303" s="439"/>
      <c r="B303" s="439"/>
      <c r="C303" s="439"/>
      <c r="D303" s="439"/>
      <c r="E303" s="247"/>
      <c r="F303" s="439"/>
      <c r="G303" s="439"/>
      <c r="H303" s="439"/>
      <c r="I303" s="439"/>
      <c r="J303" s="439"/>
      <c r="K303" s="247"/>
      <c r="L303" s="439"/>
      <c r="M303" s="439"/>
      <c r="N303" s="439"/>
      <c r="O303" s="439"/>
      <c r="P303" s="439"/>
      <c r="Q303" s="247"/>
      <c r="R303" s="439"/>
      <c r="S303" s="439"/>
      <c r="T303" s="439"/>
      <c r="U303" s="439"/>
      <c r="V303" s="439"/>
      <c r="W303" s="439"/>
      <c r="X303" s="439"/>
      <c r="Y303" s="439"/>
      <c r="Z303" s="439"/>
      <c r="AA303" s="439"/>
      <c r="AB303" s="439"/>
      <c r="AC303" s="439"/>
    </row>
    <row r="304" ht="15.75" customHeight="1">
      <c r="A304" s="439"/>
      <c r="B304" s="439"/>
      <c r="C304" s="439"/>
      <c r="D304" s="439"/>
      <c r="E304" s="247"/>
      <c r="F304" s="439"/>
      <c r="G304" s="439"/>
      <c r="H304" s="439"/>
      <c r="I304" s="439"/>
      <c r="J304" s="439"/>
      <c r="K304" s="247"/>
      <c r="L304" s="439"/>
      <c r="M304" s="439"/>
      <c r="N304" s="439"/>
      <c r="O304" s="439"/>
      <c r="P304" s="439"/>
      <c r="Q304" s="247"/>
      <c r="R304" s="439"/>
      <c r="S304" s="439"/>
      <c r="T304" s="439"/>
      <c r="U304" s="439"/>
      <c r="V304" s="439"/>
      <c r="W304" s="439"/>
      <c r="X304" s="439"/>
      <c r="Y304" s="439"/>
      <c r="Z304" s="439"/>
      <c r="AA304" s="439"/>
      <c r="AB304" s="439"/>
      <c r="AC304" s="439"/>
    </row>
    <row r="305" ht="15.75" customHeight="1">
      <c r="A305" s="439"/>
      <c r="B305" s="439"/>
      <c r="C305" s="439"/>
      <c r="D305" s="439"/>
      <c r="E305" s="247"/>
      <c r="F305" s="439"/>
      <c r="G305" s="439"/>
      <c r="H305" s="439"/>
      <c r="I305" s="439"/>
      <c r="J305" s="439"/>
      <c r="K305" s="247"/>
      <c r="L305" s="439"/>
      <c r="M305" s="439"/>
      <c r="N305" s="439"/>
      <c r="O305" s="439"/>
      <c r="P305" s="439"/>
      <c r="Q305" s="247"/>
      <c r="R305" s="439"/>
      <c r="S305" s="439"/>
      <c r="T305" s="439"/>
      <c r="U305" s="439"/>
      <c r="V305" s="439"/>
      <c r="W305" s="439"/>
      <c r="X305" s="439"/>
      <c r="Y305" s="439"/>
      <c r="Z305" s="439"/>
      <c r="AA305" s="439"/>
      <c r="AB305" s="439"/>
      <c r="AC305" s="439"/>
    </row>
    <row r="306" ht="15.75" customHeight="1">
      <c r="A306" s="439"/>
      <c r="B306" s="439"/>
      <c r="C306" s="439"/>
      <c r="D306" s="439"/>
      <c r="E306" s="247"/>
      <c r="F306" s="439"/>
      <c r="G306" s="439"/>
      <c r="H306" s="439"/>
      <c r="I306" s="439"/>
      <c r="J306" s="439"/>
      <c r="K306" s="247"/>
      <c r="L306" s="439"/>
      <c r="M306" s="439"/>
      <c r="N306" s="439"/>
      <c r="O306" s="439"/>
      <c r="P306" s="439"/>
      <c r="Q306" s="247"/>
      <c r="R306" s="439"/>
      <c r="S306" s="439"/>
      <c r="T306" s="439"/>
      <c r="U306" s="439"/>
      <c r="V306" s="439"/>
      <c r="W306" s="439"/>
      <c r="X306" s="439"/>
      <c r="Y306" s="439"/>
      <c r="Z306" s="439"/>
      <c r="AA306" s="439"/>
      <c r="AB306" s="439"/>
      <c r="AC306" s="439"/>
    </row>
    <row r="307" ht="15.75" customHeight="1">
      <c r="A307" s="439"/>
      <c r="B307" s="439"/>
      <c r="C307" s="439"/>
      <c r="D307" s="439"/>
      <c r="E307" s="247"/>
      <c r="F307" s="439"/>
      <c r="G307" s="439"/>
      <c r="H307" s="439"/>
      <c r="I307" s="439"/>
      <c r="J307" s="439"/>
      <c r="K307" s="247"/>
      <c r="L307" s="439"/>
      <c r="M307" s="439"/>
      <c r="N307" s="439"/>
      <c r="O307" s="439"/>
      <c r="P307" s="439"/>
      <c r="Q307" s="247"/>
      <c r="R307" s="439"/>
      <c r="S307" s="439"/>
      <c r="T307" s="439"/>
      <c r="U307" s="439"/>
      <c r="V307" s="439"/>
      <c r="W307" s="439"/>
      <c r="X307" s="439"/>
      <c r="Y307" s="439"/>
      <c r="Z307" s="439"/>
      <c r="AA307" s="439"/>
      <c r="AB307" s="439"/>
      <c r="AC307" s="439"/>
    </row>
    <row r="308" ht="15.75" customHeight="1">
      <c r="A308" s="439"/>
      <c r="B308" s="439"/>
      <c r="C308" s="439"/>
      <c r="D308" s="439"/>
      <c r="E308" s="247"/>
      <c r="F308" s="439"/>
      <c r="G308" s="439"/>
      <c r="H308" s="439"/>
      <c r="I308" s="439"/>
      <c r="J308" s="439"/>
      <c r="K308" s="247"/>
      <c r="L308" s="439"/>
      <c r="M308" s="439"/>
      <c r="N308" s="439"/>
      <c r="O308" s="439"/>
      <c r="P308" s="439"/>
      <c r="Q308" s="247"/>
      <c r="R308" s="439"/>
      <c r="S308" s="439"/>
      <c r="T308" s="439"/>
      <c r="U308" s="439"/>
      <c r="V308" s="439"/>
      <c r="W308" s="439"/>
      <c r="X308" s="439"/>
      <c r="Y308" s="439"/>
      <c r="Z308" s="439"/>
      <c r="AA308" s="439"/>
      <c r="AB308" s="439"/>
      <c r="AC308" s="439"/>
    </row>
    <row r="309" ht="15.75" customHeight="1">
      <c r="A309" s="439"/>
      <c r="B309" s="439"/>
      <c r="C309" s="439"/>
      <c r="D309" s="439"/>
      <c r="E309" s="247"/>
      <c r="F309" s="439"/>
      <c r="G309" s="439"/>
      <c r="H309" s="439"/>
      <c r="I309" s="439"/>
      <c r="J309" s="439"/>
      <c r="K309" s="247"/>
      <c r="L309" s="439"/>
      <c r="M309" s="439"/>
      <c r="N309" s="439"/>
      <c r="O309" s="439"/>
      <c r="P309" s="439"/>
      <c r="Q309" s="247"/>
      <c r="R309" s="439"/>
      <c r="S309" s="439"/>
      <c r="T309" s="439"/>
      <c r="U309" s="439"/>
      <c r="V309" s="439"/>
      <c r="W309" s="439"/>
      <c r="X309" s="439"/>
      <c r="Y309" s="439"/>
      <c r="Z309" s="439"/>
      <c r="AA309" s="439"/>
      <c r="AB309" s="439"/>
      <c r="AC309" s="439"/>
    </row>
    <row r="310" ht="15.75" customHeight="1">
      <c r="A310" s="439"/>
      <c r="B310" s="439"/>
      <c r="C310" s="439"/>
      <c r="D310" s="439"/>
      <c r="E310" s="247"/>
      <c r="F310" s="439"/>
      <c r="G310" s="439"/>
      <c r="H310" s="439"/>
      <c r="I310" s="439"/>
      <c r="J310" s="439"/>
      <c r="K310" s="247"/>
      <c r="L310" s="439"/>
      <c r="M310" s="439"/>
      <c r="N310" s="439"/>
      <c r="O310" s="439"/>
      <c r="P310" s="439"/>
      <c r="Q310" s="247"/>
      <c r="R310" s="439"/>
      <c r="S310" s="439"/>
      <c r="T310" s="439"/>
      <c r="U310" s="439"/>
      <c r="V310" s="439"/>
      <c r="W310" s="439"/>
      <c r="X310" s="439"/>
      <c r="Y310" s="439"/>
      <c r="Z310" s="439"/>
      <c r="AA310" s="439"/>
      <c r="AB310" s="439"/>
      <c r="AC310" s="439"/>
    </row>
    <row r="311" ht="15.75" customHeight="1">
      <c r="A311" s="439"/>
      <c r="B311" s="439"/>
      <c r="C311" s="439"/>
      <c r="D311" s="439"/>
      <c r="E311" s="247"/>
      <c r="F311" s="439"/>
      <c r="G311" s="439"/>
      <c r="H311" s="439"/>
      <c r="I311" s="439"/>
      <c r="J311" s="439"/>
      <c r="K311" s="247"/>
      <c r="L311" s="439"/>
      <c r="M311" s="439"/>
      <c r="N311" s="439"/>
      <c r="O311" s="439"/>
      <c r="P311" s="439"/>
      <c r="Q311" s="247"/>
      <c r="R311" s="439"/>
      <c r="S311" s="439"/>
      <c r="T311" s="439"/>
      <c r="U311" s="439"/>
      <c r="V311" s="439"/>
      <c r="W311" s="439"/>
      <c r="X311" s="439"/>
      <c r="Y311" s="439"/>
      <c r="Z311" s="439"/>
      <c r="AA311" s="439"/>
      <c r="AB311" s="439"/>
      <c r="AC311" s="439"/>
    </row>
    <row r="312" ht="15.75" customHeight="1">
      <c r="A312" s="439"/>
      <c r="B312" s="439"/>
      <c r="C312" s="439"/>
      <c r="D312" s="439"/>
      <c r="E312" s="247"/>
      <c r="F312" s="439"/>
      <c r="G312" s="439"/>
      <c r="H312" s="439"/>
      <c r="I312" s="439"/>
      <c r="J312" s="439"/>
      <c r="K312" s="247"/>
      <c r="L312" s="439"/>
      <c r="M312" s="439"/>
      <c r="N312" s="439"/>
      <c r="O312" s="439"/>
      <c r="P312" s="439"/>
      <c r="Q312" s="247"/>
      <c r="R312" s="439"/>
      <c r="S312" s="439"/>
      <c r="T312" s="439"/>
      <c r="U312" s="439"/>
      <c r="V312" s="439"/>
      <c r="W312" s="439"/>
      <c r="X312" s="439"/>
      <c r="Y312" s="439"/>
      <c r="Z312" s="439"/>
      <c r="AA312" s="439"/>
      <c r="AB312" s="439"/>
      <c r="AC312" s="439"/>
    </row>
    <row r="313" ht="15.75" customHeight="1">
      <c r="A313" s="439"/>
      <c r="B313" s="439"/>
      <c r="C313" s="439"/>
      <c r="D313" s="439"/>
      <c r="E313" s="247"/>
      <c r="F313" s="439"/>
      <c r="G313" s="439"/>
      <c r="H313" s="439"/>
      <c r="I313" s="439"/>
      <c r="J313" s="439"/>
      <c r="K313" s="247"/>
      <c r="L313" s="439"/>
      <c r="M313" s="439"/>
      <c r="N313" s="439"/>
      <c r="O313" s="439"/>
      <c r="P313" s="439"/>
      <c r="Q313" s="247"/>
      <c r="R313" s="439"/>
      <c r="S313" s="439"/>
      <c r="T313" s="439"/>
      <c r="U313" s="439"/>
      <c r="V313" s="439"/>
      <c r="W313" s="439"/>
      <c r="X313" s="439"/>
      <c r="Y313" s="439"/>
      <c r="Z313" s="439"/>
      <c r="AA313" s="439"/>
      <c r="AB313" s="439"/>
      <c r="AC313" s="439"/>
    </row>
    <row r="314" ht="15.75" customHeight="1">
      <c r="A314" s="439"/>
      <c r="B314" s="439"/>
      <c r="C314" s="439"/>
      <c r="D314" s="439"/>
      <c r="E314" s="247"/>
      <c r="F314" s="439"/>
      <c r="G314" s="439"/>
      <c r="H314" s="439"/>
      <c r="I314" s="439"/>
      <c r="J314" s="439"/>
      <c r="K314" s="247"/>
      <c r="L314" s="439"/>
      <c r="M314" s="439"/>
      <c r="N314" s="439"/>
      <c r="O314" s="439"/>
      <c r="P314" s="439"/>
      <c r="Q314" s="247"/>
      <c r="R314" s="439"/>
      <c r="S314" s="439"/>
      <c r="T314" s="439"/>
      <c r="U314" s="439"/>
      <c r="V314" s="439"/>
      <c r="W314" s="439"/>
      <c r="X314" s="439"/>
      <c r="Y314" s="439"/>
      <c r="Z314" s="439"/>
      <c r="AA314" s="439"/>
      <c r="AB314" s="439"/>
      <c r="AC314" s="439"/>
    </row>
    <row r="315" ht="15.75" customHeight="1">
      <c r="A315" s="439"/>
      <c r="B315" s="439"/>
      <c r="C315" s="439"/>
      <c r="D315" s="439"/>
      <c r="E315" s="247"/>
      <c r="F315" s="439"/>
      <c r="G315" s="439"/>
      <c r="H315" s="439"/>
      <c r="I315" s="439"/>
      <c r="J315" s="439"/>
      <c r="K315" s="247"/>
      <c r="L315" s="439"/>
      <c r="M315" s="439"/>
      <c r="N315" s="439"/>
      <c r="O315" s="439"/>
      <c r="P315" s="439"/>
      <c r="Q315" s="247"/>
      <c r="R315" s="439"/>
      <c r="S315" s="439"/>
      <c r="T315" s="439"/>
      <c r="U315" s="439"/>
      <c r="V315" s="439"/>
      <c r="W315" s="439"/>
      <c r="X315" s="439"/>
      <c r="Y315" s="439"/>
      <c r="Z315" s="439"/>
      <c r="AA315" s="439"/>
      <c r="AB315" s="439"/>
      <c r="AC315" s="439"/>
    </row>
    <row r="316" ht="15.75" customHeight="1">
      <c r="A316" s="439"/>
      <c r="B316" s="439"/>
      <c r="C316" s="439"/>
      <c r="D316" s="439"/>
      <c r="E316" s="247"/>
      <c r="F316" s="439"/>
      <c r="G316" s="439"/>
      <c r="H316" s="439"/>
      <c r="I316" s="439"/>
      <c r="J316" s="439"/>
      <c r="K316" s="247"/>
      <c r="L316" s="439"/>
      <c r="M316" s="439"/>
      <c r="N316" s="439"/>
      <c r="O316" s="439"/>
      <c r="P316" s="439"/>
      <c r="Q316" s="247"/>
      <c r="R316" s="439"/>
      <c r="S316" s="439"/>
      <c r="T316" s="439"/>
      <c r="U316" s="439"/>
      <c r="V316" s="439"/>
      <c r="W316" s="439"/>
      <c r="X316" s="439"/>
      <c r="Y316" s="439"/>
      <c r="Z316" s="439"/>
      <c r="AA316" s="439"/>
      <c r="AB316" s="439"/>
      <c r="AC316" s="439"/>
    </row>
    <row r="317" ht="15.75" customHeight="1">
      <c r="A317" s="439"/>
      <c r="B317" s="439"/>
      <c r="C317" s="439"/>
      <c r="D317" s="439"/>
      <c r="E317" s="247"/>
      <c r="F317" s="439"/>
      <c r="G317" s="439"/>
      <c r="H317" s="439"/>
      <c r="I317" s="439"/>
      <c r="J317" s="439"/>
      <c r="K317" s="247"/>
      <c r="L317" s="439"/>
      <c r="M317" s="439"/>
      <c r="N317" s="439"/>
      <c r="O317" s="439"/>
      <c r="P317" s="439"/>
      <c r="Q317" s="247"/>
      <c r="R317" s="439"/>
      <c r="S317" s="439"/>
      <c r="T317" s="439"/>
      <c r="U317" s="439"/>
      <c r="V317" s="439"/>
      <c r="W317" s="439"/>
      <c r="X317" s="439"/>
      <c r="Y317" s="439"/>
      <c r="Z317" s="439"/>
      <c r="AA317" s="439"/>
      <c r="AB317" s="439"/>
      <c r="AC317" s="439"/>
    </row>
    <row r="318" ht="15.75" customHeight="1">
      <c r="A318" s="439"/>
      <c r="B318" s="439"/>
      <c r="C318" s="439"/>
      <c r="D318" s="439"/>
      <c r="E318" s="247"/>
      <c r="F318" s="439"/>
      <c r="G318" s="439"/>
      <c r="H318" s="439"/>
      <c r="I318" s="439"/>
      <c r="J318" s="439"/>
      <c r="K318" s="247"/>
      <c r="L318" s="439"/>
      <c r="M318" s="439"/>
      <c r="N318" s="439"/>
      <c r="O318" s="439"/>
      <c r="P318" s="439"/>
      <c r="Q318" s="247"/>
      <c r="R318" s="439"/>
      <c r="S318" s="439"/>
      <c r="T318" s="439"/>
      <c r="U318" s="439"/>
      <c r="V318" s="439"/>
      <c r="W318" s="439"/>
      <c r="X318" s="439"/>
      <c r="Y318" s="439"/>
      <c r="Z318" s="439"/>
      <c r="AA318" s="439"/>
      <c r="AB318" s="439"/>
      <c r="AC318" s="439"/>
    </row>
    <row r="319" ht="15.75" customHeight="1">
      <c r="A319" s="439"/>
      <c r="B319" s="439"/>
      <c r="C319" s="439"/>
      <c r="D319" s="439"/>
      <c r="E319" s="247"/>
      <c r="F319" s="439"/>
      <c r="G319" s="439"/>
      <c r="H319" s="439"/>
      <c r="I319" s="439"/>
      <c r="J319" s="439"/>
      <c r="K319" s="247"/>
      <c r="L319" s="439"/>
      <c r="M319" s="439"/>
      <c r="N319" s="439"/>
      <c r="O319" s="439"/>
      <c r="P319" s="439"/>
      <c r="Q319" s="247"/>
      <c r="R319" s="439"/>
      <c r="S319" s="439"/>
      <c r="T319" s="439"/>
      <c r="U319" s="439"/>
      <c r="V319" s="439"/>
      <c r="W319" s="439"/>
      <c r="X319" s="439"/>
      <c r="Y319" s="439"/>
      <c r="Z319" s="439"/>
      <c r="AA319" s="439"/>
      <c r="AB319" s="439"/>
      <c r="AC319" s="439"/>
    </row>
    <row r="320" ht="15.75" customHeight="1">
      <c r="A320" s="439"/>
      <c r="B320" s="439"/>
      <c r="C320" s="439"/>
      <c r="D320" s="439"/>
      <c r="E320" s="247"/>
      <c r="F320" s="439"/>
      <c r="G320" s="439"/>
      <c r="H320" s="439"/>
      <c r="I320" s="439"/>
      <c r="J320" s="439"/>
      <c r="K320" s="247"/>
      <c r="L320" s="439"/>
      <c r="M320" s="439"/>
      <c r="N320" s="439"/>
      <c r="O320" s="439"/>
      <c r="P320" s="439"/>
      <c r="Q320" s="247"/>
      <c r="R320" s="439"/>
      <c r="S320" s="439"/>
      <c r="T320" s="439"/>
      <c r="U320" s="439"/>
      <c r="V320" s="439"/>
      <c r="W320" s="439"/>
      <c r="X320" s="439"/>
      <c r="Y320" s="439"/>
      <c r="Z320" s="439"/>
      <c r="AA320" s="439"/>
      <c r="AB320" s="439"/>
      <c r="AC320" s="439"/>
    </row>
    <row r="321" ht="15.75" customHeight="1">
      <c r="A321" s="439"/>
      <c r="B321" s="439"/>
      <c r="C321" s="439"/>
      <c r="D321" s="439"/>
      <c r="E321" s="247"/>
      <c r="F321" s="439"/>
      <c r="G321" s="439"/>
      <c r="H321" s="439"/>
      <c r="I321" s="439"/>
      <c r="J321" s="439"/>
      <c r="K321" s="247"/>
      <c r="L321" s="439"/>
      <c r="M321" s="439"/>
      <c r="N321" s="439"/>
      <c r="O321" s="439"/>
      <c r="P321" s="439"/>
      <c r="Q321" s="247"/>
      <c r="R321" s="439"/>
      <c r="S321" s="439"/>
      <c r="T321" s="439"/>
      <c r="U321" s="439"/>
      <c r="V321" s="439"/>
      <c r="W321" s="439"/>
      <c r="X321" s="439"/>
      <c r="Y321" s="439"/>
      <c r="Z321" s="439"/>
      <c r="AA321" s="439"/>
      <c r="AB321" s="439"/>
      <c r="AC321" s="439"/>
    </row>
    <row r="322" ht="15.75" customHeight="1">
      <c r="A322" s="439"/>
      <c r="B322" s="439"/>
      <c r="C322" s="439"/>
      <c r="D322" s="439"/>
      <c r="E322" s="247"/>
      <c r="F322" s="439"/>
      <c r="G322" s="439"/>
      <c r="H322" s="439"/>
      <c r="I322" s="439"/>
      <c r="J322" s="439"/>
      <c r="K322" s="247"/>
      <c r="L322" s="439"/>
      <c r="M322" s="439"/>
      <c r="N322" s="439"/>
      <c r="O322" s="439"/>
      <c r="P322" s="439"/>
      <c r="Q322" s="247"/>
      <c r="R322" s="439"/>
      <c r="S322" s="439"/>
      <c r="T322" s="439"/>
      <c r="U322" s="439"/>
      <c r="V322" s="439"/>
      <c r="W322" s="439"/>
      <c r="X322" s="439"/>
      <c r="Y322" s="439"/>
      <c r="Z322" s="439"/>
      <c r="AA322" s="439"/>
      <c r="AB322" s="439"/>
      <c r="AC322" s="439"/>
    </row>
    <row r="323" ht="15.75" customHeight="1">
      <c r="A323" s="439"/>
      <c r="B323" s="439"/>
      <c r="C323" s="439"/>
      <c r="D323" s="439"/>
      <c r="E323" s="247"/>
      <c r="F323" s="439"/>
      <c r="G323" s="439"/>
      <c r="H323" s="439"/>
      <c r="I323" s="439"/>
      <c r="J323" s="439"/>
      <c r="K323" s="247"/>
      <c r="L323" s="439"/>
      <c r="M323" s="439"/>
      <c r="N323" s="439"/>
      <c r="O323" s="439"/>
      <c r="P323" s="439"/>
      <c r="Q323" s="247"/>
      <c r="R323" s="439"/>
      <c r="S323" s="439"/>
      <c r="T323" s="439"/>
      <c r="U323" s="439"/>
      <c r="V323" s="439"/>
      <c r="W323" s="439"/>
      <c r="X323" s="439"/>
      <c r="Y323" s="439"/>
      <c r="Z323" s="439"/>
      <c r="AA323" s="439"/>
      <c r="AB323" s="439"/>
      <c r="AC323" s="439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4:B5"/>
    <mergeCell ref="C4:C5"/>
    <mergeCell ref="D4:I4"/>
    <mergeCell ref="J4:O4"/>
    <mergeCell ref="P4:U4"/>
    <mergeCell ref="B37:C37"/>
    <mergeCell ref="B56:C56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5.0" topLeftCell="D16" activePane="bottomRight" state="frozen"/>
      <selection activeCell="D1" sqref="D1" pane="topRight"/>
      <selection activeCell="A16" sqref="A16" pane="bottomLeft"/>
      <selection activeCell="D16" sqref="D1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5.75"/>
    <col customWidth="1" min="4" max="4" width="13.13"/>
    <col customWidth="1" hidden="1" min="5" max="5" width="9.0"/>
    <col customWidth="1" hidden="1" min="6" max="6" width="12.38"/>
    <col customWidth="1" hidden="1" min="7" max="7" width="8.25"/>
    <col customWidth="1" hidden="1" min="8" max="9" width="12.63"/>
    <col customWidth="1" min="10" max="10" width="11.88"/>
    <col customWidth="1" hidden="1" min="11" max="11" width="9.0"/>
    <col customWidth="1" hidden="1" min="12" max="12" width="12.38"/>
    <col customWidth="1" hidden="1" min="13" max="13" width="8.25"/>
    <col customWidth="1" hidden="1" min="14" max="15" width="12.63"/>
    <col customWidth="1" min="16" max="16" width="11.38"/>
    <col customWidth="1" hidden="1" min="17" max="17" width="9.0"/>
    <col customWidth="1" hidden="1" min="18" max="18" width="12.38"/>
    <col customWidth="1" hidden="1" min="19" max="19" width="8.25"/>
    <col customWidth="1" hidden="1" min="20" max="21" width="12.63"/>
  </cols>
  <sheetData>
    <row r="1" ht="15.75" customHeight="1">
      <c r="A1" s="439"/>
      <c r="B1" s="440" t="s">
        <v>0</v>
      </c>
      <c r="C1" s="439"/>
      <c r="D1" s="439"/>
      <c r="E1" s="247"/>
      <c r="F1" s="439"/>
      <c r="G1" s="439"/>
      <c r="H1" s="439"/>
      <c r="I1" s="439"/>
      <c r="J1" s="439"/>
      <c r="K1" s="247"/>
      <c r="L1" s="439"/>
      <c r="M1" s="439"/>
      <c r="N1" s="439"/>
      <c r="O1" s="439"/>
      <c r="P1" s="439"/>
      <c r="Q1" s="247"/>
      <c r="R1" s="439"/>
      <c r="S1" s="439"/>
      <c r="T1" s="439"/>
      <c r="U1" s="439"/>
    </row>
    <row r="2" ht="15.75" customHeight="1">
      <c r="A2" s="439"/>
      <c r="B2" s="692" t="s">
        <v>367</v>
      </c>
      <c r="C2" s="439"/>
      <c r="D2" s="439"/>
      <c r="E2" s="247"/>
      <c r="F2" s="439"/>
      <c r="G2" s="439"/>
      <c r="H2" s="439"/>
      <c r="I2" s="439"/>
      <c r="J2" s="439"/>
      <c r="K2" s="247"/>
      <c r="L2" s="439"/>
      <c r="M2" s="439"/>
      <c r="N2" s="439"/>
      <c r="O2" s="439"/>
      <c r="P2" s="439"/>
      <c r="Q2" s="247"/>
      <c r="R2" s="439"/>
      <c r="S2" s="439"/>
      <c r="T2" s="439"/>
      <c r="U2" s="439"/>
    </row>
    <row r="3" ht="15.75" customHeight="1">
      <c r="A3" s="439"/>
      <c r="B3" s="439"/>
      <c r="C3" s="439"/>
      <c r="D3" s="439"/>
      <c r="E3" s="247"/>
      <c r="F3" s="439"/>
      <c r="G3" s="439"/>
      <c r="H3" s="439"/>
      <c r="I3" s="439"/>
      <c r="J3" s="439"/>
      <c r="K3" s="247"/>
      <c r="L3" s="439"/>
      <c r="M3" s="439"/>
      <c r="N3" s="439"/>
      <c r="O3" s="439"/>
      <c r="P3" s="439"/>
      <c r="Q3" s="247"/>
      <c r="R3" s="439"/>
      <c r="S3" s="439"/>
      <c r="T3" s="439"/>
      <c r="U3" s="439"/>
    </row>
    <row r="4" ht="15.75" customHeight="1">
      <c r="A4" s="439"/>
      <c r="B4" s="443" t="s">
        <v>162</v>
      </c>
      <c r="C4" s="443" t="s">
        <v>163</v>
      </c>
      <c r="D4" s="694" t="s">
        <v>164</v>
      </c>
      <c r="E4" s="10"/>
      <c r="F4" s="10"/>
      <c r="G4" s="10"/>
      <c r="H4" s="10"/>
      <c r="I4" s="13"/>
      <c r="J4" s="694" t="s">
        <v>165</v>
      </c>
      <c r="K4" s="10"/>
      <c r="L4" s="10"/>
      <c r="M4" s="10"/>
      <c r="N4" s="10"/>
      <c r="O4" s="13"/>
      <c r="P4" s="695" t="s">
        <v>166</v>
      </c>
      <c r="Q4" s="10"/>
      <c r="R4" s="10"/>
      <c r="S4" s="10"/>
      <c r="T4" s="10"/>
      <c r="U4" s="13"/>
    </row>
    <row r="5" ht="15.75" customHeight="1">
      <c r="A5" s="532"/>
      <c r="B5" s="448"/>
      <c r="C5" s="448"/>
      <c r="D5" s="803" t="s">
        <v>167</v>
      </c>
      <c r="E5" s="803" t="s">
        <v>18</v>
      </c>
      <c r="F5" s="803" t="s">
        <v>168</v>
      </c>
      <c r="G5" s="803" t="s">
        <v>18</v>
      </c>
      <c r="H5" s="803" t="s">
        <v>169</v>
      </c>
      <c r="I5" s="803" t="s">
        <v>260</v>
      </c>
      <c r="J5" s="803" t="s">
        <v>167</v>
      </c>
      <c r="K5" s="803" t="s">
        <v>18</v>
      </c>
      <c r="L5" s="803" t="s">
        <v>168</v>
      </c>
      <c r="M5" s="803" t="s">
        <v>18</v>
      </c>
      <c r="N5" s="803" t="s">
        <v>169</v>
      </c>
      <c r="O5" s="803" t="s">
        <v>260</v>
      </c>
      <c r="P5" s="803" t="s">
        <v>167</v>
      </c>
      <c r="Q5" s="803" t="s">
        <v>18</v>
      </c>
      <c r="R5" s="803" t="s">
        <v>168</v>
      </c>
      <c r="S5" s="803" t="s">
        <v>18</v>
      </c>
      <c r="T5" s="803" t="s">
        <v>169</v>
      </c>
      <c r="U5" s="803" t="s">
        <v>260</v>
      </c>
    </row>
    <row r="6" ht="15.75" hidden="1" customHeight="1">
      <c r="A6" s="439"/>
      <c r="B6" s="461"/>
      <c r="C6" s="497" t="s">
        <v>73</v>
      </c>
      <c r="D6" s="703">
        <v>0.0</v>
      </c>
      <c r="E6" s="540"/>
      <c r="F6" s="646"/>
      <c r="G6" s="540"/>
      <c r="H6" s="646"/>
      <c r="I6" s="542"/>
      <c r="J6" s="703">
        <v>0.0</v>
      </c>
      <c r="K6" s="540"/>
      <c r="L6" s="646"/>
      <c r="M6" s="540"/>
      <c r="N6" s="646"/>
      <c r="O6" s="542"/>
      <c r="P6" s="1150">
        <v>0.0</v>
      </c>
      <c r="Q6" s="461"/>
      <c r="R6" s="741"/>
      <c r="S6" s="461"/>
      <c r="T6" s="741"/>
      <c r="U6" s="461"/>
    </row>
    <row r="7" ht="15.75" hidden="1" customHeight="1">
      <c r="A7" s="439"/>
      <c r="B7" s="469"/>
      <c r="C7" s="465" t="s">
        <v>80</v>
      </c>
      <c r="D7" s="704">
        <v>0.0</v>
      </c>
      <c r="E7" s="539"/>
      <c r="F7" s="649"/>
      <c r="G7" s="539"/>
      <c r="H7" s="649"/>
      <c r="I7" s="479"/>
      <c r="J7" s="704">
        <v>0.0</v>
      </c>
      <c r="K7" s="539"/>
      <c r="L7" s="649"/>
      <c r="M7" s="539"/>
      <c r="N7" s="649"/>
      <c r="O7" s="479"/>
      <c r="P7" s="1151">
        <v>0.0</v>
      </c>
      <c r="Q7" s="469"/>
      <c r="R7" s="737"/>
      <c r="S7" s="469"/>
      <c r="T7" s="737"/>
      <c r="U7" s="469"/>
    </row>
    <row r="8" ht="15.75" hidden="1" customHeight="1">
      <c r="A8" s="439"/>
      <c r="B8" s="469"/>
      <c r="C8" s="465" t="s">
        <v>87</v>
      </c>
      <c r="D8" s="704">
        <v>0.0</v>
      </c>
      <c r="E8" s="539"/>
      <c r="F8" s="649"/>
      <c r="G8" s="539"/>
      <c r="H8" s="649"/>
      <c r="I8" s="479"/>
      <c r="J8" s="704">
        <v>0.0</v>
      </c>
      <c r="K8" s="539"/>
      <c r="L8" s="649"/>
      <c r="M8" s="539"/>
      <c r="N8" s="649"/>
      <c r="O8" s="479"/>
      <c r="P8" s="1151">
        <v>0.0</v>
      </c>
      <c r="Q8" s="469"/>
      <c r="R8" s="737"/>
      <c r="S8" s="469"/>
      <c r="T8" s="737"/>
      <c r="U8" s="469"/>
    </row>
    <row r="9" ht="15.75" hidden="1" customHeight="1">
      <c r="A9" s="439"/>
      <c r="B9" s="469"/>
      <c r="C9" s="465" t="s">
        <v>94</v>
      </c>
      <c r="D9" s="704">
        <v>0.0</v>
      </c>
      <c r="E9" s="539"/>
      <c r="F9" s="649"/>
      <c r="G9" s="539"/>
      <c r="H9" s="649"/>
      <c r="I9" s="479"/>
      <c r="J9" s="704">
        <v>0.0</v>
      </c>
      <c r="K9" s="539"/>
      <c r="L9" s="649"/>
      <c r="M9" s="539"/>
      <c r="N9" s="649"/>
      <c r="O9" s="479"/>
      <c r="P9" s="1151">
        <v>0.0</v>
      </c>
      <c r="Q9" s="469"/>
      <c r="R9" s="737"/>
      <c r="S9" s="469"/>
      <c r="T9" s="737"/>
      <c r="U9" s="469"/>
    </row>
    <row r="10" ht="15.75" hidden="1" customHeight="1">
      <c r="A10" s="439"/>
      <c r="B10" s="469"/>
      <c r="C10" s="465" t="s">
        <v>101</v>
      </c>
      <c r="D10" s="704">
        <f>SUM(D8:D9)-D29</f>
        <v>-334509.99</v>
      </c>
      <c r="E10" s="539"/>
      <c r="F10" s="649"/>
      <c r="G10" s="539"/>
      <c r="H10" s="649"/>
      <c r="I10" s="479"/>
      <c r="J10" s="704">
        <f>SUM(J8:J9)-J29</f>
        <v>-332317</v>
      </c>
      <c r="K10" s="539"/>
      <c r="L10" s="649"/>
      <c r="M10" s="539"/>
      <c r="N10" s="649"/>
      <c r="O10" s="479"/>
      <c r="P10" s="1151">
        <f>SUM(P8:P9)-P29</f>
        <v>-305888</v>
      </c>
      <c r="Q10" s="469"/>
      <c r="R10" s="737"/>
      <c r="S10" s="469"/>
      <c r="T10" s="737"/>
      <c r="U10" s="469"/>
    </row>
    <row r="11" ht="15.75" hidden="1" customHeight="1">
      <c r="A11" s="439"/>
      <c r="B11" s="469"/>
      <c r="C11" s="465" t="s">
        <v>108</v>
      </c>
      <c r="D11" s="704"/>
      <c r="E11" s="539"/>
      <c r="F11" s="649"/>
      <c r="G11" s="539"/>
      <c r="H11" s="649"/>
      <c r="I11" s="479"/>
      <c r="J11" s="704"/>
      <c r="K11" s="539"/>
      <c r="L11" s="649"/>
      <c r="M11" s="539"/>
      <c r="N11" s="649"/>
      <c r="O11" s="479"/>
      <c r="P11" s="1151"/>
      <c r="Q11" s="469"/>
      <c r="R11" s="737"/>
      <c r="S11" s="469"/>
      <c r="T11" s="737"/>
      <c r="U11" s="469"/>
    </row>
    <row r="12" ht="15.75" hidden="1" customHeight="1">
      <c r="A12" s="439"/>
      <c r="B12" s="469"/>
      <c r="C12" s="465" t="s">
        <v>115</v>
      </c>
      <c r="D12" s="704"/>
      <c r="E12" s="539"/>
      <c r="F12" s="649"/>
      <c r="G12" s="539"/>
      <c r="H12" s="649"/>
      <c r="I12" s="479"/>
      <c r="J12" s="704"/>
      <c r="K12" s="539"/>
      <c r="L12" s="649"/>
      <c r="M12" s="539"/>
      <c r="N12" s="649"/>
      <c r="O12" s="479"/>
      <c r="P12" s="1151"/>
      <c r="Q12" s="469"/>
      <c r="R12" s="737"/>
      <c r="S12" s="469"/>
      <c r="T12" s="737"/>
      <c r="U12" s="469"/>
    </row>
    <row r="13" ht="15.75" hidden="1" customHeight="1">
      <c r="A13" s="439"/>
      <c r="B13" s="469"/>
      <c r="C13" s="465"/>
      <c r="D13" s="704"/>
      <c r="E13" s="539"/>
      <c r="F13" s="649"/>
      <c r="G13" s="256"/>
      <c r="H13" s="649"/>
      <c r="I13" s="674"/>
      <c r="J13" s="704"/>
      <c r="K13" s="539"/>
      <c r="L13" s="649"/>
      <c r="M13" s="256"/>
      <c r="N13" s="649"/>
      <c r="O13" s="674"/>
      <c r="P13" s="1151"/>
      <c r="Q13" s="469"/>
      <c r="R13" s="737"/>
      <c r="S13" s="465"/>
      <c r="T13" s="737"/>
      <c r="U13" s="465"/>
    </row>
    <row r="14" ht="15.75" hidden="1" customHeight="1">
      <c r="A14" s="439"/>
      <c r="B14" s="543"/>
      <c r="C14" s="483"/>
      <c r="D14" s="705"/>
      <c r="E14" s="544"/>
      <c r="F14" s="706"/>
      <c r="G14" s="677"/>
      <c r="H14" s="706"/>
      <c r="I14" s="679"/>
      <c r="J14" s="705"/>
      <c r="K14" s="544"/>
      <c r="L14" s="706"/>
      <c r="M14" s="677"/>
      <c r="N14" s="706"/>
      <c r="O14" s="679"/>
      <c r="P14" s="1152"/>
      <c r="Q14" s="543"/>
      <c r="R14" s="731"/>
      <c r="S14" s="483"/>
      <c r="T14" s="731"/>
      <c r="U14" s="483"/>
    </row>
    <row r="15" ht="15.75" customHeight="1">
      <c r="A15" s="439"/>
      <c r="B15" s="457" t="s">
        <v>170</v>
      </c>
      <c r="C15" s="490" t="s">
        <v>329</v>
      </c>
      <c r="D15" s="668">
        <f>SUM(D18:D21)</f>
        <v>334509.99</v>
      </c>
      <c r="E15" s="457"/>
      <c r="F15" s="668"/>
      <c r="G15" s="490"/>
      <c r="H15" s="668"/>
      <c r="I15" s="490"/>
      <c r="J15" s="668">
        <f>SUM(J18:J21)</f>
        <v>332317</v>
      </c>
      <c r="K15" s="670"/>
      <c r="L15" s="755"/>
      <c r="M15" s="493"/>
      <c r="N15" s="755"/>
      <c r="O15" s="493"/>
      <c r="P15" s="668">
        <f>SUM(P18:P21)</f>
        <v>305888</v>
      </c>
      <c r="Q15" s="670"/>
      <c r="R15" s="755"/>
      <c r="S15" s="493"/>
      <c r="T15" s="755"/>
      <c r="U15" s="493"/>
    </row>
    <row r="16" ht="15.75" customHeight="1">
      <c r="A16" s="439"/>
      <c r="B16" s="461"/>
      <c r="C16" s="497"/>
      <c r="D16" s="703"/>
      <c r="E16" s="540"/>
      <c r="F16" s="646"/>
      <c r="G16" s="671"/>
      <c r="H16" s="646">
        <f>SUM(H17:H21)</f>
        <v>149247.3</v>
      </c>
      <c r="I16" s="672"/>
      <c r="J16" s="703"/>
      <c r="K16" s="540"/>
      <c r="L16" s="646"/>
      <c r="M16" s="671"/>
      <c r="N16" s="646">
        <f>SUM(N17:N21)</f>
        <v>179110</v>
      </c>
      <c r="O16" s="672"/>
      <c r="P16" s="741"/>
      <c r="Q16" s="461"/>
      <c r="R16" s="741"/>
      <c r="S16" s="497"/>
      <c r="T16" s="741">
        <f>SUM(T17:T21)</f>
        <v>146223</v>
      </c>
      <c r="U16" s="497"/>
    </row>
    <row r="17" ht="15.75" customHeight="1">
      <c r="A17" s="439"/>
      <c r="B17" s="469"/>
      <c r="C17" s="465"/>
      <c r="D17" s="704"/>
      <c r="E17" s="539"/>
      <c r="F17" s="649"/>
      <c r="G17" s="256"/>
      <c r="H17" s="649"/>
      <c r="I17" s="674"/>
      <c r="J17" s="704"/>
      <c r="K17" s="539"/>
      <c r="L17" s="649"/>
      <c r="M17" s="256"/>
      <c r="N17" s="649"/>
      <c r="O17" s="674"/>
      <c r="P17" s="737"/>
      <c r="Q17" s="469"/>
      <c r="R17" s="737"/>
      <c r="S17" s="465"/>
      <c r="T17" s="737"/>
      <c r="U17" s="465"/>
    </row>
    <row r="18" ht="15.75" customHeight="1">
      <c r="A18" s="439"/>
      <c r="B18" s="469" t="s">
        <v>23</v>
      </c>
      <c r="C18" s="465" t="s">
        <v>368</v>
      </c>
      <c r="D18" s="704">
        <v>149247.3</v>
      </c>
      <c r="E18" s="557">
        <f t="shared" ref="E18:E19" si="1">D18/D$29</f>
        <v>0.4461669441</v>
      </c>
      <c r="F18" s="649"/>
      <c r="G18" s="557" t="str">
        <f t="shared" ref="G18:G19" si="2">F18/F$29</f>
        <v>#DIV/0!</v>
      </c>
      <c r="H18" s="649">
        <f>D18-F18</f>
        <v>149247.3</v>
      </c>
      <c r="I18" s="674"/>
      <c r="J18" s="704">
        <v>179110.0</v>
      </c>
      <c r="K18" s="557">
        <f t="shared" ref="K18:K19" si="3">J18/J$29</f>
        <v>0.5389733297</v>
      </c>
      <c r="L18" s="649"/>
      <c r="M18" s="557" t="str">
        <f t="shared" ref="M18:M19" si="4">L18/L$29</f>
        <v>#DIV/0!</v>
      </c>
      <c r="N18" s="649">
        <f>J18-L18</f>
        <v>179110</v>
      </c>
      <c r="O18" s="674"/>
      <c r="P18" s="747">
        <v>146223.0</v>
      </c>
      <c r="Q18" s="605">
        <f t="shared" ref="Q18:Q19" si="5">P18/P$29</f>
        <v>0.4780279056</v>
      </c>
      <c r="R18" s="737"/>
      <c r="S18" s="605" t="str">
        <f t="shared" ref="S18:S19" si="6">R18/R$29</f>
        <v>#DIV/0!</v>
      </c>
      <c r="T18" s="737">
        <f>P18-R18</f>
        <v>146223</v>
      </c>
      <c r="U18" s="465"/>
    </row>
    <row r="19" ht="15.75" customHeight="1">
      <c r="A19" s="439"/>
      <c r="B19" s="465"/>
      <c r="C19" s="465" t="s">
        <v>369</v>
      </c>
      <c r="D19" s="704">
        <v>168096.5</v>
      </c>
      <c r="E19" s="557">
        <f t="shared" si="1"/>
        <v>0.5025156349</v>
      </c>
      <c r="F19" s="649"/>
      <c r="G19" s="557" t="str">
        <f t="shared" si="2"/>
        <v>#DIV/0!</v>
      </c>
      <c r="H19" s="649"/>
      <c r="I19" s="674"/>
      <c r="J19" s="704">
        <v>153207.0</v>
      </c>
      <c r="K19" s="557">
        <f t="shared" si="3"/>
        <v>0.4610266703</v>
      </c>
      <c r="L19" s="649"/>
      <c r="M19" s="557" t="str">
        <f t="shared" si="4"/>
        <v>#DIV/0!</v>
      </c>
      <c r="N19" s="649"/>
      <c r="O19" s="674"/>
      <c r="P19" s="747">
        <v>159665.0</v>
      </c>
      <c r="Q19" s="605">
        <f t="shared" si="5"/>
        <v>0.5219720944</v>
      </c>
      <c r="R19" s="737"/>
      <c r="S19" s="605" t="str">
        <f t="shared" si="6"/>
        <v>#DIV/0!</v>
      </c>
      <c r="T19" s="737"/>
      <c r="U19" s="465"/>
    </row>
    <row r="20" ht="15.75" customHeight="1">
      <c r="A20" s="439"/>
      <c r="B20" s="465"/>
      <c r="C20" s="465"/>
      <c r="D20" s="704"/>
      <c r="E20" s="539"/>
      <c r="F20" s="649"/>
      <c r="G20" s="256"/>
      <c r="H20" s="649"/>
      <c r="I20" s="674"/>
      <c r="J20" s="704"/>
      <c r="K20" s="539"/>
      <c r="L20" s="649"/>
      <c r="M20" s="256"/>
      <c r="N20" s="649"/>
      <c r="O20" s="674"/>
      <c r="P20" s="737"/>
      <c r="Q20" s="469"/>
      <c r="R20" s="737"/>
      <c r="S20" s="465"/>
      <c r="T20" s="737"/>
      <c r="U20" s="465"/>
    </row>
    <row r="21" ht="15.75" customHeight="1">
      <c r="A21" s="439"/>
      <c r="B21" s="465"/>
      <c r="C21" s="465" t="s">
        <v>176</v>
      </c>
      <c r="D21" s="704">
        <f>8761.25+8404.94</f>
        <v>17166.19</v>
      </c>
      <c r="E21" s="256"/>
      <c r="F21" s="649"/>
      <c r="G21" s="256"/>
      <c r="H21" s="649"/>
      <c r="I21" s="674"/>
      <c r="J21" s="485">
        <v>0.0</v>
      </c>
      <c r="K21" s="256"/>
      <c r="L21" s="649"/>
      <c r="M21" s="256"/>
      <c r="N21" s="649"/>
      <c r="O21" s="674"/>
      <c r="P21" s="501">
        <v>0.0</v>
      </c>
      <c r="Q21" s="465"/>
      <c r="R21" s="737"/>
      <c r="S21" s="465"/>
      <c r="T21" s="737"/>
      <c r="U21" s="465"/>
    </row>
    <row r="22" ht="15.75" customHeight="1">
      <c r="A22" s="439"/>
      <c r="B22" s="465"/>
      <c r="C22" s="465" t="s">
        <v>263</v>
      </c>
      <c r="D22" s="485">
        <v>0.0</v>
      </c>
      <c r="E22" s="539"/>
      <c r="F22" s="649"/>
      <c r="G22" s="256"/>
      <c r="H22" s="649"/>
      <c r="I22" s="674"/>
      <c r="J22" s="485">
        <v>0.0</v>
      </c>
      <c r="K22" s="539"/>
      <c r="L22" s="649"/>
      <c r="M22" s="256"/>
      <c r="N22" s="649"/>
      <c r="O22" s="674"/>
      <c r="P22" s="501">
        <v>0.0</v>
      </c>
      <c r="Q22" s="469"/>
      <c r="R22" s="737"/>
      <c r="S22" s="465"/>
      <c r="T22" s="737"/>
      <c r="U22" s="465"/>
    </row>
    <row r="23" ht="15.75" customHeight="1">
      <c r="A23" s="439"/>
      <c r="B23" s="469"/>
      <c r="C23" s="465"/>
      <c r="D23" s="704"/>
      <c r="E23" s="539"/>
      <c r="F23" s="649"/>
      <c r="G23" s="256"/>
      <c r="H23" s="649"/>
      <c r="I23" s="674"/>
      <c r="J23" s="704"/>
      <c r="K23" s="539"/>
      <c r="L23" s="649"/>
      <c r="M23" s="256"/>
      <c r="N23" s="649"/>
      <c r="O23" s="674"/>
      <c r="P23" s="737"/>
      <c r="Q23" s="469"/>
      <c r="R23" s="737"/>
      <c r="S23" s="465"/>
      <c r="T23" s="737"/>
      <c r="U23" s="465"/>
    </row>
    <row r="24" ht="15.75" customHeight="1">
      <c r="A24" s="439"/>
      <c r="B24" s="469" t="s">
        <v>21</v>
      </c>
      <c r="C24" s="465" t="s">
        <v>21</v>
      </c>
      <c r="D24" s="467">
        <v>0.0</v>
      </c>
      <c r="E24" s="578"/>
      <c r="F24" s="578"/>
      <c r="G24" s="1153"/>
      <c r="H24" s="578">
        <v>0.0</v>
      </c>
      <c r="I24" s="1154"/>
      <c r="J24" s="467">
        <v>0.0</v>
      </c>
      <c r="K24" s="578"/>
      <c r="L24" s="578"/>
      <c r="M24" s="1153"/>
      <c r="N24" s="578">
        <v>0.0</v>
      </c>
      <c r="O24" s="1154"/>
      <c r="P24" s="474">
        <v>0.0</v>
      </c>
      <c r="Q24" s="474"/>
      <c r="R24" s="474"/>
      <c r="S24" s="1155"/>
      <c r="T24" s="474">
        <v>0.0</v>
      </c>
      <c r="U24" s="1155"/>
    </row>
    <row r="25" ht="15.75" customHeight="1">
      <c r="A25" s="439"/>
      <c r="B25" s="543" t="s">
        <v>22</v>
      </c>
      <c r="C25" s="483" t="s">
        <v>22</v>
      </c>
      <c r="D25" s="485">
        <v>0.0</v>
      </c>
      <c r="E25" s="1097"/>
      <c r="F25" s="1097"/>
      <c r="G25" s="1156"/>
      <c r="H25" s="1097">
        <v>0.0</v>
      </c>
      <c r="I25" s="1157"/>
      <c r="J25" s="485">
        <v>0.0</v>
      </c>
      <c r="K25" s="1097"/>
      <c r="L25" s="1097"/>
      <c r="M25" s="1156"/>
      <c r="N25" s="1097">
        <v>0.0</v>
      </c>
      <c r="O25" s="1157"/>
      <c r="P25" s="501">
        <v>0.0</v>
      </c>
      <c r="Q25" s="501"/>
      <c r="R25" s="501"/>
      <c r="S25" s="1158"/>
      <c r="T25" s="501">
        <v>0.0</v>
      </c>
      <c r="U25" s="1158"/>
    </row>
    <row r="26" ht="15.75" customHeight="1">
      <c r="A26" s="439"/>
      <c r="B26" s="670" t="s">
        <v>23</v>
      </c>
      <c r="C26" s="490" t="s">
        <v>177</v>
      </c>
      <c r="D26" s="1159">
        <f>SUM(D18:D21)</f>
        <v>334509.99</v>
      </c>
      <c r="E26" s="457"/>
      <c r="F26" s="1159"/>
      <c r="G26" s="490"/>
      <c r="H26" s="1159">
        <f>SUM(H17:H21)</f>
        <v>149247.3</v>
      </c>
      <c r="I26" s="490"/>
      <c r="J26" s="1159">
        <f>SUM(J18:J21)</f>
        <v>332317</v>
      </c>
      <c r="K26" s="457"/>
      <c r="L26" s="1159"/>
      <c r="M26" s="490"/>
      <c r="N26" s="1159">
        <f>SUM(N17:N21)</f>
        <v>179110</v>
      </c>
      <c r="O26" s="490"/>
      <c r="P26" s="1159">
        <f>SUM(P18:P21)</f>
        <v>305888</v>
      </c>
      <c r="Q26" s="457"/>
      <c r="R26" s="1159"/>
      <c r="S26" s="490"/>
      <c r="T26" s="1159">
        <f>SUM(T17:T21)</f>
        <v>146223</v>
      </c>
      <c r="U26" s="490"/>
    </row>
    <row r="27" ht="15.75" customHeight="1">
      <c r="A27" s="439"/>
      <c r="B27" s="497"/>
      <c r="C27" s="497"/>
      <c r="D27" s="703"/>
      <c r="E27" s="540"/>
      <c r="F27" s="540"/>
      <c r="G27" s="671"/>
      <c r="H27" s="671"/>
      <c r="I27" s="672"/>
      <c r="J27" s="703"/>
      <c r="K27" s="540"/>
      <c r="L27" s="540"/>
      <c r="M27" s="671"/>
      <c r="N27" s="671"/>
      <c r="O27" s="672"/>
      <c r="P27" s="741"/>
      <c r="Q27" s="461"/>
      <c r="R27" s="461"/>
      <c r="S27" s="497"/>
      <c r="T27" s="497"/>
      <c r="U27" s="497"/>
    </row>
    <row r="28" ht="15.75" customHeight="1">
      <c r="A28" s="439"/>
      <c r="B28" s="483"/>
      <c r="C28" s="483" t="s">
        <v>178</v>
      </c>
      <c r="D28" s="485">
        <v>0.0</v>
      </c>
      <c r="E28" s="485"/>
      <c r="F28" s="485"/>
      <c r="G28" s="485"/>
      <c r="H28" s="485"/>
      <c r="I28" s="485"/>
      <c r="J28" s="485">
        <v>0.0</v>
      </c>
      <c r="K28" s="485"/>
      <c r="L28" s="485"/>
      <c r="M28" s="485"/>
      <c r="N28" s="485"/>
      <c r="O28" s="485"/>
      <c r="P28" s="501">
        <v>0.0</v>
      </c>
      <c r="Q28" s="543"/>
      <c r="R28" s="543"/>
      <c r="S28" s="483"/>
      <c r="T28" s="483"/>
      <c r="U28" s="483"/>
    </row>
    <row r="29" ht="15.75" customHeight="1">
      <c r="A29" s="439"/>
      <c r="B29" s="490"/>
      <c r="C29" s="490" t="s">
        <v>179</v>
      </c>
      <c r="D29" s="740">
        <f>D24+D25+D26+D28</f>
        <v>334509.99</v>
      </c>
      <c r="E29" s="584"/>
      <c r="F29" s="645">
        <f>F24+F25+F26+F28</f>
        <v>0</v>
      </c>
      <c r="G29" s="690"/>
      <c r="H29" s="645">
        <f>H24+H25+H26+H28</f>
        <v>149247.3</v>
      </c>
      <c r="I29" s="691"/>
      <c r="J29" s="740">
        <f>J24+J25+J26+J28</f>
        <v>332317</v>
      </c>
      <c r="K29" s="584"/>
      <c r="L29" s="645">
        <f>L24+L25+L26+L28</f>
        <v>0</v>
      </c>
      <c r="M29" s="690"/>
      <c r="N29" s="645">
        <f>N24+N25+N26+N28</f>
        <v>179110</v>
      </c>
      <c r="O29" s="691"/>
      <c r="P29" s="668">
        <f>P24+P25+P26+P28</f>
        <v>305888</v>
      </c>
      <c r="Q29" s="457"/>
      <c r="R29" s="668">
        <f>R24+R25+R26+R28</f>
        <v>0</v>
      </c>
      <c r="S29" s="490"/>
      <c r="T29" s="668">
        <f>T24+T25+T26+T28</f>
        <v>146223</v>
      </c>
      <c r="U29" s="490"/>
    </row>
    <row r="30" ht="15.75" hidden="1" customHeight="1">
      <c r="A30" s="439"/>
      <c r="B30" s="461"/>
      <c r="C30" s="497"/>
      <c r="D30" s="703"/>
      <c r="E30" s="540"/>
      <c r="F30" s="540"/>
      <c r="G30" s="540"/>
      <c r="H30" s="540"/>
      <c r="I30" s="542"/>
      <c r="J30" s="703"/>
      <c r="K30" s="540"/>
      <c r="L30" s="540"/>
      <c r="M30" s="540"/>
      <c r="N30" s="540"/>
      <c r="O30" s="542"/>
      <c r="P30" s="741"/>
      <c r="Q30" s="461"/>
      <c r="R30" s="461"/>
      <c r="S30" s="461"/>
      <c r="T30" s="461"/>
      <c r="U30" s="461"/>
    </row>
    <row r="31" ht="15.75" hidden="1" customHeight="1">
      <c r="A31" s="439"/>
      <c r="B31" s="465"/>
      <c r="C31" s="465"/>
      <c r="D31" s="704"/>
      <c r="E31" s="557"/>
      <c r="F31" s="649"/>
      <c r="G31" s="649"/>
      <c r="H31" s="649"/>
      <c r="I31" s="742"/>
      <c r="J31" s="704"/>
      <c r="K31" s="557"/>
      <c r="L31" s="649"/>
      <c r="M31" s="649"/>
      <c r="N31" s="649"/>
      <c r="O31" s="742"/>
      <c r="P31" s="737"/>
      <c r="Q31" s="605"/>
      <c r="R31" s="737"/>
      <c r="S31" s="737"/>
      <c r="T31" s="737"/>
      <c r="U31" s="737"/>
    </row>
    <row r="32" ht="15.75" hidden="1" customHeight="1">
      <c r="A32" s="439"/>
      <c r="B32" s="465"/>
      <c r="C32" s="465"/>
      <c r="D32" s="704"/>
      <c r="E32" s="557"/>
      <c r="F32" s="649"/>
      <c r="G32" s="649"/>
      <c r="H32" s="649"/>
      <c r="I32" s="742"/>
      <c r="J32" s="704"/>
      <c r="K32" s="557"/>
      <c r="L32" s="649"/>
      <c r="M32" s="649"/>
      <c r="N32" s="649"/>
      <c r="O32" s="742"/>
      <c r="P32" s="737"/>
      <c r="Q32" s="605"/>
      <c r="R32" s="737"/>
      <c r="S32" s="737"/>
      <c r="T32" s="737"/>
      <c r="U32" s="737"/>
    </row>
    <row r="33" ht="15.75" hidden="1" customHeight="1">
      <c r="A33" s="439"/>
      <c r="B33" s="465"/>
      <c r="C33" s="465"/>
      <c r="D33" s="704"/>
      <c r="E33" s="557"/>
      <c r="F33" s="649"/>
      <c r="G33" s="649"/>
      <c r="H33" s="649"/>
      <c r="I33" s="742"/>
      <c r="J33" s="704"/>
      <c r="K33" s="557"/>
      <c r="L33" s="649"/>
      <c r="M33" s="649"/>
      <c r="N33" s="649"/>
      <c r="O33" s="742"/>
      <c r="P33" s="737"/>
      <c r="Q33" s="605"/>
      <c r="R33" s="737"/>
      <c r="S33" s="737"/>
      <c r="T33" s="737"/>
      <c r="U33" s="737"/>
    </row>
    <row r="34" ht="15.75" hidden="1" customHeight="1">
      <c r="A34" s="439"/>
      <c r="B34" s="465"/>
      <c r="C34" s="465"/>
      <c r="D34" s="704"/>
      <c r="E34" s="557"/>
      <c r="F34" s="649"/>
      <c r="G34" s="649"/>
      <c r="H34" s="649"/>
      <c r="I34" s="742"/>
      <c r="J34" s="704"/>
      <c r="K34" s="557"/>
      <c r="L34" s="649"/>
      <c r="M34" s="649"/>
      <c r="N34" s="649"/>
      <c r="O34" s="742"/>
      <c r="P34" s="737"/>
      <c r="Q34" s="605"/>
      <c r="R34" s="737"/>
      <c r="S34" s="737"/>
      <c r="T34" s="737"/>
      <c r="U34" s="737"/>
    </row>
    <row r="35" ht="15.75" hidden="1" customHeight="1">
      <c r="A35" s="439"/>
      <c r="B35" s="465"/>
      <c r="C35" s="465"/>
      <c r="D35" s="704"/>
      <c r="E35" s="557"/>
      <c r="F35" s="649"/>
      <c r="G35" s="649"/>
      <c r="H35" s="649"/>
      <c r="I35" s="742"/>
      <c r="J35" s="704"/>
      <c r="K35" s="557"/>
      <c r="L35" s="649"/>
      <c r="M35" s="649"/>
      <c r="N35" s="649"/>
      <c r="O35" s="742"/>
      <c r="P35" s="737"/>
      <c r="Q35" s="605"/>
      <c r="R35" s="737"/>
      <c r="S35" s="737"/>
      <c r="T35" s="737"/>
      <c r="U35" s="737"/>
    </row>
    <row r="36" ht="15.75" hidden="1" customHeight="1">
      <c r="A36" s="439"/>
      <c r="B36" s="465"/>
      <c r="C36" s="465"/>
      <c r="D36" s="704"/>
      <c r="E36" s="557"/>
      <c r="F36" s="649"/>
      <c r="G36" s="649"/>
      <c r="H36" s="649"/>
      <c r="I36" s="742"/>
      <c r="J36" s="704"/>
      <c r="K36" s="557"/>
      <c r="L36" s="649"/>
      <c r="M36" s="649"/>
      <c r="N36" s="649"/>
      <c r="O36" s="742"/>
      <c r="P36" s="737"/>
      <c r="Q36" s="605"/>
      <c r="R36" s="737"/>
      <c r="S36" s="737"/>
      <c r="T36" s="737"/>
      <c r="U36" s="737"/>
    </row>
    <row r="37" ht="15.75" hidden="1" customHeight="1">
      <c r="A37" s="439"/>
      <c r="B37" s="465"/>
      <c r="C37" s="465"/>
      <c r="D37" s="704"/>
      <c r="E37" s="557"/>
      <c r="F37" s="649"/>
      <c r="G37" s="649"/>
      <c r="H37" s="649"/>
      <c r="I37" s="742"/>
      <c r="J37" s="704"/>
      <c r="K37" s="557"/>
      <c r="L37" s="649"/>
      <c r="M37" s="649"/>
      <c r="N37" s="649"/>
      <c r="O37" s="742"/>
      <c r="P37" s="737"/>
      <c r="Q37" s="605"/>
      <c r="R37" s="737"/>
      <c r="S37" s="737"/>
      <c r="T37" s="737"/>
      <c r="U37" s="737"/>
    </row>
    <row r="38" ht="15.75" customHeight="1">
      <c r="A38" s="439"/>
      <c r="B38" s="469"/>
      <c r="C38" s="469"/>
      <c r="D38" s="704"/>
      <c r="E38" s="539"/>
      <c r="F38" s="256"/>
      <c r="G38" s="256"/>
      <c r="H38" s="256"/>
      <c r="I38" s="674"/>
      <c r="J38" s="704"/>
      <c r="K38" s="539"/>
      <c r="L38" s="256"/>
      <c r="M38" s="256"/>
      <c r="N38" s="256"/>
      <c r="O38" s="674"/>
      <c r="P38" s="737"/>
      <c r="Q38" s="469"/>
      <c r="R38" s="465"/>
      <c r="S38" s="465"/>
      <c r="T38" s="465"/>
      <c r="U38" s="465"/>
    </row>
    <row r="39" ht="15.75" customHeight="1">
      <c r="A39" s="439"/>
      <c r="B39" s="481" t="s">
        <v>183</v>
      </c>
      <c r="C39" s="465"/>
      <c r="D39" s="704"/>
      <c r="E39" s="539"/>
      <c r="F39" s="256"/>
      <c r="G39" s="256"/>
      <c r="H39" s="256"/>
      <c r="I39" s="674"/>
      <c r="J39" s="704"/>
      <c r="K39" s="539"/>
      <c r="L39" s="256"/>
      <c r="M39" s="256"/>
      <c r="N39" s="256"/>
      <c r="O39" s="674"/>
      <c r="P39" s="737"/>
      <c r="Q39" s="469"/>
      <c r="R39" s="465"/>
      <c r="S39" s="465"/>
      <c r="T39" s="465"/>
      <c r="U39" s="465"/>
    </row>
    <row r="40" ht="15.75" customHeight="1">
      <c r="A40" s="439"/>
      <c r="B40" s="469" t="s">
        <v>28</v>
      </c>
      <c r="C40" s="465"/>
      <c r="D40" s="704"/>
      <c r="E40" s="539"/>
      <c r="F40" s="256"/>
      <c r="G40" s="256"/>
      <c r="H40" s="256"/>
      <c r="I40" s="674"/>
      <c r="J40" s="704"/>
      <c r="K40" s="539"/>
      <c r="L40" s="256"/>
      <c r="M40" s="256"/>
      <c r="N40" s="256"/>
      <c r="O40" s="674"/>
      <c r="P40" s="737"/>
      <c r="Q40" s="469"/>
      <c r="R40" s="465"/>
      <c r="S40" s="465"/>
      <c r="T40" s="465"/>
      <c r="U40" s="465"/>
    </row>
    <row r="41" ht="15.75" customHeight="1">
      <c r="A41" s="439"/>
      <c r="B41" s="465"/>
      <c r="C41" s="587" t="s">
        <v>184</v>
      </c>
      <c r="D41" s="704"/>
      <c r="E41" s="539"/>
      <c r="F41" s="256"/>
      <c r="G41" s="256"/>
      <c r="H41" s="256"/>
      <c r="I41" s="674"/>
      <c r="J41" s="704"/>
      <c r="K41" s="539"/>
      <c r="L41" s="256"/>
      <c r="M41" s="256"/>
      <c r="N41" s="256"/>
      <c r="O41" s="674"/>
      <c r="P41" s="737"/>
      <c r="Q41" s="469"/>
      <c r="R41" s="465"/>
      <c r="S41" s="465"/>
      <c r="T41" s="465"/>
      <c r="U41" s="465"/>
    </row>
    <row r="42" ht="15.75" customHeight="1">
      <c r="A42" s="439"/>
      <c r="B42" s="465"/>
      <c r="C42" s="465" t="s">
        <v>185</v>
      </c>
      <c r="D42" s="467">
        <f>'MSBC CK Allocation'!B36</f>
        <v>219539.0212</v>
      </c>
      <c r="E42" s="557"/>
      <c r="F42" s="256"/>
      <c r="G42" s="256"/>
      <c r="H42" s="649"/>
      <c r="I42" s="674"/>
      <c r="J42" s="467">
        <f>'MSBC CK Allocation'!C36</f>
        <v>215703.262</v>
      </c>
      <c r="K42" s="557"/>
      <c r="L42" s="256"/>
      <c r="M42" s="256"/>
      <c r="N42" s="649"/>
      <c r="O42" s="674"/>
      <c r="P42" s="474">
        <f>'MSBC CK Allocation'!D36</f>
        <v>203048.9553</v>
      </c>
      <c r="Q42" s="605"/>
      <c r="R42" s="465"/>
      <c r="S42" s="465"/>
      <c r="T42" s="737"/>
      <c r="U42" s="465"/>
    </row>
    <row r="43" ht="15.75" customHeight="1">
      <c r="A43" s="439"/>
      <c r="B43" s="465"/>
      <c r="C43" s="465" t="s">
        <v>186</v>
      </c>
      <c r="D43" s="467">
        <v>121445.29169953994</v>
      </c>
      <c r="E43" s="539"/>
      <c r="F43" s="256"/>
      <c r="G43" s="256"/>
      <c r="H43" s="649"/>
      <c r="I43" s="674"/>
      <c r="J43" s="467">
        <v>99085.77</v>
      </c>
      <c r="K43" s="467"/>
      <c r="L43" s="467"/>
      <c r="M43" s="467"/>
      <c r="N43" s="467"/>
      <c r="O43" s="467"/>
      <c r="P43" s="474">
        <v>77061.46</v>
      </c>
      <c r="Q43" s="469"/>
      <c r="R43" s="465"/>
      <c r="S43" s="465"/>
      <c r="T43" s="737"/>
      <c r="U43" s="465"/>
    </row>
    <row r="44" ht="15.75" customHeight="1">
      <c r="A44" s="439"/>
      <c r="B44" s="465"/>
      <c r="C44" s="465" t="s">
        <v>22</v>
      </c>
      <c r="D44" s="470">
        <v>0.0</v>
      </c>
      <c r="E44" s="539"/>
      <c r="F44" s="256"/>
      <c r="G44" s="256"/>
      <c r="H44" s="649"/>
      <c r="I44" s="674"/>
      <c r="J44" s="470">
        <v>0.0</v>
      </c>
      <c r="K44" s="539"/>
      <c r="L44" s="256"/>
      <c r="M44" s="256"/>
      <c r="N44" s="649"/>
      <c r="O44" s="674"/>
      <c r="P44" s="1160">
        <v>0.0</v>
      </c>
      <c r="Q44" s="469"/>
      <c r="R44" s="465"/>
      <c r="S44" s="465"/>
      <c r="T44" s="737"/>
      <c r="U44" s="465"/>
    </row>
    <row r="45" ht="15.75" customHeight="1">
      <c r="A45" s="439"/>
      <c r="B45" s="483"/>
      <c r="C45" s="483" t="s">
        <v>187</v>
      </c>
      <c r="D45" s="485">
        <f>'Calculation Sheet for GST on Pu'!C28</f>
        <v>5101.514163</v>
      </c>
      <c r="E45" s="544"/>
      <c r="F45" s="677"/>
      <c r="G45" s="677"/>
      <c r="H45" s="706"/>
      <c r="I45" s="679"/>
      <c r="J45" s="485">
        <f>'Calculation Sheet for GST on Pu'!D28</f>
        <v>4083.062196</v>
      </c>
      <c r="K45" s="544"/>
      <c r="L45" s="677"/>
      <c r="M45" s="677"/>
      <c r="N45" s="706"/>
      <c r="O45" s="679"/>
      <c r="P45" s="501">
        <f>'Calculation Sheet for GST on Pu'!E28</f>
        <v>3893.644701</v>
      </c>
      <c r="Q45" s="469"/>
      <c r="R45" s="465"/>
      <c r="S45" s="465"/>
      <c r="T45" s="737"/>
      <c r="U45" s="465"/>
    </row>
    <row r="46" ht="15.75" customHeight="1">
      <c r="A46" s="439"/>
      <c r="B46" s="493"/>
      <c r="C46" s="493" t="s">
        <v>188</v>
      </c>
      <c r="D46" s="459">
        <f>SUM(D42:D45)</f>
        <v>346085.8271</v>
      </c>
      <c r="E46" s="547">
        <f>D46/D$29</f>
        <v>1.034605355</v>
      </c>
      <c r="F46" s="690">
        <f>SUM(F42:F45)</f>
        <v>0</v>
      </c>
      <c r="G46" s="690"/>
      <c r="H46" s="1146">
        <f>SUM(H42:H45)</f>
        <v>0</v>
      </c>
      <c r="I46" s="691"/>
      <c r="J46" s="459">
        <f>SUM(J42:J45)</f>
        <v>318872.0942</v>
      </c>
      <c r="K46" s="547">
        <f>J46/J$29</f>
        <v>0.9595419258</v>
      </c>
      <c r="L46" s="690">
        <f>SUM(L42:L45)</f>
        <v>0</v>
      </c>
      <c r="M46" s="690"/>
      <c r="N46" s="1146">
        <f>SUM(N42:N45)</f>
        <v>0</v>
      </c>
      <c r="O46" s="691"/>
      <c r="P46" s="491">
        <f>SUM(P42:P45)</f>
        <v>284004.06</v>
      </c>
      <c r="Q46" s="605">
        <f>P46/P$29</f>
        <v>0.9284576708</v>
      </c>
      <c r="R46" s="465">
        <f>SUM(R42:R45)</f>
        <v>0</v>
      </c>
      <c r="S46" s="465"/>
      <c r="T46" s="1128">
        <f>SUM(T42:T45)</f>
        <v>0</v>
      </c>
      <c r="U46" s="465"/>
    </row>
    <row r="47" ht="15.75" customHeight="1">
      <c r="A47" s="439"/>
      <c r="B47" s="526"/>
      <c r="C47" s="526" t="s">
        <v>189</v>
      </c>
      <c r="D47" s="515">
        <v>2004.0</v>
      </c>
      <c r="E47" s="620"/>
      <c r="F47" s="687"/>
      <c r="G47" s="687"/>
      <c r="H47" s="687"/>
      <c r="I47" s="688"/>
      <c r="J47" s="515">
        <v>6379.0</v>
      </c>
      <c r="K47" s="620"/>
      <c r="L47" s="687"/>
      <c r="M47" s="687"/>
      <c r="N47" s="687"/>
      <c r="O47" s="688"/>
      <c r="P47" s="516">
        <v>104526.5</v>
      </c>
      <c r="Q47" s="543"/>
      <c r="R47" s="483"/>
      <c r="S47" s="483"/>
      <c r="T47" s="483"/>
      <c r="U47" s="483"/>
    </row>
    <row r="48" ht="15.75" customHeight="1">
      <c r="A48" s="439"/>
      <c r="B48" s="686"/>
      <c r="C48" s="1161" t="s">
        <v>190</v>
      </c>
      <c r="D48" s="459">
        <f>D46+D47</f>
        <v>348089.8271</v>
      </c>
      <c r="E48" s="548">
        <f>D48/D$29</f>
        <v>1.040596208</v>
      </c>
      <c r="F48" s="812">
        <f>F46+F47</f>
        <v>0</v>
      </c>
      <c r="G48" s="812"/>
      <c r="H48" s="812">
        <f>H46+H47</f>
        <v>0</v>
      </c>
      <c r="I48" s="813"/>
      <c r="J48" s="459">
        <f>J46+J47</f>
        <v>325251.0942</v>
      </c>
      <c r="K48" s="548">
        <f>J48/J$29</f>
        <v>0.978737453</v>
      </c>
      <c r="L48" s="812">
        <f>L46+L47</f>
        <v>0</v>
      </c>
      <c r="M48" s="812"/>
      <c r="N48" s="812">
        <f>N46+N47</f>
        <v>0</v>
      </c>
      <c r="O48" s="813"/>
      <c r="P48" s="491">
        <f>P46+P47</f>
        <v>388530.56</v>
      </c>
      <c r="Q48" s="491">
        <f>P48/P$29</f>
        <v>1.270172612</v>
      </c>
      <c r="R48" s="686">
        <f>R46+R47</f>
        <v>0</v>
      </c>
      <c r="S48" s="686"/>
      <c r="T48" s="686">
        <f>T46+T47</f>
        <v>0</v>
      </c>
      <c r="U48" s="686"/>
    </row>
    <row r="49" ht="15.75" customHeight="1">
      <c r="A49" s="439"/>
      <c r="B49" s="686"/>
      <c r="C49" s="1161" t="s">
        <v>32</v>
      </c>
      <c r="D49" s="459">
        <f>D29-D48</f>
        <v>-13579.83708</v>
      </c>
      <c r="E49" s="1162">
        <f>D48/D$29</f>
        <v>1.040596208</v>
      </c>
      <c r="F49" s="1162" t="str">
        <f>F29-F48-#REF!</f>
        <v>#REF!</v>
      </c>
      <c r="G49" s="1163" t="str">
        <f>F48/F$29</f>
        <v>#DIV/0!</v>
      </c>
      <c r="H49" s="1162" t="str">
        <f>H29-H48-#REF!</f>
        <v>#REF!</v>
      </c>
      <c r="I49" s="1164">
        <f>H48/H$29</f>
        <v>0</v>
      </c>
      <c r="J49" s="459">
        <f>J29-J48</f>
        <v>7065.905848</v>
      </c>
      <c r="K49" s="1162">
        <f>J48/J$29</f>
        <v>0.978737453</v>
      </c>
      <c r="L49" s="1162" t="str">
        <f>L29-L48-#REF!</f>
        <v>#REF!</v>
      </c>
      <c r="M49" s="1163" t="str">
        <f>L48/L$29</f>
        <v>#DIV/0!</v>
      </c>
      <c r="N49" s="1162" t="str">
        <f>N29-N48-#REF!</f>
        <v>#REF!</v>
      </c>
      <c r="O49" s="1164">
        <f>N48/N$29</f>
        <v>0</v>
      </c>
      <c r="P49" s="491">
        <f>P29-P48</f>
        <v>-82642.55999</v>
      </c>
      <c r="Q49" s="1165">
        <f>P48/P$29</f>
        <v>1.270172612</v>
      </c>
      <c r="R49" s="1165" t="str">
        <f>R29-R48-#REF!</f>
        <v>#REF!</v>
      </c>
      <c r="S49" s="1166" t="str">
        <f>R48/R$29</f>
        <v>#DIV/0!</v>
      </c>
      <c r="T49" s="1165" t="str">
        <f>T29-T48-#REF!</f>
        <v>#REF!</v>
      </c>
      <c r="U49" s="1166">
        <f>T48/T$29</f>
        <v>0</v>
      </c>
    </row>
    <row r="50" ht="15.75" customHeight="1">
      <c r="A50" s="439"/>
      <c r="B50" s="497"/>
      <c r="C50" s="497"/>
      <c r="D50" s="703"/>
      <c r="E50" s="540"/>
      <c r="F50" s="671"/>
      <c r="G50" s="671"/>
      <c r="H50" s="671"/>
      <c r="I50" s="672"/>
      <c r="J50" s="703"/>
      <c r="K50" s="540"/>
      <c r="L50" s="671"/>
      <c r="M50" s="671"/>
      <c r="N50" s="671"/>
      <c r="O50" s="672"/>
      <c r="P50" s="741"/>
      <c r="Q50" s="461"/>
      <c r="R50" s="497"/>
      <c r="S50" s="497"/>
      <c r="T50" s="497"/>
      <c r="U50" s="497"/>
    </row>
    <row r="51" ht="15.75" customHeight="1">
      <c r="A51" s="439"/>
      <c r="B51" s="465"/>
      <c r="C51" s="663" t="s">
        <v>191</v>
      </c>
      <c r="D51" s="1122"/>
      <c r="E51" s="539"/>
      <c r="F51" s="256"/>
      <c r="G51" s="256"/>
      <c r="H51" s="649">
        <f t="shared" ref="H51:H57" si="7">D51-F51</f>
        <v>0</v>
      </c>
      <c r="I51" s="674"/>
      <c r="J51" s="1122"/>
      <c r="K51" s="539"/>
      <c r="L51" s="256"/>
      <c r="M51" s="256"/>
      <c r="N51" s="649">
        <f t="shared" ref="N51:N57" si="8">J51-L51</f>
        <v>0</v>
      </c>
      <c r="O51" s="674"/>
      <c r="P51" s="1123"/>
      <c r="Q51" s="469"/>
      <c r="R51" s="465"/>
      <c r="S51" s="465"/>
      <c r="T51" s="737">
        <f t="shared" ref="T51:T57" si="9">P51-R51</f>
        <v>0</v>
      </c>
      <c r="U51" s="465"/>
    </row>
    <row r="52" ht="15.75" customHeight="1">
      <c r="A52" s="439"/>
      <c r="B52" s="465"/>
      <c r="C52" s="465" t="s">
        <v>192</v>
      </c>
      <c r="D52" s="467">
        <v>0.0</v>
      </c>
      <c r="E52" s="539"/>
      <c r="F52" s="1127"/>
      <c r="G52" s="256"/>
      <c r="H52" s="649">
        <f t="shared" si="7"/>
        <v>0</v>
      </c>
      <c r="I52" s="674"/>
      <c r="J52" s="467">
        <v>0.0</v>
      </c>
      <c r="K52" s="539"/>
      <c r="L52" s="1127"/>
      <c r="M52" s="256"/>
      <c r="N52" s="649">
        <f t="shared" si="8"/>
        <v>0</v>
      </c>
      <c r="O52" s="674"/>
      <c r="P52" s="506">
        <v>3130.0</v>
      </c>
      <c r="Q52" s="469"/>
      <c r="R52" s="1128"/>
      <c r="S52" s="465"/>
      <c r="T52" s="737">
        <f t="shared" si="9"/>
        <v>3130</v>
      </c>
      <c r="U52" s="465"/>
    </row>
    <row r="53" ht="15.75" customHeight="1">
      <c r="A53" s="439"/>
      <c r="B53" s="465"/>
      <c r="C53" s="465" t="s">
        <v>193</v>
      </c>
      <c r="D53" s="467">
        <v>0.0</v>
      </c>
      <c r="E53" s="539"/>
      <c r="F53" s="256"/>
      <c r="G53" s="256"/>
      <c r="H53" s="649">
        <f t="shared" si="7"/>
        <v>0</v>
      </c>
      <c r="I53" s="674"/>
      <c r="J53" s="467">
        <v>0.0</v>
      </c>
      <c r="K53" s="539"/>
      <c r="L53" s="256"/>
      <c r="M53" s="256"/>
      <c r="N53" s="649">
        <f t="shared" si="8"/>
        <v>0</v>
      </c>
      <c r="O53" s="674"/>
      <c r="P53" s="506">
        <v>12997.9</v>
      </c>
      <c r="Q53" s="469"/>
      <c r="R53" s="465"/>
      <c r="S53" s="465"/>
      <c r="T53" s="737">
        <f t="shared" si="9"/>
        <v>12997.9</v>
      </c>
      <c r="U53" s="465"/>
    </row>
    <row r="54" ht="15.75" customHeight="1">
      <c r="A54" s="439"/>
      <c r="B54" s="465"/>
      <c r="C54" s="465" t="s">
        <v>266</v>
      </c>
      <c r="D54" s="467">
        <v>0.0</v>
      </c>
      <c r="E54" s="539"/>
      <c r="F54" s="256"/>
      <c r="G54" s="256"/>
      <c r="H54" s="649">
        <f t="shared" si="7"/>
        <v>0</v>
      </c>
      <c r="I54" s="674"/>
      <c r="J54" s="467">
        <v>0.0</v>
      </c>
      <c r="K54" s="539"/>
      <c r="L54" s="256"/>
      <c r="M54" s="256"/>
      <c r="N54" s="649">
        <f t="shared" si="8"/>
        <v>0</v>
      </c>
      <c r="O54" s="674"/>
      <c r="P54" s="506">
        <v>15840.0</v>
      </c>
      <c r="Q54" s="469"/>
      <c r="R54" s="465"/>
      <c r="S54" s="465"/>
      <c r="T54" s="737">
        <f t="shared" si="9"/>
        <v>15840</v>
      </c>
      <c r="U54" s="465"/>
    </row>
    <row r="55" ht="15.75" customHeight="1">
      <c r="A55" s="439"/>
      <c r="B55" s="465"/>
      <c r="C55" s="465" t="s">
        <v>194</v>
      </c>
      <c r="D55" s="467">
        <v>0.0</v>
      </c>
      <c r="E55" s="539"/>
      <c r="F55" s="256"/>
      <c r="G55" s="256"/>
      <c r="H55" s="649">
        <f t="shared" si="7"/>
        <v>0</v>
      </c>
      <c r="I55" s="674"/>
      <c r="J55" s="467">
        <v>0.0</v>
      </c>
      <c r="K55" s="539"/>
      <c r="L55" s="256"/>
      <c r="M55" s="256"/>
      <c r="N55" s="649">
        <f t="shared" si="8"/>
        <v>0</v>
      </c>
      <c r="O55" s="674"/>
      <c r="P55" s="506">
        <v>2039.0</v>
      </c>
      <c r="Q55" s="469"/>
      <c r="R55" s="465"/>
      <c r="S55" s="465"/>
      <c r="T55" s="737">
        <f t="shared" si="9"/>
        <v>2039</v>
      </c>
      <c r="U55" s="465"/>
    </row>
    <row r="56" ht="15.75" customHeight="1">
      <c r="A56" s="439"/>
      <c r="B56" s="465"/>
      <c r="C56" s="465" t="s">
        <v>195</v>
      </c>
      <c r="D56" s="467">
        <v>0.0</v>
      </c>
      <c r="E56" s="539"/>
      <c r="F56" s="256"/>
      <c r="G56" s="256"/>
      <c r="H56" s="649">
        <f t="shared" si="7"/>
        <v>0</v>
      </c>
      <c r="I56" s="674"/>
      <c r="J56" s="467">
        <v>0.0</v>
      </c>
      <c r="K56" s="539"/>
      <c r="L56" s="256"/>
      <c r="M56" s="256"/>
      <c r="N56" s="649">
        <f t="shared" si="8"/>
        <v>0</v>
      </c>
      <c r="O56" s="674"/>
      <c r="P56" s="506">
        <v>5400.0</v>
      </c>
      <c r="Q56" s="469"/>
      <c r="R56" s="465"/>
      <c r="S56" s="465"/>
      <c r="T56" s="737">
        <f t="shared" si="9"/>
        <v>5400</v>
      </c>
      <c r="U56" s="465"/>
    </row>
    <row r="57" ht="15.75" customHeight="1">
      <c r="A57" s="439"/>
      <c r="B57" s="465"/>
      <c r="C57" s="465" t="s">
        <v>196</v>
      </c>
      <c r="D57" s="467">
        <v>0.0</v>
      </c>
      <c r="E57" s="539"/>
      <c r="F57" s="256"/>
      <c r="G57" s="256"/>
      <c r="H57" s="649">
        <f t="shared" si="7"/>
        <v>0</v>
      </c>
      <c r="I57" s="674"/>
      <c r="J57" s="467">
        <v>0.0</v>
      </c>
      <c r="K57" s="539"/>
      <c r="L57" s="256"/>
      <c r="M57" s="256"/>
      <c r="N57" s="649">
        <f t="shared" si="8"/>
        <v>0</v>
      </c>
      <c r="O57" s="674"/>
      <c r="P57" s="474">
        <v>0.0</v>
      </c>
      <c r="Q57" s="469"/>
      <c r="R57" s="465"/>
      <c r="S57" s="465"/>
      <c r="T57" s="737">
        <f t="shared" si="9"/>
        <v>0</v>
      </c>
      <c r="U57" s="465"/>
    </row>
    <row r="58" ht="15.75" customHeight="1">
      <c r="A58" s="439"/>
      <c r="B58" s="465"/>
      <c r="C58" s="1167" t="s">
        <v>197</v>
      </c>
      <c r="D58" s="470">
        <f>SUM(D52:D57)</f>
        <v>0</v>
      </c>
      <c r="E58" s="578"/>
      <c r="F58" s="578">
        <f>SUM(F52:F57)</f>
        <v>0</v>
      </c>
      <c r="G58" s="1153"/>
      <c r="H58" s="578">
        <f>SUM(H52:H57)</f>
        <v>0</v>
      </c>
      <c r="I58" s="1154"/>
      <c r="J58" s="470">
        <f>SUM(J52:J57)</f>
        <v>0</v>
      </c>
      <c r="K58" s="578"/>
      <c r="L58" s="578">
        <f>SUM(L52:L57)</f>
        <v>0</v>
      </c>
      <c r="M58" s="1153"/>
      <c r="N58" s="578">
        <f>SUM(N52:N57)</f>
        <v>0</v>
      </c>
      <c r="O58" s="1154"/>
      <c r="P58" s="472">
        <f>SUM(P52:P57)</f>
        <v>39406.9</v>
      </c>
      <c r="Q58" s="472"/>
      <c r="R58" s="472">
        <f>SUM(R52:R57)</f>
        <v>0</v>
      </c>
      <c r="S58" s="1167"/>
      <c r="T58" s="472">
        <f>SUM(T52:T57)</f>
        <v>39406.9</v>
      </c>
      <c r="U58" s="1167"/>
    </row>
    <row r="59" ht="15.75" hidden="1" customHeight="1">
      <c r="A59" s="439"/>
      <c r="B59" s="465"/>
      <c r="C59" s="465"/>
      <c r="D59" s="704"/>
      <c r="E59" s="539"/>
      <c r="F59" s="256"/>
      <c r="G59" s="256"/>
      <c r="H59" s="256"/>
      <c r="I59" s="674"/>
      <c r="J59" s="704"/>
      <c r="K59" s="539"/>
      <c r="L59" s="256"/>
      <c r="M59" s="256"/>
      <c r="N59" s="256"/>
      <c r="O59" s="674"/>
      <c r="P59" s="737"/>
      <c r="Q59" s="469"/>
      <c r="R59" s="465"/>
      <c r="S59" s="465"/>
      <c r="T59" s="465"/>
      <c r="U59" s="465"/>
    </row>
    <row r="60" ht="15.75" hidden="1" customHeight="1">
      <c r="A60" s="439"/>
      <c r="B60" s="465"/>
      <c r="C60" s="465"/>
      <c r="D60" s="704"/>
      <c r="E60" s="539"/>
      <c r="F60" s="539"/>
      <c r="G60" s="539"/>
      <c r="H60" s="539"/>
      <c r="I60" s="479"/>
      <c r="J60" s="704"/>
      <c r="K60" s="539"/>
      <c r="L60" s="539"/>
      <c r="M60" s="539"/>
      <c r="N60" s="539"/>
      <c r="O60" s="479"/>
      <c r="P60" s="737"/>
      <c r="Q60" s="469"/>
      <c r="R60" s="469"/>
      <c r="S60" s="469"/>
      <c r="T60" s="469"/>
      <c r="U60" s="469"/>
    </row>
    <row r="61" ht="15.75" hidden="1" customHeight="1">
      <c r="A61" s="439"/>
      <c r="B61" s="465"/>
      <c r="C61" s="465"/>
      <c r="D61" s="704"/>
      <c r="E61" s="539"/>
      <c r="F61" s="539"/>
      <c r="G61" s="539"/>
      <c r="H61" s="539"/>
      <c r="I61" s="479"/>
      <c r="J61" s="704"/>
      <c r="K61" s="539"/>
      <c r="L61" s="539"/>
      <c r="M61" s="539"/>
      <c r="N61" s="539"/>
      <c r="O61" s="479"/>
      <c r="P61" s="737"/>
      <c r="Q61" s="469"/>
      <c r="R61" s="469"/>
      <c r="S61" s="469"/>
      <c r="T61" s="469"/>
      <c r="U61" s="469"/>
    </row>
    <row r="62" ht="15.75" hidden="1" customHeight="1">
      <c r="A62" s="439"/>
      <c r="B62" s="465"/>
      <c r="C62" s="465"/>
      <c r="D62" s="704"/>
      <c r="E62" s="539"/>
      <c r="F62" s="539"/>
      <c r="G62" s="539"/>
      <c r="H62" s="539"/>
      <c r="I62" s="479"/>
      <c r="J62" s="704"/>
      <c r="K62" s="539"/>
      <c r="L62" s="539"/>
      <c r="M62" s="539"/>
      <c r="N62" s="539"/>
      <c r="O62" s="479"/>
      <c r="P62" s="737"/>
      <c r="Q62" s="469"/>
      <c r="R62" s="469"/>
      <c r="S62" s="469"/>
      <c r="T62" s="469"/>
      <c r="U62" s="469"/>
    </row>
    <row r="63" ht="15.75" hidden="1" customHeight="1">
      <c r="A63" s="439"/>
      <c r="B63" s="465"/>
      <c r="C63" s="465"/>
      <c r="D63" s="704"/>
      <c r="E63" s="539"/>
      <c r="F63" s="539"/>
      <c r="G63" s="539"/>
      <c r="H63" s="539"/>
      <c r="I63" s="479"/>
      <c r="J63" s="704"/>
      <c r="K63" s="539"/>
      <c r="L63" s="539"/>
      <c r="M63" s="539"/>
      <c r="N63" s="539"/>
      <c r="O63" s="479"/>
      <c r="P63" s="737"/>
      <c r="Q63" s="469"/>
      <c r="R63" s="469"/>
      <c r="S63" s="469"/>
      <c r="T63" s="469"/>
      <c r="U63" s="469"/>
    </row>
    <row r="64" ht="15.75" hidden="1" customHeight="1">
      <c r="A64" s="439"/>
      <c r="B64" s="465"/>
      <c r="C64" s="465"/>
      <c r="D64" s="704"/>
      <c r="E64" s="539"/>
      <c r="F64" s="539"/>
      <c r="G64" s="539"/>
      <c r="H64" s="539"/>
      <c r="I64" s="479"/>
      <c r="J64" s="704"/>
      <c r="K64" s="539"/>
      <c r="L64" s="539"/>
      <c r="M64" s="539"/>
      <c r="N64" s="539"/>
      <c r="O64" s="479"/>
      <c r="P64" s="737"/>
      <c r="Q64" s="469"/>
      <c r="R64" s="469"/>
      <c r="S64" s="469"/>
      <c r="T64" s="469"/>
      <c r="U64" s="469"/>
    </row>
    <row r="65" ht="15.75" hidden="1" customHeight="1">
      <c r="A65" s="439"/>
      <c r="B65" s="465"/>
      <c r="C65" s="465"/>
      <c r="D65" s="704"/>
      <c r="E65" s="539"/>
      <c r="F65" s="539"/>
      <c r="G65" s="539"/>
      <c r="H65" s="539"/>
      <c r="I65" s="479"/>
      <c r="J65" s="704"/>
      <c r="K65" s="539"/>
      <c r="L65" s="539"/>
      <c r="M65" s="539"/>
      <c r="N65" s="539"/>
      <c r="O65" s="479"/>
      <c r="P65" s="737"/>
      <c r="Q65" s="469"/>
      <c r="R65" s="469"/>
      <c r="S65" s="469"/>
      <c r="T65" s="469"/>
      <c r="U65" s="469"/>
    </row>
    <row r="66" ht="15.75" hidden="1" customHeight="1">
      <c r="A66" s="439"/>
      <c r="B66" s="465"/>
      <c r="C66" s="465"/>
      <c r="D66" s="704"/>
      <c r="E66" s="539"/>
      <c r="F66" s="539"/>
      <c r="G66" s="539"/>
      <c r="H66" s="539"/>
      <c r="I66" s="479"/>
      <c r="J66" s="704"/>
      <c r="K66" s="539"/>
      <c r="L66" s="539"/>
      <c r="M66" s="539"/>
      <c r="N66" s="539"/>
      <c r="O66" s="479"/>
      <c r="P66" s="737"/>
      <c r="Q66" s="469"/>
      <c r="R66" s="469"/>
      <c r="S66" s="469"/>
      <c r="T66" s="469"/>
      <c r="U66" s="469"/>
    </row>
    <row r="67" ht="15.75" hidden="1" customHeight="1">
      <c r="A67" s="439"/>
      <c r="B67" s="465"/>
      <c r="C67" s="465"/>
      <c r="D67" s="704"/>
      <c r="E67" s="557"/>
      <c r="F67" s="539"/>
      <c r="G67" s="557"/>
      <c r="H67" s="539"/>
      <c r="I67" s="562"/>
      <c r="J67" s="704"/>
      <c r="K67" s="557"/>
      <c r="L67" s="539"/>
      <c r="M67" s="557"/>
      <c r="N67" s="539"/>
      <c r="O67" s="562"/>
      <c r="P67" s="737"/>
      <c r="Q67" s="605"/>
      <c r="R67" s="469"/>
      <c r="S67" s="605"/>
      <c r="T67" s="469"/>
      <c r="U67" s="605"/>
    </row>
    <row r="68" ht="15.75" hidden="1" customHeight="1">
      <c r="A68" s="439"/>
      <c r="B68" s="465"/>
      <c r="C68" s="465"/>
      <c r="D68" s="704"/>
      <c r="E68" s="539"/>
      <c r="F68" s="256"/>
      <c r="G68" s="256"/>
      <c r="H68" s="256"/>
      <c r="I68" s="674"/>
      <c r="J68" s="704"/>
      <c r="K68" s="539"/>
      <c r="L68" s="256"/>
      <c r="M68" s="256"/>
      <c r="N68" s="256"/>
      <c r="O68" s="674"/>
      <c r="P68" s="737"/>
      <c r="Q68" s="469"/>
      <c r="R68" s="465"/>
      <c r="S68" s="465"/>
      <c r="T68" s="465"/>
      <c r="U68" s="465"/>
    </row>
    <row r="69" ht="15.75" customHeight="1">
      <c r="A69" s="439"/>
      <c r="B69" s="820" t="s">
        <v>201</v>
      </c>
      <c r="C69" s="821"/>
      <c r="D69" s="705"/>
      <c r="E69" s="544"/>
      <c r="F69" s="677"/>
      <c r="G69" s="677"/>
      <c r="H69" s="677"/>
      <c r="I69" s="679"/>
      <c r="J69" s="705"/>
      <c r="K69" s="544"/>
      <c r="L69" s="677"/>
      <c r="M69" s="677"/>
      <c r="N69" s="677"/>
      <c r="O69" s="679"/>
      <c r="P69" s="731"/>
      <c r="Q69" s="543"/>
      <c r="R69" s="483"/>
      <c r="S69" s="483"/>
      <c r="T69" s="483"/>
      <c r="U69" s="483"/>
    </row>
    <row r="70" ht="15.75" customHeight="1">
      <c r="A70" s="439"/>
      <c r="B70" s="493"/>
      <c r="C70" s="511" t="s">
        <v>202</v>
      </c>
      <c r="D70" s="740">
        <f>SUM(D71:D76)</f>
        <v>57894.52</v>
      </c>
      <c r="E70" s="547">
        <f t="shared" ref="E70:E73" si="10">D70/D$29</f>
        <v>0.1730726188</v>
      </c>
      <c r="F70" s="645">
        <f>SUM(F71:F76)</f>
        <v>0</v>
      </c>
      <c r="G70" s="547" t="str">
        <f t="shared" ref="G70:G73" si="11">F70/F$29</f>
        <v>#DIV/0!</v>
      </c>
      <c r="H70" s="645">
        <f>SUM(H71:H76)</f>
        <v>52196.52</v>
      </c>
      <c r="I70" s="549">
        <f t="shared" ref="I70:I73" si="12">H70/H$29</f>
        <v>0.3497317539</v>
      </c>
      <c r="J70" s="740">
        <f>SUM(J71:J76)</f>
        <v>56065</v>
      </c>
      <c r="K70" s="547">
        <f t="shared" ref="K70:K73" si="13">J70/J$29</f>
        <v>0.1687093949</v>
      </c>
      <c r="L70" s="645">
        <f>SUM(L71:L76)</f>
        <v>0</v>
      </c>
      <c r="M70" s="547" t="str">
        <f t="shared" ref="M70:M73" si="14">L70/L$29</f>
        <v>#DIV/0!</v>
      </c>
      <c r="N70" s="645">
        <f>SUM(N71:N76)</f>
        <v>50862</v>
      </c>
      <c r="O70" s="549">
        <f t="shared" ref="O70:O73" si="15">N70/N$29</f>
        <v>0.2839707442</v>
      </c>
      <c r="P70" s="668">
        <f>SUM(P71:P76)</f>
        <v>67967.64</v>
      </c>
      <c r="Q70" s="613">
        <f t="shared" ref="Q70:Q73" si="16">P70/P$29</f>
        <v>0.2221977979</v>
      </c>
      <c r="R70" s="668">
        <f>SUM(R71:R76)</f>
        <v>0</v>
      </c>
      <c r="S70" s="613" t="str">
        <f t="shared" ref="S70:S73" si="17">R70/R$29</f>
        <v>#DIV/0!</v>
      </c>
      <c r="T70" s="668">
        <f>SUM(T71:T76)</f>
        <v>55253.64</v>
      </c>
      <c r="U70" s="613">
        <f t="shared" ref="U70:U73" si="18">T70/T$29</f>
        <v>0.3778724277</v>
      </c>
    </row>
    <row r="71" ht="15.75" customHeight="1">
      <c r="A71" s="439"/>
      <c r="B71" s="497"/>
      <c r="C71" s="497" t="s">
        <v>268</v>
      </c>
      <c r="D71" s="758">
        <v>5698.0</v>
      </c>
      <c r="E71" s="552">
        <f t="shared" si="10"/>
        <v>0.01703387095</v>
      </c>
      <c r="F71" s="646"/>
      <c r="G71" s="552" t="str">
        <f t="shared" si="11"/>
        <v>#DIV/0!</v>
      </c>
      <c r="H71" s="646"/>
      <c r="I71" s="556">
        <f t="shared" si="12"/>
        <v>0</v>
      </c>
      <c r="J71" s="703">
        <v>5203.0</v>
      </c>
      <c r="K71" s="554">
        <f t="shared" si="13"/>
        <v>0.01565673739</v>
      </c>
      <c r="L71" s="646"/>
      <c r="M71" s="552" t="str">
        <f t="shared" si="14"/>
        <v>#DIV/0!</v>
      </c>
      <c r="N71" s="646"/>
      <c r="O71" s="556">
        <f t="shared" si="15"/>
        <v>0</v>
      </c>
      <c r="P71" s="756">
        <v>12714.0</v>
      </c>
      <c r="Q71" s="778">
        <f t="shared" si="16"/>
        <v>0.04156423266</v>
      </c>
      <c r="R71" s="741"/>
      <c r="S71" s="778" t="str">
        <f t="shared" si="17"/>
        <v>#DIV/0!</v>
      </c>
      <c r="T71" s="741"/>
      <c r="U71" s="778">
        <f t="shared" si="18"/>
        <v>0</v>
      </c>
    </row>
    <row r="72" ht="15.75" customHeight="1">
      <c r="A72" s="439"/>
      <c r="B72" s="465"/>
      <c r="C72" s="526" t="s">
        <v>269</v>
      </c>
      <c r="D72" s="467">
        <v>0.0</v>
      </c>
      <c r="E72" s="557">
        <f t="shared" si="10"/>
        <v>0</v>
      </c>
      <c r="F72" s="649"/>
      <c r="G72" s="557" t="str">
        <f t="shared" si="11"/>
        <v>#DIV/0!</v>
      </c>
      <c r="H72" s="649"/>
      <c r="I72" s="562">
        <f t="shared" si="12"/>
        <v>0</v>
      </c>
      <c r="J72" s="467">
        <v>0.0</v>
      </c>
      <c r="K72" s="557">
        <f t="shared" si="13"/>
        <v>0</v>
      </c>
      <c r="L72" s="649"/>
      <c r="M72" s="557" t="str">
        <f t="shared" si="14"/>
        <v>#DIV/0!</v>
      </c>
      <c r="N72" s="649"/>
      <c r="O72" s="562">
        <f t="shared" si="15"/>
        <v>0</v>
      </c>
      <c r="P72" s="506">
        <v>0.0</v>
      </c>
      <c r="Q72" s="605">
        <f t="shared" si="16"/>
        <v>0</v>
      </c>
      <c r="R72" s="737"/>
      <c r="S72" s="605" t="str">
        <f t="shared" si="17"/>
        <v>#DIV/0!</v>
      </c>
      <c r="T72" s="737"/>
      <c r="U72" s="605">
        <f t="shared" si="18"/>
        <v>0</v>
      </c>
    </row>
    <row r="73" ht="15.75" customHeight="1">
      <c r="A73" s="439"/>
      <c r="B73" s="465"/>
      <c r="C73" s="465" t="s">
        <v>209</v>
      </c>
      <c r="D73" s="467">
        <v>0.0</v>
      </c>
      <c r="E73" s="557">
        <f t="shared" si="10"/>
        <v>0</v>
      </c>
      <c r="F73" s="649"/>
      <c r="G73" s="557" t="str">
        <f t="shared" si="11"/>
        <v>#DIV/0!</v>
      </c>
      <c r="H73" s="649"/>
      <c r="I73" s="562">
        <f t="shared" si="12"/>
        <v>0</v>
      </c>
      <c r="J73" s="467">
        <v>0.0</v>
      </c>
      <c r="K73" s="557">
        <f t="shared" si="13"/>
        <v>0</v>
      </c>
      <c r="L73" s="649"/>
      <c r="M73" s="557" t="str">
        <f t="shared" si="14"/>
        <v>#DIV/0!</v>
      </c>
      <c r="N73" s="649"/>
      <c r="O73" s="562">
        <f t="shared" si="15"/>
        <v>0</v>
      </c>
      <c r="P73" s="506">
        <v>0.0</v>
      </c>
      <c r="Q73" s="605">
        <f t="shared" si="16"/>
        <v>0</v>
      </c>
      <c r="R73" s="737"/>
      <c r="S73" s="605" t="str">
        <f t="shared" si="17"/>
        <v>#DIV/0!</v>
      </c>
      <c r="T73" s="737"/>
      <c r="U73" s="605">
        <f t="shared" si="18"/>
        <v>0</v>
      </c>
    </row>
    <row r="74" ht="15.75" customHeight="1">
      <c r="A74" s="439"/>
      <c r="B74" s="465"/>
      <c r="C74" s="465" t="s">
        <v>310</v>
      </c>
      <c r="D74" s="467">
        <v>0.0</v>
      </c>
      <c r="E74" s="557"/>
      <c r="F74" s="649"/>
      <c r="G74" s="557"/>
      <c r="H74" s="649"/>
      <c r="I74" s="562"/>
      <c r="J74" s="467">
        <v>0.0</v>
      </c>
      <c r="K74" s="557"/>
      <c r="L74" s="649"/>
      <c r="M74" s="557"/>
      <c r="N74" s="649"/>
      <c r="O74" s="562"/>
      <c r="P74" s="506">
        <v>0.0</v>
      </c>
      <c r="Q74" s="605"/>
      <c r="R74" s="737"/>
      <c r="S74" s="605"/>
      <c r="T74" s="737"/>
      <c r="U74" s="605"/>
    </row>
    <row r="75" ht="15.75" customHeight="1">
      <c r="A75" s="439"/>
      <c r="B75" s="465"/>
      <c r="C75" s="526" t="s">
        <v>363</v>
      </c>
      <c r="D75" s="467">
        <v>0.0</v>
      </c>
      <c r="E75" s="557">
        <f t="shared" ref="E75:E76" si="19">D75/D$29</f>
        <v>0</v>
      </c>
      <c r="F75" s="649"/>
      <c r="G75" s="557" t="str">
        <f t="shared" ref="G75:G76" si="20">F75/F$29</f>
        <v>#DIV/0!</v>
      </c>
      <c r="H75" s="649"/>
      <c r="I75" s="562">
        <f t="shared" ref="I75:I76" si="21">H75/H$29</f>
        <v>0</v>
      </c>
      <c r="J75" s="467">
        <v>0.0</v>
      </c>
      <c r="K75" s="557">
        <f t="shared" ref="K75:K76" si="22">J75/J$29</f>
        <v>0</v>
      </c>
      <c r="L75" s="649"/>
      <c r="M75" s="557" t="str">
        <f t="shared" ref="M75:M76" si="23">L75/L$29</f>
        <v>#DIV/0!</v>
      </c>
      <c r="N75" s="649"/>
      <c r="O75" s="562">
        <f t="shared" ref="O75:O76" si="24">N75/N$29</f>
        <v>0</v>
      </c>
      <c r="P75" s="506">
        <v>0.0</v>
      </c>
      <c r="Q75" s="605">
        <f t="shared" ref="Q75:Q76" si="25">P75/P$29</f>
        <v>0</v>
      </c>
      <c r="R75" s="737"/>
      <c r="S75" s="605" t="str">
        <f t="shared" ref="S75:S76" si="26">R75/R$29</f>
        <v>#DIV/0!</v>
      </c>
      <c r="T75" s="737"/>
      <c r="U75" s="605">
        <f t="shared" ref="U75:U76" si="27">T75/T$29</f>
        <v>0</v>
      </c>
    </row>
    <row r="76" ht="15.75" customHeight="1">
      <c r="A76" s="439"/>
      <c r="B76" s="465"/>
      <c r="C76" s="465" t="s">
        <v>271</v>
      </c>
      <c r="D76" s="467">
        <f>(27438.54)+24757.98</f>
        <v>52196.52</v>
      </c>
      <c r="E76" s="557">
        <f t="shared" si="19"/>
        <v>0.1560387479</v>
      </c>
      <c r="F76" s="539"/>
      <c r="G76" s="557" t="str">
        <f t="shared" si="20"/>
        <v>#DIV/0!</v>
      </c>
      <c r="H76" s="649">
        <f>D76-F76</f>
        <v>52196.52</v>
      </c>
      <c r="I76" s="562">
        <f t="shared" si="21"/>
        <v>0.3497317539</v>
      </c>
      <c r="J76" s="703">
        <f>27810+23052</f>
        <v>50862</v>
      </c>
      <c r="K76" s="557">
        <f t="shared" si="22"/>
        <v>0.1530526576</v>
      </c>
      <c r="L76" s="539"/>
      <c r="M76" s="557" t="str">
        <f t="shared" si="23"/>
        <v>#DIV/0!</v>
      </c>
      <c r="N76" s="649">
        <f>J76-L76</f>
        <v>50862</v>
      </c>
      <c r="O76" s="562">
        <f t="shared" si="24"/>
        <v>0.2839707442</v>
      </c>
      <c r="P76" s="741">
        <f>29673.64+25580</f>
        <v>55253.64</v>
      </c>
      <c r="Q76" s="605">
        <f t="shared" si="25"/>
        <v>0.1806335652</v>
      </c>
      <c r="R76" s="469"/>
      <c r="S76" s="605" t="str">
        <f t="shared" si="26"/>
        <v>#DIV/0!</v>
      </c>
      <c r="T76" s="737">
        <f>P76-R76</f>
        <v>55253.64</v>
      </c>
      <c r="U76" s="605">
        <f t="shared" si="27"/>
        <v>0.3778724277</v>
      </c>
    </row>
    <row r="77" ht="15.75" customHeight="1">
      <c r="A77" s="439"/>
      <c r="B77" s="483"/>
      <c r="C77" s="610"/>
      <c r="D77" s="705"/>
      <c r="E77" s="544"/>
      <c r="F77" s="677"/>
      <c r="G77" s="677"/>
      <c r="H77" s="677"/>
      <c r="I77" s="679"/>
      <c r="J77" s="705"/>
      <c r="K77" s="544"/>
      <c r="L77" s="677"/>
      <c r="M77" s="677"/>
      <c r="N77" s="677"/>
      <c r="O77" s="679"/>
      <c r="P77" s="731"/>
      <c r="Q77" s="543"/>
      <c r="R77" s="483"/>
      <c r="S77" s="483"/>
      <c r="T77" s="483"/>
      <c r="U77" s="483"/>
    </row>
    <row r="78" ht="15.75" customHeight="1">
      <c r="A78" s="439"/>
      <c r="B78" s="490"/>
      <c r="C78" s="511" t="s">
        <v>35</v>
      </c>
      <c r="D78" s="740">
        <f>SUM(D80:D85)</f>
        <v>96492.09</v>
      </c>
      <c r="E78" s="547">
        <f>D78/D$29</f>
        <v>0.2884580218</v>
      </c>
      <c r="F78" s="645">
        <f>SUM(F80:F85)</f>
        <v>0</v>
      </c>
      <c r="G78" s="1134" t="str">
        <f>F78/F$29</f>
        <v>#DIV/0!</v>
      </c>
      <c r="H78" s="645">
        <f>SUM(H80:H83)</f>
        <v>0</v>
      </c>
      <c r="I78" s="691"/>
      <c r="J78" s="740">
        <f>SUM(J80:J85)</f>
        <v>65859.7</v>
      </c>
      <c r="K78" s="547">
        <f>J78/J$29</f>
        <v>0.1981833611</v>
      </c>
      <c r="L78" s="645">
        <f>SUM(L80:L85)</f>
        <v>0</v>
      </c>
      <c r="M78" s="1134" t="str">
        <f>L78/L$29</f>
        <v>#DIV/0!</v>
      </c>
      <c r="N78" s="645">
        <f>SUM(N80:N83)</f>
        <v>0</v>
      </c>
      <c r="O78" s="691"/>
      <c r="P78" s="668">
        <f>SUM(P80:P85)</f>
        <v>81074.85</v>
      </c>
      <c r="Q78" s="613">
        <f>P78/P$29</f>
        <v>0.265047501</v>
      </c>
      <c r="R78" s="668">
        <f>SUM(R80:R85)</f>
        <v>0</v>
      </c>
      <c r="S78" s="1135" t="str">
        <f>R78/R$29</f>
        <v>#DIV/0!</v>
      </c>
      <c r="T78" s="668">
        <f>SUM(T80:T83)</f>
        <v>0</v>
      </c>
      <c r="U78" s="490"/>
    </row>
    <row r="79" ht="15.75" customHeight="1">
      <c r="A79" s="439"/>
      <c r="B79" s="1022"/>
      <c r="C79" s="497" t="s">
        <v>212</v>
      </c>
      <c r="D79" s="704"/>
      <c r="E79" s="704"/>
      <c r="F79" s="704"/>
      <c r="G79" s="704"/>
      <c r="H79" s="704"/>
      <c r="I79" s="704"/>
      <c r="J79" s="704"/>
      <c r="K79" s="1168"/>
      <c r="L79" s="1169"/>
      <c r="M79" s="1170"/>
      <c r="N79" s="1169"/>
      <c r="O79" s="1171"/>
      <c r="P79" s="737"/>
      <c r="Q79" s="1172"/>
      <c r="R79" s="1173"/>
      <c r="S79" s="1174"/>
      <c r="T79" s="1173"/>
      <c r="U79" s="1022"/>
    </row>
    <row r="80" ht="15.75" customHeight="1">
      <c r="A80" s="439"/>
      <c r="B80" s="465"/>
      <c r="C80" s="465" t="s">
        <v>213</v>
      </c>
      <c r="D80" s="704"/>
      <c r="E80" s="704"/>
      <c r="F80" s="704"/>
      <c r="G80" s="704"/>
      <c r="H80" s="704"/>
      <c r="I80" s="704"/>
      <c r="J80" s="704"/>
      <c r="K80" s="539"/>
      <c r="L80" s="649"/>
      <c r="M80" s="256"/>
      <c r="N80" s="649"/>
      <c r="O80" s="674"/>
      <c r="P80" s="737"/>
      <c r="Q80" s="480"/>
      <c r="R80" s="737"/>
      <c r="S80" s="465"/>
      <c r="T80" s="737"/>
      <c r="U80" s="465"/>
    </row>
    <row r="81" ht="15.75" customHeight="1">
      <c r="A81" s="439"/>
      <c r="B81" s="465"/>
      <c r="C81" s="465" t="s">
        <v>319</v>
      </c>
      <c r="D81" s="704">
        <v>22682.39</v>
      </c>
      <c r="E81" s="1141">
        <f>D81/D18</f>
        <v>0.1519785618</v>
      </c>
      <c r="F81" s="649"/>
      <c r="G81" s="1141"/>
      <c r="H81" s="649"/>
      <c r="I81" s="674"/>
      <c r="J81" s="704">
        <v>27162.0</v>
      </c>
      <c r="K81" s="1141">
        <f>J81/J18</f>
        <v>0.1516498241</v>
      </c>
      <c r="L81" s="649"/>
      <c r="M81" s="1141"/>
      <c r="N81" s="649"/>
      <c r="O81" s="674"/>
      <c r="P81" s="737">
        <v>22071.0</v>
      </c>
      <c r="Q81" s="1175">
        <f>P81/P18</f>
        <v>0.1509406865</v>
      </c>
      <c r="R81" s="737"/>
      <c r="S81" s="783"/>
      <c r="T81" s="737"/>
      <c r="U81" s="465"/>
    </row>
    <row r="82" ht="15.75" customHeight="1">
      <c r="A82" s="439"/>
      <c r="B82" s="465"/>
      <c r="C82" s="465" t="s">
        <v>364</v>
      </c>
      <c r="D82" s="467">
        <v>0.0</v>
      </c>
      <c r="E82" s="467"/>
      <c r="F82" s="467"/>
      <c r="G82" s="467"/>
      <c r="H82" s="467"/>
      <c r="I82" s="467"/>
      <c r="J82" s="467">
        <v>0.0</v>
      </c>
      <c r="K82" s="467"/>
      <c r="L82" s="467"/>
      <c r="M82" s="467"/>
      <c r="N82" s="467"/>
      <c r="O82" s="467"/>
      <c r="P82" s="474">
        <v>0.0</v>
      </c>
      <c r="Q82" s="1175"/>
      <c r="R82" s="737"/>
      <c r="S82" s="783"/>
      <c r="T82" s="737"/>
      <c r="U82" s="465"/>
    </row>
    <row r="83" ht="15.75" customHeight="1">
      <c r="A83" s="439"/>
      <c r="B83" s="465"/>
      <c r="C83" s="465" t="s">
        <v>311</v>
      </c>
      <c r="D83" s="704">
        <v>23321.7</v>
      </c>
      <c r="E83" s="1141">
        <f>D83/D19</f>
        <v>0.13873995</v>
      </c>
      <c r="F83" s="649"/>
      <c r="G83" s="1141"/>
      <c r="H83" s="649"/>
      <c r="I83" s="674"/>
      <c r="J83" s="704">
        <v>22738.32</v>
      </c>
      <c r="K83" s="1141">
        <f>J83/J19</f>
        <v>0.1484156729</v>
      </c>
      <c r="L83" s="649"/>
      <c r="M83" s="1141"/>
      <c r="N83" s="649"/>
      <c r="O83" s="674"/>
      <c r="P83" s="737">
        <v>23603.85</v>
      </c>
      <c r="Q83" s="1175">
        <f>P83/P19</f>
        <v>0.1478335891</v>
      </c>
      <c r="R83" s="737"/>
      <c r="S83" s="783"/>
      <c r="T83" s="737"/>
      <c r="U83" s="465"/>
    </row>
    <row r="84" ht="15.75" customHeight="1">
      <c r="A84" s="439"/>
      <c r="B84" s="465"/>
      <c r="C84" s="465" t="s">
        <v>365</v>
      </c>
      <c r="D84" s="467">
        <v>0.0</v>
      </c>
      <c r="E84" s="467"/>
      <c r="F84" s="467"/>
      <c r="G84" s="467"/>
      <c r="H84" s="467"/>
      <c r="I84" s="467"/>
      <c r="J84" s="467">
        <v>0.0</v>
      </c>
      <c r="K84" s="467"/>
      <c r="L84" s="467"/>
      <c r="M84" s="467"/>
      <c r="N84" s="467"/>
      <c r="O84" s="467"/>
      <c r="P84" s="474">
        <v>0.0</v>
      </c>
      <c r="Q84" s="1175"/>
      <c r="R84" s="737"/>
      <c r="S84" s="783"/>
      <c r="T84" s="737"/>
      <c r="U84" s="465"/>
    </row>
    <row r="85" ht="15.75" customHeight="1">
      <c r="A85" s="439"/>
      <c r="B85" s="465"/>
      <c r="C85" s="465" t="s">
        <v>366</v>
      </c>
      <c r="D85" s="704">
        <f>34800+15688</f>
        <v>50488</v>
      </c>
      <c r="E85" s="1141">
        <f>D85/D29</f>
        <v>0.1509312173</v>
      </c>
      <c r="F85" s="649"/>
      <c r="G85" s="1141"/>
      <c r="H85" s="649"/>
      <c r="I85" s="674"/>
      <c r="J85" s="704">
        <v>15959.38</v>
      </c>
      <c r="K85" s="1141">
        <f>J85/J29</f>
        <v>0.0480245669</v>
      </c>
      <c r="L85" s="649"/>
      <c r="M85" s="1141"/>
      <c r="N85" s="649"/>
      <c r="O85" s="674"/>
      <c r="P85" s="747">
        <v>35400.0</v>
      </c>
      <c r="Q85" s="1175">
        <f>P85/P29</f>
        <v>0.1157286327</v>
      </c>
      <c r="R85" s="737"/>
      <c r="S85" s="783"/>
      <c r="T85" s="737"/>
      <c r="U85" s="465"/>
    </row>
    <row r="86" ht="15.75" customHeight="1">
      <c r="A86" s="439"/>
      <c r="B86" s="483"/>
      <c r="C86" s="483"/>
      <c r="D86" s="705"/>
      <c r="E86" s="544"/>
      <c r="F86" s="677"/>
      <c r="G86" s="677"/>
      <c r="H86" s="677"/>
      <c r="I86" s="679"/>
      <c r="J86" s="705"/>
      <c r="K86" s="544"/>
      <c r="L86" s="677"/>
      <c r="M86" s="677"/>
      <c r="N86" s="677"/>
      <c r="O86" s="679"/>
      <c r="P86" s="731"/>
      <c r="Q86" s="1176"/>
      <c r="R86" s="483"/>
      <c r="S86" s="483"/>
      <c r="T86" s="483"/>
      <c r="U86" s="483"/>
    </row>
    <row r="87" ht="15.75" customHeight="1">
      <c r="A87" s="439"/>
      <c r="B87" s="493"/>
      <c r="C87" s="511" t="s">
        <v>216</v>
      </c>
      <c r="D87" s="459">
        <f>SUM(D88:D91)</f>
        <v>0</v>
      </c>
      <c r="E87" s="547">
        <f>D87/D$29</f>
        <v>0</v>
      </c>
      <c r="F87" s="690">
        <f>SUM(F88:F91)</f>
        <v>0</v>
      </c>
      <c r="G87" s="1134" t="str">
        <f>F87/F$29</f>
        <v>#DIV/0!</v>
      </c>
      <c r="H87" s="1146">
        <f>SUM(H88:H91)</f>
        <v>0</v>
      </c>
      <c r="I87" s="691"/>
      <c r="J87" s="459">
        <f>SUM(J88:J91)</f>
        <v>0</v>
      </c>
      <c r="K87" s="547">
        <f>J87/J$29</f>
        <v>0</v>
      </c>
      <c r="L87" s="690">
        <f>SUM(L88:L91)</f>
        <v>0</v>
      </c>
      <c r="M87" s="1134" t="str">
        <f>L87/L$29</f>
        <v>#DIV/0!</v>
      </c>
      <c r="N87" s="1146">
        <f>SUM(N88:N91)</f>
        <v>0</v>
      </c>
      <c r="O87" s="691"/>
      <c r="P87" s="491">
        <f>SUM(P88:P91)</f>
        <v>0</v>
      </c>
      <c r="Q87" s="613">
        <f>P87/P$29</f>
        <v>0</v>
      </c>
      <c r="R87" s="490">
        <f>SUM(R88:R91)</f>
        <v>0</v>
      </c>
      <c r="S87" s="1135" t="str">
        <f>R87/R$29</f>
        <v>#DIV/0!</v>
      </c>
      <c r="T87" s="1147">
        <f>SUM(T88:T91)</f>
        <v>0</v>
      </c>
      <c r="U87" s="490"/>
    </row>
    <row r="88" ht="15.75" customHeight="1">
      <c r="A88" s="439"/>
      <c r="B88" s="497"/>
      <c r="C88" s="497" t="s">
        <v>217</v>
      </c>
      <c r="D88" s="513">
        <v>0.0</v>
      </c>
      <c r="E88" s="552"/>
      <c r="F88" s="671"/>
      <c r="G88" s="1148"/>
      <c r="H88" s="646"/>
      <c r="I88" s="672"/>
      <c r="J88" s="513">
        <v>0.0</v>
      </c>
      <c r="K88" s="552"/>
      <c r="L88" s="671"/>
      <c r="M88" s="1148"/>
      <c r="N88" s="646"/>
      <c r="O88" s="672"/>
      <c r="P88" s="505">
        <v>0.0</v>
      </c>
      <c r="Q88" s="778"/>
      <c r="R88" s="497"/>
      <c r="S88" s="1149"/>
      <c r="T88" s="741"/>
      <c r="U88" s="497"/>
    </row>
    <row r="89" ht="15.75" customHeight="1">
      <c r="A89" s="439"/>
      <c r="B89" s="465"/>
      <c r="C89" s="465" t="s">
        <v>218</v>
      </c>
      <c r="D89" s="514">
        <v>0.0</v>
      </c>
      <c r="E89" s="557"/>
      <c r="F89" s="256"/>
      <c r="G89" s="1141"/>
      <c r="H89" s="649"/>
      <c r="I89" s="674"/>
      <c r="J89" s="514">
        <v>0.0</v>
      </c>
      <c r="K89" s="557"/>
      <c r="L89" s="256"/>
      <c r="M89" s="1141"/>
      <c r="N89" s="649"/>
      <c r="O89" s="674"/>
      <c r="P89" s="506">
        <v>0.0</v>
      </c>
      <c r="Q89" s="605"/>
      <c r="R89" s="465"/>
      <c r="S89" s="783"/>
      <c r="T89" s="737"/>
      <c r="U89" s="465"/>
    </row>
    <row r="90" ht="15.75" customHeight="1">
      <c r="A90" s="439"/>
      <c r="B90" s="465"/>
      <c r="C90" s="465" t="s">
        <v>219</v>
      </c>
      <c r="D90" s="514">
        <v>0.0</v>
      </c>
      <c r="E90" s="539"/>
      <c r="F90" s="256"/>
      <c r="G90" s="256"/>
      <c r="H90" s="256"/>
      <c r="I90" s="674"/>
      <c r="J90" s="514">
        <v>0.0</v>
      </c>
      <c r="K90" s="539"/>
      <c r="L90" s="256"/>
      <c r="M90" s="256"/>
      <c r="N90" s="256"/>
      <c r="O90" s="674"/>
      <c r="P90" s="506">
        <v>0.0</v>
      </c>
      <c r="Q90" s="469"/>
      <c r="R90" s="465"/>
      <c r="S90" s="465"/>
      <c r="T90" s="465"/>
      <c r="U90" s="465"/>
    </row>
    <row r="91" ht="15.75" customHeight="1">
      <c r="A91" s="439"/>
      <c r="B91" s="465"/>
      <c r="C91" s="465" t="s">
        <v>220</v>
      </c>
      <c r="D91" s="514">
        <v>0.0</v>
      </c>
      <c r="E91" s="539"/>
      <c r="F91" s="256"/>
      <c r="G91" s="256"/>
      <c r="H91" s="256"/>
      <c r="I91" s="674"/>
      <c r="J91" s="514">
        <v>0.0</v>
      </c>
      <c r="K91" s="539"/>
      <c r="L91" s="256"/>
      <c r="M91" s="256"/>
      <c r="N91" s="256"/>
      <c r="O91" s="674"/>
      <c r="P91" s="506">
        <v>0.0</v>
      </c>
      <c r="Q91" s="469"/>
      <c r="R91" s="465"/>
      <c r="S91" s="465"/>
      <c r="T91" s="465"/>
      <c r="U91" s="465"/>
    </row>
    <row r="92" ht="15.75" customHeight="1">
      <c r="A92" s="439"/>
      <c r="B92" s="483"/>
      <c r="C92" s="610"/>
      <c r="D92" s="487">
        <v>0.0</v>
      </c>
      <c r="E92" s="544"/>
      <c r="F92" s="677"/>
      <c r="G92" s="677"/>
      <c r="H92" s="677"/>
      <c r="I92" s="679"/>
      <c r="J92" s="487">
        <v>0.0</v>
      </c>
      <c r="K92" s="544"/>
      <c r="L92" s="677"/>
      <c r="M92" s="677"/>
      <c r="N92" s="677"/>
      <c r="O92" s="679"/>
      <c r="P92" s="488">
        <v>0.0</v>
      </c>
      <c r="Q92" s="543"/>
      <c r="R92" s="483"/>
      <c r="S92" s="483"/>
      <c r="T92" s="483"/>
      <c r="U92" s="483"/>
    </row>
    <row r="93" ht="15.75" customHeight="1">
      <c r="A93" s="439"/>
      <c r="B93" s="493"/>
      <c r="C93" s="511" t="s">
        <v>37</v>
      </c>
      <c r="D93" s="459">
        <f>SUM(D94:D100)</f>
        <v>0</v>
      </c>
      <c r="E93" s="547">
        <f>D93/D$29</f>
        <v>0</v>
      </c>
      <c r="F93" s="645">
        <f>SUM(F94:F100)</f>
        <v>0</v>
      </c>
      <c r="G93" s="1134" t="str">
        <f>F93/F$29</f>
        <v>#DIV/0!</v>
      </c>
      <c r="H93" s="645">
        <f>SUM(H94:H100)</f>
        <v>0</v>
      </c>
      <c r="I93" s="691"/>
      <c r="J93" s="459">
        <f>SUM(J94:J100)</f>
        <v>0</v>
      </c>
      <c r="K93" s="547">
        <f>J93/J$29</f>
        <v>0</v>
      </c>
      <c r="L93" s="645">
        <f>SUM(L94:L100)</f>
        <v>0</v>
      </c>
      <c r="M93" s="1134" t="str">
        <f>L93/L$29</f>
        <v>#DIV/0!</v>
      </c>
      <c r="N93" s="645">
        <f>SUM(N94:N100)</f>
        <v>0</v>
      </c>
      <c r="O93" s="691"/>
      <c r="P93" s="491">
        <f>SUM(P94:P100)</f>
        <v>0</v>
      </c>
      <c r="Q93" s="613">
        <f>P93/P$29</f>
        <v>0</v>
      </c>
      <c r="R93" s="668">
        <f>SUM(R94:R100)</f>
        <v>0</v>
      </c>
      <c r="S93" s="1135" t="str">
        <f>R93/R$29</f>
        <v>#DIV/0!</v>
      </c>
      <c r="T93" s="668">
        <f>SUM(T94:T100)</f>
        <v>0</v>
      </c>
      <c r="U93" s="490"/>
    </row>
    <row r="94" ht="15.75" customHeight="1">
      <c r="A94" s="439"/>
      <c r="B94" s="497"/>
      <c r="C94" s="497" t="s">
        <v>221</v>
      </c>
      <c r="D94" s="513">
        <v>0.0</v>
      </c>
      <c r="E94" s="552"/>
      <c r="F94" s="671"/>
      <c r="G94" s="1148"/>
      <c r="H94" s="646"/>
      <c r="I94" s="672"/>
      <c r="J94" s="513">
        <v>0.0</v>
      </c>
      <c r="K94" s="552"/>
      <c r="L94" s="671"/>
      <c r="M94" s="1148"/>
      <c r="N94" s="646"/>
      <c r="O94" s="672"/>
      <c r="P94" s="505">
        <v>0.0</v>
      </c>
      <c r="Q94" s="778"/>
      <c r="R94" s="497"/>
      <c r="S94" s="1149"/>
      <c r="T94" s="741"/>
      <c r="U94" s="497"/>
    </row>
    <row r="95" ht="15.75" customHeight="1">
      <c r="A95" s="439"/>
      <c r="B95" s="465"/>
      <c r="C95" s="465" t="s">
        <v>222</v>
      </c>
      <c r="D95" s="514">
        <v>0.0</v>
      </c>
      <c r="E95" s="557"/>
      <c r="F95" s="256"/>
      <c r="G95" s="1141"/>
      <c r="H95" s="649"/>
      <c r="I95" s="674"/>
      <c r="J95" s="514">
        <v>0.0</v>
      </c>
      <c r="K95" s="557"/>
      <c r="L95" s="256"/>
      <c r="M95" s="1141"/>
      <c r="N95" s="649"/>
      <c r="O95" s="674"/>
      <c r="P95" s="506">
        <v>0.0</v>
      </c>
      <c r="Q95" s="605"/>
      <c r="R95" s="465"/>
      <c r="S95" s="783"/>
      <c r="T95" s="737"/>
      <c r="U95" s="465"/>
    </row>
    <row r="96" ht="15.75" customHeight="1">
      <c r="A96" s="439"/>
      <c r="B96" s="465"/>
      <c r="C96" s="465" t="s">
        <v>223</v>
      </c>
      <c r="D96" s="514">
        <v>0.0</v>
      </c>
      <c r="E96" s="557"/>
      <c r="F96" s="256"/>
      <c r="G96" s="1141"/>
      <c r="H96" s="649"/>
      <c r="I96" s="674"/>
      <c r="J96" s="514">
        <v>0.0</v>
      </c>
      <c r="K96" s="557"/>
      <c r="L96" s="256"/>
      <c r="M96" s="1141"/>
      <c r="N96" s="649"/>
      <c r="O96" s="674"/>
      <c r="P96" s="506">
        <v>0.0</v>
      </c>
      <c r="Q96" s="605"/>
      <c r="R96" s="465"/>
      <c r="S96" s="783"/>
      <c r="T96" s="737"/>
      <c r="U96" s="465"/>
    </row>
    <row r="97" ht="15.75" customHeight="1">
      <c r="A97" s="439"/>
      <c r="B97" s="465"/>
      <c r="C97" s="465" t="s">
        <v>225</v>
      </c>
      <c r="D97" s="514">
        <v>0.0</v>
      </c>
      <c r="E97" s="557"/>
      <c r="F97" s="256"/>
      <c r="G97" s="1141"/>
      <c r="H97" s="649"/>
      <c r="I97" s="674"/>
      <c r="J97" s="514">
        <v>0.0</v>
      </c>
      <c r="K97" s="557"/>
      <c r="L97" s="256"/>
      <c r="M97" s="1141"/>
      <c r="N97" s="649"/>
      <c r="O97" s="674"/>
      <c r="P97" s="506">
        <v>0.0</v>
      </c>
      <c r="Q97" s="605"/>
      <c r="R97" s="465"/>
      <c r="S97" s="783"/>
      <c r="T97" s="737"/>
      <c r="U97" s="465"/>
    </row>
    <row r="98" ht="15.75" customHeight="1">
      <c r="A98" s="439"/>
      <c r="B98" s="465"/>
      <c r="C98" s="465" t="s">
        <v>226</v>
      </c>
      <c r="D98" s="514">
        <v>0.0</v>
      </c>
      <c r="E98" s="557"/>
      <c r="F98" s="256"/>
      <c r="G98" s="1141"/>
      <c r="H98" s="649"/>
      <c r="I98" s="674"/>
      <c r="J98" s="514">
        <v>0.0</v>
      </c>
      <c r="K98" s="557"/>
      <c r="L98" s="256"/>
      <c r="M98" s="1141"/>
      <c r="N98" s="649"/>
      <c r="O98" s="674"/>
      <c r="P98" s="506">
        <v>0.0</v>
      </c>
      <c r="Q98" s="605"/>
      <c r="R98" s="465"/>
      <c r="S98" s="783"/>
      <c r="T98" s="737"/>
      <c r="U98" s="465"/>
    </row>
    <row r="99" ht="15.75" customHeight="1">
      <c r="A99" s="439"/>
      <c r="B99" s="465"/>
      <c r="C99" s="465" t="s">
        <v>227</v>
      </c>
      <c r="D99" s="514">
        <v>0.0</v>
      </c>
      <c r="E99" s="557"/>
      <c r="F99" s="256"/>
      <c r="G99" s="1141"/>
      <c r="H99" s="649"/>
      <c r="I99" s="674"/>
      <c r="J99" s="514">
        <v>0.0</v>
      </c>
      <c r="K99" s="557"/>
      <c r="L99" s="256"/>
      <c r="M99" s="1141"/>
      <c r="N99" s="649"/>
      <c r="O99" s="674"/>
      <c r="P99" s="506">
        <v>0.0</v>
      </c>
      <c r="Q99" s="605"/>
      <c r="R99" s="465"/>
      <c r="S99" s="783"/>
      <c r="T99" s="737"/>
      <c r="U99" s="465"/>
    </row>
    <row r="100" ht="15.75" customHeight="1">
      <c r="A100" s="439"/>
      <c r="B100" s="465"/>
      <c r="C100" s="465" t="s">
        <v>228</v>
      </c>
      <c r="D100" s="514">
        <v>0.0</v>
      </c>
      <c r="E100" s="557"/>
      <c r="F100" s="256"/>
      <c r="G100" s="1141"/>
      <c r="H100" s="649"/>
      <c r="I100" s="674"/>
      <c r="J100" s="514">
        <v>0.0</v>
      </c>
      <c r="K100" s="557"/>
      <c r="L100" s="256"/>
      <c r="M100" s="1141"/>
      <c r="N100" s="649"/>
      <c r="O100" s="674"/>
      <c r="P100" s="506">
        <v>0.0</v>
      </c>
      <c r="Q100" s="605"/>
      <c r="R100" s="465"/>
      <c r="S100" s="783"/>
      <c r="T100" s="737"/>
      <c r="U100" s="465"/>
    </row>
    <row r="101" ht="15.75" customHeight="1">
      <c r="A101" s="439"/>
      <c r="B101" s="465"/>
      <c r="C101" s="587"/>
      <c r="D101" s="467"/>
      <c r="E101" s="539"/>
      <c r="F101" s="256"/>
      <c r="G101" s="256"/>
      <c r="H101" s="649"/>
      <c r="I101" s="674"/>
      <c r="J101" s="467"/>
      <c r="K101" s="539"/>
      <c r="L101" s="256"/>
      <c r="M101" s="256"/>
      <c r="N101" s="649"/>
      <c r="O101" s="674"/>
      <c r="P101" s="474"/>
      <c r="Q101" s="469"/>
      <c r="R101" s="465"/>
      <c r="S101" s="465"/>
      <c r="T101" s="737"/>
      <c r="U101" s="465"/>
    </row>
    <row r="102" ht="15.75" customHeight="1">
      <c r="A102" s="439"/>
      <c r="B102" s="483"/>
      <c r="C102" s="610"/>
      <c r="D102" s="485"/>
      <c r="E102" s="544"/>
      <c r="F102" s="677"/>
      <c r="G102" s="677"/>
      <c r="H102" s="677"/>
      <c r="I102" s="679"/>
      <c r="J102" s="485"/>
      <c r="K102" s="544"/>
      <c r="L102" s="677"/>
      <c r="M102" s="677"/>
      <c r="N102" s="677"/>
      <c r="O102" s="679"/>
      <c r="P102" s="501"/>
      <c r="Q102" s="543"/>
      <c r="R102" s="483"/>
      <c r="S102" s="483"/>
      <c r="T102" s="483"/>
      <c r="U102" s="483"/>
    </row>
    <row r="103" ht="15.75" customHeight="1">
      <c r="A103" s="439"/>
      <c r="B103" s="493"/>
      <c r="C103" s="511" t="s">
        <v>38</v>
      </c>
      <c r="D103" s="459">
        <f>SUM(D104)</f>
        <v>0</v>
      </c>
      <c r="E103" s="547">
        <f>D103/D$29</f>
        <v>0</v>
      </c>
      <c r="F103" s="690">
        <f>SUM(F104)</f>
        <v>0</v>
      </c>
      <c r="G103" s="1134" t="str">
        <f>F103/F$29</f>
        <v>#DIV/0!</v>
      </c>
      <c r="H103" s="1146">
        <f>SUM(H104)</f>
        <v>0</v>
      </c>
      <c r="I103" s="691"/>
      <c r="J103" s="459">
        <f>SUM(J104)</f>
        <v>0</v>
      </c>
      <c r="K103" s="547">
        <f>J103/J$29</f>
        <v>0</v>
      </c>
      <c r="L103" s="690">
        <f>SUM(L104)</f>
        <v>0</v>
      </c>
      <c r="M103" s="1134" t="str">
        <f>L103/L$29</f>
        <v>#DIV/0!</v>
      </c>
      <c r="N103" s="1146">
        <f>SUM(N104)</f>
        <v>0</v>
      </c>
      <c r="O103" s="691"/>
      <c r="P103" s="491">
        <f>SUM(P104)</f>
        <v>0</v>
      </c>
      <c r="Q103" s="613">
        <f>P103/P$29</f>
        <v>0</v>
      </c>
      <c r="R103" s="490">
        <f>SUM(R104)</f>
        <v>0</v>
      </c>
      <c r="S103" s="1135" t="str">
        <f>R103/R$29</f>
        <v>#DIV/0!</v>
      </c>
      <c r="T103" s="1147">
        <f>SUM(T104)</f>
        <v>0</v>
      </c>
      <c r="U103" s="490"/>
    </row>
    <row r="104" ht="15.75" customHeight="1">
      <c r="A104" s="439"/>
      <c r="B104" s="497"/>
      <c r="C104" s="497" t="s">
        <v>277</v>
      </c>
      <c r="D104" s="463">
        <v>0.0</v>
      </c>
      <c r="E104" s="552">
        <f>IFERROR((D104/D$29),"")</f>
        <v>0</v>
      </c>
      <c r="F104" s="671"/>
      <c r="G104" s="671"/>
      <c r="H104" s="646">
        <f>D104-F104</f>
        <v>0</v>
      </c>
      <c r="I104" s="672"/>
      <c r="J104" s="463">
        <v>0.0</v>
      </c>
      <c r="K104" s="552">
        <f>IFERROR((J104/J$29),"")</f>
        <v>0</v>
      </c>
      <c r="L104" s="671"/>
      <c r="M104" s="671"/>
      <c r="N104" s="646">
        <f>J104-L104</f>
        <v>0</v>
      </c>
      <c r="O104" s="672"/>
      <c r="P104" s="498">
        <v>0.0</v>
      </c>
      <c r="Q104" s="778">
        <f>IFERROR((P104/P$29),"")</f>
        <v>0</v>
      </c>
      <c r="R104" s="497"/>
      <c r="S104" s="497"/>
      <c r="T104" s="741">
        <f>P104-R104</f>
        <v>0</v>
      </c>
      <c r="U104" s="497"/>
    </row>
    <row r="105" ht="15.75" customHeight="1">
      <c r="A105" s="439"/>
      <c r="B105" s="483"/>
      <c r="C105" s="483"/>
      <c r="D105" s="485"/>
      <c r="E105" s="544"/>
      <c r="F105" s="677"/>
      <c r="G105" s="677"/>
      <c r="H105" s="677"/>
      <c r="I105" s="679"/>
      <c r="J105" s="485"/>
      <c r="K105" s="544"/>
      <c r="L105" s="677"/>
      <c r="M105" s="677"/>
      <c r="N105" s="677"/>
      <c r="O105" s="679"/>
      <c r="P105" s="501"/>
      <c r="Q105" s="543"/>
      <c r="R105" s="483"/>
      <c r="S105" s="483"/>
      <c r="T105" s="483"/>
      <c r="U105" s="483"/>
    </row>
    <row r="106" ht="15.75" customHeight="1">
      <c r="A106" s="439"/>
      <c r="B106" s="493"/>
      <c r="C106" s="511" t="s">
        <v>235</v>
      </c>
      <c r="D106" s="459">
        <f>SUM(D107:D108)</f>
        <v>35728</v>
      </c>
      <c r="E106" s="547">
        <f>D106/D$29</f>
        <v>0.1068069746</v>
      </c>
      <c r="F106" s="690">
        <f>SUM(F107:F108)</f>
        <v>0</v>
      </c>
      <c r="G106" s="1134" t="str">
        <f>F106/F$29</f>
        <v>#DIV/0!</v>
      </c>
      <c r="H106" s="645">
        <f>SUM(H107:H108)</f>
        <v>0</v>
      </c>
      <c r="I106" s="691"/>
      <c r="J106" s="459">
        <f>SUM(J107:J108)</f>
        <v>23091</v>
      </c>
      <c r="K106" s="547">
        <f>J106/J$29</f>
        <v>0.06948485934</v>
      </c>
      <c r="L106" s="690">
        <f>SUM(L107:L108)</f>
        <v>0</v>
      </c>
      <c r="M106" s="1134" t="str">
        <f>L106/L$29</f>
        <v>#DIV/0!</v>
      </c>
      <c r="N106" s="645">
        <f>SUM(N107:N108)</f>
        <v>0</v>
      </c>
      <c r="O106" s="691"/>
      <c r="P106" s="491">
        <f>SUM(P107:P108)</f>
        <v>23091</v>
      </c>
      <c r="Q106" s="613">
        <f>P106/P$29</f>
        <v>0.07548841406</v>
      </c>
      <c r="R106" s="490">
        <f>SUM(R107:R108)</f>
        <v>0</v>
      </c>
      <c r="S106" s="1135" t="str">
        <f>R106/R$29</f>
        <v>#DIV/0!</v>
      </c>
      <c r="T106" s="668">
        <f>SUM(T107:T108)</f>
        <v>0</v>
      </c>
      <c r="U106" s="490"/>
    </row>
    <row r="107" ht="15.75" customHeight="1">
      <c r="A107" s="439"/>
      <c r="B107" s="497"/>
      <c r="C107" s="497" t="s">
        <v>236</v>
      </c>
      <c r="D107" s="463"/>
      <c r="E107" s="552"/>
      <c r="F107" s="671"/>
      <c r="G107" s="1148"/>
      <c r="H107" s="646"/>
      <c r="I107" s="672"/>
      <c r="J107" s="463"/>
      <c r="K107" s="552"/>
      <c r="L107" s="671"/>
      <c r="M107" s="1148"/>
      <c r="N107" s="646"/>
      <c r="O107" s="672"/>
      <c r="P107" s="498"/>
      <c r="Q107" s="778"/>
      <c r="R107" s="497"/>
      <c r="S107" s="1149"/>
      <c r="T107" s="741"/>
      <c r="U107" s="497"/>
    </row>
    <row r="108" ht="15.75" customHeight="1">
      <c r="A108" s="439"/>
      <c r="B108" s="465"/>
      <c r="C108" s="465" t="s">
        <v>291</v>
      </c>
      <c r="D108" s="467">
        <f>(17168+11368+42920)/2</f>
        <v>35728</v>
      </c>
      <c r="E108" s="557"/>
      <c r="F108" s="256"/>
      <c r="G108" s="1141"/>
      <c r="H108" s="649"/>
      <c r="I108" s="674"/>
      <c r="J108" s="467">
        <v>23091.0</v>
      </c>
      <c r="K108" s="557"/>
      <c r="L108" s="256"/>
      <c r="M108" s="1141"/>
      <c r="N108" s="649"/>
      <c r="O108" s="674"/>
      <c r="P108" s="474">
        <v>23091.0</v>
      </c>
      <c r="Q108" s="605"/>
      <c r="R108" s="465"/>
      <c r="S108" s="783"/>
      <c r="T108" s="737"/>
      <c r="U108" s="465"/>
    </row>
    <row r="109" ht="15.75" customHeight="1">
      <c r="A109" s="439"/>
      <c r="B109" s="483"/>
      <c r="C109" s="483"/>
      <c r="D109" s="485"/>
      <c r="E109" s="544"/>
      <c r="F109" s="677"/>
      <c r="G109" s="677"/>
      <c r="H109" s="677"/>
      <c r="I109" s="679"/>
      <c r="J109" s="485"/>
      <c r="K109" s="544"/>
      <c r="L109" s="677"/>
      <c r="M109" s="677"/>
      <c r="N109" s="677"/>
      <c r="O109" s="679"/>
      <c r="P109" s="501"/>
      <c r="Q109" s="543"/>
      <c r="R109" s="483"/>
      <c r="S109" s="483"/>
      <c r="T109" s="483"/>
      <c r="U109" s="483"/>
    </row>
    <row r="110" ht="15.75" customHeight="1">
      <c r="A110" s="439"/>
      <c r="B110" s="493"/>
      <c r="C110" s="511" t="s">
        <v>40</v>
      </c>
      <c r="D110" s="459">
        <f>SUM(D111:D121)</f>
        <v>8100</v>
      </c>
      <c r="E110" s="547">
        <f>D110/D$29</f>
        <v>0.02421452346</v>
      </c>
      <c r="F110" s="690">
        <f>SUM(F111:F121)</f>
        <v>0</v>
      </c>
      <c r="G110" s="1134" t="str">
        <f>F110/F$29</f>
        <v>#DIV/0!</v>
      </c>
      <c r="H110" s="1146">
        <f>SUM(H111:H121)</f>
        <v>0</v>
      </c>
      <c r="I110" s="691"/>
      <c r="J110" s="459">
        <f>SUM(J111:J121)</f>
        <v>0</v>
      </c>
      <c r="K110" s="547">
        <f>J110/J$29</f>
        <v>0</v>
      </c>
      <c r="L110" s="690">
        <f>SUM(L111:L121)</f>
        <v>0</v>
      </c>
      <c r="M110" s="1134" t="str">
        <f>L110/L$29</f>
        <v>#DIV/0!</v>
      </c>
      <c r="N110" s="1146">
        <f>SUM(N111:N121)</f>
        <v>0</v>
      </c>
      <c r="O110" s="691"/>
      <c r="P110" s="491">
        <f>SUM(P111:P121)</f>
        <v>0</v>
      </c>
      <c r="Q110" s="613">
        <f>P110/P$29</f>
        <v>0</v>
      </c>
      <c r="R110" s="490">
        <f>SUM(R111:R121)</f>
        <v>0</v>
      </c>
      <c r="S110" s="1135" t="str">
        <f>R110/R$29</f>
        <v>#DIV/0!</v>
      </c>
      <c r="T110" s="1147">
        <f>SUM(T111:T121)</f>
        <v>0</v>
      </c>
      <c r="U110" s="490"/>
    </row>
    <row r="111" ht="15.75" customHeight="1">
      <c r="A111" s="439"/>
      <c r="B111" s="497"/>
      <c r="C111" s="497" t="s">
        <v>238</v>
      </c>
      <c r="D111" s="463"/>
      <c r="E111" s="552"/>
      <c r="F111" s="671"/>
      <c r="G111" s="1148"/>
      <c r="H111" s="646"/>
      <c r="I111" s="672"/>
      <c r="J111" s="463"/>
      <c r="K111" s="552"/>
      <c r="L111" s="671"/>
      <c r="M111" s="1148"/>
      <c r="N111" s="646"/>
      <c r="O111" s="672"/>
      <c r="P111" s="498"/>
      <c r="Q111" s="778"/>
      <c r="R111" s="497"/>
      <c r="S111" s="1149"/>
      <c r="T111" s="741"/>
      <c r="U111" s="497"/>
    </row>
    <row r="112" ht="15.75" customHeight="1">
      <c r="A112" s="439"/>
      <c r="B112" s="465"/>
      <c r="C112" s="465" t="s">
        <v>370</v>
      </c>
      <c r="D112" s="467">
        <v>8100.0</v>
      </c>
      <c r="E112" s="557"/>
      <c r="F112" s="256"/>
      <c r="G112" s="1141"/>
      <c r="H112" s="649"/>
      <c r="I112" s="674"/>
      <c r="J112" s="514">
        <v>0.0</v>
      </c>
      <c r="K112" s="557"/>
      <c r="L112" s="256"/>
      <c r="M112" s="1141"/>
      <c r="N112" s="649"/>
      <c r="O112" s="674"/>
      <c r="P112" s="506">
        <v>0.0</v>
      </c>
      <c r="Q112" s="605"/>
      <c r="R112" s="465"/>
      <c r="S112" s="783"/>
      <c r="T112" s="737"/>
      <c r="U112" s="465"/>
    </row>
    <row r="113" ht="15.75" customHeight="1">
      <c r="A113" s="439"/>
      <c r="B113" s="465"/>
      <c r="C113" s="465" t="s">
        <v>240</v>
      </c>
      <c r="D113" s="467"/>
      <c r="E113" s="557"/>
      <c r="F113" s="256"/>
      <c r="G113" s="1141"/>
      <c r="H113" s="649"/>
      <c r="I113" s="674"/>
      <c r="J113" s="467"/>
      <c r="K113" s="557"/>
      <c r="L113" s="256"/>
      <c r="M113" s="1141"/>
      <c r="N113" s="649"/>
      <c r="O113" s="674"/>
      <c r="P113" s="474"/>
      <c r="Q113" s="605"/>
      <c r="R113" s="465"/>
      <c r="S113" s="783"/>
      <c r="T113" s="737"/>
      <c r="U113" s="465"/>
    </row>
    <row r="114" ht="15.75" customHeight="1">
      <c r="A114" s="439"/>
      <c r="B114" s="465"/>
      <c r="C114" s="465" t="s">
        <v>241</v>
      </c>
      <c r="D114" s="467"/>
      <c r="E114" s="557"/>
      <c r="F114" s="256"/>
      <c r="G114" s="1141"/>
      <c r="H114" s="649"/>
      <c r="I114" s="674"/>
      <c r="J114" s="467"/>
      <c r="K114" s="557"/>
      <c r="L114" s="256"/>
      <c r="M114" s="1141"/>
      <c r="N114" s="649"/>
      <c r="O114" s="674"/>
      <c r="P114" s="474"/>
      <c r="Q114" s="605"/>
      <c r="R114" s="465"/>
      <c r="S114" s="783"/>
      <c r="T114" s="737"/>
      <c r="U114" s="465"/>
    </row>
    <row r="115" ht="15.75" customHeight="1">
      <c r="A115" s="439"/>
      <c r="B115" s="465"/>
      <c r="C115" s="465" t="s">
        <v>292</v>
      </c>
      <c r="D115" s="467"/>
      <c r="E115" s="557"/>
      <c r="F115" s="256"/>
      <c r="G115" s="1141"/>
      <c r="H115" s="649"/>
      <c r="I115" s="674"/>
      <c r="J115" s="467"/>
      <c r="K115" s="557"/>
      <c r="L115" s="256"/>
      <c r="M115" s="1141"/>
      <c r="N115" s="649"/>
      <c r="O115" s="674"/>
      <c r="P115" s="474"/>
      <c r="Q115" s="605"/>
      <c r="R115" s="465"/>
      <c r="S115" s="783"/>
      <c r="T115" s="737"/>
      <c r="U115" s="465"/>
    </row>
    <row r="116" ht="15.75" customHeight="1">
      <c r="A116" s="439"/>
      <c r="B116" s="465"/>
      <c r="C116" s="465" t="s">
        <v>244</v>
      </c>
      <c r="D116" s="467"/>
      <c r="E116" s="557"/>
      <c r="F116" s="256"/>
      <c r="G116" s="1141"/>
      <c r="H116" s="649"/>
      <c r="I116" s="674"/>
      <c r="J116" s="467"/>
      <c r="K116" s="557"/>
      <c r="L116" s="256"/>
      <c r="M116" s="1141"/>
      <c r="N116" s="649"/>
      <c r="O116" s="674"/>
      <c r="P116" s="474"/>
      <c r="Q116" s="605"/>
      <c r="R116" s="465"/>
      <c r="S116" s="783"/>
      <c r="T116" s="737"/>
      <c r="U116" s="465"/>
    </row>
    <row r="117" ht="15.75" customHeight="1">
      <c r="A117" s="439"/>
      <c r="B117" s="465"/>
      <c r="C117" s="465" t="s">
        <v>246</v>
      </c>
      <c r="D117" s="467"/>
      <c r="E117" s="557"/>
      <c r="F117" s="256"/>
      <c r="G117" s="1141"/>
      <c r="H117" s="649"/>
      <c r="I117" s="674"/>
      <c r="J117" s="467"/>
      <c r="K117" s="557"/>
      <c r="L117" s="256"/>
      <c r="M117" s="1141"/>
      <c r="N117" s="649"/>
      <c r="O117" s="674"/>
      <c r="P117" s="474"/>
      <c r="Q117" s="605"/>
      <c r="R117" s="465"/>
      <c r="S117" s="783"/>
      <c r="T117" s="737"/>
      <c r="U117" s="465"/>
    </row>
    <row r="118" ht="15.75" customHeight="1">
      <c r="A118" s="439"/>
      <c r="B118" s="465"/>
      <c r="C118" s="465" t="s">
        <v>247</v>
      </c>
      <c r="D118" s="467"/>
      <c r="E118" s="557"/>
      <c r="F118" s="256"/>
      <c r="G118" s="1141"/>
      <c r="H118" s="649"/>
      <c r="I118" s="674"/>
      <c r="J118" s="467"/>
      <c r="K118" s="557"/>
      <c r="L118" s="256"/>
      <c r="M118" s="1141"/>
      <c r="N118" s="649"/>
      <c r="O118" s="674"/>
      <c r="P118" s="474"/>
      <c r="Q118" s="605"/>
      <c r="R118" s="465"/>
      <c r="S118" s="783"/>
      <c r="T118" s="737"/>
      <c r="U118" s="465"/>
    </row>
    <row r="119" ht="15.75" customHeight="1">
      <c r="A119" s="439"/>
      <c r="B119" s="465"/>
      <c r="C119" s="465" t="s">
        <v>248</v>
      </c>
      <c r="D119" s="467"/>
      <c r="E119" s="557"/>
      <c r="F119" s="256"/>
      <c r="G119" s="1141"/>
      <c r="H119" s="649"/>
      <c r="I119" s="674"/>
      <c r="J119" s="467"/>
      <c r="K119" s="557"/>
      <c r="L119" s="256"/>
      <c r="M119" s="1141"/>
      <c r="N119" s="649"/>
      <c r="O119" s="674"/>
      <c r="P119" s="474"/>
      <c r="Q119" s="605"/>
      <c r="R119" s="465"/>
      <c r="S119" s="783"/>
      <c r="T119" s="737"/>
      <c r="U119" s="465"/>
    </row>
    <row r="120" ht="15.75" customHeight="1">
      <c r="A120" s="439"/>
      <c r="B120" s="465"/>
      <c r="C120" s="465" t="s">
        <v>249</v>
      </c>
      <c r="D120" s="467"/>
      <c r="E120" s="557"/>
      <c r="F120" s="256"/>
      <c r="G120" s="1141"/>
      <c r="H120" s="649"/>
      <c r="I120" s="674"/>
      <c r="J120" s="467"/>
      <c r="K120" s="557"/>
      <c r="L120" s="256"/>
      <c r="M120" s="1141"/>
      <c r="N120" s="649"/>
      <c r="O120" s="674"/>
      <c r="P120" s="474"/>
      <c r="Q120" s="605"/>
      <c r="R120" s="465"/>
      <c r="S120" s="783"/>
      <c r="T120" s="737"/>
      <c r="U120" s="465"/>
    </row>
    <row r="121" ht="15.75" customHeight="1">
      <c r="A121" s="439"/>
      <c r="B121" s="465"/>
      <c r="C121" s="465" t="s">
        <v>306</v>
      </c>
      <c r="D121" s="467"/>
      <c r="E121" s="557"/>
      <c r="F121" s="256"/>
      <c r="G121" s="1141"/>
      <c r="H121" s="649"/>
      <c r="I121" s="674"/>
      <c r="J121" s="467"/>
      <c r="K121" s="557"/>
      <c r="L121" s="256"/>
      <c r="M121" s="1141"/>
      <c r="N121" s="649"/>
      <c r="O121" s="674"/>
      <c r="P121" s="474"/>
      <c r="Q121" s="605"/>
      <c r="R121" s="465"/>
      <c r="S121" s="783"/>
      <c r="T121" s="737"/>
      <c r="U121" s="465"/>
    </row>
    <row r="122" ht="15.75" customHeight="1">
      <c r="A122" s="439"/>
      <c r="B122" s="465"/>
      <c r="C122" s="465" t="s">
        <v>281</v>
      </c>
      <c r="D122" s="467"/>
      <c r="E122" s="557"/>
      <c r="F122" s="256"/>
      <c r="G122" s="1141"/>
      <c r="H122" s="256"/>
      <c r="I122" s="674"/>
      <c r="J122" s="467"/>
      <c r="K122" s="557"/>
      <c r="L122" s="256"/>
      <c r="M122" s="1141"/>
      <c r="N122" s="256"/>
      <c r="O122" s="674"/>
      <c r="P122" s="474"/>
      <c r="Q122" s="605"/>
      <c r="R122" s="465"/>
      <c r="S122" s="783"/>
      <c r="T122" s="465"/>
      <c r="U122" s="465"/>
    </row>
    <row r="123" ht="15.75" customHeight="1">
      <c r="A123" s="439"/>
      <c r="B123" s="465"/>
      <c r="C123" s="465"/>
      <c r="D123" s="467"/>
      <c r="E123" s="539"/>
      <c r="F123" s="256"/>
      <c r="G123" s="256"/>
      <c r="H123" s="256"/>
      <c r="I123" s="674"/>
      <c r="J123" s="467"/>
      <c r="K123" s="539"/>
      <c r="L123" s="256"/>
      <c r="M123" s="256"/>
      <c r="N123" s="256"/>
      <c r="O123" s="674"/>
      <c r="P123" s="474"/>
      <c r="Q123" s="469"/>
      <c r="R123" s="465"/>
      <c r="S123" s="465"/>
      <c r="T123" s="465"/>
      <c r="U123" s="465"/>
    </row>
    <row r="124" ht="15.75" customHeight="1">
      <c r="A124" s="439"/>
      <c r="B124" s="483"/>
      <c r="C124" s="619"/>
      <c r="D124" s="485"/>
      <c r="E124" s="544"/>
      <c r="F124" s="677"/>
      <c r="G124" s="677"/>
      <c r="H124" s="677"/>
      <c r="I124" s="679"/>
      <c r="J124" s="485"/>
      <c r="K124" s="544"/>
      <c r="L124" s="677"/>
      <c r="M124" s="677"/>
      <c r="N124" s="677"/>
      <c r="O124" s="679"/>
      <c r="P124" s="501"/>
      <c r="Q124" s="543"/>
      <c r="R124" s="483"/>
      <c r="S124" s="483"/>
      <c r="T124" s="483"/>
      <c r="U124" s="483"/>
    </row>
    <row r="125" ht="15.75" customHeight="1">
      <c r="A125" s="439"/>
      <c r="B125" s="493"/>
      <c r="C125" s="511" t="s">
        <v>41</v>
      </c>
      <c r="D125" s="459">
        <f>SUM(D126:D127)</f>
        <v>0</v>
      </c>
      <c r="E125" s="584"/>
      <c r="F125" s="645">
        <f>SUM(F126:F127)</f>
        <v>0</v>
      </c>
      <c r="G125" s="690"/>
      <c r="H125" s="645">
        <f>SUM(H126:H127)</f>
        <v>0</v>
      </c>
      <c r="I125" s="691"/>
      <c r="J125" s="459">
        <f>SUM(J126:J127)</f>
        <v>0</v>
      </c>
      <c r="K125" s="584"/>
      <c r="L125" s="645">
        <f>SUM(L126:L127)</f>
        <v>0</v>
      </c>
      <c r="M125" s="690"/>
      <c r="N125" s="645">
        <f>SUM(N126:N127)</f>
        <v>0</v>
      </c>
      <c r="O125" s="691"/>
      <c r="P125" s="491">
        <f>SUM(P126:P127)</f>
        <v>0</v>
      </c>
      <c r="Q125" s="457"/>
      <c r="R125" s="668">
        <f>SUM(R126:R127)</f>
        <v>0</v>
      </c>
      <c r="S125" s="490"/>
      <c r="T125" s="668">
        <f>SUM(T126:T127)</f>
        <v>0</v>
      </c>
      <c r="U125" s="490"/>
    </row>
    <row r="126" ht="15.75" customHeight="1">
      <c r="A126" s="439"/>
      <c r="B126" s="497"/>
      <c r="C126" s="497" t="s">
        <v>250</v>
      </c>
      <c r="D126" s="463"/>
      <c r="E126" s="552">
        <f t="shared" ref="E126:E127" si="28">IFERROR((D126/D$29),"")</f>
        <v>0</v>
      </c>
      <c r="F126" s="671"/>
      <c r="G126" s="671"/>
      <c r="H126" s="646">
        <f t="shared" ref="H126:H127" si="29">D126-F126</f>
        <v>0</v>
      </c>
      <c r="I126" s="672"/>
      <c r="J126" s="463"/>
      <c r="K126" s="552">
        <f t="shared" ref="K126:K127" si="30">IFERROR((J126/J$29),"")</f>
        <v>0</v>
      </c>
      <c r="L126" s="671"/>
      <c r="M126" s="671"/>
      <c r="N126" s="646">
        <f t="shared" ref="N126:N127" si="31">J126-L126</f>
        <v>0</v>
      </c>
      <c r="O126" s="672"/>
      <c r="P126" s="498"/>
      <c r="Q126" s="778">
        <f t="shared" ref="Q126:Q127" si="32">IFERROR((P126/P$29),"")</f>
        <v>0</v>
      </c>
      <c r="R126" s="497"/>
      <c r="S126" s="497"/>
      <c r="T126" s="741">
        <f t="shared" ref="T126:T127" si="33">P126-R126</f>
        <v>0</v>
      </c>
      <c r="U126" s="497"/>
    </row>
    <row r="127" ht="15.75" customHeight="1">
      <c r="A127" s="439"/>
      <c r="B127" s="465"/>
      <c r="C127" s="465" t="s">
        <v>294</v>
      </c>
      <c r="D127" s="467"/>
      <c r="E127" s="557">
        <f t="shared" si="28"/>
        <v>0</v>
      </c>
      <c r="F127" s="256"/>
      <c r="G127" s="256"/>
      <c r="H127" s="649">
        <f t="shared" si="29"/>
        <v>0</v>
      </c>
      <c r="I127" s="674"/>
      <c r="J127" s="467"/>
      <c r="K127" s="557">
        <f t="shared" si="30"/>
        <v>0</v>
      </c>
      <c r="L127" s="256"/>
      <c r="M127" s="256"/>
      <c r="N127" s="649">
        <f t="shared" si="31"/>
        <v>0</v>
      </c>
      <c r="O127" s="674"/>
      <c r="P127" s="474"/>
      <c r="Q127" s="605">
        <f t="shared" si="32"/>
        <v>0</v>
      </c>
      <c r="R127" s="465"/>
      <c r="S127" s="465"/>
      <c r="T127" s="737">
        <f t="shared" si="33"/>
        <v>0</v>
      </c>
      <c r="U127" s="465"/>
    </row>
    <row r="128" ht="15.75" customHeight="1">
      <c r="A128" s="439"/>
      <c r="B128" s="483"/>
      <c r="C128" s="483"/>
      <c r="D128" s="485"/>
      <c r="E128" s="544"/>
      <c r="F128" s="677"/>
      <c r="G128" s="677"/>
      <c r="H128" s="677"/>
      <c r="I128" s="679"/>
      <c r="J128" s="485"/>
      <c r="K128" s="544"/>
      <c r="L128" s="677"/>
      <c r="M128" s="677"/>
      <c r="N128" s="677"/>
      <c r="O128" s="679"/>
      <c r="P128" s="501"/>
      <c r="Q128" s="543"/>
      <c r="R128" s="483"/>
      <c r="S128" s="483"/>
      <c r="T128" s="483"/>
      <c r="U128" s="483"/>
    </row>
    <row r="129" ht="15.75" customHeight="1">
      <c r="A129" s="439"/>
      <c r="B129" s="493"/>
      <c r="C129" s="511" t="s">
        <v>42</v>
      </c>
      <c r="D129" s="459">
        <f>SUM(D130:D131)</f>
        <v>0</v>
      </c>
      <c r="E129" s="584"/>
      <c r="F129" s="690">
        <f>SUM(F130:F131)</f>
        <v>0</v>
      </c>
      <c r="G129" s="690"/>
      <c r="H129" s="1146">
        <f>SUM(H130:H131)</f>
        <v>0</v>
      </c>
      <c r="I129" s="691"/>
      <c r="J129" s="459">
        <f>SUM(J130:J131)</f>
        <v>0</v>
      </c>
      <c r="K129" s="584"/>
      <c r="L129" s="690">
        <f>SUM(L130:L131)</f>
        <v>0</v>
      </c>
      <c r="M129" s="690"/>
      <c r="N129" s="1146">
        <f>SUM(N130:N131)</f>
        <v>0</v>
      </c>
      <c r="O129" s="691"/>
      <c r="P129" s="491">
        <f>SUM(P130:P131)</f>
        <v>0</v>
      </c>
      <c r="Q129" s="457"/>
      <c r="R129" s="490">
        <f>SUM(R130:R131)</f>
        <v>0</v>
      </c>
      <c r="S129" s="490"/>
      <c r="T129" s="1147">
        <f>SUM(T130:T131)</f>
        <v>0</v>
      </c>
      <c r="U129" s="490"/>
    </row>
    <row r="130" ht="15.75" customHeight="1">
      <c r="A130" s="439"/>
      <c r="B130" s="497"/>
      <c r="C130" s="497" t="s">
        <v>349</v>
      </c>
      <c r="D130" s="463"/>
      <c r="E130" s="552"/>
      <c r="F130" s="671"/>
      <c r="G130" s="671"/>
      <c r="H130" s="646"/>
      <c r="I130" s="672"/>
      <c r="J130" s="463"/>
      <c r="K130" s="552"/>
      <c r="L130" s="671"/>
      <c r="M130" s="671"/>
      <c r="N130" s="646"/>
      <c r="O130" s="672"/>
      <c r="P130" s="498"/>
      <c r="Q130" s="778"/>
      <c r="R130" s="497"/>
      <c r="S130" s="497"/>
      <c r="T130" s="741"/>
      <c r="U130" s="497"/>
    </row>
    <row r="131" ht="15.75" customHeight="1">
      <c r="A131" s="439"/>
      <c r="B131" s="465"/>
      <c r="C131" s="465" t="s">
        <v>253</v>
      </c>
      <c r="D131" s="467"/>
      <c r="E131" s="557"/>
      <c r="F131" s="256"/>
      <c r="G131" s="256"/>
      <c r="H131" s="649"/>
      <c r="I131" s="674"/>
      <c r="J131" s="467"/>
      <c r="K131" s="557"/>
      <c r="L131" s="256"/>
      <c r="M131" s="256"/>
      <c r="N131" s="649"/>
      <c r="O131" s="674"/>
      <c r="P131" s="474"/>
      <c r="Q131" s="605"/>
      <c r="R131" s="465"/>
      <c r="S131" s="465"/>
      <c r="T131" s="737"/>
      <c r="U131" s="465"/>
    </row>
    <row r="132" ht="15.75" customHeight="1">
      <c r="A132" s="439"/>
      <c r="B132" s="465"/>
      <c r="C132" s="465"/>
      <c r="D132" s="467"/>
      <c r="E132" s="539"/>
      <c r="F132" s="256"/>
      <c r="G132" s="256"/>
      <c r="H132" s="256"/>
      <c r="I132" s="674"/>
      <c r="J132" s="467"/>
      <c r="K132" s="539"/>
      <c r="L132" s="256"/>
      <c r="M132" s="256"/>
      <c r="N132" s="256"/>
      <c r="O132" s="674"/>
      <c r="P132" s="474"/>
      <c r="Q132" s="469"/>
      <c r="R132" s="465"/>
      <c r="S132" s="465"/>
      <c r="T132" s="465"/>
      <c r="U132" s="465"/>
    </row>
    <row r="133" ht="15.75" customHeight="1">
      <c r="A133" s="439"/>
      <c r="B133" s="483"/>
      <c r="C133" s="483"/>
      <c r="D133" s="485"/>
      <c r="E133" s="544"/>
      <c r="F133" s="677"/>
      <c r="G133" s="677"/>
      <c r="H133" s="677"/>
      <c r="I133" s="679"/>
      <c r="J133" s="485"/>
      <c r="K133" s="544"/>
      <c r="L133" s="677"/>
      <c r="M133" s="677"/>
      <c r="N133" s="677"/>
      <c r="O133" s="679"/>
      <c r="P133" s="501"/>
      <c r="Q133" s="543"/>
      <c r="R133" s="483"/>
      <c r="S133" s="483"/>
      <c r="T133" s="483"/>
      <c r="U133" s="483"/>
    </row>
    <row r="134" ht="15.75" customHeight="1">
      <c r="A134" s="439"/>
      <c r="B134" s="490"/>
      <c r="C134" s="490" t="s">
        <v>254</v>
      </c>
      <c r="D134" s="459">
        <f>D58+D129+D125+D110+D106+D103+D93+D87+D78+D70</f>
        <v>198214.61</v>
      </c>
      <c r="E134" s="547">
        <f>IFERROR((D134/D$29),"")</f>
        <v>0.5925521387</v>
      </c>
      <c r="F134" s="645">
        <f>F129+F125+F110+F106+F103+F93+F87+F78+F70</f>
        <v>0</v>
      </c>
      <c r="G134" s="1134" t="str">
        <f>IFERROR((F134/F$29),"")</f>
        <v/>
      </c>
      <c r="H134" s="645"/>
      <c r="I134" s="691"/>
      <c r="J134" s="459">
        <f>J58+J129+J125+J110+J106+J103+J93+J87+J78+J70</f>
        <v>145015.7</v>
      </c>
      <c r="K134" s="547">
        <f>IFERROR((J134/J$29),"")</f>
        <v>0.4363776153</v>
      </c>
      <c r="L134" s="645">
        <f>L129+L125+L110+L106+L103+L93+L87+L78+L70</f>
        <v>0</v>
      </c>
      <c r="M134" s="1134" t="str">
        <f>IFERROR((L134/L$29),"")</f>
        <v/>
      </c>
      <c r="N134" s="645"/>
      <c r="O134" s="691"/>
      <c r="P134" s="491">
        <f>P58+P129+P125+P110+P106+P103+P93+P87+P78+P70</f>
        <v>211540.39</v>
      </c>
      <c r="Q134" s="613">
        <f>IFERROR((P134/P$29),"")</f>
        <v>0.6915615846</v>
      </c>
      <c r="R134" s="668">
        <f>R129+R125+R110+R106+R103+R93+R87+R78+R70</f>
        <v>0</v>
      </c>
      <c r="S134" s="1135" t="str">
        <f>IFERROR((R134/R$29),"")</f>
        <v/>
      </c>
      <c r="T134" s="668"/>
      <c r="U134" s="490"/>
    </row>
    <row r="135" ht="15.75" customHeight="1">
      <c r="A135" s="439"/>
      <c r="B135" s="526"/>
      <c r="C135" s="526"/>
      <c r="D135" s="515"/>
      <c r="E135" s="620"/>
      <c r="F135" s="687"/>
      <c r="G135" s="687"/>
      <c r="H135" s="687"/>
      <c r="I135" s="688"/>
      <c r="J135" s="515"/>
      <c r="K135" s="620"/>
      <c r="L135" s="687"/>
      <c r="M135" s="687"/>
      <c r="N135" s="687"/>
      <c r="O135" s="688"/>
      <c r="P135" s="522"/>
      <c r="Q135" s="794"/>
      <c r="R135" s="526"/>
      <c r="S135" s="526"/>
      <c r="T135" s="526"/>
      <c r="U135" s="526"/>
    </row>
    <row r="136" ht="15.75" customHeight="1">
      <c r="A136" s="439"/>
      <c r="B136" s="490"/>
      <c r="C136" s="490" t="s">
        <v>255</v>
      </c>
      <c r="D136" s="459">
        <f>D49-D134</f>
        <v>-211794.4471</v>
      </c>
      <c r="E136" s="547">
        <f>IFERROR((D136/D$29),"")</f>
        <v>-0.6331483466</v>
      </c>
      <c r="F136" s="645" t="str">
        <f>F49-F134</f>
        <v>#REF!</v>
      </c>
      <c r="G136" s="1134" t="str">
        <f>IFERROR((F136/F$29),"")</f>
        <v/>
      </c>
      <c r="H136" s="645" t="str">
        <f>H49-H134</f>
        <v>#REF!</v>
      </c>
      <c r="I136" s="691"/>
      <c r="J136" s="459">
        <f>J49-J134</f>
        <v>-137949.7942</v>
      </c>
      <c r="K136" s="547">
        <f>IFERROR((J136/J$29),"")</f>
        <v>-0.4151150683</v>
      </c>
      <c r="L136" s="645" t="str">
        <f>L49-L134</f>
        <v>#REF!</v>
      </c>
      <c r="M136" s="1134" t="str">
        <f>IFERROR((L136/L$29),"")</f>
        <v/>
      </c>
      <c r="N136" s="645" t="str">
        <f>N49-N134</f>
        <v>#REF!</v>
      </c>
      <c r="O136" s="691"/>
      <c r="P136" s="491">
        <f>P49-P134</f>
        <v>-294182.95</v>
      </c>
      <c r="Q136" s="613">
        <f>IFERROR((P136/P$29),"")</f>
        <v>-0.9617341968</v>
      </c>
      <c r="R136" s="668" t="str">
        <f>R49-R134</f>
        <v>#REF!</v>
      </c>
      <c r="S136" s="1135" t="str">
        <f>IFERROR((R136/R$29),"")</f>
        <v/>
      </c>
      <c r="T136" s="668" t="str">
        <f>T49-T134</f>
        <v>#REF!</v>
      </c>
      <c r="U136" s="490"/>
    </row>
    <row r="137" ht="15.75" customHeight="1">
      <c r="A137" s="439"/>
      <c r="B137" s="439"/>
      <c r="C137" s="439"/>
      <c r="D137" s="624"/>
      <c r="E137" s="247"/>
      <c r="F137" s="439"/>
      <c r="G137" s="439"/>
      <c r="H137" s="439"/>
      <c r="I137" s="439"/>
      <c r="J137" s="624"/>
      <c r="K137" s="247"/>
      <c r="L137" s="439"/>
      <c r="M137" s="439"/>
      <c r="N137" s="439"/>
      <c r="O137" s="439"/>
      <c r="P137" s="624"/>
      <c r="Q137" s="247"/>
      <c r="R137" s="439"/>
      <c r="S137" s="439"/>
      <c r="T137" s="439"/>
      <c r="U137" s="439"/>
    </row>
    <row r="138" ht="15.75" customHeight="1">
      <c r="A138" s="439"/>
      <c r="B138" s="439"/>
      <c r="C138" s="439"/>
      <c r="D138" s="624"/>
      <c r="E138" s="247"/>
      <c r="F138" s="439"/>
      <c r="G138" s="439"/>
      <c r="H138" s="439"/>
      <c r="I138" s="439"/>
      <c r="J138" s="624"/>
      <c r="K138" s="247"/>
      <c r="L138" s="439"/>
      <c r="M138" s="439"/>
      <c r="N138" s="439"/>
      <c r="O138" s="439"/>
      <c r="P138" s="624"/>
      <c r="Q138" s="247"/>
      <c r="R138" s="439"/>
      <c r="S138" s="439"/>
      <c r="T138" s="439"/>
      <c r="U138" s="439"/>
    </row>
    <row r="139" ht="15.75" customHeight="1">
      <c r="A139" s="439"/>
      <c r="B139" s="439"/>
      <c r="C139" s="439"/>
      <c r="D139" s="624"/>
      <c r="E139" s="247"/>
      <c r="F139" s="439"/>
      <c r="G139" s="439"/>
      <c r="H139" s="439"/>
      <c r="I139" s="439"/>
      <c r="J139" s="624"/>
      <c r="K139" s="247"/>
      <c r="L139" s="439"/>
      <c r="M139" s="439"/>
      <c r="N139" s="439"/>
      <c r="O139" s="439"/>
      <c r="P139" s="624"/>
      <c r="Q139" s="247"/>
      <c r="R139" s="439"/>
      <c r="S139" s="439"/>
      <c r="T139" s="439"/>
      <c r="U139" s="439"/>
    </row>
    <row r="140" ht="15.75" customHeight="1">
      <c r="A140" s="439"/>
      <c r="B140" s="439"/>
      <c r="C140" s="439"/>
      <c r="D140" s="624"/>
      <c r="E140" s="247"/>
      <c r="F140" s="439"/>
      <c r="G140" s="439"/>
      <c r="H140" s="439"/>
      <c r="I140" s="439"/>
      <c r="J140" s="624"/>
      <c r="K140" s="247"/>
      <c r="L140" s="439"/>
      <c r="M140" s="439"/>
      <c r="N140" s="439"/>
      <c r="O140" s="439"/>
      <c r="P140" s="624"/>
      <c r="Q140" s="247"/>
      <c r="R140" s="439"/>
      <c r="S140" s="439"/>
      <c r="T140" s="439"/>
      <c r="U140" s="439"/>
    </row>
    <row r="141" ht="15.75" customHeight="1">
      <c r="A141" s="439"/>
      <c r="B141" s="439"/>
      <c r="C141" s="439"/>
      <c r="D141" s="624"/>
      <c r="E141" s="247"/>
      <c r="F141" s="439"/>
      <c r="G141" s="439"/>
      <c r="H141" s="439"/>
      <c r="I141" s="439"/>
      <c r="J141" s="624"/>
      <c r="K141" s="247"/>
      <c r="L141" s="439"/>
      <c r="M141" s="439"/>
      <c r="N141" s="439"/>
      <c r="O141" s="439"/>
      <c r="P141" s="624"/>
      <c r="Q141" s="247"/>
      <c r="R141" s="439"/>
      <c r="S141" s="439"/>
      <c r="T141" s="439"/>
      <c r="U141" s="439"/>
    </row>
    <row r="142" ht="15.75" customHeight="1">
      <c r="A142" s="439"/>
      <c r="B142" s="439"/>
      <c r="C142" s="439"/>
      <c r="D142" s="692"/>
      <c r="E142" s="247"/>
      <c r="F142" s="439"/>
      <c r="G142" s="439"/>
      <c r="H142" s="439"/>
      <c r="I142" s="439"/>
      <c r="J142" s="692"/>
      <c r="K142" s="247"/>
      <c r="L142" s="439"/>
      <c r="M142" s="439"/>
      <c r="N142" s="439"/>
      <c r="O142" s="439"/>
      <c r="P142" s="692"/>
      <c r="Q142" s="247"/>
      <c r="R142" s="439"/>
      <c r="S142" s="439"/>
      <c r="T142" s="439"/>
      <c r="U142" s="439"/>
    </row>
    <row r="143" ht="15.75" customHeight="1">
      <c r="A143" s="439"/>
      <c r="B143" s="439"/>
      <c r="C143" s="439"/>
      <c r="D143" s="692"/>
      <c r="E143" s="247"/>
      <c r="F143" s="439"/>
      <c r="G143" s="439"/>
      <c r="H143" s="439"/>
      <c r="I143" s="439"/>
      <c r="J143" s="692"/>
      <c r="K143" s="247"/>
      <c r="L143" s="439"/>
      <c r="M143" s="439"/>
      <c r="N143" s="439"/>
      <c r="O143" s="439"/>
      <c r="P143" s="692"/>
      <c r="Q143" s="247"/>
      <c r="R143" s="439"/>
      <c r="S143" s="439"/>
      <c r="T143" s="439"/>
      <c r="U143" s="439"/>
    </row>
    <row r="144" ht="15.75" customHeight="1">
      <c r="A144" s="439"/>
      <c r="B144" s="439"/>
      <c r="C144" s="439"/>
      <c r="D144" s="692"/>
      <c r="E144" s="247"/>
      <c r="F144" s="439"/>
      <c r="G144" s="439"/>
      <c r="H144" s="439"/>
      <c r="I144" s="439"/>
      <c r="J144" s="692"/>
      <c r="K144" s="247"/>
      <c r="L144" s="439"/>
      <c r="M144" s="439"/>
      <c r="N144" s="439"/>
      <c r="O144" s="439"/>
      <c r="P144" s="692"/>
      <c r="Q144" s="247"/>
      <c r="R144" s="439"/>
      <c r="S144" s="439"/>
      <c r="T144" s="439"/>
      <c r="U144" s="439"/>
    </row>
    <row r="145" ht="15.75" customHeight="1">
      <c r="A145" s="439"/>
      <c r="B145" s="439"/>
      <c r="C145" s="439"/>
      <c r="D145" s="692"/>
      <c r="E145" s="247"/>
      <c r="F145" s="439"/>
      <c r="G145" s="439"/>
      <c r="H145" s="439"/>
      <c r="I145" s="439"/>
      <c r="J145" s="692"/>
      <c r="K145" s="247"/>
      <c r="L145" s="439"/>
      <c r="M145" s="439"/>
      <c r="N145" s="439"/>
      <c r="O145" s="439"/>
      <c r="P145" s="692"/>
      <c r="Q145" s="247"/>
      <c r="R145" s="439"/>
      <c r="S145" s="439"/>
      <c r="T145" s="439"/>
      <c r="U145" s="439"/>
    </row>
    <row r="146" ht="15.75" customHeight="1">
      <c r="A146" s="439"/>
      <c r="B146" s="439"/>
      <c r="C146" s="439"/>
      <c r="D146" s="692"/>
      <c r="E146" s="247"/>
      <c r="F146" s="439"/>
      <c r="G146" s="439"/>
      <c r="H146" s="439"/>
      <c r="I146" s="439"/>
      <c r="J146" s="692"/>
      <c r="K146" s="247"/>
      <c r="L146" s="439"/>
      <c r="M146" s="439"/>
      <c r="N146" s="439"/>
      <c r="O146" s="439"/>
      <c r="P146" s="692"/>
      <c r="Q146" s="247"/>
      <c r="R146" s="439"/>
      <c r="S146" s="439"/>
      <c r="T146" s="439"/>
      <c r="U146" s="439"/>
    </row>
    <row r="147" ht="15.75" customHeight="1">
      <c r="A147" s="439"/>
      <c r="B147" s="439"/>
      <c r="C147" s="439"/>
      <c r="D147" s="692"/>
      <c r="E147" s="247"/>
      <c r="F147" s="439"/>
      <c r="G147" s="439"/>
      <c r="H147" s="439"/>
      <c r="I147" s="439"/>
      <c r="J147" s="692"/>
      <c r="K147" s="247"/>
      <c r="L147" s="439"/>
      <c r="M147" s="439"/>
      <c r="N147" s="439"/>
      <c r="O147" s="439"/>
      <c r="P147" s="692"/>
      <c r="Q147" s="247"/>
      <c r="R147" s="439"/>
      <c r="S147" s="439"/>
      <c r="T147" s="439"/>
      <c r="U147" s="439"/>
    </row>
    <row r="148" ht="15.75" customHeight="1">
      <c r="A148" s="439"/>
      <c r="B148" s="439"/>
      <c r="C148" s="439"/>
      <c r="D148" s="692"/>
      <c r="E148" s="247"/>
      <c r="F148" s="439"/>
      <c r="G148" s="439"/>
      <c r="H148" s="439"/>
      <c r="I148" s="439"/>
      <c r="J148" s="692"/>
      <c r="K148" s="247"/>
      <c r="L148" s="439"/>
      <c r="M148" s="439"/>
      <c r="N148" s="439"/>
      <c r="O148" s="439"/>
      <c r="P148" s="692"/>
      <c r="Q148" s="247"/>
      <c r="R148" s="439"/>
      <c r="S148" s="439"/>
      <c r="T148" s="439"/>
      <c r="U148" s="439"/>
    </row>
    <row r="149" ht="15.75" customHeight="1">
      <c r="A149" s="439"/>
      <c r="B149" s="439"/>
      <c r="C149" s="439"/>
      <c r="D149" s="692"/>
      <c r="E149" s="247"/>
      <c r="F149" s="439"/>
      <c r="G149" s="439"/>
      <c r="H149" s="439"/>
      <c r="I149" s="439"/>
      <c r="J149" s="692"/>
      <c r="K149" s="247"/>
      <c r="L149" s="439"/>
      <c r="M149" s="439"/>
      <c r="N149" s="439"/>
      <c r="O149" s="439"/>
      <c r="P149" s="692"/>
      <c r="Q149" s="247"/>
      <c r="R149" s="439"/>
      <c r="S149" s="439"/>
      <c r="T149" s="439"/>
      <c r="U149" s="439"/>
    </row>
    <row r="150" ht="15.75" customHeight="1">
      <c r="A150" s="439"/>
      <c r="B150" s="439"/>
      <c r="C150" s="439"/>
      <c r="D150" s="692"/>
      <c r="E150" s="247"/>
      <c r="F150" s="439"/>
      <c r="G150" s="439"/>
      <c r="H150" s="439"/>
      <c r="I150" s="439"/>
      <c r="J150" s="692"/>
      <c r="K150" s="247"/>
      <c r="L150" s="439"/>
      <c r="M150" s="439"/>
      <c r="N150" s="439"/>
      <c r="O150" s="439"/>
      <c r="P150" s="692"/>
      <c r="Q150" s="247"/>
      <c r="R150" s="439"/>
      <c r="S150" s="439"/>
      <c r="T150" s="439"/>
      <c r="U150" s="439"/>
    </row>
    <row r="151" ht="15.75" customHeight="1">
      <c r="A151" s="439"/>
      <c r="B151" s="439"/>
      <c r="C151" s="439"/>
      <c r="D151" s="692"/>
      <c r="E151" s="247"/>
      <c r="F151" s="439"/>
      <c r="G151" s="439"/>
      <c r="H151" s="439"/>
      <c r="I151" s="439"/>
      <c r="J151" s="692"/>
      <c r="K151" s="247"/>
      <c r="L151" s="439"/>
      <c r="M151" s="439"/>
      <c r="N151" s="439"/>
      <c r="O151" s="439"/>
      <c r="P151" s="692"/>
      <c r="Q151" s="247"/>
      <c r="R151" s="439"/>
      <c r="S151" s="439"/>
      <c r="T151" s="439"/>
      <c r="U151" s="439"/>
    </row>
    <row r="152" ht="15.75" customHeight="1">
      <c r="A152" s="439"/>
      <c r="B152" s="439"/>
      <c r="C152" s="439"/>
      <c r="D152" s="692"/>
      <c r="E152" s="247"/>
      <c r="F152" s="439"/>
      <c r="G152" s="439"/>
      <c r="H152" s="439"/>
      <c r="I152" s="439"/>
      <c r="J152" s="692"/>
      <c r="K152" s="247"/>
      <c r="L152" s="439"/>
      <c r="M152" s="439"/>
      <c r="N152" s="439"/>
      <c r="O152" s="439"/>
      <c r="P152" s="692"/>
      <c r="Q152" s="247"/>
      <c r="R152" s="439"/>
      <c r="S152" s="439"/>
      <c r="T152" s="439"/>
      <c r="U152" s="439"/>
    </row>
    <row r="153" ht="15.75" customHeight="1">
      <c r="A153" s="439"/>
      <c r="B153" s="439"/>
      <c r="C153" s="439"/>
      <c r="D153" s="692"/>
      <c r="E153" s="247"/>
      <c r="F153" s="439"/>
      <c r="G153" s="439"/>
      <c r="H153" s="439"/>
      <c r="I153" s="439"/>
      <c r="J153" s="692"/>
      <c r="K153" s="247"/>
      <c r="L153" s="439"/>
      <c r="M153" s="439"/>
      <c r="N153" s="439"/>
      <c r="O153" s="439"/>
      <c r="P153" s="692"/>
      <c r="Q153" s="247"/>
      <c r="R153" s="439"/>
      <c r="S153" s="439"/>
      <c r="T153" s="439"/>
      <c r="U153" s="439"/>
    </row>
    <row r="154" ht="15.75" customHeight="1">
      <c r="A154" s="439"/>
      <c r="B154" s="439"/>
      <c r="C154" s="439"/>
      <c r="D154" s="692"/>
      <c r="E154" s="247"/>
      <c r="F154" s="439"/>
      <c r="G154" s="439"/>
      <c r="H154" s="439"/>
      <c r="I154" s="439"/>
      <c r="J154" s="692"/>
      <c r="K154" s="247"/>
      <c r="L154" s="439"/>
      <c r="M154" s="439"/>
      <c r="N154" s="439"/>
      <c r="O154" s="439"/>
      <c r="P154" s="692"/>
      <c r="Q154" s="247"/>
      <c r="R154" s="439"/>
      <c r="S154" s="439"/>
      <c r="T154" s="439"/>
      <c r="U154" s="439"/>
    </row>
    <row r="155" ht="15.75" customHeight="1">
      <c r="A155" s="439"/>
      <c r="B155" s="439"/>
      <c r="C155" s="439"/>
      <c r="D155" s="692"/>
      <c r="E155" s="247"/>
      <c r="F155" s="439"/>
      <c r="G155" s="439"/>
      <c r="H155" s="439"/>
      <c r="I155" s="439"/>
      <c r="J155" s="692"/>
      <c r="K155" s="247"/>
      <c r="L155" s="439"/>
      <c r="M155" s="439"/>
      <c r="N155" s="439"/>
      <c r="O155" s="439"/>
      <c r="P155" s="692"/>
      <c r="Q155" s="247"/>
      <c r="R155" s="439"/>
      <c r="S155" s="439"/>
      <c r="T155" s="439"/>
      <c r="U155" s="439"/>
    </row>
    <row r="156" ht="15.75" customHeight="1">
      <c r="A156" s="439"/>
      <c r="B156" s="439"/>
      <c r="C156" s="439"/>
      <c r="D156" s="692"/>
      <c r="E156" s="247"/>
      <c r="F156" s="439"/>
      <c r="G156" s="439"/>
      <c r="H156" s="439"/>
      <c r="I156" s="439"/>
      <c r="J156" s="692"/>
      <c r="K156" s="247"/>
      <c r="L156" s="439"/>
      <c r="M156" s="439"/>
      <c r="N156" s="439"/>
      <c r="O156" s="439"/>
      <c r="P156" s="692"/>
      <c r="Q156" s="247"/>
      <c r="R156" s="439"/>
      <c r="S156" s="439"/>
      <c r="T156" s="439"/>
      <c r="U156" s="439"/>
    </row>
    <row r="157" ht="15.75" customHeight="1">
      <c r="A157" s="439"/>
      <c r="B157" s="439"/>
      <c r="C157" s="439"/>
      <c r="D157" s="692"/>
      <c r="E157" s="247"/>
      <c r="F157" s="439"/>
      <c r="G157" s="439"/>
      <c r="H157" s="439"/>
      <c r="I157" s="439"/>
      <c r="J157" s="692"/>
      <c r="K157" s="247"/>
      <c r="L157" s="439"/>
      <c r="M157" s="439"/>
      <c r="N157" s="439"/>
      <c r="O157" s="439"/>
      <c r="P157" s="692"/>
      <c r="Q157" s="247"/>
      <c r="R157" s="439"/>
      <c r="S157" s="439"/>
      <c r="T157" s="439"/>
      <c r="U157" s="439"/>
    </row>
    <row r="158" ht="15.75" customHeight="1">
      <c r="A158" s="439"/>
      <c r="B158" s="439"/>
      <c r="C158" s="439"/>
      <c r="D158" s="692"/>
      <c r="E158" s="247"/>
      <c r="F158" s="439"/>
      <c r="G158" s="439"/>
      <c r="H158" s="439"/>
      <c r="I158" s="439"/>
      <c r="J158" s="692"/>
      <c r="K158" s="247"/>
      <c r="L158" s="439"/>
      <c r="M158" s="439"/>
      <c r="N158" s="439"/>
      <c r="O158" s="439"/>
      <c r="P158" s="692"/>
      <c r="Q158" s="247"/>
      <c r="R158" s="439"/>
      <c r="S158" s="439"/>
      <c r="T158" s="439"/>
      <c r="U158" s="439"/>
    </row>
    <row r="159" ht="15.75" customHeight="1">
      <c r="A159" s="439"/>
      <c r="B159" s="439"/>
      <c r="C159" s="439"/>
      <c r="D159" s="692"/>
      <c r="E159" s="247"/>
      <c r="F159" s="439"/>
      <c r="G159" s="439"/>
      <c r="H159" s="439"/>
      <c r="I159" s="439"/>
      <c r="J159" s="692"/>
      <c r="K159" s="247"/>
      <c r="L159" s="439"/>
      <c r="M159" s="439"/>
      <c r="N159" s="439"/>
      <c r="O159" s="439"/>
      <c r="P159" s="692"/>
      <c r="Q159" s="247"/>
      <c r="R159" s="439"/>
      <c r="S159" s="439"/>
      <c r="T159" s="439"/>
      <c r="U159" s="439"/>
    </row>
    <row r="160" ht="15.75" customHeight="1">
      <c r="A160" s="439"/>
      <c r="B160" s="439"/>
      <c r="C160" s="439"/>
      <c r="D160" s="692"/>
      <c r="E160" s="247"/>
      <c r="F160" s="439"/>
      <c r="G160" s="439"/>
      <c r="H160" s="439"/>
      <c r="I160" s="439"/>
      <c r="J160" s="692"/>
      <c r="K160" s="247"/>
      <c r="L160" s="439"/>
      <c r="M160" s="439"/>
      <c r="N160" s="439"/>
      <c r="O160" s="439"/>
      <c r="P160" s="692"/>
      <c r="Q160" s="247"/>
      <c r="R160" s="439"/>
      <c r="S160" s="439"/>
      <c r="T160" s="439"/>
      <c r="U160" s="439"/>
    </row>
    <row r="161" ht="15.75" customHeight="1">
      <c r="A161" s="439"/>
      <c r="B161" s="439"/>
      <c r="C161" s="439"/>
      <c r="D161" s="692"/>
      <c r="E161" s="247"/>
      <c r="F161" s="439"/>
      <c r="G161" s="439"/>
      <c r="H161" s="439"/>
      <c r="I161" s="439"/>
      <c r="J161" s="692"/>
      <c r="K161" s="247"/>
      <c r="L161" s="439"/>
      <c r="M161" s="439"/>
      <c r="N161" s="439"/>
      <c r="O161" s="439"/>
      <c r="P161" s="692"/>
      <c r="Q161" s="247"/>
      <c r="R161" s="439"/>
      <c r="S161" s="439"/>
      <c r="T161" s="439"/>
      <c r="U161" s="439"/>
    </row>
    <row r="162" ht="15.75" customHeight="1">
      <c r="A162" s="439"/>
      <c r="B162" s="439"/>
      <c r="C162" s="439"/>
      <c r="D162" s="692"/>
      <c r="E162" s="247"/>
      <c r="F162" s="439"/>
      <c r="G162" s="439"/>
      <c r="H162" s="439"/>
      <c r="I162" s="439"/>
      <c r="J162" s="692"/>
      <c r="K162" s="247"/>
      <c r="L162" s="439"/>
      <c r="M162" s="439"/>
      <c r="N162" s="439"/>
      <c r="O162" s="439"/>
      <c r="P162" s="692"/>
      <c r="Q162" s="247"/>
      <c r="R162" s="439"/>
      <c r="S162" s="439"/>
      <c r="T162" s="439"/>
      <c r="U162" s="439"/>
    </row>
    <row r="163" ht="15.75" customHeight="1">
      <c r="A163" s="439"/>
      <c r="B163" s="439"/>
      <c r="C163" s="439"/>
      <c r="D163" s="692"/>
      <c r="E163" s="247"/>
      <c r="F163" s="439"/>
      <c r="G163" s="439"/>
      <c r="H163" s="439"/>
      <c r="I163" s="439"/>
      <c r="J163" s="692"/>
      <c r="K163" s="247"/>
      <c r="L163" s="439"/>
      <c r="M163" s="439"/>
      <c r="N163" s="439"/>
      <c r="O163" s="439"/>
      <c r="P163" s="692"/>
      <c r="Q163" s="247"/>
      <c r="R163" s="439"/>
      <c r="S163" s="439"/>
      <c r="T163" s="439"/>
      <c r="U163" s="439"/>
    </row>
    <row r="164" ht="15.75" customHeight="1">
      <c r="A164" s="439"/>
      <c r="B164" s="439"/>
      <c r="C164" s="439"/>
      <c r="D164" s="692"/>
      <c r="E164" s="247"/>
      <c r="F164" s="439"/>
      <c r="G164" s="439"/>
      <c r="H164" s="439"/>
      <c r="I164" s="439"/>
      <c r="J164" s="692"/>
      <c r="K164" s="247"/>
      <c r="L164" s="439"/>
      <c r="M164" s="439"/>
      <c r="N164" s="439"/>
      <c r="O164" s="439"/>
      <c r="P164" s="692"/>
      <c r="Q164" s="247"/>
      <c r="R164" s="439"/>
      <c r="S164" s="439"/>
      <c r="T164" s="439"/>
      <c r="U164" s="439"/>
    </row>
    <row r="165" ht="15.75" customHeight="1">
      <c r="A165" s="439"/>
      <c r="B165" s="439"/>
      <c r="C165" s="439"/>
      <c r="D165" s="692"/>
      <c r="E165" s="247"/>
      <c r="F165" s="439"/>
      <c r="G165" s="439"/>
      <c r="H165" s="439"/>
      <c r="I165" s="439"/>
      <c r="J165" s="692"/>
      <c r="K165" s="247"/>
      <c r="L165" s="439"/>
      <c r="M165" s="439"/>
      <c r="N165" s="439"/>
      <c r="O165" s="439"/>
      <c r="P165" s="692"/>
      <c r="Q165" s="247"/>
      <c r="R165" s="439"/>
      <c r="S165" s="439"/>
      <c r="T165" s="439"/>
      <c r="U165" s="439"/>
    </row>
    <row r="166" ht="15.75" customHeight="1">
      <c r="A166" s="439"/>
      <c r="B166" s="439"/>
      <c r="C166" s="439"/>
      <c r="D166" s="692"/>
      <c r="E166" s="247"/>
      <c r="F166" s="439"/>
      <c r="G166" s="439"/>
      <c r="H166" s="439"/>
      <c r="I166" s="439"/>
      <c r="J166" s="692"/>
      <c r="K166" s="247"/>
      <c r="L166" s="439"/>
      <c r="M166" s="439"/>
      <c r="N166" s="439"/>
      <c r="O166" s="439"/>
      <c r="P166" s="692"/>
      <c r="Q166" s="247"/>
      <c r="R166" s="439"/>
      <c r="S166" s="439"/>
      <c r="T166" s="439"/>
      <c r="U166" s="439"/>
    </row>
    <row r="167" ht="15.75" customHeight="1">
      <c r="A167" s="439"/>
      <c r="B167" s="439"/>
      <c r="C167" s="439"/>
      <c r="D167" s="692"/>
      <c r="E167" s="247"/>
      <c r="F167" s="439"/>
      <c r="G167" s="439"/>
      <c r="H167" s="439"/>
      <c r="I167" s="439"/>
      <c r="J167" s="692"/>
      <c r="K167" s="247"/>
      <c r="L167" s="439"/>
      <c r="M167" s="439"/>
      <c r="N167" s="439"/>
      <c r="O167" s="439"/>
      <c r="P167" s="692"/>
      <c r="Q167" s="247"/>
      <c r="R167" s="439"/>
      <c r="S167" s="439"/>
      <c r="T167" s="439"/>
      <c r="U167" s="439"/>
    </row>
    <row r="168" ht="15.75" customHeight="1">
      <c r="A168" s="439"/>
      <c r="B168" s="439"/>
      <c r="C168" s="439"/>
      <c r="D168" s="692"/>
      <c r="E168" s="247"/>
      <c r="F168" s="439"/>
      <c r="G168" s="439"/>
      <c r="H168" s="439"/>
      <c r="I168" s="439"/>
      <c r="J168" s="692"/>
      <c r="K168" s="247"/>
      <c r="L168" s="439"/>
      <c r="M168" s="439"/>
      <c r="N168" s="439"/>
      <c r="O168" s="439"/>
      <c r="P168" s="692"/>
      <c r="Q168" s="247"/>
      <c r="R168" s="439"/>
      <c r="S168" s="439"/>
      <c r="T168" s="439"/>
      <c r="U168" s="439"/>
    </row>
    <row r="169" ht="15.75" customHeight="1">
      <c r="A169" s="439"/>
      <c r="B169" s="439"/>
      <c r="C169" s="439"/>
      <c r="D169" s="692"/>
      <c r="E169" s="247"/>
      <c r="F169" s="439"/>
      <c r="G169" s="439"/>
      <c r="H169" s="439"/>
      <c r="I169" s="439"/>
      <c r="J169" s="692"/>
      <c r="K169" s="247"/>
      <c r="L169" s="439"/>
      <c r="M169" s="439"/>
      <c r="N169" s="439"/>
      <c r="O169" s="439"/>
      <c r="P169" s="692"/>
      <c r="Q169" s="247"/>
      <c r="R169" s="439"/>
      <c r="S169" s="439"/>
      <c r="T169" s="439"/>
      <c r="U169" s="439"/>
    </row>
    <row r="170" ht="15.75" customHeight="1">
      <c r="A170" s="439"/>
      <c r="B170" s="439"/>
      <c r="C170" s="439"/>
      <c r="D170" s="692"/>
      <c r="E170" s="247"/>
      <c r="F170" s="439"/>
      <c r="G170" s="439"/>
      <c r="H170" s="439"/>
      <c r="I170" s="439"/>
      <c r="J170" s="692"/>
      <c r="K170" s="247"/>
      <c r="L170" s="439"/>
      <c r="M170" s="439"/>
      <c r="N170" s="439"/>
      <c r="O170" s="439"/>
      <c r="P170" s="692"/>
      <c r="Q170" s="247"/>
      <c r="R170" s="439"/>
      <c r="S170" s="439"/>
      <c r="T170" s="439"/>
      <c r="U170" s="439"/>
    </row>
    <row r="171" ht="15.75" customHeight="1">
      <c r="A171" s="439"/>
      <c r="B171" s="439"/>
      <c r="C171" s="439"/>
      <c r="D171" s="439"/>
      <c r="E171" s="247"/>
      <c r="F171" s="439"/>
      <c r="G171" s="439"/>
      <c r="H171" s="439"/>
      <c r="I171" s="439"/>
      <c r="J171" s="439"/>
      <c r="K171" s="247"/>
      <c r="L171" s="439"/>
      <c r="M171" s="439"/>
      <c r="N171" s="439"/>
      <c r="O171" s="439"/>
      <c r="P171" s="439"/>
      <c r="Q171" s="247"/>
      <c r="R171" s="439"/>
      <c r="S171" s="439"/>
      <c r="T171" s="439"/>
      <c r="U171" s="439"/>
    </row>
    <row r="172" ht="15.75" customHeight="1">
      <c r="A172" s="439"/>
      <c r="B172" s="439"/>
      <c r="C172" s="439"/>
      <c r="D172" s="439"/>
      <c r="E172" s="247"/>
      <c r="F172" s="439"/>
      <c r="G172" s="439"/>
      <c r="H172" s="439"/>
      <c r="I172" s="439"/>
      <c r="J172" s="439"/>
      <c r="K172" s="247"/>
      <c r="L172" s="439"/>
      <c r="M172" s="439"/>
      <c r="N172" s="439"/>
      <c r="O172" s="439"/>
      <c r="P172" s="439"/>
      <c r="Q172" s="247"/>
      <c r="R172" s="439"/>
      <c r="S172" s="439"/>
      <c r="T172" s="439"/>
      <c r="U172" s="439"/>
    </row>
    <row r="173" ht="15.75" customHeight="1">
      <c r="A173" s="439"/>
      <c r="B173" s="439"/>
      <c r="C173" s="439"/>
      <c r="D173" s="439"/>
      <c r="E173" s="247"/>
      <c r="F173" s="439"/>
      <c r="G173" s="439"/>
      <c r="H173" s="439"/>
      <c r="I173" s="439"/>
      <c r="J173" s="439"/>
      <c r="K173" s="247"/>
      <c r="L173" s="439"/>
      <c r="M173" s="439"/>
      <c r="N173" s="439"/>
      <c r="O173" s="439"/>
      <c r="P173" s="439"/>
      <c r="Q173" s="247"/>
      <c r="R173" s="439"/>
      <c r="S173" s="439"/>
      <c r="T173" s="439"/>
      <c r="U173" s="439"/>
    </row>
    <row r="174" ht="15.75" customHeight="1">
      <c r="A174" s="439"/>
      <c r="B174" s="439"/>
      <c r="C174" s="439"/>
      <c r="D174" s="439"/>
      <c r="E174" s="247"/>
      <c r="F174" s="439"/>
      <c r="G174" s="439"/>
      <c r="H174" s="439"/>
      <c r="I174" s="439"/>
      <c r="J174" s="439"/>
      <c r="K174" s="247"/>
      <c r="L174" s="439"/>
      <c r="M174" s="439"/>
      <c r="N174" s="439"/>
      <c r="O174" s="439"/>
      <c r="P174" s="439"/>
      <c r="Q174" s="247"/>
      <c r="R174" s="439"/>
      <c r="S174" s="439"/>
      <c r="T174" s="439"/>
      <c r="U174" s="439"/>
    </row>
    <row r="175" ht="15.75" customHeight="1">
      <c r="A175" s="439"/>
      <c r="B175" s="439"/>
      <c r="C175" s="439"/>
      <c r="D175" s="439"/>
      <c r="E175" s="247"/>
      <c r="F175" s="439"/>
      <c r="G175" s="439"/>
      <c r="H175" s="439"/>
      <c r="I175" s="439"/>
      <c r="J175" s="439"/>
      <c r="K175" s="247"/>
      <c r="L175" s="439"/>
      <c r="M175" s="439"/>
      <c r="N175" s="439"/>
      <c r="O175" s="439"/>
      <c r="P175" s="439"/>
      <c r="Q175" s="247"/>
      <c r="R175" s="439"/>
      <c r="S175" s="439"/>
      <c r="T175" s="439"/>
      <c r="U175" s="439"/>
    </row>
    <row r="176" ht="15.75" customHeight="1">
      <c r="A176" s="439"/>
      <c r="B176" s="439"/>
      <c r="C176" s="439"/>
      <c r="D176" s="439"/>
      <c r="E176" s="247"/>
      <c r="F176" s="439"/>
      <c r="G176" s="439"/>
      <c r="H176" s="439"/>
      <c r="I176" s="439"/>
      <c r="J176" s="439"/>
      <c r="K176" s="247"/>
      <c r="L176" s="439"/>
      <c r="M176" s="439"/>
      <c r="N176" s="439"/>
      <c r="O176" s="439"/>
      <c r="P176" s="439"/>
      <c r="Q176" s="247"/>
      <c r="R176" s="439"/>
      <c r="S176" s="439"/>
      <c r="T176" s="439"/>
      <c r="U176" s="439"/>
    </row>
    <row r="177" ht="15.75" customHeight="1">
      <c r="A177" s="439"/>
      <c r="B177" s="439"/>
      <c r="C177" s="439"/>
      <c r="D177" s="439"/>
      <c r="E177" s="247"/>
      <c r="F177" s="439"/>
      <c r="G177" s="439"/>
      <c r="H177" s="439"/>
      <c r="I177" s="439"/>
      <c r="J177" s="439"/>
      <c r="K177" s="247"/>
      <c r="L177" s="439"/>
      <c r="M177" s="439"/>
      <c r="N177" s="439"/>
      <c r="O177" s="439"/>
      <c r="P177" s="439"/>
      <c r="Q177" s="247"/>
      <c r="R177" s="439"/>
      <c r="S177" s="439"/>
      <c r="T177" s="439"/>
      <c r="U177" s="439"/>
    </row>
    <row r="178" ht="15.75" customHeight="1">
      <c r="A178" s="439"/>
      <c r="B178" s="439"/>
      <c r="C178" s="439"/>
      <c r="D178" s="439"/>
      <c r="E178" s="247"/>
      <c r="F178" s="439"/>
      <c r="G178" s="439"/>
      <c r="H178" s="439"/>
      <c r="I178" s="439"/>
      <c r="J178" s="439"/>
      <c r="K178" s="247"/>
      <c r="L178" s="439"/>
      <c r="M178" s="439"/>
      <c r="N178" s="439"/>
      <c r="O178" s="439"/>
      <c r="P178" s="439"/>
      <c r="Q178" s="247"/>
      <c r="R178" s="439"/>
      <c r="S178" s="439"/>
      <c r="T178" s="439"/>
      <c r="U178" s="439"/>
    </row>
    <row r="179" ht="15.75" customHeight="1">
      <c r="A179" s="439"/>
      <c r="B179" s="439"/>
      <c r="C179" s="439"/>
      <c r="D179" s="439"/>
      <c r="E179" s="247"/>
      <c r="F179" s="439"/>
      <c r="G179" s="439"/>
      <c r="H179" s="439"/>
      <c r="I179" s="439"/>
      <c r="J179" s="439"/>
      <c r="K179" s="247"/>
      <c r="L179" s="439"/>
      <c r="M179" s="439"/>
      <c r="N179" s="439"/>
      <c r="O179" s="439"/>
      <c r="P179" s="439"/>
      <c r="Q179" s="247"/>
      <c r="R179" s="439"/>
      <c r="S179" s="439"/>
      <c r="T179" s="439"/>
      <c r="U179" s="439"/>
    </row>
    <row r="180" ht="15.75" customHeight="1">
      <c r="A180" s="439"/>
      <c r="B180" s="439"/>
      <c r="C180" s="439"/>
      <c r="D180" s="439"/>
      <c r="E180" s="247"/>
      <c r="F180" s="439"/>
      <c r="G180" s="439"/>
      <c r="H180" s="439"/>
      <c r="I180" s="439"/>
      <c r="J180" s="439"/>
      <c r="K180" s="247"/>
      <c r="L180" s="439"/>
      <c r="M180" s="439"/>
      <c r="N180" s="439"/>
      <c r="O180" s="439"/>
      <c r="P180" s="439"/>
      <c r="Q180" s="247"/>
      <c r="R180" s="439"/>
      <c r="S180" s="439"/>
      <c r="T180" s="439"/>
      <c r="U180" s="439"/>
    </row>
    <row r="181" ht="15.75" customHeight="1">
      <c r="A181" s="439"/>
      <c r="B181" s="439"/>
      <c r="C181" s="439"/>
      <c r="D181" s="439"/>
      <c r="E181" s="247"/>
      <c r="F181" s="439"/>
      <c r="G181" s="439"/>
      <c r="H181" s="439"/>
      <c r="I181" s="439"/>
      <c r="J181" s="439"/>
      <c r="K181" s="247"/>
      <c r="L181" s="439"/>
      <c r="M181" s="439"/>
      <c r="N181" s="439"/>
      <c r="O181" s="439"/>
      <c r="P181" s="439"/>
      <c r="Q181" s="247"/>
      <c r="R181" s="439"/>
      <c r="S181" s="439"/>
      <c r="T181" s="439"/>
      <c r="U181" s="439"/>
    </row>
    <row r="182" ht="15.75" customHeight="1">
      <c r="A182" s="439"/>
      <c r="B182" s="439"/>
      <c r="C182" s="439"/>
      <c r="D182" s="439"/>
      <c r="E182" s="247"/>
      <c r="F182" s="439"/>
      <c r="G182" s="439"/>
      <c r="H182" s="439"/>
      <c r="I182" s="439"/>
      <c r="J182" s="439"/>
      <c r="K182" s="247"/>
      <c r="L182" s="439"/>
      <c r="M182" s="439"/>
      <c r="N182" s="439"/>
      <c r="O182" s="439"/>
      <c r="P182" s="439"/>
      <c r="Q182" s="247"/>
      <c r="R182" s="439"/>
      <c r="S182" s="439"/>
      <c r="T182" s="439"/>
      <c r="U182" s="439"/>
    </row>
    <row r="183" ht="15.75" customHeight="1">
      <c r="A183" s="439"/>
      <c r="B183" s="439"/>
      <c r="C183" s="439"/>
      <c r="D183" s="439"/>
      <c r="E183" s="247"/>
      <c r="F183" s="439"/>
      <c r="G183" s="439"/>
      <c r="H183" s="439"/>
      <c r="I183" s="439"/>
      <c r="J183" s="439"/>
      <c r="K183" s="247"/>
      <c r="L183" s="439"/>
      <c r="M183" s="439"/>
      <c r="N183" s="439"/>
      <c r="O183" s="439"/>
      <c r="P183" s="439"/>
      <c r="Q183" s="247"/>
      <c r="R183" s="439"/>
      <c r="S183" s="439"/>
      <c r="T183" s="439"/>
      <c r="U183" s="439"/>
    </row>
    <row r="184" ht="15.75" customHeight="1">
      <c r="A184" s="439"/>
      <c r="B184" s="439"/>
      <c r="C184" s="439"/>
      <c r="D184" s="439"/>
      <c r="E184" s="247"/>
      <c r="F184" s="439"/>
      <c r="G184" s="439"/>
      <c r="H184" s="439"/>
      <c r="I184" s="439"/>
      <c r="J184" s="439"/>
      <c r="K184" s="247"/>
      <c r="L184" s="439"/>
      <c r="M184" s="439"/>
      <c r="N184" s="439"/>
      <c r="O184" s="439"/>
      <c r="P184" s="439"/>
      <c r="Q184" s="247"/>
      <c r="R184" s="439"/>
      <c r="S184" s="439"/>
      <c r="T184" s="439"/>
      <c r="U184" s="439"/>
    </row>
    <row r="185" ht="15.75" customHeight="1">
      <c r="A185" s="439"/>
      <c r="B185" s="439"/>
      <c r="C185" s="439"/>
      <c r="D185" s="439"/>
      <c r="E185" s="247"/>
      <c r="F185" s="439"/>
      <c r="G185" s="439"/>
      <c r="H185" s="439"/>
      <c r="I185" s="439"/>
      <c r="J185" s="439"/>
      <c r="K185" s="247"/>
      <c r="L185" s="439"/>
      <c r="M185" s="439"/>
      <c r="N185" s="439"/>
      <c r="O185" s="439"/>
      <c r="P185" s="439"/>
      <c r="Q185" s="247"/>
      <c r="R185" s="439"/>
      <c r="S185" s="439"/>
      <c r="T185" s="439"/>
      <c r="U185" s="439"/>
    </row>
    <row r="186" ht="15.75" customHeight="1">
      <c r="A186" s="439"/>
      <c r="B186" s="439"/>
      <c r="C186" s="439"/>
      <c r="D186" s="439"/>
      <c r="E186" s="247"/>
      <c r="F186" s="439"/>
      <c r="G186" s="439"/>
      <c r="H186" s="439"/>
      <c r="I186" s="439"/>
      <c r="J186" s="439"/>
      <c r="K186" s="247"/>
      <c r="L186" s="439"/>
      <c r="M186" s="439"/>
      <c r="N186" s="439"/>
      <c r="O186" s="439"/>
      <c r="P186" s="439"/>
      <c r="Q186" s="247"/>
      <c r="R186" s="439"/>
      <c r="S186" s="439"/>
      <c r="T186" s="439"/>
      <c r="U186" s="439"/>
    </row>
    <row r="187" ht="15.75" customHeight="1">
      <c r="A187" s="439"/>
      <c r="B187" s="439"/>
      <c r="C187" s="439"/>
      <c r="D187" s="439"/>
      <c r="E187" s="247"/>
      <c r="F187" s="439"/>
      <c r="G187" s="439"/>
      <c r="H187" s="439"/>
      <c r="I187" s="439"/>
      <c r="J187" s="439"/>
      <c r="K187" s="247"/>
      <c r="L187" s="439"/>
      <c r="M187" s="439"/>
      <c r="N187" s="439"/>
      <c r="O187" s="439"/>
      <c r="P187" s="439"/>
      <c r="Q187" s="247"/>
      <c r="R187" s="439"/>
      <c r="S187" s="439"/>
      <c r="T187" s="439"/>
      <c r="U187" s="439"/>
    </row>
    <row r="188" ht="15.75" customHeight="1">
      <c r="A188" s="439"/>
      <c r="B188" s="439"/>
      <c r="C188" s="439"/>
      <c r="D188" s="439"/>
      <c r="E188" s="247"/>
      <c r="F188" s="439"/>
      <c r="G188" s="439"/>
      <c r="H188" s="439"/>
      <c r="I188" s="439"/>
      <c r="J188" s="439"/>
      <c r="K188" s="247"/>
      <c r="L188" s="439"/>
      <c r="M188" s="439"/>
      <c r="N188" s="439"/>
      <c r="O188" s="439"/>
      <c r="P188" s="439"/>
      <c r="Q188" s="247"/>
      <c r="R188" s="439"/>
      <c r="S188" s="439"/>
      <c r="T188" s="439"/>
      <c r="U188" s="439"/>
    </row>
    <row r="189" ht="15.75" customHeight="1">
      <c r="A189" s="439"/>
      <c r="B189" s="439"/>
      <c r="C189" s="439"/>
      <c r="D189" s="439"/>
      <c r="E189" s="247"/>
      <c r="F189" s="439"/>
      <c r="G189" s="439"/>
      <c r="H189" s="439"/>
      <c r="I189" s="439"/>
      <c r="J189" s="439"/>
      <c r="K189" s="247"/>
      <c r="L189" s="439"/>
      <c r="M189" s="439"/>
      <c r="N189" s="439"/>
      <c r="O189" s="439"/>
      <c r="P189" s="439"/>
      <c r="Q189" s="247"/>
      <c r="R189" s="439"/>
      <c r="S189" s="439"/>
      <c r="T189" s="439"/>
      <c r="U189" s="439"/>
    </row>
    <row r="190" ht="15.75" customHeight="1">
      <c r="A190" s="439"/>
      <c r="B190" s="439"/>
      <c r="C190" s="439"/>
      <c r="D190" s="439"/>
      <c r="E190" s="247"/>
      <c r="F190" s="439"/>
      <c r="G190" s="439"/>
      <c r="H190" s="439"/>
      <c r="I190" s="439"/>
      <c r="J190" s="439"/>
      <c r="K190" s="247"/>
      <c r="L190" s="439"/>
      <c r="M190" s="439"/>
      <c r="N190" s="439"/>
      <c r="O190" s="439"/>
      <c r="P190" s="439"/>
      <c r="Q190" s="247"/>
      <c r="R190" s="439"/>
      <c r="S190" s="439"/>
      <c r="T190" s="439"/>
      <c r="U190" s="439"/>
    </row>
    <row r="191" ht="15.75" customHeight="1">
      <c r="A191" s="439"/>
      <c r="B191" s="439"/>
      <c r="C191" s="439"/>
      <c r="D191" s="439"/>
      <c r="E191" s="247"/>
      <c r="F191" s="439"/>
      <c r="G191" s="439"/>
      <c r="H191" s="439"/>
      <c r="I191" s="439"/>
      <c r="J191" s="439"/>
      <c r="K191" s="247"/>
      <c r="L191" s="439"/>
      <c r="M191" s="439"/>
      <c r="N191" s="439"/>
      <c r="O191" s="439"/>
      <c r="P191" s="439"/>
      <c r="Q191" s="247"/>
      <c r="R191" s="439"/>
      <c r="S191" s="439"/>
      <c r="T191" s="439"/>
      <c r="U191" s="439"/>
    </row>
    <row r="192" ht="15.75" customHeight="1">
      <c r="A192" s="439"/>
      <c r="B192" s="439"/>
      <c r="C192" s="439"/>
      <c r="D192" s="439"/>
      <c r="E192" s="247"/>
      <c r="F192" s="439"/>
      <c r="G192" s="439"/>
      <c r="H192" s="439"/>
      <c r="I192" s="439"/>
      <c r="J192" s="439"/>
      <c r="K192" s="247"/>
      <c r="L192" s="439"/>
      <c r="M192" s="439"/>
      <c r="N192" s="439"/>
      <c r="O192" s="439"/>
      <c r="P192" s="439"/>
      <c r="Q192" s="247"/>
      <c r="R192" s="439"/>
      <c r="S192" s="439"/>
      <c r="T192" s="439"/>
      <c r="U192" s="439"/>
    </row>
    <row r="193" ht="15.75" customHeight="1">
      <c r="A193" s="439"/>
      <c r="B193" s="439"/>
      <c r="C193" s="439"/>
      <c r="D193" s="439"/>
      <c r="E193" s="247"/>
      <c r="F193" s="439"/>
      <c r="G193" s="439"/>
      <c r="H193" s="439"/>
      <c r="I193" s="439"/>
      <c r="J193" s="439"/>
      <c r="K193" s="247"/>
      <c r="L193" s="439"/>
      <c r="M193" s="439"/>
      <c r="N193" s="439"/>
      <c r="O193" s="439"/>
      <c r="P193" s="439"/>
      <c r="Q193" s="247"/>
      <c r="R193" s="439"/>
      <c r="S193" s="439"/>
      <c r="T193" s="439"/>
      <c r="U193" s="439"/>
    </row>
    <row r="194" ht="15.75" customHeight="1">
      <c r="A194" s="439"/>
      <c r="B194" s="439"/>
      <c r="C194" s="439"/>
      <c r="D194" s="439"/>
      <c r="E194" s="247"/>
      <c r="F194" s="439"/>
      <c r="G194" s="439"/>
      <c r="H194" s="439"/>
      <c r="I194" s="439"/>
      <c r="J194" s="439"/>
      <c r="K194" s="247"/>
      <c r="L194" s="439"/>
      <c r="M194" s="439"/>
      <c r="N194" s="439"/>
      <c r="O194" s="439"/>
      <c r="P194" s="439"/>
      <c r="Q194" s="247"/>
      <c r="R194" s="439"/>
      <c r="S194" s="439"/>
      <c r="T194" s="439"/>
      <c r="U194" s="439"/>
    </row>
    <row r="195" ht="15.75" customHeight="1">
      <c r="A195" s="439"/>
      <c r="B195" s="439"/>
      <c r="C195" s="439"/>
      <c r="D195" s="439"/>
      <c r="E195" s="247"/>
      <c r="F195" s="439"/>
      <c r="G195" s="439"/>
      <c r="H195" s="439"/>
      <c r="I195" s="439"/>
      <c r="J195" s="439"/>
      <c r="K195" s="247"/>
      <c r="L195" s="439"/>
      <c r="M195" s="439"/>
      <c r="N195" s="439"/>
      <c r="O195" s="439"/>
      <c r="P195" s="439"/>
      <c r="Q195" s="247"/>
      <c r="R195" s="439"/>
      <c r="S195" s="439"/>
      <c r="T195" s="439"/>
      <c r="U195" s="439"/>
    </row>
    <row r="196" ht="15.75" customHeight="1">
      <c r="A196" s="439"/>
      <c r="B196" s="439"/>
      <c r="C196" s="439"/>
      <c r="D196" s="439"/>
      <c r="E196" s="247"/>
      <c r="F196" s="439"/>
      <c r="G196" s="439"/>
      <c r="H196" s="439"/>
      <c r="I196" s="439"/>
      <c r="J196" s="439"/>
      <c r="K196" s="247"/>
      <c r="L196" s="439"/>
      <c r="M196" s="439"/>
      <c r="N196" s="439"/>
      <c r="O196" s="439"/>
      <c r="P196" s="439"/>
      <c r="Q196" s="247"/>
      <c r="R196" s="439"/>
      <c r="S196" s="439"/>
      <c r="T196" s="439"/>
      <c r="U196" s="439"/>
    </row>
    <row r="197" ht="15.75" customHeight="1">
      <c r="A197" s="439"/>
      <c r="B197" s="439"/>
      <c r="C197" s="439"/>
      <c r="D197" s="439"/>
      <c r="E197" s="247"/>
      <c r="F197" s="439"/>
      <c r="G197" s="439"/>
      <c r="H197" s="439"/>
      <c r="I197" s="439"/>
      <c r="J197" s="439"/>
      <c r="K197" s="247"/>
      <c r="L197" s="439"/>
      <c r="M197" s="439"/>
      <c r="N197" s="439"/>
      <c r="O197" s="439"/>
      <c r="P197" s="439"/>
      <c r="Q197" s="247"/>
      <c r="R197" s="439"/>
      <c r="S197" s="439"/>
      <c r="T197" s="439"/>
      <c r="U197" s="439"/>
    </row>
    <row r="198" ht="15.75" customHeight="1">
      <c r="A198" s="439"/>
      <c r="B198" s="439"/>
      <c r="C198" s="439"/>
      <c r="D198" s="439"/>
      <c r="E198" s="247"/>
      <c r="F198" s="439"/>
      <c r="G198" s="439"/>
      <c r="H198" s="439"/>
      <c r="I198" s="439"/>
      <c r="J198" s="439"/>
      <c r="K198" s="247"/>
      <c r="L198" s="439"/>
      <c r="M198" s="439"/>
      <c r="N198" s="439"/>
      <c r="O198" s="439"/>
      <c r="P198" s="439"/>
      <c r="Q198" s="247"/>
      <c r="R198" s="439"/>
      <c r="S198" s="439"/>
      <c r="T198" s="439"/>
      <c r="U198" s="439"/>
    </row>
    <row r="199" ht="15.75" customHeight="1">
      <c r="A199" s="439"/>
      <c r="B199" s="439"/>
      <c r="C199" s="439"/>
      <c r="D199" s="439"/>
      <c r="E199" s="247"/>
      <c r="F199" s="439"/>
      <c r="G199" s="439"/>
      <c r="H199" s="439"/>
      <c r="I199" s="439"/>
      <c r="J199" s="439"/>
      <c r="K199" s="247"/>
      <c r="L199" s="439"/>
      <c r="M199" s="439"/>
      <c r="N199" s="439"/>
      <c r="O199" s="439"/>
      <c r="P199" s="439"/>
      <c r="Q199" s="247"/>
      <c r="R199" s="439"/>
      <c r="S199" s="439"/>
      <c r="T199" s="439"/>
      <c r="U199" s="439"/>
    </row>
    <row r="200" ht="15.75" customHeight="1">
      <c r="A200" s="439"/>
      <c r="B200" s="439"/>
      <c r="C200" s="439"/>
      <c r="D200" s="439"/>
      <c r="E200" s="247"/>
      <c r="F200" s="439"/>
      <c r="G200" s="439"/>
      <c r="H200" s="439"/>
      <c r="I200" s="439"/>
      <c r="J200" s="439"/>
      <c r="K200" s="247"/>
      <c r="L200" s="439"/>
      <c r="M200" s="439"/>
      <c r="N200" s="439"/>
      <c r="O200" s="439"/>
      <c r="P200" s="439"/>
      <c r="Q200" s="247"/>
      <c r="R200" s="439"/>
      <c r="S200" s="439"/>
      <c r="T200" s="439"/>
      <c r="U200" s="439"/>
    </row>
    <row r="201" ht="15.75" customHeight="1">
      <c r="A201" s="439"/>
      <c r="B201" s="439"/>
      <c r="C201" s="439"/>
      <c r="D201" s="439"/>
      <c r="E201" s="247"/>
      <c r="F201" s="439"/>
      <c r="G201" s="439"/>
      <c r="H201" s="439"/>
      <c r="I201" s="439"/>
      <c r="J201" s="439"/>
      <c r="K201" s="247"/>
      <c r="L201" s="439"/>
      <c r="M201" s="439"/>
      <c r="N201" s="439"/>
      <c r="O201" s="439"/>
      <c r="P201" s="439"/>
      <c r="Q201" s="247"/>
      <c r="R201" s="439"/>
      <c r="S201" s="439"/>
      <c r="T201" s="439"/>
      <c r="U201" s="439"/>
    </row>
    <row r="202" ht="15.75" customHeight="1">
      <c r="A202" s="439"/>
      <c r="B202" s="439"/>
      <c r="C202" s="439"/>
      <c r="D202" s="439"/>
      <c r="E202" s="247"/>
      <c r="F202" s="439"/>
      <c r="G202" s="439"/>
      <c r="H202" s="439"/>
      <c r="I202" s="439"/>
      <c r="J202" s="439"/>
      <c r="K202" s="247"/>
      <c r="L202" s="439"/>
      <c r="M202" s="439"/>
      <c r="N202" s="439"/>
      <c r="O202" s="439"/>
      <c r="P202" s="439"/>
      <c r="Q202" s="247"/>
      <c r="R202" s="439"/>
      <c r="S202" s="439"/>
      <c r="T202" s="439"/>
      <c r="U202" s="439"/>
    </row>
    <row r="203" ht="15.75" customHeight="1">
      <c r="A203" s="439"/>
      <c r="B203" s="439"/>
      <c r="C203" s="439"/>
      <c r="D203" s="439"/>
      <c r="E203" s="247"/>
      <c r="F203" s="439"/>
      <c r="G203" s="439"/>
      <c r="H203" s="439"/>
      <c r="I203" s="439"/>
      <c r="J203" s="439"/>
      <c r="K203" s="247"/>
      <c r="L203" s="439"/>
      <c r="M203" s="439"/>
      <c r="N203" s="439"/>
      <c r="O203" s="439"/>
      <c r="P203" s="439"/>
      <c r="Q203" s="247"/>
      <c r="R203" s="439"/>
      <c r="S203" s="439"/>
      <c r="T203" s="439"/>
      <c r="U203" s="439"/>
    </row>
    <row r="204" ht="15.75" customHeight="1">
      <c r="A204" s="439"/>
      <c r="B204" s="439"/>
      <c r="C204" s="439"/>
      <c r="D204" s="439"/>
      <c r="E204" s="247"/>
      <c r="F204" s="439"/>
      <c r="G204" s="439"/>
      <c r="H204" s="439"/>
      <c r="I204" s="439"/>
      <c r="J204" s="439"/>
      <c r="K204" s="247"/>
      <c r="L204" s="439"/>
      <c r="M204" s="439"/>
      <c r="N204" s="439"/>
      <c r="O204" s="439"/>
      <c r="P204" s="439"/>
      <c r="Q204" s="247"/>
      <c r="R204" s="439"/>
      <c r="S204" s="439"/>
      <c r="T204" s="439"/>
      <c r="U204" s="439"/>
    </row>
    <row r="205" ht="15.75" customHeight="1">
      <c r="A205" s="439"/>
      <c r="B205" s="439"/>
      <c r="C205" s="439"/>
      <c r="D205" s="439"/>
      <c r="E205" s="247"/>
      <c r="F205" s="439"/>
      <c r="G205" s="439"/>
      <c r="H205" s="439"/>
      <c r="I205" s="439"/>
      <c r="J205" s="439"/>
      <c r="K205" s="247"/>
      <c r="L205" s="439"/>
      <c r="M205" s="439"/>
      <c r="N205" s="439"/>
      <c r="O205" s="439"/>
      <c r="P205" s="439"/>
      <c r="Q205" s="247"/>
      <c r="R205" s="439"/>
      <c r="S205" s="439"/>
      <c r="T205" s="439"/>
      <c r="U205" s="439"/>
    </row>
    <row r="206" ht="15.75" customHeight="1">
      <c r="A206" s="439"/>
      <c r="B206" s="439"/>
      <c r="C206" s="439"/>
      <c r="D206" s="439"/>
      <c r="E206" s="247"/>
      <c r="F206" s="439"/>
      <c r="G206" s="439"/>
      <c r="H206" s="439"/>
      <c r="I206" s="439"/>
      <c r="J206" s="439"/>
      <c r="K206" s="247"/>
      <c r="L206" s="439"/>
      <c r="M206" s="439"/>
      <c r="N206" s="439"/>
      <c r="O206" s="439"/>
      <c r="P206" s="439"/>
      <c r="Q206" s="247"/>
      <c r="R206" s="439"/>
      <c r="S206" s="439"/>
      <c r="T206" s="439"/>
      <c r="U206" s="439"/>
    </row>
    <row r="207" ht="15.75" customHeight="1">
      <c r="A207" s="439"/>
      <c r="B207" s="439"/>
      <c r="C207" s="439"/>
      <c r="D207" s="439"/>
      <c r="E207" s="247"/>
      <c r="F207" s="439"/>
      <c r="G207" s="439"/>
      <c r="H207" s="439"/>
      <c r="I207" s="439"/>
      <c r="J207" s="439"/>
      <c r="K207" s="247"/>
      <c r="L207" s="439"/>
      <c r="M207" s="439"/>
      <c r="N207" s="439"/>
      <c r="O207" s="439"/>
      <c r="P207" s="439"/>
      <c r="Q207" s="247"/>
      <c r="R207" s="439"/>
      <c r="S207" s="439"/>
      <c r="T207" s="439"/>
      <c r="U207" s="439"/>
    </row>
    <row r="208" ht="15.75" customHeight="1">
      <c r="A208" s="439"/>
      <c r="B208" s="439"/>
      <c r="C208" s="439"/>
      <c r="D208" s="439"/>
      <c r="E208" s="247"/>
      <c r="F208" s="439"/>
      <c r="G208" s="439"/>
      <c r="H208" s="439"/>
      <c r="I208" s="439"/>
      <c r="J208" s="439"/>
      <c r="K208" s="247"/>
      <c r="L208" s="439"/>
      <c r="M208" s="439"/>
      <c r="N208" s="439"/>
      <c r="O208" s="439"/>
      <c r="P208" s="439"/>
      <c r="Q208" s="247"/>
      <c r="R208" s="439"/>
      <c r="S208" s="439"/>
      <c r="T208" s="439"/>
      <c r="U208" s="439"/>
    </row>
    <row r="209" ht="15.75" customHeight="1">
      <c r="A209" s="439"/>
      <c r="B209" s="439"/>
      <c r="C209" s="439"/>
      <c r="D209" s="439"/>
      <c r="E209" s="247"/>
      <c r="F209" s="439"/>
      <c r="G209" s="439"/>
      <c r="H209" s="439"/>
      <c r="I209" s="439"/>
      <c r="J209" s="439"/>
      <c r="K209" s="247"/>
      <c r="L209" s="439"/>
      <c r="M209" s="439"/>
      <c r="N209" s="439"/>
      <c r="O209" s="439"/>
      <c r="P209" s="439"/>
      <c r="Q209" s="247"/>
      <c r="R209" s="439"/>
      <c r="S209" s="439"/>
      <c r="T209" s="439"/>
      <c r="U209" s="439"/>
    </row>
    <row r="210" ht="15.75" customHeight="1">
      <c r="A210" s="439"/>
      <c r="B210" s="439"/>
      <c r="C210" s="439"/>
      <c r="D210" s="439"/>
      <c r="E210" s="247"/>
      <c r="F210" s="439"/>
      <c r="G210" s="439"/>
      <c r="H210" s="439"/>
      <c r="I210" s="439"/>
      <c r="J210" s="439"/>
      <c r="K210" s="247"/>
      <c r="L210" s="439"/>
      <c r="M210" s="439"/>
      <c r="N210" s="439"/>
      <c r="O210" s="439"/>
      <c r="P210" s="439"/>
      <c r="Q210" s="247"/>
      <c r="R210" s="439"/>
      <c r="S210" s="439"/>
      <c r="T210" s="439"/>
      <c r="U210" s="439"/>
    </row>
    <row r="211" ht="15.75" customHeight="1">
      <c r="A211" s="439"/>
      <c r="B211" s="439"/>
      <c r="C211" s="439"/>
      <c r="D211" s="439"/>
      <c r="E211" s="247"/>
      <c r="F211" s="439"/>
      <c r="G211" s="439"/>
      <c r="H211" s="439"/>
      <c r="I211" s="439"/>
      <c r="J211" s="439"/>
      <c r="K211" s="247"/>
      <c r="L211" s="439"/>
      <c r="M211" s="439"/>
      <c r="N211" s="439"/>
      <c r="O211" s="439"/>
      <c r="P211" s="439"/>
      <c r="Q211" s="247"/>
      <c r="R211" s="439"/>
      <c r="S211" s="439"/>
      <c r="T211" s="439"/>
      <c r="U211" s="439"/>
    </row>
    <row r="212" ht="15.75" customHeight="1">
      <c r="A212" s="439"/>
      <c r="B212" s="439"/>
      <c r="C212" s="439"/>
      <c r="D212" s="439"/>
      <c r="E212" s="247"/>
      <c r="F212" s="439"/>
      <c r="G212" s="439"/>
      <c r="H212" s="439"/>
      <c r="I212" s="439"/>
      <c r="J212" s="439"/>
      <c r="K212" s="247"/>
      <c r="L212" s="439"/>
      <c r="M212" s="439"/>
      <c r="N212" s="439"/>
      <c r="O212" s="439"/>
      <c r="P212" s="439"/>
      <c r="Q212" s="247"/>
      <c r="R212" s="439"/>
      <c r="S212" s="439"/>
      <c r="T212" s="439"/>
      <c r="U212" s="439"/>
    </row>
    <row r="213" ht="15.75" customHeight="1">
      <c r="A213" s="439"/>
      <c r="B213" s="439"/>
      <c r="C213" s="439"/>
      <c r="D213" s="439"/>
      <c r="E213" s="247"/>
      <c r="F213" s="439"/>
      <c r="G213" s="439"/>
      <c r="H213" s="439"/>
      <c r="I213" s="439"/>
      <c r="J213" s="439"/>
      <c r="K213" s="247"/>
      <c r="L213" s="439"/>
      <c r="M213" s="439"/>
      <c r="N213" s="439"/>
      <c r="O213" s="439"/>
      <c r="P213" s="439"/>
      <c r="Q213" s="247"/>
      <c r="R213" s="439"/>
      <c r="S213" s="439"/>
      <c r="T213" s="439"/>
      <c r="U213" s="439"/>
    </row>
    <row r="214" ht="15.75" customHeight="1">
      <c r="A214" s="439"/>
      <c r="B214" s="439"/>
      <c r="C214" s="439"/>
      <c r="D214" s="439"/>
      <c r="E214" s="247"/>
      <c r="F214" s="439"/>
      <c r="G214" s="439"/>
      <c r="H214" s="439"/>
      <c r="I214" s="439"/>
      <c r="J214" s="439"/>
      <c r="K214" s="247"/>
      <c r="L214" s="439"/>
      <c r="M214" s="439"/>
      <c r="N214" s="439"/>
      <c r="O214" s="439"/>
      <c r="P214" s="439"/>
      <c r="Q214" s="247"/>
      <c r="R214" s="439"/>
      <c r="S214" s="439"/>
      <c r="T214" s="439"/>
      <c r="U214" s="439"/>
    </row>
    <row r="215" ht="15.75" customHeight="1">
      <c r="A215" s="439"/>
      <c r="B215" s="439"/>
      <c r="C215" s="439"/>
      <c r="D215" s="439"/>
      <c r="E215" s="247"/>
      <c r="F215" s="439"/>
      <c r="G215" s="439"/>
      <c r="H215" s="439"/>
      <c r="I215" s="439"/>
      <c r="J215" s="439"/>
      <c r="K215" s="247"/>
      <c r="L215" s="439"/>
      <c r="M215" s="439"/>
      <c r="N215" s="439"/>
      <c r="O215" s="439"/>
      <c r="P215" s="439"/>
      <c r="Q215" s="247"/>
      <c r="R215" s="439"/>
      <c r="S215" s="439"/>
      <c r="T215" s="439"/>
      <c r="U215" s="439"/>
    </row>
    <row r="216" ht="15.75" customHeight="1">
      <c r="A216" s="439"/>
      <c r="B216" s="439"/>
      <c r="C216" s="439"/>
      <c r="D216" s="439"/>
      <c r="E216" s="247"/>
      <c r="F216" s="439"/>
      <c r="G216" s="439"/>
      <c r="H216" s="439"/>
      <c r="I216" s="439"/>
      <c r="J216" s="439"/>
      <c r="K216" s="247"/>
      <c r="L216" s="439"/>
      <c r="M216" s="439"/>
      <c r="N216" s="439"/>
      <c r="O216" s="439"/>
      <c r="P216" s="439"/>
      <c r="Q216" s="247"/>
      <c r="R216" s="439"/>
      <c r="S216" s="439"/>
      <c r="T216" s="439"/>
      <c r="U216" s="439"/>
    </row>
    <row r="217" ht="15.75" customHeight="1">
      <c r="A217" s="439"/>
      <c r="B217" s="439"/>
      <c r="C217" s="439"/>
      <c r="D217" s="439"/>
      <c r="E217" s="247"/>
      <c r="F217" s="439"/>
      <c r="G217" s="439"/>
      <c r="H217" s="439"/>
      <c r="I217" s="439"/>
      <c r="J217" s="439"/>
      <c r="K217" s="247"/>
      <c r="L217" s="439"/>
      <c r="M217" s="439"/>
      <c r="N217" s="439"/>
      <c r="O217" s="439"/>
      <c r="P217" s="439"/>
      <c r="Q217" s="247"/>
      <c r="R217" s="439"/>
      <c r="S217" s="439"/>
      <c r="T217" s="439"/>
      <c r="U217" s="439"/>
    </row>
    <row r="218" ht="15.75" customHeight="1">
      <c r="A218" s="439"/>
      <c r="B218" s="439"/>
      <c r="C218" s="439"/>
      <c r="D218" s="439"/>
      <c r="E218" s="247"/>
      <c r="F218" s="439"/>
      <c r="G218" s="439"/>
      <c r="H218" s="439"/>
      <c r="I218" s="439"/>
      <c r="J218" s="439"/>
      <c r="K218" s="247"/>
      <c r="L218" s="439"/>
      <c r="M218" s="439"/>
      <c r="N218" s="439"/>
      <c r="O218" s="439"/>
      <c r="P218" s="439"/>
      <c r="Q218" s="247"/>
      <c r="R218" s="439"/>
      <c r="S218" s="439"/>
      <c r="T218" s="439"/>
      <c r="U218" s="439"/>
    </row>
    <row r="219" ht="15.75" customHeight="1">
      <c r="A219" s="439"/>
      <c r="B219" s="439"/>
      <c r="C219" s="439"/>
      <c r="D219" s="439"/>
      <c r="E219" s="247"/>
      <c r="F219" s="439"/>
      <c r="G219" s="439"/>
      <c r="H219" s="439"/>
      <c r="I219" s="439"/>
      <c r="J219" s="439"/>
      <c r="K219" s="247"/>
      <c r="L219" s="439"/>
      <c r="M219" s="439"/>
      <c r="N219" s="439"/>
      <c r="O219" s="439"/>
      <c r="P219" s="439"/>
      <c r="Q219" s="247"/>
      <c r="R219" s="439"/>
      <c r="S219" s="439"/>
      <c r="T219" s="439"/>
      <c r="U219" s="439"/>
    </row>
    <row r="220" ht="15.75" customHeight="1">
      <c r="A220" s="439"/>
      <c r="B220" s="439"/>
      <c r="C220" s="439"/>
      <c r="D220" s="439"/>
      <c r="E220" s="247"/>
      <c r="F220" s="439"/>
      <c r="G220" s="439"/>
      <c r="H220" s="439"/>
      <c r="I220" s="439"/>
      <c r="J220" s="439"/>
      <c r="K220" s="247"/>
      <c r="L220" s="439"/>
      <c r="M220" s="439"/>
      <c r="N220" s="439"/>
      <c r="O220" s="439"/>
      <c r="P220" s="439"/>
      <c r="Q220" s="247"/>
      <c r="R220" s="439"/>
      <c r="S220" s="439"/>
      <c r="T220" s="439"/>
      <c r="U220" s="439"/>
    </row>
    <row r="221" ht="15.75" customHeight="1">
      <c r="A221" s="439"/>
      <c r="B221" s="439"/>
      <c r="C221" s="439"/>
      <c r="D221" s="439"/>
      <c r="E221" s="247"/>
      <c r="F221" s="439"/>
      <c r="G221" s="439"/>
      <c r="H221" s="439"/>
      <c r="I221" s="439"/>
      <c r="J221" s="439"/>
      <c r="K221" s="247"/>
      <c r="L221" s="439"/>
      <c r="M221" s="439"/>
      <c r="N221" s="439"/>
      <c r="O221" s="439"/>
      <c r="P221" s="439"/>
      <c r="Q221" s="247"/>
      <c r="R221" s="439"/>
      <c r="S221" s="439"/>
      <c r="T221" s="439"/>
      <c r="U221" s="439"/>
    </row>
    <row r="222" ht="15.75" customHeight="1">
      <c r="A222" s="439"/>
      <c r="B222" s="439"/>
      <c r="C222" s="439"/>
      <c r="D222" s="439"/>
      <c r="E222" s="247"/>
      <c r="F222" s="439"/>
      <c r="G222" s="439"/>
      <c r="H222" s="439"/>
      <c r="I222" s="439"/>
      <c r="J222" s="439"/>
      <c r="K222" s="247"/>
      <c r="L222" s="439"/>
      <c r="M222" s="439"/>
      <c r="N222" s="439"/>
      <c r="O222" s="439"/>
      <c r="P222" s="439"/>
      <c r="Q222" s="247"/>
      <c r="R222" s="439"/>
      <c r="S222" s="439"/>
      <c r="T222" s="439"/>
      <c r="U222" s="439"/>
    </row>
    <row r="223" ht="15.75" customHeight="1">
      <c r="A223" s="439"/>
      <c r="B223" s="439"/>
      <c r="C223" s="439"/>
      <c r="D223" s="439"/>
      <c r="E223" s="247"/>
      <c r="F223" s="439"/>
      <c r="G223" s="439"/>
      <c r="H223" s="439"/>
      <c r="I223" s="439"/>
      <c r="J223" s="439"/>
      <c r="K223" s="247"/>
      <c r="L223" s="439"/>
      <c r="M223" s="439"/>
      <c r="N223" s="439"/>
      <c r="O223" s="439"/>
      <c r="P223" s="439"/>
      <c r="Q223" s="247"/>
      <c r="R223" s="439"/>
      <c r="S223" s="439"/>
      <c r="T223" s="439"/>
      <c r="U223" s="439"/>
    </row>
    <row r="224" ht="15.75" customHeight="1">
      <c r="A224" s="439"/>
      <c r="B224" s="439"/>
      <c r="C224" s="439"/>
      <c r="D224" s="439"/>
      <c r="E224" s="247"/>
      <c r="F224" s="439"/>
      <c r="G224" s="439"/>
      <c r="H224" s="439"/>
      <c r="I224" s="439"/>
      <c r="J224" s="439"/>
      <c r="K224" s="247"/>
      <c r="L224" s="439"/>
      <c r="M224" s="439"/>
      <c r="N224" s="439"/>
      <c r="O224" s="439"/>
      <c r="P224" s="439"/>
      <c r="Q224" s="247"/>
      <c r="R224" s="439"/>
      <c r="S224" s="439"/>
      <c r="T224" s="439"/>
      <c r="U224" s="439"/>
    </row>
    <row r="225" ht="15.75" customHeight="1">
      <c r="A225" s="439"/>
      <c r="B225" s="439"/>
      <c r="C225" s="439"/>
      <c r="D225" s="439"/>
      <c r="E225" s="247"/>
      <c r="F225" s="439"/>
      <c r="G225" s="439"/>
      <c r="H225" s="439"/>
      <c r="I225" s="439"/>
      <c r="J225" s="439"/>
      <c r="K225" s="247"/>
      <c r="L225" s="439"/>
      <c r="M225" s="439"/>
      <c r="N225" s="439"/>
      <c r="O225" s="439"/>
      <c r="P225" s="439"/>
      <c r="Q225" s="247"/>
      <c r="R225" s="439"/>
      <c r="S225" s="439"/>
      <c r="T225" s="439"/>
      <c r="U225" s="439"/>
    </row>
    <row r="226" ht="15.75" customHeight="1">
      <c r="A226" s="439"/>
      <c r="B226" s="439"/>
      <c r="C226" s="439"/>
      <c r="D226" s="439"/>
      <c r="E226" s="247"/>
      <c r="F226" s="439"/>
      <c r="G226" s="439"/>
      <c r="H226" s="439"/>
      <c r="I226" s="439"/>
      <c r="J226" s="439"/>
      <c r="K226" s="247"/>
      <c r="L226" s="439"/>
      <c r="M226" s="439"/>
      <c r="N226" s="439"/>
      <c r="O226" s="439"/>
      <c r="P226" s="439"/>
      <c r="Q226" s="247"/>
      <c r="R226" s="439"/>
      <c r="S226" s="439"/>
      <c r="T226" s="439"/>
      <c r="U226" s="439"/>
    </row>
    <row r="227" ht="15.75" customHeight="1">
      <c r="A227" s="439"/>
      <c r="B227" s="439"/>
      <c r="C227" s="439"/>
      <c r="D227" s="439"/>
      <c r="E227" s="247"/>
      <c r="F227" s="439"/>
      <c r="G227" s="439"/>
      <c r="H227" s="439"/>
      <c r="I227" s="439"/>
      <c r="J227" s="439"/>
      <c r="K227" s="247"/>
      <c r="L227" s="439"/>
      <c r="M227" s="439"/>
      <c r="N227" s="439"/>
      <c r="O227" s="439"/>
      <c r="P227" s="439"/>
      <c r="Q227" s="247"/>
      <c r="R227" s="439"/>
      <c r="S227" s="439"/>
      <c r="T227" s="439"/>
      <c r="U227" s="439"/>
    </row>
    <row r="228" ht="15.75" customHeight="1">
      <c r="A228" s="439"/>
      <c r="B228" s="439"/>
      <c r="C228" s="439"/>
      <c r="D228" s="439"/>
      <c r="E228" s="247"/>
      <c r="F228" s="439"/>
      <c r="G228" s="439"/>
      <c r="H228" s="439"/>
      <c r="I228" s="439"/>
      <c r="J228" s="439"/>
      <c r="K228" s="247"/>
      <c r="L228" s="439"/>
      <c r="M228" s="439"/>
      <c r="N228" s="439"/>
      <c r="O228" s="439"/>
      <c r="P228" s="439"/>
      <c r="Q228" s="247"/>
      <c r="R228" s="439"/>
      <c r="S228" s="439"/>
      <c r="T228" s="439"/>
      <c r="U228" s="439"/>
    </row>
    <row r="229" ht="15.75" customHeight="1">
      <c r="A229" s="439"/>
      <c r="B229" s="439"/>
      <c r="C229" s="439"/>
      <c r="D229" s="439"/>
      <c r="E229" s="247"/>
      <c r="F229" s="439"/>
      <c r="G229" s="439"/>
      <c r="H229" s="439"/>
      <c r="I229" s="439"/>
      <c r="J229" s="439"/>
      <c r="K229" s="247"/>
      <c r="L229" s="439"/>
      <c r="M229" s="439"/>
      <c r="N229" s="439"/>
      <c r="O229" s="439"/>
      <c r="P229" s="439"/>
      <c r="Q229" s="247"/>
      <c r="R229" s="439"/>
      <c r="S229" s="439"/>
      <c r="T229" s="439"/>
      <c r="U229" s="439"/>
    </row>
    <row r="230" ht="15.75" customHeight="1">
      <c r="A230" s="439"/>
      <c r="B230" s="439"/>
      <c r="C230" s="439"/>
      <c r="D230" s="439"/>
      <c r="E230" s="247"/>
      <c r="F230" s="439"/>
      <c r="G230" s="439"/>
      <c r="H230" s="439"/>
      <c r="I230" s="439"/>
      <c r="J230" s="439"/>
      <c r="K230" s="247"/>
      <c r="L230" s="439"/>
      <c r="M230" s="439"/>
      <c r="N230" s="439"/>
      <c r="O230" s="439"/>
      <c r="P230" s="439"/>
      <c r="Q230" s="247"/>
      <c r="R230" s="439"/>
      <c r="S230" s="439"/>
      <c r="T230" s="439"/>
      <c r="U230" s="439"/>
    </row>
    <row r="231" ht="15.75" customHeight="1">
      <c r="A231" s="439"/>
      <c r="B231" s="439"/>
      <c r="C231" s="439"/>
      <c r="D231" s="439"/>
      <c r="E231" s="247"/>
      <c r="F231" s="439"/>
      <c r="G231" s="439"/>
      <c r="H231" s="439"/>
      <c r="I231" s="439"/>
      <c r="J231" s="439"/>
      <c r="K231" s="247"/>
      <c r="L231" s="439"/>
      <c r="M231" s="439"/>
      <c r="N231" s="439"/>
      <c r="O231" s="439"/>
      <c r="P231" s="439"/>
      <c r="Q231" s="247"/>
      <c r="R231" s="439"/>
      <c r="S231" s="439"/>
      <c r="T231" s="439"/>
      <c r="U231" s="439"/>
    </row>
    <row r="232" ht="15.75" customHeight="1">
      <c r="A232" s="439"/>
      <c r="B232" s="439"/>
      <c r="C232" s="439"/>
      <c r="D232" s="439"/>
      <c r="E232" s="247"/>
      <c r="F232" s="439"/>
      <c r="G232" s="439"/>
      <c r="H232" s="439"/>
      <c r="I232" s="439"/>
      <c r="J232" s="439"/>
      <c r="K232" s="247"/>
      <c r="L232" s="439"/>
      <c r="M232" s="439"/>
      <c r="N232" s="439"/>
      <c r="O232" s="439"/>
      <c r="P232" s="439"/>
      <c r="Q232" s="247"/>
      <c r="R232" s="439"/>
      <c r="S232" s="439"/>
      <c r="T232" s="439"/>
      <c r="U232" s="439"/>
    </row>
    <row r="233" ht="15.75" customHeight="1">
      <c r="A233" s="439"/>
      <c r="B233" s="439"/>
      <c r="C233" s="439"/>
      <c r="D233" s="439"/>
      <c r="E233" s="247"/>
      <c r="F233" s="439"/>
      <c r="G233" s="439"/>
      <c r="H233" s="439"/>
      <c r="I233" s="439"/>
      <c r="J233" s="439"/>
      <c r="K233" s="247"/>
      <c r="L233" s="439"/>
      <c r="M233" s="439"/>
      <c r="N233" s="439"/>
      <c r="O233" s="439"/>
      <c r="P233" s="439"/>
      <c r="Q233" s="247"/>
      <c r="R233" s="439"/>
      <c r="S233" s="439"/>
      <c r="T233" s="439"/>
      <c r="U233" s="439"/>
    </row>
    <row r="234" ht="15.75" customHeight="1">
      <c r="A234" s="439"/>
      <c r="B234" s="439"/>
      <c r="C234" s="439"/>
      <c r="D234" s="439"/>
      <c r="E234" s="247"/>
      <c r="F234" s="439"/>
      <c r="G234" s="439"/>
      <c r="H234" s="439"/>
      <c r="I234" s="439"/>
      <c r="J234" s="439"/>
      <c r="K234" s="247"/>
      <c r="L234" s="439"/>
      <c r="M234" s="439"/>
      <c r="N234" s="439"/>
      <c r="O234" s="439"/>
      <c r="P234" s="439"/>
      <c r="Q234" s="247"/>
      <c r="R234" s="439"/>
      <c r="S234" s="439"/>
      <c r="T234" s="439"/>
      <c r="U234" s="439"/>
    </row>
    <row r="235" ht="15.75" customHeight="1">
      <c r="A235" s="439"/>
      <c r="B235" s="439"/>
      <c r="C235" s="439"/>
      <c r="D235" s="439"/>
      <c r="E235" s="247"/>
      <c r="F235" s="439"/>
      <c r="G235" s="439"/>
      <c r="H235" s="439"/>
      <c r="I235" s="439"/>
      <c r="J235" s="439"/>
      <c r="K235" s="247"/>
      <c r="L235" s="439"/>
      <c r="M235" s="439"/>
      <c r="N235" s="439"/>
      <c r="O235" s="439"/>
      <c r="P235" s="439"/>
      <c r="Q235" s="247"/>
      <c r="R235" s="439"/>
      <c r="S235" s="439"/>
      <c r="T235" s="439"/>
      <c r="U235" s="439"/>
    </row>
    <row r="236" ht="15.75" customHeight="1">
      <c r="A236" s="439"/>
      <c r="B236" s="439"/>
      <c r="C236" s="439"/>
      <c r="D236" s="439"/>
      <c r="E236" s="247"/>
      <c r="F236" s="439"/>
      <c r="G236" s="439"/>
      <c r="H236" s="439"/>
      <c r="I236" s="439"/>
      <c r="J236" s="439"/>
      <c r="K236" s="247"/>
      <c r="L236" s="439"/>
      <c r="M236" s="439"/>
      <c r="N236" s="439"/>
      <c r="O236" s="439"/>
      <c r="P236" s="439"/>
      <c r="Q236" s="247"/>
      <c r="R236" s="439"/>
      <c r="S236" s="439"/>
      <c r="T236" s="439"/>
      <c r="U236" s="439"/>
    </row>
    <row r="237" ht="15.75" customHeight="1">
      <c r="A237" s="439"/>
      <c r="B237" s="439"/>
      <c r="C237" s="439"/>
      <c r="D237" s="439"/>
      <c r="E237" s="247"/>
      <c r="F237" s="439"/>
      <c r="G237" s="439"/>
      <c r="H237" s="439"/>
      <c r="I237" s="439"/>
      <c r="J237" s="439"/>
      <c r="K237" s="247"/>
      <c r="L237" s="439"/>
      <c r="M237" s="439"/>
      <c r="N237" s="439"/>
      <c r="O237" s="439"/>
      <c r="P237" s="439"/>
      <c r="Q237" s="247"/>
      <c r="R237" s="439"/>
      <c r="S237" s="439"/>
      <c r="T237" s="439"/>
      <c r="U237" s="439"/>
    </row>
    <row r="238" ht="15.75" customHeight="1">
      <c r="A238" s="439"/>
      <c r="B238" s="439"/>
      <c r="C238" s="439"/>
      <c r="D238" s="439"/>
      <c r="E238" s="247"/>
      <c r="F238" s="439"/>
      <c r="G238" s="439"/>
      <c r="H238" s="439"/>
      <c r="I238" s="439"/>
      <c r="J238" s="439"/>
      <c r="K238" s="247"/>
      <c r="L238" s="439"/>
      <c r="M238" s="439"/>
      <c r="N238" s="439"/>
      <c r="O238" s="439"/>
      <c r="P238" s="439"/>
      <c r="Q238" s="247"/>
      <c r="R238" s="439"/>
      <c r="S238" s="439"/>
      <c r="T238" s="439"/>
      <c r="U238" s="439"/>
    </row>
    <row r="239" ht="15.75" customHeight="1">
      <c r="A239" s="439"/>
      <c r="B239" s="439"/>
      <c r="C239" s="439"/>
      <c r="D239" s="439"/>
      <c r="E239" s="247"/>
      <c r="F239" s="439"/>
      <c r="G239" s="439"/>
      <c r="H239" s="439"/>
      <c r="I239" s="439"/>
      <c r="J239" s="439"/>
      <c r="K239" s="247"/>
      <c r="L239" s="439"/>
      <c r="M239" s="439"/>
      <c r="N239" s="439"/>
      <c r="O239" s="439"/>
      <c r="P239" s="439"/>
      <c r="Q239" s="247"/>
      <c r="R239" s="439"/>
      <c r="S239" s="439"/>
      <c r="T239" s="439"/>
      <c r="U239" s="439"/>
    </row>
    <row r="240" ht="15.75" customHeight="1">
      <c r="A240" s="439"/>
      <c r="B240" s="439"/>
      <c r="C240" s="439"/>
      <c r="D240" s="439"/>
      <c r="E240" s="247"/>
      <c r="F240" s="439"/>
      <c r="G240" s="439"/>
      <c r="H240" s="439"/>
      <c r="I240" s="439"/>
      <c r="J240" s="439"/>
      <c r="K240" s="247"/>
      <c r="L240" s="439"/>
      <c r="M240" s="439"/>
      <c r="N240" s="439"/>
      <c r="O240" s="439"/>
      <c r="P240" s="439"/>
      <c r="Q240" s="247"/>
      <c r="R240" s="439"/>
      <c r="S240" s="439"/>
      <c r="T240" s="439"/>
      <c r="U240" s="439"/>
    </row>
    <row r="241" ht="15.75" customHeight="1">
      <c r="A241" s="439"/>
      <c r="B241" s="439"/>
      <c r="C241" s="439"/>
      <c r="D241" s="439"/>
      <c r="E241" s="247"/>
      <c r="F241" s="439"/>
      <c r="G241" s="439"/>
      <c r="H241" s="439"/>
      <c r="I241" s="439"/>
      <c r="J241" s="439"/>
      <c r="K241" s="247"/>
      <c r="L241" s="439"/>
      <c r="M241" s="439"/>
      <c r="N241" s="439"/>
      <c r="O241" s="439"/>
      <c r="P241" s="439"/>
      <c r="Q241" s="247"/>
      <c r="R241" s="439"/>
      <c r="S241" s="439"/>
      <c r="T241" s="439"/>
      <c r="U241" s="439"/>
    </row>
    <row r="242" ht="15.75" customHeight="1">
      <c r="A242" s="439"/>
      <c r="B242" s="439"/>
      <c r="C242" s="439"/>
      <c r="D242" s="439"/>
      <c r="E242" s="247"/>
      <c r="F242" s="439"/>
      <c r="G242" s="439"/>
      <c r="H242" s="439"/>
      <c r="I242" s="439"/>
      <c r="J242" s="439"/>
      <c r="K242" s="247"/>
      <c r="L242" s="439"/>
      <c r="M242" s="439"/>
      <c r="N242" s="439"/>
      <c r="O242" s="439"/>
      <c r="P242" s="439"/>
      <c r="Q242" s="247"/>
      <c r="R242" s="439"/>
      <c r="S242" s="439"/>
      <c r="T242" s="439"/>
      <c r="U242" s="439"/>
    </row>
    <row r="243" ht="15.75" customHeight="1">
      <c r="A243" s="439"/>
      <c r="B243" s="439"/>
      <c r="C243" s="439"/>
      <c r="D243" s="439"/>
      <c r="E243" s="247"/>
      <c r="F243" s="439"/>
      <c r="G243" s="439"/>
      <c r="H243" s="439"/>
      <c r="I243" s="439"/>
      <c r="J243" s="439"/>
      <c r="K243" s="247"/>
      <c r="L243" s="439"/>
      <c r="M243" s="439"/>
      <c r="N243" s="439"/>
      <c r="O243" s="439"/>
      <c r="P243" s="439"/>
      <c r="Q243" s="247"/>
      <c r="R243" s="439"/>
      <c r="S243" s="439"/>
      <c r="T243" s="439"/>
      <c r="U243" s="439"/>
    </row>
    <row r="244" ht="15.75" customHeight="1">
      <c r="A244" s="439"/>
      <c r="B244" s="439"/>
      <c r="C244" s="439"/>
      <c r="D244" s="439"/>
      <c r="E244" s="247"/>
      <c r="F244" s="439"/>
      <c r="G244" s="439"/>
      <c r="H244" s="439"/>
      <c r="I244" s="439"/>
      <c r="J244" s="439"/>
      <c r="K244" s="247"/>
      <c r="L244" s="439"/>
      <c r="M244" s="439"/>
      <c r="N244" s="439"/>
      <c r="O244" s="439"/>
      <c r="P244" s="439"/>
      <c r="Q244" s="247"/>
      <c r="R244" s="439"/>
      <c r="S244" s="439"/>
      <c r="T244" s="439"/>
      <c r="U244" s="439"/>
    </row>
    <row r="245" ht="15.75" customHeight="1">
      <c r="A245" s="439"/>
      <c r="B245" s="439"/>
      <c r="C245" s="439"/>
      <c r="D245" s="439"/>
      <c r="E245" s="247"/>
      <c r="F245" s="439"/>
      <c r="G245" s="439"/>
      <c r="H245" s="439"/>
      <c r="I245" s="439"/>
      <c r="J245" s="439"/>
      <c r="K245" s="247"/>
      <c r="L245" s="439"/>
      <c r="M245" s="439"/>
      <c r="N245" s="439"/>
      <c r="O245" s="439"/>
      <c r="P245" s="439"/>
      <c r="Q245" s="247"/>
      <c r="R245" s="439"/>
      <c r="S245" s="439"/>
      <c r="T245" s="439"/>
      <c r="U245" s="439"/>
    </row>
    <row r="246" ht="15.75" customHeight="1">
      <c r="A246" s="439"/>
      <c r="B246" s="439"/>
      <c r="C246" s="439"/>
      <c r="D246" s="439"/>
      <c r="E246" s="247"/>
      <c r="F246" s="439"/>
      <c r="G246" s="439"/>
      <c r="H246" s="439"/>
      <c r="I246" s="439"/>
      <c r="J246" s="439"/>
      <c r="K246" s="247"/>
      <c r="L246" s="439"/>
      <c r="M246" s="439"/>
      <c r="N246" s="439"/>
      <c r="O246" s="439"/>
      <c r="P246" s="439"/>
      <c r="Q246" s="247"/>
      <c r="R246" s="439"/>
      <c r="S246" s="439"/>
      <c r="T246" s="439"/>
      <c r="U246" s="439"/>
    </row>
    <row r="247" ht="15.75" customHeight="1">
      <c r="A247" s="439"/>
      <c r="B247" s="439"/>
      <c r="C247" s="439"/>
      <c r="D247" s="439"/>
      <c r="E247" s="247"/>
      <c r="F247" s="439"/>
      <c r="G247" s="439"/>
      <c r="H247" s="439"/>
      <c r="I247" s="439"/>
      <c r="J247" s="439"/>
      <c r="K247" s="247"/>
      <c r="L247" s="439"/>
      <c r="M247" s="439"/>
      <c r="N247" s="439"/>
      <c r="O247" s="439"/>
      <c r="P247" s="439"/>
      <c r="Q247" s="247"/>
      <c r="R247" s="439"/>
      <c r="S247" s="439"/>
      <c r="T247" s="439"/>
      <c r="U247" s="439"/>
    </row>
    <row r="248" ht="15.75" customHeight="1">
      <c r="A248" s="439"/>
      <c r="B248" s="439"/>
      <c r="C248" s="439"/>
      <c r="D248" s="439"/>
      <c r="E248" s="247"/>
      <c r="F248" s="439"/>
      <c r="G248" s="439"/>
      <c r="H248" s="439"/>
      <c r="I248" s="439"/>
      <c r="J248" s="439"/>
      <c r="K248" s="247"/>
      <c r="L248" s="439"/>
      <c r="M248" s="439"/>
      <c r="N248" s="439"/>
      <c r="O248" s="439"/>
      <c r="P248" s="439"/>
      <c r="Q248" s="247"/>
      <c r="R248" s="439"/>
      <c r="S248" s="439"/>
      <c r="T248" s="439"/>
      <c r="U248" s="439"/>
    </row>
    <row r="249" ht="15.75" customHeight="1">
      <c r="A249" s="439"/>
      <c r="B249" s="439"/>
      <c r="C249" s="439"/>
      <c r="D249" s="439"/>
      <c r="E249" s="247"/>
      <c r="F249" s="439"/>
      <c r="G249" s="439"/>
      <c r="H249" s="439"/>
      <c r="I249" s="439"/>
      <c r="J249" s="439"/>
      <c r="K249" s="247"/>
      <c r="L249" s="439"/>
      <c r="M249" s="439"/>
      <c r="N249" s="439"/>
      <c r="O249" s="439"/>
      <c r="P249" s="439"/>
      <c r="Q249" s="247"/>
      <c r="R249" s="439"/>
      <c r="S249" s="439"/>
      <c r="T249" s="439"/>
      <c r="U249" s="439"/>
    </row>
    <row r="250" ht="15.75" customHeight="1">
      <c r="A250" s="439"/>
      <c r="B250" s="439"/>
      <c r="C250" s="439"/>
      <c r="D250" s="439"/>
      <c r="E250" s="247"/>
      <c r="F250" s="439"/>
      <c r="G250" s="439"/>
      <c r="H250" s="439"/>
      <c r="I250" s="439"/>
      <c r="J250" s="439"/>
      <c r="K250" s="247"/>
      <c r="L250" s="439"/>
      <c r="M250" s="439"/>
      <c r="N250" s="439"/>
      <c r="O250" s="439"/>
      <c r="P250" s="439"/>
      <c r="Q250" s="247"/>
      <c r="R250" s="439"/>
      <c r="S250" s="439"/>
      <c r="T250" s="439"/>
      <c r="U250" s="439"/>
    </row>
    <row r="251" ht="15.75" customHeight="1">
      <c r="A251" s="439"/>
      <c r="B251" s="439"/>
      <c r="C251" s="439"/>
      <c r="D251" s="439"/>
      <c r="E251" s="247"/>
      <c r="F251" s="439"/>
      <c r="G251" s="439"/>
      <c r="H251" s="439"/>
      <c r="I251" s="439"/>
      <c r="J251" s="439"/>
      <c r="K251" s="247"/>
      <c r="L251" s="439"/>
      <c r="M251" s="439"/>
      <c r="N251" s="439"/>
      <c r="O251" s="439"/>
      <c r="P251" s="439"/>
      <c r="Q251" s="247"/>
      <c r="R251" s="439"/>
      <c r="S251" s="439"/>
      <c r="T251" s="439"/>
      <c r="U251" s="439"/>
    </row>
    <row r="252" ht="15.75" customHeight="1">
      <c r="A252" s="439"/>
      <c r="B252" s="439"/>
      <c r="C252" s="439"/>
      <c r="D252" s="439"/>
      <c r="E252" s="247"/>
      <c r="F252" s="439"/>
      <c r="G252" s="439"/>
      <c r="H252" s="439"/>
      <c r="I252" s="439"/>
      <c r="J252" s="439"/>
      <c r="K252" s="247"/>
      <c r="L252" s="439"/>
      <c r="M252" s="439"/>
      <c r="N252" s="439"/>
      <c r="O252" s="439"/>
      <c r="P252" s="439"/>
      <c r="Q252" s="247"/>
      <c r="R252" s="439"/>
      <c r="S252" s="439"/>
      <c r="T252" s="439"/>
      <c r="U252" s="439"/>
    </row>
    <row r="253" ht="15.75" customHeight="1">
      <c r="A253" s="439"/>
      <c r="B253" s="439"/>
      <c r="C253" s="439"/>
      <c r="D253" s="439"/>
      <c r="E253" s="247"/>
      <c r="F253" s="439"/>
      <c r="G253" s="439"/>
      <c r="H253" s="439"/>
      <c r="I253" s="439"/>
      <c r="J253" s="439"/>
      <c r="K253" s="247"/>
      <c r="L253" s="439"/>
      <c r="M253" s="439"/>
      <c r="N253" s="439"/>
      <c r="O253" s="439"/>
      <c r="P253" s="439"/>
      <c r="Q253" s="247"/>
      <c r="R253" s="439"/>
      <c r="S253" s="439"/>
      <c r="T253" s="439"/>
      <c r="U253" s="439"/>
    </row>
    <row r="254" ht="15.75" customHeight="1">
      <c r="A254" s="439"/>
      <c r="B254" s="439"/>
      <c r="C254" s="439"/>
      <c r="D254" s="439"/>
      <c r="E254" s="247"/>
      <c r="F254" s="439"/>
      <c r="G254" s="439"/>
      <c r="H254" s="439"/>
      <c r="I254" s="439"/>
      <c r="J254" s="439"/>
      <c r="K254" s="247"/>
      <c r="L254" s="439"/>
      <c r="M254" s="439"/>
      <c r="N254" s="439"/>
      <c r="O254" s="439"/>
      <c r="P254" s="439"/>
      <c r="Q254" s="247"/>
      <c r="R254" s="439"/>
      <c r="S254" s="439"/>
      <c r="T254" s="439"/>
      <c r="U254" s="439"/>
    </row>
    <row r="255" ht="15.75" customHeight="1">
      <c r="A255" s="439"/>
      <c r="B255" s="439"/>
      <c r="C255" s="439"/>
      <c r="D255" s="439"/>
      <c r="E255" s="247"/>
      <c r="F255" s="439"/>
      <c r="G255" s="439"/>
      <c r="H255" s="439"/>
      <c r="I255" s="439"/>
      <c r="J255" s="439"/>
      <c r="K255" s="247"/>
      <c r="L255" s="439"/>
      <c r="M255" s="439"/>
      <c r="N255" s="439"/>
      <c r="O255" s="439"/>
      <c r="P255" s="439"/>
      <c r="Q255" s="247"/>
      <c r="R255" s="439"/>
      <c r="S255" s="439"/>
      <c r="T255" s="439"/>
      <c r="U255" s="439"/>
    </row>
    <row r="256" ht="15.75" customHeight="1">
      <c r="A256" s="439"/>
      <c r="B256" s="439"/>
      <c r="C256" s="439"/>
      <c r="D256" s="439"/>
      <c r="E256" s="247"/>
      <c r="F256" s="439"/>
      <c r="G256" s="439"/>
      <c r="H256" s="439"/>
      <c r="I256" s="439"/>
      <c r="J256" s="439"/>
      <c r="K256" s="247"/>
      <c r="L256" s="439"/>
      <c r="M256" s="439"/>
      <c r="N256" s="439"/>
      <c r="O256" s="439"/>
      <c r="P256" s="439"/>
      <c r="Q256" s="247"/>
      <c r="R256" s="439"/>
      <c r="S256" s="439"/>
      <c r="T256" s="439"/>
      <c r="U256" s="439"/>
    </row>
    <row r="257" ht="15.75" customHeight="1">
      <c r="A257" s="439"/>
      <c r="B257" s="439"/>
      <c r="C257" s="439"/>
      <c r="D257" s="439"/>
      <c r="E257" s="247"/>
      <c r="F257" s="439"/>
      <c r="G257" s="439"/>
      <c r="H257" s="439"/>
      <c r="I257" s="439"/>
      <c r="J257" s="439"/>
      <c r="K257" s="247"/>
      <c r="L257" s="439"/>
      <c r="M257" s="439"/>
      <c r="N257" s="439"/>
      <c r="O257" s="439"/>
      <c r="P257" s="439"/>
      <c r="Q257" s="247"/>
      <c r="R257" s="439"/>
      <c r="S257" s="439"/>
      <c r="T257" s="439"/>
      <c r="U257" s="439"/>
    </row>
    <row r="258" ht="15.75" customHeight="1">
      <c r="A258" s="439"/>
      <c r="B258" s="439"/>
      <c r="C258" s="439"/>
      <c r="D258" s="439"/>
      <c r="E258" s="247"/>
      <c r="F258" s="439"/>
      <c r="G258" s="439"/>
      <c r="H258" s="439"/>
      <c r="I258" s="439"/>
      <c r="J258" s="439"/>
      <c r="K258" s="247"/>
      <c r="L258" s="439"/>
      <c r="M258" s="439"/>
      <c r="N258" s="439"/>
      <c r="O258" s="439"/>
      <c r="P258" s="439"/>
      <c r="Q258" s="247"/>
      <c r="R258" s="439"/>
      <c r="S258" s="439"/>
      <c r="T258" s="439"/>
      <c r="U258" s="439"/>
    </row>
    <row r="259" ht="15.75" customHeight="1">
      <c r="A259" s="439"/>
      <c r="B259" s="439"/>
      <c r="C259" s="439"/>
      <c r="D259" s="439"/>
      <c r="E259" s="247"/>
      <c r="F259" s="439"/>
      <c r="G259" s="439"/>
      <c r="H259" s="439"/>
      <c r="I259" s="439"/>
      <c r="J259" s="439"/>
      <c r="K259" s="247"/>
      <c r="L259" s="439"/>
      <c r="M259" s="439"/>
      <c r="N259" s="439"/>
      <c r="O259" s="439"/>
      <c r="P259" s="439"/>
      <c r="Q259" s="247"/>
      <c r="R259" s="439"/>
      <c r="S259" s="439"/>
      <c r="T259" s="439"/>
      <c r="U259" s="439"/>
    </row>
    <row r="260" ht="15.75" customHeight="1">
      <c r="A260" s="439"/>
      <c r="B260" s="439"/>
      <c r="C260" s="439"/>
      <c r="D260" s="439"/>
      <c r="E260" s="247"/>
      <c r="F260" s="439"/>
      <c r="G260" s="439"/>
      <c r="H260" s="439"/>
      <c r="I260" s="439"/>
      <c r="J260" s="439"/>
      <c r="K260" s="247"/>
      <c r="L260" s="439"/>
      <c r="M260" s="439"/>
      <c r="N260" s="439"/>
      <c r="O260" s="439"/>
      <c r="P260" s="439"/>
      <c r="Q260" s="247"/>
      <c r="R260" s="439"/>
      <c r="S260" s="439"/>
      <c r="T260" s="439"/>
      <c r="U260" s="439"/>
    </row>
    <row r="261" ht="15.75" customHeight="1">
      <c r="A261" s="439"/>
      <c r="B261" s="439"/>
      <c r="C261" s="439"/>
      <c r="D261" s="439"/>
      <c r="E261" s="247"/>
      <c r="F261" s="439"/>
      <c r="G261" s="439"/>
      <c r="H261" s="439"/>
      <c r="I261" s="439"/>
      <c r="J261" s="439"/>
      <c r="K261" s="247"/>
      <c r="L261" s="439"/>
      <c r="M261" s="439"/>
      <c r="N261" s="439"/>
      <c r="O261" s="439"/>
      <c r="P261" s="439"/>
      <c r="Q261" s="247"/>
      <c r="R261" s="439"/>
      <c r="S261" s="439"/>
      <c r="T261" s="439"/>
      <c r="U261" s="439"/>
    </row>
    <row r="262" ht="15.75" customHeight="1">
      <c r="A262" s="439"/>
      <c r="B262" s="439"/>
      <c r="C262" s="439"/>
      <c r="D262" s="439"/>
      <c r="E262" s="247"/>
      <c r="F262" s="439"/>
      <c r="G262" s="439"/>
      <c r="H262" s="439"/>
      <c r="I262" s="439"/>
      <c r="J262" s="439"/>
      <c r="K262" s="247"/>
      <c r="L262" s="439"/>
      <c r="M262" s="439"/>
      <c r="N262" s="439"/>
      <c r="O262" s="439"/>
      <c r="P262" s="439"/>
      <c r="Q262" s="247"/>
      <c r="R262" s="439"/>
      <c r="S262" s="439"/>
      <c r="T262" s="439"/>
      <c r="U262" s="439"/>
    </row>
    <row r="263" ht="15.75" customHeight="1">
      <c r="A263" s="439"/>
      <c r="B263" s="439"/>
      <c r="C263" s="439"/>
      <c r="D263" s="439"/>
      <c r="E263" s="247"/>
      <c r="F263" s="439"/>
      <c r="G263" s="439"/>
      <c r="H263" s="439"/>
      <c r="I263" s="439"/>
      <c r="J263" s="439"/>
      <c r="K263" s="247"/>
      <c r="L263" s="439"/>
      <c r="M263" s="439"/>
      <c r="N263" s="439"/>
      <c r="O263" s="439"/>
      <c r="P263" s="439"/>
      <c r="Q263" s="247"/>
      <c r="R263" s="439"/>
      <c r="S263" s="439"/>
      <c r="T263" s="439"/>
      <c r="U263" s="439"/>
    </row>
    <row r="264" ht="15.75" customHeight="1">
      <c r="A264" s="439"/>
      <c r="B264" s="439"/>
      <c r="C264" s="439"/>
      <c r="D264" s="439"/>
      <c r="E264" s="247"/>
      <c r="F264" s="439"/>
      <c r="G264" s="439"/>
      <c r="H264" s="439"/>
      <c r="I264" s="439"/>
      <c r="J264" s="439"/>
      <c r="K264" s="247"/>
      <c r="L264" s="439"/>
      <c r="M264" s="439"/>
      <c r="N264" s="439"/>
      <c r="O264" s="439"/>
      <c r="P264" s="439"/>
      <c r="Q264" s="247"/>
      <c r="R264" s="439"/>
      <c r="S264" s="439"/>
      <c r="T264" s="439"/>
      <c r="U264" s="439"/>
    </row>
    <row r="265" ht="15.75" customHeight="1">
      <c r="A265" s="439"/>
      <c r="B265" s="439"/>
      <c r="C265" s="439"/>
      <c r="D265" s="439"/>
      <c r="E265" s="247"/>
      <c r="F265" s="439"/>
      <c r="G265" s="439"/>
      <c r="H265" s="439"/>
      <c r="I265" s="439"/>
      <c r="J265" s="439"/>
      <c r="K265" s="247"/>
      <c r="L265" s="439"/>
      <c r="M265" s="439"/>
      <c r="N265" s="439"/>
      <c r="O265" s="439"/>
      <c r="P265" s="439"/>
      <c r="Q265" s="247"/>
      <c r="R265" s="439"/>
      <c r="S265" s="439"/>
      <c r="T265" s="439"/>
      <c r="U265" s="439"/>
    </row>
    <row r="266" ht="15.75" customHeight="1">
      <c r="A266" s="439"/>
      <c r="B266" s="439"/>
      <c r="C266" s="439"/>
      <c r="D266" s="439"/>
      <c r="E266" s="247"/>
      <c r="F266" s="439"/>
      <c r="G266" s="439"/>
      <c r="H266" s="439"/>
      <c r="I266" s="439"/>
      <c r="J266" s="439"/>
      <c r="K266" s="247"/>
      <c r="L266" s="439"/>
      <c r="M266" s="439"/>
      <c r="N266" s="439"/>
      <c r="O266" s="439"/>
      <c r="P266" s="439"/>
      <c r="Q266" s="247"/>
      <c r="R266" s="439"/>
      <c r="S266" s="439"/>
      <c r="T266" s="439"/>
      <c r="U266" s="439"/>
    </row>
    <row r="267" ht="15.75" customHeight="1">
      <c r="A267" s="439"/>
      <c r="B267" s="439"/>
      <c r="C267" s="439"/>
      <c r="D267" s="439"/>
      <c r="E267" s="247"/>
      <c r="F267" s="439"/>
      <c r="G267" s="439"/>
      <c r="H267" s="439"/>
      <c r="I267" s="439"/>
      <c r="J267" s="439"/>
      <c r="K267" s="247"/>
      <c r="L267" s="439"/>
      <c r="M267" s="439"/>
      <c r="N267" s="439"/>
      <c r="O267" s="439"/>
      <c r="P267" s="439"/>
      <c r="Q267" s="247"/>
      <c r="R267" s="439"/>
      <c r="S267" s="439"/>
      <c r="T267" s="439"/>
      <c r="U267" s="439"/>
    </row>
    <row r="268" ht="15.75" customHeight="1">
      <c r="A268" s="439"/>
      <c r="B268" s="439"/>
      <c r="C268" s="439"/>
      <c r="D268" s="439"/>
      <c r="E268" s="247"/>
      <c r="F268" s="439"/>
      <c r="G268" s="439"/>
      <c r="H268" s="439"/>
      <c r="I268" s="439"/>
      <c r="J268" s="439"/>
      <c r="K268" s="247"/>
      <c r="L268" s="439"/>
      <c r="M268" s="439"/>
      <c r="N268" s="439"/>
      <c r="O268" s="439"/>
      <c r="P268" s="439"/>
      <c r="Q268" s="247"/>
      <c r="R268" s="439"/>
      <c r="S268" s="439"/>
      <c r="T268" s="439"/>
      <c r="U268" s="439"/>
    </row>
    <row r="269" ht="15.75" customHeight="1">
      <c r="A269" s="439"/>
      <c r="B269" s="439"/>
      <c r="C269" s="439"/>
      <c r="D269" s="439"/>
      <c r="E269" s="247"/>
      <c r="F269" s="439"/>
      <c r="G269" s="439"/>
      <c r="H269" s="439"/>
      <c r="I269" s="439"/>
      <c r="J269" s="439"/>
      <c r="K269" s="247"/>
      <c r="L269" s="439"/>
      <c r="M269" s="439"/>
      <c r="N269" s="439"/>
      <c r="O269" s="439"/>
      <c r="P269" s="439"/>
      <c r="Q269" s="247"/>
      <c r="R269" s="439"/>
      <c r="S269" s="439"/>
      <c r="T269" s="439"/>
      <c r="U269" s="439"/>
    </row>
    <row r="270" ht="15.75" customHeight="1">
      <c r="A270" s="439"/>
      <c r="B270" s="439"/>
      <c r="C270" s="439"/>
      <c r="D270" s="439"/>
      <c r="E270" s="247"/>
      <c r="F270" s="439"/>
      <c r="G270" s="439"/>
      <c r="H270" s="439"/>
      <c r="I270" s="439"/>
      <c r="J270" s="439"/>
      <c r="K270" s="247"/>
      <c r="L270" s="439"/>
      <c r="M270" s="439"/>
      <c r="N270" s="439"/>
      <c r="O270" s="439"/>
      <c r="P270" s="439"/>
      <c r="Q270" s="247"/>
      <c r="R270" s="439"/>
      <c r="S270" s="439"/>
      <c r="T270" s="439"/>
      <c r="U270" s="439"/>
    </row>
    <row r="271" ht="15.75" customHeight="1">
      <c r="A271" s="439"/>
      <c r="B271" s="439"/>
      <c r="C271" s="439"/>
      <c r="D271" s="439"/>
      <c r="E271" s="247"/>
      <c r="F271" s="439"/>
      <c r="G271" s="439"/>
      <c r="H271" s="439"/>
      <c r="I271" s="439"/>
      <c r="J271" s="439"/>
      <c r="K271" s="247"/>
      <c r="L271" s="439"/>
      <c r="M271" s="439"/>
      <c r="N271" s="439"/>
      <c r="O271" s="439"/>
      <c r="P271" s="439"/>
      <c r="Q271" s="247"/>
      <c r="R271" s="439"/>
      <c r="S271" s="439"/>
      <c r="T271" s="439"/>
      <c r="U271" s="439"/>
    </row>
    <row r="272" ht="15.75" customHeight="1">
      <c r="A272" s="439"/>
      <c r="B272" s="439"/>
      <c r="C272" s="439"/>
      <c r="D272" s="439"/>
      <c r="E272" s="247"/>
      <c r="F272" s="439"/>
      <c r="G272" s="439"/>
      <c r="H272" s="439"/>
      <c r="I272" s="439"/>
      <c r="J272" s="439"/>
      <c r="K272" s="247"/>
      <c r="L272" s="439"/>
      <c r="M272" s="439"/>
      <c r="N272" s="439"/>
      <c r="O272" s="439"/>
      <c r="P272" s="439"/>
      <c r="Q272" s="247"/>
      <c r="R272" s="439"/>
      <c r="S272" s="439"/>
      <c r="T272" s="439"/>
      <c r="U272" s="439"/>
    </row>
    <row r="273" ht="15.75" customHeight="1">
      <c r="A273" s="439"/>
      <c r="B273" s="439"/>
      <c r="C273" s="439"/>
      <c r="D273" s="439"/>
      <c r="E273" s="247"/>
      <c r="F273" s="439"/>
      <c r="G273" s="439"/>
      <c r="H273" s="439"/>
      <c r="I273" s="439"/>
      <c r="J273" s="439"/>
      <c r="K273" s="247"/>
      <c r="L273" s="439"/>
      <c r="M273" s="439"/>
      <c r="N273" s="439"/>
      <c r="O273" s="439"/>
      <c r="P273" s="439"/>
      <c r="Q273" s="247"/>
      <c r="R273" s="439"/>
      <c r="S273" s="439"/>
      <c r="T273" s="439"/>
      <c r="U273" s="439"/>
    </row>
    <row r="274" ht="15.75" customHeight="1">
      <c r="A274" s="439"/>
      <c r="B274" s="439"/>
      <c r="C274" s="439"/>
      <c r="D274" s="439"/>
      <c r="E274" s="247"/>
      <c r="F274" s="439"/>
      <c r="G274" s="439"/>
      <c r="H274" s="439"/>
      <c r="I274" s="439"/>
      <c r="J274" s="439"/>
      <c r="K274" s="247"/>
      <c r="L274" s="439"/>
      <c r="M274" s="439"/>
      <c r="N274" s="439"/>
      <c r="O274" s="439"/>
      <c r="P274" s="439"/>
      <c r="Q274" s="247"/>
      <c r="R274" s="439"/>
      <c r="S274" s="439"/>
      <c r="T274" s="439"/>
      <c r="U274" s="439"/>
    </row>
    <row r="275" ht="15.75" customHeight="1">
      <c r="A275" s="439"/>
      <c r="B275" s="439"/>
      <c r="C275" s="439"/>
      <c r="D275" s="439"/>
      <c r="E275" s="247"/>
      <c r="F275" s="439"/>
      <c r="G275" s="439"/>
      <c r="H275" s="439"/>
      <c r="I275" s="439"/>
      <c r="J275" s="439"/>
      <c r="K275" s="247"/>
      <c r="L275" s="439"/>
      <c r="M275" s="439"/>
      <c r="N275" s="439"/>
      <c r="O275" s="439"/>
      <c r="P275" s="439"/>
      <c r="Q275" s="247"/>
      <c r="R275" s="439"/>
      <c r="S275" s="439"/>
      <c r="T275" s="439"/>
      <c r="U275" s="439"/>
    </row>
    <row r="276" ht="15.75" customHeight="1">
      <c r="A276" s="439"/>
      <c r="B276" s="439"/>
      <c r="C276" s="439"/>
      <c r="D276" s="439"/>
      <c r="E276" s="247"/>
      <c r="F276" s="439"/>
      <c r="G276" s="439"/>
      <c r="H276" s="439"/>
      <c r="I276" s="439"/>
      <c r="J276" s="439"/>
      <c r="K276" s="247"/>
      <c r="L276" s="439"/>
      <c r="M276" s="439"/>
      <c r="N276" s="439"/>
      <c r="O276" s="439"/>
      <c r="P276" s="439"/>
      <c r="Q276" s="247"/>
      <c r="R276" s="439"/>
      <c r="S276" s="439"/>
      <c r="T276" s="439"/>
      <c r="U276" s="439"/>
    </row>
    <row r="277" ht="15.75" customHeight="1">
      <c r="A277" s="439"/>
      <c r="B277" s="439"/>
      <c r="C277" s="439"/>
      <c r="D277" s="439"/>
      <c r="E277" s="247"/>
      <c r="F277" s="439"/>
      <c r="G277" s="439"/>
      <c r="H277" s="439"/>
      <c r="I277" s="439"/>
      <c r="J277" s="439"/>
      <c r="K277" s="247"/>
      <c r="L277" s="439"/>
      <c r="M277" s="439"/>
      <c r="N277" s="439"/>
      <c r="O277" s="439"/>
      <c r="P277" s="439"/>
      <c r="Q277" s="247"/>
      <c r="R277" s="439"/>
      <c r="S277" s="439"/>
      <c r="T277" s="439"/>
      <c r="U277" s="439"/>
    </row>
    <row r="278" ht="15.75" customHeight="1">
      <c r="A278" s="439"/>
      <c r="B278" s="439"/>
      <c r="C278" s="439"/>
      <c r="D278" s="439"/>
      <c r="E278" s="247"/>
      <c r="F278" s="439"/>
      <c r="G278" s="439"/>
      <c r="H278" s="439"/>
      <c r="I278" s="439"/>
      <c r="J278" s="439"/>
      <c r="K278" s="247"/>
      <c r="L278" s="439"/>
      <c r="M278" s="439"/>
      <c r="N278" s="439"/>
      <c r="O278" s="439"/>
      <c r="P278" s="439"/>
      <c r="Q278" s="247"/>
      <c r="R278" s="439"/>
      <c r="S278" s="439"/>
      <c r="T278" s="439"/>
      <c r="U278" s="439"/>
    </row>
    <row r="279" ht="15.75" customHeight="1">
      <c r="A279" s="439"/>
      <c r="B279" s="439"/>
      <c r="C279" s="439"/>
      <c r="D279" s="439"/>
      <c r="E279" s="247"/>
      <c r="F279" s="439"/>
      <c r="G279" s="439"/>
      <c r="H279" s="439"/>
      <c r="I279" s="439"/>
      <c r="J279" s="439"/>
      <c r="K279" s="247"/>
      <c r="L279" s="439"/>
      <c r="M279" s="439"/>
      <c r="N279" s="439"/>
      <c r="O279" s="439"/>
      <c r="P279" s="439"/>
      <c r="Q279" s="247"/>
      <c r="R279" s="439"/>
      <c r="S279" s="439"/>
      <c r="T279" s="439"/>
      <c r="U279" s="439"/>
    </row>
    <row r="280" ht="15.75" customHeight="1">
      <c r="A280" s="439"/>
      <c r="B280" s="439"/>
      <c r="C280" s="439"/>
      <c r="D280" s="439"/>
      <c r="E280" s="247"/>
      <c r="F280" s="439"/>
      <c r="G280" s="439"/>
      <c r="H280" s="439"/>
      <c r="I280" s="439"/>
      <c r="J280" s="439"/>
      <c r="K280" s="247"/>
      <c r="L280" s="439"/>
      <c r="M280" s="439"/>
      <c r="N280" s="439"/>
      <c r="O280" s="439"/>
      <c r="P280" s="439"/>
      <c r="Q280" s="247"/>
      <c r="R280" s="439"/>
      <c r="S280" s="439"/>
      <c r="T280" s="439"/>
      <c r="U280" s="439"/>
    </row>
    <row r="281" ht="15.75" customHeight="1">
      <c r="A281" s="439"/>
      <c r="B281" s="439"/>
      <c r="C281" s="439"/>
      <c r="D281" s="439"/>
      <c r="E281" s="247"/>
      <c r="F281" s="439"/>
      <c r="G281" s="439"/>
      <c r="H281" s="439"/>
      <c r="I281" s="439"/>
      <c r="J281" s="439"/>
      <c r="K281" s="247"/>
      <c r="L281" s="439"/>
      <c r="M281" s="439"/>
      <c r="N281" s="439"/>
      <c r="O281" s="439"/>
      <c r="P281" s="439"/>
      <c r="Q281" s="247"/>
      <c r="R281" s="439"/>
      <c r="S281" s="439"/>
      <c r="T281" s="439"/>
      <c r="U281" s="439"/>
    </row>
    <row r="282" ht="15.75" customHeight="1">
      <c r="A282" s="439"/>
      <c r="B282" s="439"/>
      <c r="C282" s="439"/>
      <c r="D282" s="439"/>
      <c r="E282" s="247"/>
      <c r="F282" s="439"/>
      <c r="G282" s="439"/>
      <c r="H282" s="439"/>
      <c r="I282" s="439"/>
      <c r="J282" s="439"/>
      <c r="K282" s="247"/>
      <c r="L282" s="439"/>
      <c r="M282" s="439"/>
      <c r="N282" s="439"/>
      <c r="O282" s="439"/>
      <c r="P282" s="439"/>
      <c r="Q282" s="247"/>
      <c r="R282" s="439"/>
      <c r="S282" s="439"/>
      <c r="T282" s="439"/>
      <c r="U282" s="439"/>
    </row>
    <row r="283" ht="15.75" customHeight="1">
      <c r="A283" s="439"/>
      <c r="B283" s="439"/>
      <c r="C283" s="439"/>
      <c r="D283" s="439"/>
      <c r="E283" s="247"/>
      <c r="F283" s="439"/>
      <c r="G283" s="439"/>
      <c r="H283" s="439"/>
      <c r="I283" s="439"/>
      <c r="J283" s="439"/>
      <c r="K283" s="247"/>
      <c r="L283" s="439"/>
      <c r="M283" s="439"/>
      <c r="N283" s="439"/>
      <c r="O283" s="439"/>
      <c r="P283" s="439"/>
      <c r="Q283" s="247"/>
      <c r="R283" s="439"/>
      <c r="S283" s="439"/>
      <c r="T283" s="439"/>
      <c r="U283" s="439"/>
    </row>
    <row r="284" ht="15.75" customHeight="1">
      <c r="A284" s="439"/>
      <c r="B284" s="439"/>
      <c r="C284" s="439"/>
      <c r="D284" s="439"/>
      <c r="E284" s="247"/>
      <c r="F284" s="439"/>
      <c r="G284" s="439"/>
      <c r="H284" s="439"/>
      <c r="I284" s="439"/>
      <c r="J284" s="439"/>
      <c r="K284" s="247"/>
      <c r="L284" s="439"/>
      <c r="M284" s="439"/>
      <c r="N284" s="439"/>
      <c r="O284" s="439"/>
      <c r="P284" s="439"/>
      <c r="Q284" s="247"/>
      <c r="R284" s="439"/>
      <c r="S284" s="439"/>
      <c r="T284" s="439"/>
      <c r="U284" s="439"/>
    </row>
    <row r="285" ht="15.75" customHeight="1">
      <c r="A285" s="439"/>
      <c r="B285" s="439"/>
      <c r="C285" s="439"/>
      <c r="D285" s="439"/>
      <c r="E285" s="247"/>
      <c r="F285" s="439"/>
      <c r="G285" s="439"/>
      <c r="H285" s="439"/>
      <c r="I285" s="439"/>
      <c r="J285" s="439"/>
      <c r="K285" s="247"/>
      <c r="L285" s="439"/>
      <c r="M285" s="439"/>
      <c r="N285" s="439"/>
      <c r="O285" s="439"/>
      <c r="P285" s="439"/>
      <c r="Q285" s="247"/>
      <c r="R285" s="439"/>
      <c r="S285" s="439"/>
      <c r="T285" s="439"/>
      <c r="U285" s="439"/>
    </row>
    <row r="286" ht="15.75" customHeight="1">
      <c r="A286" s="439"/>
      <c r="B286" s="439"/>
      <c r="C286" s="439"/>
      <c r="D286" s="439"/>
      <c r="E286" s="247"/>
      <c r="F286" s="439"/>
      <c r="G286" s="439"/>
      <c r="H286" s="439"/>
      <c r="I286" s="439"/>
      <c r="J286" s="439"/>
      <c r="K286" s="247"/>
      <c r="L286" s="439"/>
      <c r="M286" s="439"/>
      <c r="N286" s="439"/>
      <c r="O286" s="439"/>
      <c r="P286" s="439"/>
      <c r="Q286" s="247"/>
      <c r="R286" s="439"/>
      <c r="S286" s="439"/>
      <c r="T286" s="439"/>
      <c r="U286" s="439"/>
    </row>
    <row r="287" ht="15.75" customHeight="1">
      <c r="A287" s="439"/>
      <c r="B287" s="439"/>
      <c r="C287" s="439"/>
      <c r="D287" s="439"/>
      <c r="E287" s="247"/>
      <c r="F287" s="439"/>
      <c r="G287" s="439"/>
      <c r="H287" s="439"/>
      <c r="I287" s="439"/>
      <c r="J287" s="439"/>
      <c r="K287" s="247"/>
      <c r="L287" s="439"/>
      <c r="M287" s="439"/>
      <c r="N287" s="439"/>
      <c r="O287" s="439"/>
      <c r="P287" s="439"/>
      <c r="Q287" s="247"/>
      <c r="R287" s="439"/>
      <c r="S287" s="439"/>
      <c r="T287" s="439"/>
      <c r="U287" s="439"/>
    </row>
    <row r="288" ht="15.75" customHeight="1">
      <c r="A288" s="439"/>
      <c r="B288" s="439"/>
      <c r="C288" s="439"/>
      <c r="D288" s="439"/>
      <c r="E288" s="247"/>
      <c r="F288" s="439"/>
      <c r="G288" s="439"/>
      <c r="H288" s="439"/>
      <c r="I288" s="439"/>
      <c r="J288" s="439"/>
      <c r="K288" s="247"/>
      <c r="L288" s="439"/>
      <c r="M288" s="439"/>
      <c r="N288" s="439"/>
      <c r="O288" s="439"/>
      <c r="P288" s="439"/>
      <c r="Q288" s="247"/>
      <c r="R288" s="439"/>
      <c r="S288" s="439"/>
      <c r="T288" s="439"/>
      <c r="U288" s="439"/>
    </row>
    <row r="289" ht="15.75" customHeight="1">
      <c r="A289" s="439"/>
      <c r="B289" s="439"/>
      <c r="C289" s="439"/>
      <c r="D289" s="439"/>
      <c r="E289" s="247"/>
      <c r="F289" s="439"/>
      <c r="G289" s="439"/>
      <c r="H289" s="439"/>
      <c r="I289" s="439"/>
      <c r="J289" s="439"/>
      <c r="K289" s="247"/>
      <c r="L289" s="439"/>
      <c r="M289" s="439"/>
      <c r="N289" s="439"/>
      <c r="O289" s="439"/>
      <c r="P289" s="439"/>
      <c r="Q289" s="247"/>
      <c r="R289" s="439"/>
      <c r="S289" s="439"/>
      <c r="T289" s="439"/>
      <c r="U289" s="439"/>
    </row>
    <row r="290" ht="15.75" customHeight="1">
      <c r="A290" s="439"/>
      <c r="B290" s="439"/>
      <c r="C290" s="439"/>
      <c r="D290" s="439"/>
      <c r="E290" s="247"/>
      <c r="F290" s="439"/>
      <c r="G290" s="439"/>
      <c r="H290" s="439"/>
      <c r="I290" s="439"/>
      <c r="J290" s="439"/>
      <c r="K290" s="247"/>
      <c r="L290" s="439"/>
      <c r="M290" s="439"/>
      <c r="N290" s="439"/>
      <c r="O290" s="439"/>
      <c r="P290" s="439"/>
      <c r="Q290" s="247"/>
      <c r="R290" s="439"/>
      <c r="S290" s="439"/>
      <c r="T290" s="439"/>
      <c r="U290" s="439"/>
    </row>
    <row r="291" ht="15.75" customHeight="1">
      <c r="A291" s="439"/>
      <c r="B291" s="439"/>
      <c r="C291" s="439"/>
      <c r="D291" s="439"/>
      <c r="E291" s="247"/>
      <c r="F291" s="439"/>
      <c r="G291" s="439"/>
      <c r="H291" s="439"/>
      <c r="I291" s="439"/>
      <c r="J291" s="439"/>
      <c r="K291" s="247"/>
      <c r="L291" s="439"/>
      <c r="M291" s="439"/>
      <c r="N291" s="439"/>
      <c r="O291" s="439"/>
      <c r="P291" s="439"/>
      <c r="Q291" s="247"/>
      <c r="R291" s="439"/>
      <c r="S291" s="439"/>
      <c r="T291" s="439"/>
      <c r="U291" s="439"/>
    </row>
    <row r="292" ht="15.75" customHeight="1">
      <c r="A292" s="439"/>
      <c r="B292" s="439"/>
      <c r="C292" s="439"/>
      <c r="D292" s="439"/>
      <c r="E292" s="247"/>
      <c r="F292" s="439"/>
      <c r="G292" s="439"/>
      <c r="H292" s="439"/>
      <c r="I292" s="439"/>
      <c r="J292" s="439"/>
      <c r="K292" s="247"/>
      <c r="L292" s="439"/>
      <c r="M292" s="439"/>
      <c r="N292" s="439"/>
      <c r="O292" s="439"/>
      <c r="P292" s="439"/>
      <c r="Q292" s="247"/>
      <c r="R292" s="439"/>
      <c r="S292" s="439"/>
      <c r="T292" s="439"/>
      <c r="U292" s="439"/>
    </row>
    <row r="293" ht="15.75" customHeight="1">
      <c r="A293" s="439"/>
      <c r="B293" s="439"/>
      <c r="C293" s="439"/>
      <c r="D293" s="439"/>
      <c r="E293" s="247"/>
      <c r="F293" s="439"/>
      <c r="G293" s="439"/>
      <c r="H293" s="439"/>
      <c r="I293" s="439"/>
      <c r="J293" s="439"/>
      <c r="K293" s="247"/>
      <c r="L293" s="439"/>
      <c r="M293" s="439"/>
      <c r="N293" s="439"/>
      <c r="O293" s="439"/>
      <c r="P293" s="439"/>
      <c r="Q293" s="247"/>
      <c r="R293" s="439"/>
      <c r="S293" s="439"/>
      <c r="T293" s="439"/>
      <c r="U293" s="439"/>
    </row>
    <row r="294" ht="15.75" customHeight="1">
      <c r="A294" s="439"/>
      <c r="B294" s="439"/>
      <c r="C294" s="439"/>
      <c r="D294" s="439"/>
      <c r="E294" s="247"/>
      <c r="F294" s="439"/>
      <c r="G294" s="439"/>
      <c r="H294" s="439"/>
      <c r="I294" s="439"/>
      <c r="J294" s="439"/>
      <c r="K294" s="247"/>
      <c r="L294" s="439"/>
      <c r="M294" s="439"/>
      <c r="N294" s="439"/>
      <c r="O294" s="439"/>
      <c r="P294" s="439"/>
      <c r="Q294" s="247"/>
      <c r="R294" s="439"/>
      <c r="S294" s="439"/>
      <c r="T294" s="439"/>
      <c r="U294" s="439"/>
    </row>
    <row r="295" ht="15.75" customHeight="1">
      <c r="A295" s="439"/>
      <c r="B295" s="439"/>
      <c r="C295" s="439"/>
      <c r="D295" s="439"/>
      <c r="E295" s="247"/>
      <c r="F295" s="439"/>
      <c r="G295" s="439"/>
      <c r="H295" s="439"/>
      <c r="I295" s="439"/>
      <c r="J295" s="439"/>
      <c r="K295" s="247"/>
      <c r="L295" s="439"/>
      <c r="M295" s="439"/>
      <c r="N295" s="439"/>
      <c r="O295" s="439"/>
      <c r="P295" s="439"/>
      <c r="Q295" s="247"/>
      <c r="R295" s="439"/>
      <c r="S295" s="439"/>
      <c r="T295" s="439"/>
      <c r="U295" s="439"/>
    </row>
    <row r="296" ht="15.75" customHeight="1">
      <c r="A296" s="439"/>
      <c r="B296" s="439"/>
      <c r="C296" s="439"/>
      <c r="D296" s="439"/>
      <c r="E296" s="247"/>
      <c r="F296" s="439"/>
      <c r="G296" s="439"/>
      <c r="H296" s="439"/>
      <c r="I296" s="439"/>
      <c r="J296" s="439"/>
      <c r="K296" s="247"/>
      <c r="L296" s="439"/>
      <c r="M296" s="439"/>
      <c r="N296" s="439"/>
      <c r="O296" s="439"/>
      <c r="P296" s="439"/>
      <c r="Q296" s="247"/>
      <c r="R296" s="439"/>
      <c r="S296" s="439"/>
      <c r="T296" s="439"/>
      <c r="U296" s="439"/>
    </row>
    <row r="297" ht="15.75" customHeight="1">
      <c r="A297" s="439"/>
      <c r="B297" s="439"/>
      <c r="C297" s="439"/>
      <c r="D297" s="439"/>
      <c r="E297" s="247"/>
      <c r="F297" s="439"/>
      <c r="G297" s="439"/>
      <c r="H297" s="439"/>
      <c r="I297" s="439"/>
      <c r="J297" s="439"/>
      <c r="K297" s="247"/>
      <c r="L297" s="439"/>
      <c r="M297" s="439"/>
      <c r="N297" s="439"/>
      <c r="O297" s="439"/>
      <c r="P297" s="439"/>
      <c r="Q297" s="247"/>
      <c r="R297" s="439"/>
      <c r="S297" s="439"/>
      <c r="T297" s="439"/>
      <c r="U297" s="439"/>
    </row>
    <row r="298" ht="15.75" customHeight="1">
      <c r="A298" s="439"/>
      <c r="B298" s="439"/>
      <c r="C298" s="439"/>
      <c r="D298" s="439"/>
      <c r="E298" s="247"/>
      <c r="F298" s="439"/>
      <c r="G298" s="439"/>
      <c r="H298" s="439"/>
      <c r="I298" s="439"/>
      <c r="J298" s="439"/>
      <c r="K298" s="247"/>
      <c r="L298" s="439"/>
      <c r="M298" s="439"/>
      <c r="N298" s="439"/>
      <c r="O298" s="439"/>
      <c r="P298" s="439"/>
      <c r="Q298" s="247"/>
      <c r="R298" s="439"/>
      <c r="S298" s="439"/>
      <c r="T298" s="439"/>
      <c r="U298" s="439"/>
    </row>
    <row r="299" ht="15.75" customHeight="1">
      <c r="A299" s="439"/>
      <c r="B299" s="439"/>
      <c r="C299" s="439"/>
      <c r="D299" s="439"/>
      <c r="E299" s="247"/>
      <c r="F299" s="439"/>
      <c r="G299" s="439"/>
      <c r="H299" s="439"/>
      <c r="I299" s="439"/>
      <c r="J299" s="439"/>
      <c r="K299" s="247"/>
      <c r="L299" s="439"/>
      <c r="M299" s="439"/>
      <c r="N299" s="439"/>
      <c r="O299" s="439"/>
      <c r="P299" s="439"/>
      <c r="Q299" s="247"/>
      <c r="R299" s="439"/>
      <c r="S299" s="439"/>
      <c r="T299" s="439"/>
      <c r="U299" s="439"/>
    </row>
    <row r="300" ht="15.75" customHeight="1">
      <c r="A300" s="439"/>
      <c r="B300" s="439"/>
      <c r="C300" s="439"/>
      <c r="D300" s="439"/>
      <c r="E300" s="247"/>
      <c r="F300" s="439"/>
      <c r="G300" s="439"/>
      <c r="H300" s="439"/>
      <c r="I300" s="439"/>
      <c r="J300" s="439"/>
      <c r="K300" s="247"/>
      <c r="L300" s="439"/>
      <c r="M300" s="439"/>
      <c r="N300" s="439"/>
      <c r="O300" s="439"/>
      <c r="P300" s="439"/>
      <c r="Q300" s="247"/>
      <c r="R300" s="439"/>
      <c r="S300" s="439"/>
      <c r="T300" s="439"/>
      <c r="U300" s="439"/>
    </row>
    <row r="301" ht="15.75" customHeight="1">
      <c r="A301" s="439"/>
      <c r="B301" s="439"/>
      <c r="C301" s="439"/>
      <c r="D301" s="439"/>
      <c r="E301" s="247"/>
      <c r="F301" s="439"/>
      <c r="G301" s="439"/>
      <c r="H301" s="439"/>
      <c r="I301" s="439"/>
      <c r="J301" s="439"/>
      <c r="K301" s="247"/>
      <c r="L301" s="439"/>
      <c r="M301" s="439"/>
      <c r="N301" s="439"/>
      <c r="O301" s="439"/>
      <c r="P301" s="439"/>
      <c r="Q301" s="247"/>
      <c r="R301" s="439"/>
      <c r="S301" s="439"/>
      <c r="T301" s="439"/>
      <c r="U301" s="439"/>
    </row>
    <row r="302" ht="15.75" customHeight="1">
      <c r="A302" s="439"/>
      <c r="B302" s="439"/>
      <c r="C302" s="439"/>
      <c r="D302" s="439"/>
      <c r="E302" s="247"/>
      <c r="F302" s="439"/>
      <c r="G302" s="439"/>
      <c r="H302" s="439"/>
      <c r="I302" s="439"/>
      <c r="J302" s="439"/>
      <c r="K302" s="247"/>
      <c r="L302" s="439"/>
      <c r="M302" s="439"/>
      <c r="N302" s="439"/>
      <c r="O302" s="439"/>
      <c r="P302" s="439"/>
      <c r="Q302" s="247"/>
      <c r="R302" s="439"/>
      <c r="S302" s="439"/>
      <c r="T302" s="439"/>
      <c r="U302" s="439"/>
    </row>
    <row r="303" ht="15.75" customHeight="1">
      <c r="A303" s="439"/>
      <c r="B303" s="439"/>
      <c r="C303" s="439"/>
      <c r="D303" s="439"/>
      <c r="E303" s="247"/>
      <c r="F303" s="439"/>
      <c r="G303" s="439"/>
      <c r="H303" s="439"/>
      <c r="I303" s="439"/>
      <c r="J303" s="439"/>
      <c r="K303" s="247"/>
      <c r="L303" s="439"/>
      <c r="M303" s="439"/>
      <c r="N303" s="439"/>
      <c r="O303" s="439"/>
      <c r="P303" s="439"/>
      <c r="Q303" s="247"/>
      <c r="R303" s="439"/>
      <c r="S303" s="439"/>
      <c r="T303" s="439"/>
      <c r="U303" s="439"/>
    </row>
    <row r="304" ht="15.75" customHeight="1">
      <c r="A304" s="439"/>
      <c r="B304" s="439"/>
      <c r="C304" s="439"/>
      <c r="D304" s="439"/>
      <c r="E304" s="247"/>
      <c r="F304" s="439"/>
      <c r="G304" s="439"/>
      <c r="H304" s="439"/>
      <c r="I304" s="439"/>
      <c r="J304" s="439"/>
      <c r="K304" s="247"/>
      <c r="L304" s="439"/>
      <c r="M304" s="439"/>
      <c r="N304" s="439"/>
      <c r="O304" s="439"/>
      <c r="P304" s="439"/>
      <c r="Q304" s="247"/>
      <c r="R304" s="439"/>
      <c r="S304" s="439"/>
      <c r="T304" s="439"/>
      <c r="U304" s="439"/>
    </row>
    <row r="305" ht="15.75" customHeight="1">
      <c r="A305" s="439"/>
      <c r="B305" s="439"/>
      <c r="C305" s="439"/>
      <c r="D305" s="439"/>
      <c r="E305" s="247"/>
      <c r="F305" s="439"/>
      <c r="G305" s="439"/>
      <c r="H305" s="439"/>
      <c r="I305" s="439"/>
      <c r="J305" s="439"/>
      <c r="K305" s="247"/>
      <c r="L305" s="439"/>
      <c r="M305" s="439"/>
      <c r="N305" s="439"/>
      <c r="O305" s="439"/>
      <c r="P305" s="439"/>
      <c r="Q305" s="247"/>
      <c r="R305" s="439"/>
      <c r="S305" s="439"/>
      <c r="T305" s="439"/>
      <c r="U305" s="439"/>
    </row>
    <row r="306" ht="15.75" customHeight="1">
      <c r="A306" s="439"/>
      <c r="B306" s="439"/>
      <c r="C306" s="439"/>
      <c r="D306" s="439"/>
      <c r="E306" s="247"/>
      <c r="F306" s="439"/>
      <c r="G306" s="439"/>
      <c r="H306" s="439"/>
      <c r="I306" s="439"/>
      <c r="J306" s="439"/>
      <c r="K306" s="247"/>
      <c r="L306" s="439"/>
      <c r="M306" s="439"/>
      <c r="N306" s="439"/>
      <c r="O306" s="439"/>
      <c r="P306" s="439"/>
      <c r="Q306" s="247"/>
      <c r="R306" s="439"/>
      <c r="S306" s="439"/>
      <c r="T306" s="439"/>
      <c r="U306" s="439"/>
    </row>
    <row r="307" ht="15.75" customHeight="1">
      <c r="A307" s="439"/>
      <c r="B307" s="439"/>
      <c r="C307" s="439"/>
      <c r="D307" s="439"/>
      <c r="E307" s="247"/>
      <c r="F307" s="439"/>
      <c r="G307" s="439"/>
      <c r="H307" s="439"/>
      <c r="I307" s="439"/>
      <c r="J307" s="439"/>
      <c r="K307" s="247"/>
      <c r="L307" s="439"/>
      <c r="M307" s="439"/>
      <c r="N307" s="439"/>
      <c r="O307" s="439"/>
      <c r="P307" s="439"/>
      <c r="Q307" s="247"/>
      <c r="R307" s="439"/>
      <c r="S307" s="439"/>
      <c r="T307" s="439"/>
      <c r="U307" s="439"/>
    </row>
    <row r="308" ht="15.75" customHeight="1">
      <c r="A308" s="439"/>
      <c r="B308" s="439"/>
      <c r="C308" s="439"/>
      <c r="D308" s="439"/>
      <c r="E308" s="247"/>
      <c r="F308" s="439"/>
      <c r="G308" s="439"/>
      <c r="H308" s="439"/>
      <c r="I308" s="439"/>
      <c r="J308" s="439"/>
      <c r="K308" s="247"/>
      <c r="L308" s="439"/>
      <c r="M308" s="439"/>
      <c r="N308" s="439"/>
      <c r="O308" s="439"/>
      <c r="P308" s="439"/>
      <c r="Q308" s="247"/>
      <c r="R308" s="439"/>
      <c r="S308" s="439"/>
      <c r="T308" s="439"/>
      <c r="U308" s="439"/>
    </row>
    <row r="309" ht="15.75" customHeight="1">
      <c r="A309" s="439"/>
      <c r="B309" s="439"/>
      <c r="C309" s="439"/>
      <c r="D309" s="439"/>
      <c r="E309" s="247"/>
      <c r="F309" s="439"/>
      <c r="G309" s="439"/>
      <c r="H309" s="439"/>
      <c r="I309" s="439"/>
      <c r="J309" s="439"/>
      <c r="K309" s="247"/>
      <c r="L309" s="439"/>
      <c r="M309" s="439"/>
      <c r="N309" s="439"/>
      <c r="O309" s="439"/>
      <c r="P309" s="439"/>
      <c r="Q309" s="247"/>
      <c r="R309" s="439"/>
      <c r="S309" s="439"/>
      <c r="T309" s="439"/>
      <c r="U309" s="439"/>
    </row>
    <row r="310" ht="15.75" customHeight="1">
      <c r="A310" s="439"/>
      <c r="B310" s="439"/>
      <c r="C310" s="439"/>
      <c r="D310" s="439"/>
      <c r="E310" s="247"/>
      <c r="F310" s="439"/>
      <c r="G310" s="439"/>
      <c r="H310" s="439"/>
      <c r="I310" s="439"/>
      <c r="J310" s="439"/>
      <c r="K310" s="247"/>
      <c r="L310" s="439"/>
      <c r="M310" s="439"/>
      <c r="N310" s="439"/>
      <c r="O310" s="439"/>
      <c r="P310" s="439"/>
      <c r="Q310" s="247"/>
      <c r="R310" s="439"/>
      <c r="S310" s="439"/>
      <c r="T310" s="439"/>
      <c r="U310" s="439"/>
    </row>
    <row r="311" ht="15.75" customHeight="1">
      <c r="A311" s="439"/>
      <c r="B311" s="439"/>
      <c r="C311" s="439"/>
      <c r="D311" s="439"/>
      <c r="E311" s="247"/>
      <c r="F311" s="439"/>
      <c r="G311" s="439"/>
      <c r="H311" s="439"/>
      <c r="I311" s="439"/>
      <c r="J311" s="439"/>
      <c r="K311" s="247"/>
      <c r="L311" s="439"/>
      <c r="M311" s="439"/>
      <c r="N311" s="439"/>
      <c r="O311" s="439"/>
      <c r="P311" s="439"/>
      <c r="Q311" s="247"/>
      <c r="R311" s="439"/>
      <c r="S311" s="439"/>
      <c r="T311" s="439"/>
      <c r="U311" s="439"/>
    </row>
    <row r="312" ht="15.75" customHeight="1">
      <c r="A312" s="439"/>
      <c r="B312" s="439"/>
      <c r="C312" s="439"/>
      <c r="D312" s="439"/>
      <c r="E312" s="247"/>
      <c r="F312" s="439"/>
      <c r="G312" s="439"/>
      <c r="H312" s="439"/>
      <c r="I312" s="439"/>
      <c r="J312" s="439"/>
      <c r="K312" s="247"/>
      <c r="L312" s="439"/>
      <c r="M312" s="439"/>
      <c r="N312" s="439"/>
      <c r="O312" s="439"/>
      <c r="P312" s="439"/>
      <c r="Q312" s="247"/>
      <c r="R312" s="439"/>
      <c r="S312" s="439"/>
      <c r="T312" s="439"/>
      <c r="U312" s="439"/>
    </row>
    <row r="313" ht="15.75" customHeight="1">
      <c r="A313" s="439"/>
      <c r="B313" s="439"/>
      <c r="C313" s="439"/>
      <c r="D313" s="439"/>
      <c r="E313" s="247"/>
      <c r="F313" s="439"/>
      <c r="G313" s="439"/>
      <c r="H313" s="439"/>
      <c r="I313" s="439"/>
      <c r="J313" s="439"/>
      <c r="K313" s="247"/>
      <c r="L313" s="439"/>
      <c r="M313" s="439"/>
      <c r="N313" s="439"/>
      <c r="O313" s="439"/>
      <c r="P313" s="439"/>
      <c r="Q313" s="247"/>
      <c r="R313" s="439"/>
      <c r="S313" s="439"/>
      <c r="T313" s="439"/>
      <c r="U313" s="439"/>
    </row>
    <row r="314" ht="15.75" customHeight="1">
      <c r="A314" s="439"/>
      <c r="B314" s="439"/>
      <c r="C314" s="439"/>
      <c r="D314" s="439"/>
      <c r="E314" s="247"/>
      <c r="F314" s="439"/>
      <c r="G314" s="439"/>
      <c r="H314" s="439"/>
      <c r="I314" s="439"/>
      <c r="J314" s="439"/>
      <c r="K314" s="247"/>
      <c r="L314" s="439"/>
      <c r="M314" s="439"/>
      <c r="N314" s="439"/>
      <c r="O314" s="439"/>
      <c r="P314" s="439"/>
      <c r="Q314" s="247"/>
      <c r="R314" s="439"/>
      <c r="S314" s="439"/>
      <c r="T314" s="439"/>
      <c r="U314" s="439"/>
    </row>
    <row r="315" ht="15.75" customHeight="1">
      <c r="A315" s="439"/>
      <c r="B315" s="439"/>
      <c r="C315" s="439"/>
      <c r="D315" s="439"/>
      <c r="E315" s="247"/>
      <c r="F315" s="439"/>
      <c r="G315" s="439"/>
      <c r="H315" s="439"/>
      <c r="I315" s="439"/>
      <c r="J315" s="439"/>
      <c r="K315" s="247"/>
      <c r="L315" s="439"/>
      <c r="M315" s="439"/>
      <c r="N315" s="439"/>
      <c r="O315" s="439"/>
      <c r="P315" s="439"/>
      <c r="Q315" s="247"/>
      <c r="R315" s="439"/>
      <c r="S315" s="439"/>
      <c r="T315" s="439"/>
      <c r="U315" s="439"/>
    </row>
    <row r="316" ht="15.75" customHeight="1">
      <c r="A316" s="439"/>
      <c r="B316" s="439"/>
      <c r="C316" s="439"/>
      <c r="D316" s="439"/>
      <c r="E316" s="247"/>
      <c r="F316" s="439"/>
      <c r="G316" s="439"/>
      <c r="H316" s="439"/>
      <c r="I316" s="439"/>
      <c r="J316" s="439"/>
      <c r="K316" s="247"/>
      <c r="L316" s="439"/>
      <c r="M316" s="439"/>
      <c r="N316" s="439"/>
      <c r="O316" s="439"/>
      <c r="P316" s="439"/>
      <c r="Q316" s="247"/>
      <c r="R316" s="439"/>
      <c r="S316" s="439"/>
      <c r="T316" s="439"/>
      <c r="U316" s="439"/>
    </row>
    <row r="317" ht="15.75" customHeight="1">
      <c r="A317" s="439"/>
      <c r="B317" s="439"/>
      <c r="C317" s="439"/>
      <c r="D317" s="439"/>
      <c r="E317" s="247"/>
      <c r="F317" s="439"/>
      <c r="G317" s="439"/>
      <c r="H317" s="439"/>
      <c r="I317" s="439"/>
      <c r="J317" s="439"/>
      <c r="K317" s="247"/>
      <c r="L317" s="439"/>
      <c r="M317" s="439"/>
      <c r="N317" s="439"/>
      <c r="O317" s="439"/>
      <c r="P317" s="439"/>
      <c r="Q317" s="247"/>
      <c r="R317" s="439"/>
      <c r="S317" s="439"/>
      <c r="T317" s="439"/>
      <c r="U317" s="439"/>
    </row>
    <row r="318" ht="15.75" customHeight="1">
      <c r="A318" s="439"/>
      <c r="B318" s="439"/>
      <c r="C318" s="439"/>
      <c r="D318" s="439"/>
      <c r="E318" s="247"/>
      <c r="F318" s="439"/>
      <c r="G318" s="439"/>
      <c r="H318" s="439"/>
      <c r="I318" s="439"/>
      <c r="J318" s="439"/>
      <c r="K318" s="247"/>
      <c r="L318" s="439"/>
      <c r="M318" s="439"/>
      <c r="N318" s="439"/>
      <c r="O318" s="439"/>
      <c r="P318" s="439"/>
      <c r="Q318" s="247"/>
      <c r="R318" s="439"/>
      <c r="S318" s="439"/>
      <c r="T318" s="439"/>
      <c r="U318" s="439"/>
    </row>
    <row r="319" ht="15.75" customHeight="1">
      <c r="A319" s="439"/>
      <c r="B319" s="439"/>
      <c r="C319" s="439"/>
      <c r="D319" s="439"/>
      <c r="E319" s="247"/>
      <c r="F319" s="439"/>
      <c r="G319" s="439"/>
      <c r="H319" s="439"/>
      <c r="I319" s="439"/>
      <c r="J319" s="439"/>
      <c r="K319" s="247"/>
      <c r="L319" s="439"/>
      <c r="M319" s="439"/>
      <c r="N319" s="439"/>
      <c r="O319" s="439"/>
      <c r="P319" s="439"/>
      <c r="Q319" s="247"/>
      <c r="R319" s="439"/>
      <c r="S319" s="439"/>
      <c r="T319" s="439"/>
      <c r="U319" s="439"/>
    </row>
    <row r="320" ht="15.75" customHeight="1">
      <c r="A320" s="439"/>
      <c r="B320" s="439"/>
      <c r="C320" s="439"/>
      <c r="D320" s="439"/>
      <c r="E320" s="247"/>
      <c r="F320" s="439"/>
      <c r="G320" s="439"/>
      <c r="H320" s="439"/>
      <c r="I320" s="439"/>
      <c r="J320" s="439"/>
      <c r="K320" s="247"/>
      <c r="L320" s="439"/>
      <c r="M320" s="439"/>
      <c r="N320" s="439"/>
      <c r="O320" s="439"/>
      <c r="P320" s="439"/>
      <c r="Q320" s="247"/>
      <c r="R320" s="439"/>
      <c r="S320" s="439"/>
      <c r="T320" s="439"/>
      <c r="U320" s="439"/>
    </row>
    <row r="321" ht="15.75" customHeight="1">
      <c r="A321" s="439"/>
      <c r="B321" s="439"/>
      <c r="C321" s="439"/>
      <c r="D321" s="439"/>
      <c r="E321" s="247"/>
      <c r="F321" s="439"/>
      <c r="G321" s="439"/>
      <c r="H321" s="439"/>
      <c r="I321" s="439"/>
      <c r="J321" s="439"/>
      <c r="K321" s="247"/>
      <c r="L321" s="439"/>
      <c r="M321" s="439"/>
      <c r="N321" s="439"/>
      <c r="O321" s="439"/>
      <c r="P321" s="439"/>
      <c r="Q321" s="247"/>
      <c r="R321" s="439"/>
      <c r="S321" s="439"/>
      <c r="T321" s="439"/>
      <c r="U321" s="439"/>
    </row>
    <row r="322" ht="15.75" customHeight="1">
      <c r="A322" s="439"/>
      <c r="B322" s="439"/>
      <c r="C322" s="439"/>
      <c r="D322" s="439"/>
      <c r="E322" s="247"/>
      <c r="F322" s="439"/>
      <c r="G322" s="439"/>
      <c r="H322" s="439"/>
      <c r="I322" s="439"/>
      <c r="J322" s="439"/>
      <c r="K322" s="247"/>
      <c r="L322" s="439"/>
      <c r="M322" s="439"/>
      <c r="N322" s="439"/>
      <c r="O322" s="439"/>
      <c r="P322" s="439"/>
      <c r="Q322" s="247"/>
      <c r="R322" s="439"/>
      <c r="S322" s="439"/>
      <c r="T322" s="439"/>
      <c r="U322" s="439"/>
    </row>
    <row r="323" ht="15.75" customHeight="1">
      <c r="A323" s="439"/>
      <c r="B323" s="439"/>
      <c r="C323" s="439"/>
      <c r="D323" s="439"/>
      <c r="E323" s="247"/>
      <c r="F323" s="439"/>
      <c r="G323" s="439"/>
      <c r="H323" s="439"/>
      <c r="I323" s="439"/>
      <c r="J323" s="439"/>
      <c r="K323" s="247"/>
      <c r="L323" s="439"/>
      <c r="M323" s="439"/>
      <c r="N323" s="439"/>
      <c r="O323" s="439"/>
      <c r="P323" s="439"/>
      <c r="Q323" s="247"/>
      <c r="R323" s="439"/>
      <c r="S323" s="439"/>
      <c r="T323" s="439"/>
      <c r="U323" s="439"/>
    </row>
    <row r="324" ht="15.75" customHeight="1">
      <c r="A324" s="439"/>
      <c r="B324" s="439"/>
      <c r="C324" s="439"/>
      <c r="D324" s="439"/>
      <c r="E324" s="247"/>
      <c r="F324" s="439"/>
      <c r="G324" s="439"/>
      <c r="H324" s="439"/>
      <c r="I324" s="439"/>
      <c r="J324" s="439"/>
      <c r="K324" s="247"/>
      <c r="L324" s="439"/>
      <c r="M324" s="439"/>
      <c r="N324" s="439"/>
      <c r="O324" s="439"/>
      <c r="P324" s="439"/>
      <c r="Q324" s="247"/>
      <c r="R324" s="439"/>
      <c r="S324" s="439"/>
      <c r="T324" s="439"/>
      <c r="U324" s="439"/>
    </row>
    <row r="325" ht="15.75" customHeight="1">
      <c r="A325" s="439"/>
      <c r="B325" s="439"/>
      <c r="C325" s="439"/>
      <c r="D325" s="439"/>
      <c r="E325" s="247"/>
      <c r="F325" s="439"/>
      <c r="G325" s="439"/>
      <c r="H325" s="439"/>
      <c r="I325" s="439"/>
      <c r="J325" s="439"/>
      <c r="K325" s="247"/>
      <c r="L325" s="439"/>
      <c r="M325" s="439"/>
      <c r="N325" s="439"/>
      <c r="O325" s="439"/>
      <c r="P325" s="439"/>
      <c r="Q325" s="247"/>
      <c r="R325" s="439"/>
      <c r="S325" s="439"/>
      <c r="T325" s="439"/>
      <c r="U325" s="439"/>
    </row>
    <row r="326" ht="15.75" customHeight="1">
      <c r="A326" s="439"/>
      <c r="B326" s="439"/>
      <c r="C326" s="439"/>
      <c r="D326" s="439"/>
      <c r="E326" s="247"/>
      <c r="F326" s="439"/>
      <c r="G326" s="439"/>
      <c r="H326" s="439"/>
      <c r="I326" s="439"/>
      <c r="J326" s="439"/>
      <c r="K326" s="247"/>
      <c r="L326" s="439"/>
      <c r="M326" s="439"/>
      <c r="N326" s="439"/>
      <c r="O326" s="439"/>
      <c r="P326" s="439"/>
      <c r="Q326" s="247"/>
      <c r="R326" s="439"/>
      <c r="S326" s="439"/>
      <c r="T326" s="439"/>
      <c r="U326" s="439"/>
    </row>
    <row r="327" ht="15.75" customHeight="1">
      <c r="A327" s="439"/>
      <c r="B327" s="439"/>
      <c r="C327" s="439"/>
      <c r="D327" s="439"/>
      <c r="E327" s="247"/>
      <c r="F327" s="439"/>
      <c r="G327" s="439"/>
      <c r="H327" s="439"/>
      <c r="I327" s="439"/>
      <c r="J327" s="439"/>
      <c r="K327" s="247"/>
      <c r="L327" s="439"/>
      <c r="M327" s="439"/>
      <c r="N327" s="439"/>
      <c r="O327" s="439"/>
      <c r="P327" s="439"/>
      <c r="Q327" s="247"/>
      <c r="R327" s="439"/>
      <c r="S327" s="439"/>
      <c r="T327" s="439"/>
      <c r="U327" s="439"/>
    </row>
    <row r="328" ht="15.75" customHeight="1">
      <c r="A328" s="439"/>
      <c r="B328" s="439"/>
      <c r="C328" s="439"/>
      <c r="D328" s="439"/>
      <c r="E328" s="247"/>
      <c r="F328" s="439"/>
      <c r="G328" s="439"/>
      <c r="H328" s="439"/>
      <c r="I328" s="439"/>
      <c r="J328" s="439"/>
      <c r="K328" s="247"/>
      <c r="L328" s="439"/>
      <c r="M328" s="439"/>
      <c r="N328" s="439"/>
      <c r="O328" s="439"/>
      <c r="P328" s="439"/>
      <c r="Q328" s="247"/>
      <c r="R328" s="439"/>
      <c r="S328" s="439"/>
      <c r="T328" s="439"/>
      <c r="U328" s="439"/>
    </row>
    <row r="329" ht="15.75" customHeight="1">
      <c r="A329" s="439"/>
      <c r="B329" s="439"/>
      <c r="C329" s="439"/>
      <c r="D329" s="439"/>
      <c r="E329" s="247"/>
      <c r="F329" s="439"/>
      <c r="G329" s="439"/>
      <c r="H329" s="439"/>
      <c r="I329" s="439"/>
      <c r="J329" s="439"/>
      <c r="K329" s="247"/>
      <c r="L329" s="439"/>
      <c r="M329" s="439"/>
      <c r="N329" s="439"/>
      <c r="O329" s="439"/>
      <c r="P329" s="439"/>
      <c r="Q329" s="247"/>
      <c r="R329" s="439"/>
      <c r="S329" s="439"/>
      <c r="T329" s="439"/>
      <c r="U329" s="439"/>
    </row>
    <row r="330" ht="15.75" customHeight="1">
      <c r="A330" s="439"/>
      <c r="B330" s="439"/>
      <c r="C330" s="439"/>
      <c r="D330" s="439"/>
      <c r="E330" s="247"/>
      <c r="F330" s="439"/>
      <c r="G330" s="439"/>
      <c r="H330" s="439"/>
      <c r="I330" s="439"/>
      <c r="J330" s="439"/>
      <c r="K330" s="247"/>
      <c r="L330" s="439"/>
      <c r="M330" s="439"/>
      <c r="N330" s="439"/>
      <c r="O330" s="439"/>
      <c r="P330" s="439"/>
      <c r="Q330" s="247"/>
      <c r="R330" s="439"/>
      <c r="S330" s="439"/>
      <c r="T330" s="439"/>
      <c r="U330" s="439"/>
    </row>
    <row r="331" ht="15.75" customHeight="1">
      <c r="A331" s="439"/>
      <c r="B331" s="439"/>
      <c r="C331" s="439"/>
      <c r="D331" s="439"/>
      <c r="E331" s="247"/>
      <c r="F331" s="439"/>
      <c r="G331" s="439"/>
      <c r="H331" s="439"/>
      <c r="I331" s="439"/>
      <c r="J331" s="439"/>
      <c r="K331" s="247"/>
      <c r="L331" s="439"/>
      <c r="M331" s="439"/>
      <c r="N331" s="439"/>
      <c r="O331" s="439"/>
      <c r="P331" s="439"/>
      <c r="Q331" s="247"/>
      <c r="R331" s="439"/>
      <c r="S331" s="439"/>
      <c r="T331" s="439"/>
      <c r="U331" s="439"/>
    </row>
    <row r="332" ht="15.75" customHeight="1">
      <c r="A332" s="439"/>
      <c r="B332" s="439"/>
      <c r="C332" s="439"/>
      <c r="D332" s="439"/>
      <c r="E332" s="247"/>
      <c r="F332" s="439"/>
      <c r="G332" s="439"/>
      <c r="H332" s="439"/>
      <c r="I332" s="439"/>
      <c r="J332" s="439"/>
      <c r="K332" s="247"/>
      <c r="L332" s="439"/>
      <c r="M332" s="439"/>
      <c r="N332" s="439"/>
      <c r="O332" s="439"/>
      <c r="P332" s="439"/>
      <c r="Q332" s="247"/>
      <c r="R332" s="439"/>
      <c r="S332" s="439"/>
      <c r="T332" s="439"/>
      <c r="U332" s="439"/>
    </row>
    <row r="333" ht="15.75" customHeight="1">
      <c r="A333" s="439"/>
      <c r="B333" s="439"/>
      <c r="C333" s="439"/>
      <c r="D333" s="439"/>
      <c r="E333" s="247"/>
      <c r="F333" s="439"/>
      <c r="G333" s="439"/>
      <c r="H333" s="439"/>
      <c r="I333" s="439"/>
      <c r="J333" s="439"/>
      <c r="K333" s="247"/>
      <c r="L333" s="439"/>
      <c r="M333" s="439"/>
      <c r="N333" s="439"/>
      <c r="O333" s="439"/>
      <c r="P333" s="439"/>
      <c r="Q333" s="247"/>
      <c r="R333" s="439"/>
      <c r="S333" s="439"/>
      <c r="T333" s="439"/>
      <c r="U333" s="439"/>
    </row>
    <row r="334" ht="15.75" customHeight="1">
      <c r="A334" s="439"/>
      <c r="B334" s="439"/>
      <c r="C334" s="439"/>
      <c r="D334" s="439"/>
      <c r="E334" s="247"/>
      <c r="F334" s="439"/>
      <c r="G334" s="439"/>
      <c r="H334" s="439"/>
      <c r="I334" s="439"/>
      <c r="J334" s="439"/>
      <c r="K334" s="247"/>
      <c r="L334" s="439"/>
      <c r="M334" s="439"/>
      <c r="N334" s="439"/>
      <c r="O334" s="439"/>
      <c r="P334" s="439"/>
      <c r="Q334" s="247"/>
      <c r="R334" s="439"/>
      <c r="S334" s="439"/>
      <c r="T334" s="439"/>
      <c r="U334" s="439"/>
    </row>
    <row r="335" ht="15.75" customHeight="1">
      <c r="A335" s="439"/>
      <c r="B335" s="439"/>
      <c r="C335" s="439"/>
      <c r="D335" s="439"/>
      <c r="E335" s="247"/>
      <c r="F335" s="439"/>
      <c r="G335" s="439"/>
      <c r="H335" s="439"/>
      <c r="I335" s="439"/>
      <c r="J335" s="439"/>
      <c r="K335" s="247"/>
      <c r="L335" s="439"/>
      <c r="M335" s="439"/>
      <c r="N335" s="439"/>
      <c r="O335" s="439"/>
      <c r="P335" s="439"/>
      <c r="Q335" s="247"/>
      <c r="R335" s="439"/>
      <c r="S335" s="439"/>
      <c r="T335" s="439"/>
      <c r="U335" s="439"/>
    </row>
    <row r="336" ht="15.75" customHeight="1">
      <c r="A336" s="439"/>
      <c r="B336" s="439"/>
      <c r="C336" s="439"/>
      <c r="D336" s="439"/>
      <c r="E336" s="247"/>
      <c r="F336" s="439"/>
      <c r="G336" s="439"/>
      <c r="H336" s="439"/>
      <c r="I336" s="439"/>
      <c r="J336" s="439"/>
      <c r="K336" s="247"/>
      <c r="L336" s="439"/>
      <c r="M336" s="439"/>
      <c r="N336" s="439"/>
      <c r="O336" s="439"/>
      <c r="P336" s="439"/>
      <c r="Q336" s="247"/>
      <c r="R336" s="439"/>
      <c r="S336" s="439"/>
      <c r="T336" s="439"/>
      <c r="U336" s="439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I4"/>
    <mergeCell ref="J4:O4"/>
    <mergeCell ref="P4:U4"/>
    <mergeCell ref="B69:C69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6.0" topLeftCell="D17" activePane="bottomRight" state="frozen"/>
      <selection activeCell="D1" sqref="D1" pane="topRight"/>
      <selection activeCell="A17" sqref="A17" pane="bottomLeft"/>
      <selection activeCell="D17" sqref="D17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41.13"/>
    <col customWidth="1" min="4" max="4" width="11.25"/>
    <col customWidth="1" hidden="1" min="5" max="9" width="12.63"/>
    <col customWidth="1" min="10" max="10" width="12.63"/>
    <col customWidth="1" hidden="1" min="11" max="15" width="12.63"/>
    <col customWidth="1" min="16" max="16" width="11.38"/>
    <col customWidth="1" hidden="1" min="17" max="21" width="12.63"/>
    <col customWidth="1" min="22" max="29" width="12.63"/>
  </cols>
  <sheetData>
    <row r="1" ht="15.75" customHeight="1">
      <c r="A1" s="439"/>
      <c r="B1" s="1177" t="s">
        <v>371</v>
      </c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</row>
    <row r="2" ht="15.75" customHeight="1">
      <c r="A2" s="439"/>
      <c r="B2" s="249" t="s">
        <v>372</v>
      </c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</row>
    <row r="3" ht="15.75" customHeight="1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</row>
    <row r="4" ht="15.75" customHeight="1">
      <c r="A4" s="249"/>
      <c r="B4" s="443" t="s">
        <v>162</v>
      </c>
      <c r="C4" s="443" t="s">
        <v>163</v>
      </c>
      <c r="D4" s="531" t="s">
        <v>164</v>
      </c>
      <c r="E4" s="10"/>
      <c r="F4" s="10"/>
      <c r="G4" s="10"/>
      <c r="H4" s="10"/>
      <c r="I4" s="13"/>
      <c r="J4" s="531" t="s">
        <v>165</v>
      </c>
      <c r="K4" s="10"/>
      <c r="L4" s="10"/>
      <c r="M4" s="10"/>
      <c r="N4" s="10"/>
      <c r="O4" s="13"/>
      <c r="P4" s="446" t="s">
        <v>166</v>
      </c>
      <c r="Q4" s="10"/>
      <c r="R4" s="10"/>
      <c r="S4" s="10"/>
      <c r="T4" s="10"/>
      <c r="U4" s="13"/>
      <c r="V4" s="1178"/>
      <c r="W4" s="1178"/>
      <c r="X4" s="1178"/>
      <c r="Y4" s="1178"/>
      <c r="Z4" s="1178"/>
      <c r="AA4" s="1178"/>
      <c r="AB4" s="1178"/>
      <c r="AC4" s="1178"/>
    </row>
    <row r="5" ht="17.25" customHeight="1">
      <c r="A5" s="1179"/>
      <c r="B5" s="448"/>
      <c r="C5" s="448"/>
      <c r="D5" s="451" t="s">
        <v>167</v>
      </c>
      <c r="E5" s="451" t="s">
        <v>18</v>
      </c>
      <c r="F5" s="451" t="s">
        <v>168</v>
      </c>
      <c r="G5" s="451" t="s">
        <v>18</v>
      </c>
      <c r="H5" s="451" t="s">
        <v>169</v>
      </c>
      <c r="I5" s="451" t="s">
        <v>260</v>
      </c>
      <c r="J5" s="451" t="s">
        <v>167</v>
      </c>
      <c r="K5" s="451" t="s">
        <v>18</v>
      </c>
      <c r="L5" s="451" t="s">
        <v>168</v>
      </c>
      <c r="M5" s="451" t="s">
        <v>18</v>
      </c>
      <c r="N5" s="451" t="s">
        <v>169</v>
      </c>
      <c r="O5" s="451" t="s">
        <v>260</v>
      </c>
      <c r="P5" s="451" t="s">
        <v>167</v>
      </c>
      <c r="Q5" s="451" t="s">
        <v>18</v>
      </c>
      <c r="R5" s="451" t="s">
        <v>168</v>
      </c>
      <c r="S5" s="451" t="s">
        <v>18</v>
      </c>
      <c r="T5" s="451" t="s">
        <v>169</v>
      </c>
      <c r="U5" s="451" t="s">
        <v>260</v>
      </c>
      <c r="V5" s="805"/>
      <c r="W5" s="805"/>
      <c r="X5" s="805"/>
      <c r="Y5" s="805"/>
      <c r="Z5" s="805"/>
      <c r="AA5" s="805"/>
      <c r="AB5" s="805"/>
      <c r="AC5" s="805"/>
    </row>
    <row r="6" ht="15.75" hidden="1" customHeight="1">
      <c r="A6" s="249"/>
      <c r="B6" s="1180"/>
      <c r="C6" s="1180" t="s">
        <v>73</v>
      </c>
      <c r="D6" s="1181">
        <v>0.0</v>
      </c>
      <c r="E6" s="1182"/>
      <c r="F6" s="1183"/>
      <c r="G6" s="1182"/>
      <c r="H6" s="1183"/>
      <c r="I6" s="1184"/>
      <c r="J6" s="1181">
        <v>0.0</v>
      </c>
      <c r="K6" s="1182"/>
      <c r="L6" s="1183"/>
      <c r="M6" s="1182"/>
      <c r="N6" s="1183"/>
      <c r="O6" s="1184"/>
      <c r="P6" s="1181">
        <v>0.0</v>
      </c>
      <c r="Q6" s="1182"/>
      <c r="R6" s="1183"/>
      <c r="S6" s="1182"/>
      <c r="T6" s="1183"/>
      <c r="U6" s="1184"/>
      <c r="V6" s="249"/>
      <c r="W6" s="249"/>
      <c r="X6" s="249"/>
      <c r="Y6" s="249"/>
      <c r="Z6" s="249"/>
      <c r="AA6" s="249"/>
      <c r="AB6" s="249"/>
      <c r="AC6" s="249"/>
    </row>
    <row r="7" ht="15.75" hidden="1" customHeight="1">
      <c r="A7" s="249"/>
      <c r="B7" s="1111"/>
      <c r="C7" s="1111" t="s">
        <v>80</v>
      </c>
      <c r="D7" s="1185">
        <v>0.0</v>
      </c>
      <c r="E7" s="1186"/>
      <c r="F7" s="1187"/>
      <c r="G7" s="1186"/>
      <c r="H7" s="1187"/>
      <c r="I7" s="1188"/>
      <c r="J7" s="1185">
        <v>0.0</v>
      </c>
      <c r="K7" s="1186"/>
      <c r="L7" s="1187"/>
      <c r="M7" s="1186"/>
      <c r="N7" s="1187"/>
      <c r="O7" s="1188"/>
      <c r="P7" s="1185">
        <v>0.0</v>
      </c>
      <c r="Q7" s="1186"/>
      <c r="R7" s="1187"/>
      <c r="S7" s="1186"/>
      <c r="T7" s="1187"/>
      <c r="U7" s="1188"/>
      <c r="V7" s="249"/>
      <c r="W7" s="249"/>
      <c r="X7" s="249"/>
      <c r="Y7" s="249"/>
      <c r="Z7" s="249"/>
      <c r="AA7" s="249"/>
      <c r="AB7" s="249"/>
      <c r="AC7" s="249"/>
    </row>
    <row r="8" ht="15.75" hidden="1" customHeight="1">
      <c r="A8" s="249"/>
      <c r="B8" s="1111"/>
      <c r="C8" s="1111" t="s">
        <v>87</v>
      </c>
      <c r="D8" s="1185">
        <v>0.0</v>
      </c>
      <c r="E8" s="1186"/>
      <c r="F8" s="1187"/>
      <c r="G8" s="1186"/>
      <c r="H8" s="1187"/>
      <c r="I8" s="1188"/>
      <c r="J8" s="1185">
        <v>0.0</v>
      </c>
      <c r="K8" s="1186"/>
      <c r="L8" s="1187"/>
      <c r="M8" s="1186"/>
      <c r="N8" s="1187"/>
      <c r="O8" s="1188"/>
      <c r="P8" s="1185">
        <v>0.0</v>
      </c>
      <c r="Q8" s="1186"/>
      <c r="R8" s="1187"/>
      <c r="S8" s="1186"/>
      <c r="T8" s="1187"/>
      <c r="U8" s="1188"/>
      <c r="V8" s="249"/>
      <c r="W8" s="249"/>
      <c r="X8" s="249"/>
      <c r="Y8" s="249"/>
      <c r="Z8" s="249"/>
      <c r="AA8" s="249"/>
      <c r="AB8" s="249"/>
      <c r="AC8" s="249"/>
    </row>
    <row r="9" ht="15.75" hidden="1" customHeight="1">
      <c r="A9" s="249"/>
      <c r="B9" s="1111"/>
      <c r="C9" s="1111" t="s">
        <v>94</v>
      </c>
      <c r="D9" s="1185">
        <v>0.0</v>
      </c>
      <c r="E9" s="1186"/>
      <c r="F9" s="1187"/>
      <c r="G9" s="1186"/>
      <c r="H9" s="1187"/>
      <c r="I9" s="1188"/>
      <c r="J9" s="1185">
        <v>0.0</v>
      </c>
      <c r="K9" s="1186"/>
      <c r="L9" s="1187"/>
      <c r="M9" s="1186"/>
      <c r="N9" s="1187"/>
      <c r="O9" s="1188"/>
      <c r="P9" s="1185">
        <v>0.0</v>
      </c>
      <c r="Q9" s="1186"/>
      <c r="R9" s="1187"/>
      <c r="S9" s="1186"/>
      <c r="T9" s="1187"/>
      <c r="U9" s="1188"/>
      <c r="V9" s="249"/>
      <c r="W9" s="249"/>
      <c r="X9" s="249"/>
      <c r="Y9" s="249"/>
      <c r="Z9" s="249"/>
      <c r="AA9" s="249"/>
      <c r="AB9" s="249"/>
      <c r="AC9" s="249"/>
    </row>
    <row r="10" ht="15.75" hidden="1" customHeight="1">
      <c r="A10" s="249"/>
      <c r="B10" s="1111"/>
      <c r="C10" s="1111" t="s">
        <v>101</v>
      </c>
      <c r="D10" s="1185">
        <f>SUM(D8:D9)-D27</f>
        <v>-174122.08</v>
      </c>
      <c r="E10" s="1186"/>
      <c r="F10" s="1187"/>
      <c r="G10" s="1186"/>
      <c r="H10" s="1187"/>
      <c r="I10" s="1188"/>
      <c r="J10" s="1185">
        <f>SUM(J8:J9)-J27</f>
        <v>-132839</v>
      </c>
      <c r="K10" s="1186"/>
      <c r="L10" s="1187"/>
      <c r="M10" s="1186"/>
      <c r="N10" s="1187"/>
      <c r="O10" s="1188"/>
      <c r="P10" s="1185">
        <f>SUM(P8:P9)-P27</f>
        <v>0</v>
      </c>
      <c r="Q10" s="1186"/>
      <c r="R10" s="1187"/>
      <c r="S10" s="1186"/>
      <c r="T10" s="1187"/>
      <c r="U10" s="1188"/>
      <c r="V10" s="249"/>
      <c r="W10" s="249"/>
      <c r="X10" s="249"/>
      <c r="Y10" s="249"/>
      <c r="Z10" s="249"/>
      <c r="AA10" s="249"/>
      <c r="AB10" s="249"/>
      <c r="AC10" s="249"/>
    </row>
    <row r="11" ht="15.75" hidden="1" customHeight="1">
      <c r="A11" s="249"/>
      <c r="B11" s="1111"/>
      <c r="C11" s="1111" t="s">
        <v>108</v>
      </c>
      <c r="D11" s="1185">
        <v>0.0</v>
      </c>
      <c r="E11" s="1186"/>
      <c r="F11" s="1187"/>
      <c r="G11" s="1186"/>
      <c r="H11" s="1187"/>
      <c r="I11" s="1188"/>
      <c r="J11" s="1185">
        <v>0.0</v>
      </c>
      <c r="K11" s="1186"/>
      <c r="L11" s="1187"/>
      <c r="M11" s="1186"/>
      <c r="N11" s="1187"/>
      <c r="O11" s="1188"/>
      <c r="P11" s="1185">
        <v>0.0</v>
      </c>
      <c r="Q11" s="1186"/>
      <c r="R11" s="1187"/>
      <c r="S11" s="1186"/>
      <c r="T11" s="1187"/>
      <c r="U11" s="1188"/>
      <c r="V11" s="249"/>
      <c r="W11" s="249"/>
      <c r="X11" s="249"/>
      <c r="Y11" s="249"/>
      <c r="Z11" s="249"/>
      <c r="AA11" s="249"/>
      <c r="AB11" s="249"/>
      <c r="AC11" s="249"/>
    </row>
    <row r="12" ht="15.75" hidden="1" customHeight="1">
      <c r="A12" s="249"/>
      <c r="B12" s="1111"/>
      <c r="C12" s="1111" t="s">
        <v>115</v>
      </c>
      <c r="D12" s="1185">
        <v>0.0</v>
      </c>
      <c r="E12" s="1186"/>
      <c r="F12" s="1187"/>
      <c r="G12" s="1186"/>
      <c r="H12" s="1187"/>
      <c r="I12" s="1188"/>
      <c r="J12" s="1185">
        <v>0.0</v>
      </c>
      <c r="K12" s="1186"/>
      <c r="L12" s="1187"/>
      <c r="M12" s="1186"/>
      <c r="N12" s="1187"/>
      <c r="O12" s="1188"/>
      <c r="P12" s="1185">
        <v>0.0</v>
      </c>
      <c r="Q12" s="1186"/>
      <c r="R12" s="1187"/>
      <c r="S12" s="1186"/>
      <c r="T12" s="1187"/>
      <c r="U12" s="1188"/>
      <c r="V12" s="249"/>
      <c r="W12" s="249"/>
      <c r="X12" s="249"/>
      <c r="Y12" s="249"/>
      <c r="Z12" s="249"/>
      <c r="AA12" s="249"/>
      <c r="AB12" s="249"/>
      <c r="AC12" s="249"/>
    </row>
    <row r="13" ht="15.75" hidden="1" customHeight="1">
      <c r="A13" s="249"/>
      <c r="B13" s="1111"/>
      <c r="C13" s="1111"/>
      <c r="D13" s="1185"/>
      <c r="E13" s="1186"/>
      <c r="F13" s="1187"/>
      <c r="G13" s="1186"/>
      <c r="H13" s="1187"/>
      <c r="I13" s="1188"/>
      <c r="J13" s="1185"/>
      <c r="K13" s="1186"/>
      <c r="L13" s="1187"/>
      <c r="M13" s="1186"/>
      <c r="N13" s="1187"/>
      <c r="O13" s="1188"/>
      <c r="P13" s="1185"/>
      <c r="Q13" s="1186"/>
      <c r="R13" s="1187"/>
      <c r="S13" s="1186"/>
      <c r="T13" s="1187"/>
      <c r="U13" s="1188"/>
      <c r="V13" s="249"/>
      <c r="W13" s="249"/>
      <c r="X13" s="249"/>
      <c r="Y13" s="249"/>
      <c r="Z13" s="249"/>
      <c r="AA13" s="249"/>
      <c r="AB13" s="249"/>
      <c r="AC13" s="249"/>
    </row>
    <row r="14" ht="15.75" hidden="1" customHeight="1">
      <c r="A14" s="249"/>
      <c r="B14" s="1189"/>
      <c r="C14" s="1189"/>
      <c r="D14" s="1190"/>
      <c r="E14" s="1191"/>
      <c r="F14" s="1192"/>
      <c r="G14" s="1191"/>
      <c r="H14" s="1192"/>
      <c r="I14" s="1193"/>
      <c r="J14" s="1190"/>
      <c r="K14" s="1191"/>
      <c r="L14" s="1192"/>
      <c r="M14" s="1191"/>
      <c r="N14" s="1192"/>
      <c r="O14" s="1193"/>
      <c r="P14" s="1190"/>
      <c r="Q14" s="1191"/>
      <c r="R14" s="1192"/>
      <c r="S14" s="1191"/>
      <c r="T14" s="1192"/>
      <c r="U14" s="1193"/>
      <c r="V14" s="249"/>
      <c r="W14" s="249"/>
      <c r="X14" s="249"/>
      <c r="Y14" s="249"/>
      <c r="Z14" s="249"/>
      <c r="AA14" s="249"/>
      <c r="AB14" s="249"/>
      <c r="AC14" s="249"/>
    </row>
    <row r="15" ht="15.75" customHeight="1">
      <c r="A15" s="249"/>
      <c r="B15" s="1194" t="s">
        <v>170</v>
      </c>
      <c r="C15" s="1194" t="s">
        <v>329</v>
      </c>
      <c r="D15" s="668">
        <f>SUM(D17:D19)</f>
        <v>174122.08</v>
      </c>
      <c r="E15" s="457"/>
      <c r="F15" s="668"/>
      <c r="G15" s="457"/>
      <c r="H15" s="668"/>
      <c r="I15" s="457"/>
      <c r="J15" s="668">
        <f>SUM(J17:J19)</f>
        <v>132839</v>
      </c>
      <c r="K15" s="457"/>
      <c r="L15" s="668"/>
      <c r="M15" s="457"/>
      <c r="N15" s="668"/>
      <c r="O15" s="457"/>
      <c r="P15" s="668">
        <f>SUM(P17:P19)</f>
        <v>0</v>
      </c>
      <c r="Q15" s="457"/>
      <c r="R15" s="668"/>
      <c r="S15" s="457"/>
      <c r="T15" s="668"/>
      <c r="U15" s="457"/>
      <c r="V15" s="249"/>
      <c r="W15" s="249"/>
      <c r="X15" s="249"/>
      <c r="Y15" s="249"/>
      <c r="Z15" s="249"/>
      <c r="AA15" s="249"/>
      <c r="AB15" s="249"/>
      <c r="AC15" s="249"/>
    </row>
    <row r="16" ht="15.75" customHeight="1">
      <c r="A16" s="249"/>
      <c r="B16" s="1180"/>
      <c r="C16" s="1180"/>
      <c r="E16" s="540"/>
      <c r="F16" s="646">
        <f>SUM(F17:F19)</f>
        <v>0</v>
      </c>
      <c r="G16" s="540"/>
      <c r="H16" s="646">
        <f>SUM(H17:H19)</f>
        <v>68730.26</v>
      </c>
      <c r="I16" s="542"/>
      <c r="J16" s="1195"/>
      <c r="K16" s="606"/>
      <c r="L16" s="646">
        <f>SUM(L17:L19)</f>
        <v>0</v>
      </c>
      <c r="M16" s="540"/>
      <c r="N16" s="646">
        <f>SUM(N17:N19)</f>
        <v>65950</v>
      </c>
      <c r="O16" s="542"/>
      <c r="P16" s="1195"/>
      <c r="Q16" s="461"/>
      <c r="R16" s="741">
        <f>SUM(R17:R19)</f>
        <v>0</v>
      </c>
      <c r="S16" s="461"/>
      <c r="T16" s="741">
        <f>SUM(T17:T19)</f>
        <v>0</v>
      </c>
      <c r="U16" s="461"/>
      <c r="V16" s="249"/>
      <c r="W16" s="249"/>
      <c r="X16" s="249"/>
      <c r="Y16" s="249"/>
      <c r="Z16" s="249"/>
      <c r="AA16" s="249"/>
      <c r="AB16" s="249"/>
      <c r="AC16" s="249"/>
    </row>
    <row r="17" ht="15.75" customHeight="1">
      <c r="A17" s="249"/>
      <c r="B17" s="1111" t="s">
        <v>23</v>
      </c>
      <c r="C17" s="1111" t="s">
        <v>373</v>
      </c>
      <c r="D17" s="704">
        <v>68730.26</v>
      </c>
      <c r="E17" s="557">
        <f t="shared" ref="E17:E18" si="1">D17/D$27</f>
        <v>0.3947245519</v>
      </c>
      <c r="F17" s="649">
        <v>0.0</v>
      </c>
      <c r="G17" s="539"/>
      <c r="H17" s="649">
        <f>D17-F17</f>
        <v>68730.26</v>
      </c>
      <c r="I17" s="479"/>
      <c r="J17" s="704">
        <v>65950.0</v>
      </c>
      <c r="K17" s="557">
        <f t="shared" ref="K17:K18" si="2">J17/J$27</f>
        <v>0.4964656464</v>
      </c>
      <c r="L17" s="649">
        <v>0.0</v>
      </c>
      <c r="M17" s="539"/>
      <c r="N17" s="649">
        <f>J17-L17</f>
        <v>65950</v>
      </c>
      <c r="O17" s="479"/>
      <c r="P17" s="737"/>
      <c r="Q17" s="605" t="str">
        <f t="shared" ref="Q17:Q18" si="3">P17/P$27</f>
        <v>#DIV/0!</v>
      </c>
      <c r="R17" s="737">
        <v>0.0</v>
      </c>
      <c r="S17" s="469"/>
      <c r="T17" s="737">
        <f>P17-R17</f>
        <v>0</v>
      </c>
      <c r="U17" s="469"/>
      <c r="V17" s="249"/>
      <c r="W17" s="249"/>
      <c r="X17" s="249"/>
      <c r="Y17" s="249"/>
      <c r="Z17" s="249"/>
      <c r="AA17" s="249"/>
      <c r="AB17" s="249"/>
      <c r="AC17" s="249"/>
    </row>
    <row r="18" ht="15.75" customHeight="1">
      <c r="A18" s="249"/>
      <c r="B18" s="1111"/>
      <c r="C18" s="1111" t="s">
        <v>374</v>
      </c>
      <c r="D18" s="704">
        <v>96510.25</v>
      </c>
      <c r="E18" s="557">
        <f t="shared" si="1"/>
        <v>0.5542677299</v>
      </c>
      <c r="F18" s="649">
        <v>0.0</v>
      </c>
      <c r="G18" s="539"/>
      <c r="H18" s="649"/>
      <c r="I18" s="479"/>
      <c r="J18" s="704">
        <v>66889.0</v>
      </c>
      <c r="K18" s="557">
        <f t="shared" si="2"/>
        <v>0.5035343536</v>
      </c>
      <c r="L18" s="649">
        <v>0.0</v>
      </c>
      <c r="M18" s="539"/>
      <c r="N18" s="649"/>
      <c r="O18" s="479"/>
      <c r="P18" s="737"/>
      <c r="Q18" s="605" t="str">
        <f t="shared" si="3"/>
        <v>#DIV/0!</v>
      </c>
      <c r="R18" s="737">
        <v>0.0</v>
      </c>
      <c r="S18" s="469"/>
      <c r="T18" s="737"/>
      <c r="U18" s="469"/>
      <c r="V18" s="249"/>
      <c r="W18" s="249"/>
      <c r="X18" s="249"/>
      <c r="Y18" s="249"/>
      <c r="Z18" s="249"/>
      <c r="AA18" s="249"/>
      <c r="AB18" s="249"/>
      <c r="AC18" s="249"/>
    </row>
    <row r="19" ht="15.75" customHeight="1">
      <c r="A19" s="249"/>
      <c r="B19" s="1111"/>
      <c r="C19" s="1111" t="s">
        <v>176</v>
      </c>
      <c r="D19" s="704">
        <f>4056+4825.57</f>
        <v>8881.57</v>
      </c>
      <c r="E19" s="539"/>
      <c r="F19" s="649"/>
      <c r="G19" s="539"/>
      <c r="H19" s="649"/>
      <c r="I19" s="479"/>
      <c r="J19" s="704"/>
      <c r="K19" s="539"/>
      <c r="L19" s="649"/>
      <c r="M19" s="539"/>
      <c r="N19" s="649"/>
      <c r="O19" s="479"/>
      <c r="P19" s="737"/>
      <c r="Q19" s="469"/>
      <c r="R19" s="737"/>
      <c r="S19" s="469"/>
      <c r="T19" s="737"/>
      <c r="U19" s="469"/>
      <c r="V19" s="249"/>
      <c r="W19" s="249"/>
      <c r="X19" s="249"/>
      <c r="Y19" s="249"/>
      <c r="Z19" s="249"/>
      <c r="AA19" s="249"/>
      <c r="AB19" s="249"/>
      <c r="AC19" s="249"/>
    </row>
    <row r="20" ht="15.75" customHeight="1">
      <c r="A20" s="249"/>
      <c r="B20" s="1111"/>
      <c r="C20" s="465" t="s">
        <v>263</v>
      </c>
      <c r="D20" s="704"/>
      <c r="E20" s="539"/>
      <c r="F20" s="649"/>
      <c r="G20" s="539"/>
      <c r="H20" s="649"/>
      <c r="I20" s="479"/>
      <c r="J20" s="704"/>
      <c r="K20" s="539"/>
      <c r="L20" s="649"/>
      <c r="M20" s="539"/>
      <c r="N20" s="649"/>
      <c r="O20" s="479"/>
      <c r="P20" s="737"/>
      <c r="Q20" s="469"/>
      <c r="R20" s="737"/>
      <c r="S20" s="469"/>
      <c r="T20" s="737"/>
      <c r="U20" s="469"/>
      <c r="V20" s="249"/>
      <c r="W20" s="249"/>
      <c r="X20" s="249"/>
      <c r="Y20" s="249"/>
      <c r="Z20" s="249"/>
      <c r="AA20" s="249"/>
      <c r="AB20" s="249"/>
      <c r="AC20" s="249"/>
    </row>
    <row r="21" ht="15.75" customHeight="1">
      <c r="A21" s="249"/>
      <c r="B21" s="1111"/>
      <c r="C21" s="1111"/>
      <c r="D21" s="704"/>
      <c r="E21" s="539"/>
      <c r="F21" s="649"/>
      <c r="G21" s="539"/>
      <c r="H21" s="649"/>
      <c r="I21" s="479"/>
      <c r="J21" s="704"/>
      <c r="K21" s="539"/>
      <c r="L21" s="649"/>
      <c r="M21" s="539"/>
      <c r="N21" s="649"/>
      <c r="O21" s="479"/>
      <c r="P21" s="737"/>
      <c r="Q21" s="469"/>
      <c r="R21" s="737"/>
      <c r="S21" s="469"/>
      <c r="T21" s="737"/>
      <c r="U21" s="469"/>
      <c r="V21" s="249"/>
      <c r="W21" s="249"/>
      <c r="X21" s="249"/>
      <c r="Y21" s="249"/>
      <c r="Z21" s="249"/>
      <c r="AA21" s="249"/>
      <c r="AB21" s="249"/>
      <c r="AC21" s="249"/>
    </row>
    <row r="22" ht="15.75" customHeight="1">
      <c r="A22" s="249"/>
      <c r="B22" s="1111" t="s">
        <v>21</v>
      </c>
      <c r="C22" s="1111" t="s">
        <v>21</v>
      </c>
      <c r="D22" s="748">
        <v>0.0</v>
      </c>
      <c r="E22" s="784"/>
      <c r="F22" s="784">
        <v>0.0</v>
      </c>
      <c r="G22" s="784"/>
      <c r="H22" s="784">
        <v>0.0</v>
      </c>
      <c r="I22" s="785"/>
      <c r="J22" s="748">
        <v>0.0</v>
      </c>
      <c r="K22" s="539"/>
      <c r="L22" s="649">
        <v>0.0</v>
      </c>
      <c r="M22" s="539"/>
      <c r="N22" s="649">
        <v>0.0</v>
      </c>
      <c r="O22" s="479"/>
      <c r="P22" s="752"/>
      <c r="Q22" s="469"/>
      <c r="R22" s="737">
        <v>0.0</v>
      </c>
      <c r="S22" s="469"/>
      <c r="T22" s="737">
        <v>0.0</v>
      </c>
      <c r="U22" s="469"/>
      <c r="V22" s="249"/>
      <c r="W22" s="249"/>
      <c r="X22" s="249"/>
      <c r="Y22" s="249"/>
      <c r="Z22" s="249"/>
      <c r="AA22" s="249"/>
      <c r="AB22" s="249"/>
      <c r="AC22" s="249"/>
    </row>
    <row r="23" ht="15.75" customHeight="1">
      <c r="A23" s="249"/>
      <c r="B23" s="1111" t="s">
        <v>22</v>
      </c>
      <c r="C23" s="1111" t="s">
        <v>22</v>
      </c>
      <c r="D23" s="748">
        <v>0.0</v>
      </c>
      <c r="E23" s="784"/>
      <c r="F23" s="784">
        <v>0.0</v>
      </c>
      <c r="G23" s="784"/>
      <c r="H23" s="784">
        <v>0.0</v>
      </c>
      <c r="I23" s="785"/>
      <c r="J23" s="748">
        <v>0.0</v>
      </c>
      <c r="K23" s="539"/>
      <c r="L23" s="649">
        <v>0.0</v>
      </c>
      <c r="M23" s="539"/>
      <c r="N23" s="649">
        <v>0.0</v>
      </c>
      <c r="O23" s="479"/>
      <c r="P23" s="752"/>
      <c r="Q23" s="469"/>
      <c r="R23" s="737">
        <v>0.0</v>
      </c>
      <c r="S23" s="469"/>
      <c r="T23" s="737">
        <v>0.0</v>
      </c>
      <c r="U23" s="469"/>
      <c r="V23" s="249"/>
      <c r="W23" s="249"/>
      <c r="X23" s="249"/>
      <c r="Y23" s="249"/>
      <c r="Z23" s="249"/>
      <c r="AA23" s="249"/>
      <c r="AB23" s="249"/>
      <c r="AC23" s="249"/>
    </row>
    <row r="24" ht="15.75" customHeight="1">
      <c r="A24" s="249"/>
      <c r="B24" s="1111" t="s">
        <v>23</v>
      </c>
      <c r="C24" s="1111" t="s">
        <v>177</v>
      </c>
      <c r="D24" s="704">
        <f>SUM(D17:D19)</f>
        <v>174122.08</v>
      </c>
      <c r="E24" s="704">
        <f t="shared" ref="E24:I24" si="4">SUM(E26:E28)</f>
        <v>0</v>
      </c>
      <c r="F24" s="704" t="str">
        <f t="shared" si="4"/>
        <v>#REF!</v>
      </c>
      <c r="G24" s="704">
        <f t="shared" si="4"/>
        <v>0</v>
      </c>
      <c r="H24" s="704" t="str">
        <f t="shared" si="4"/>
        <v>#REF!</v>
      </c>
      <c r="I24" s="704">
        <f t="shared" si="4"/>
        <v>0</v>
      </c>
      <c r="J24" s="704">
        <f>SUM(J17:J19)</f>
        <v>132839</v>
      </c>
      <c r="K24" s="539"/>
      <c r="L24" s="658">
        <f>SUM(L17:L19)</f>
        <v>0</v>
      </c>
      <c r="M24" s="539"/>
      <c r="N24" s="658">
        <f>SUM(N17:N19)</f>
        <v>65950</v>
      </c>
      <c r="O24" s="479"/>
      <c r="P24" s="737"/>
      <c r="Q24" s="469"/>
      <c r="R24" s="1123">
        <f>SUM(R17:R19)</f>
        <v>0</v>
      </c>
      <c r="S24" s="469"/>
      <c r="T24" s="1123">
        <f>SUM(T17:T19)</f>
        <v>0</v>
      </c>
      <c r="U24" s="469"/>
      <c r="V24" s="249"/>
      <c r="W24" s="249"/>
      <c r="X24" s="249"/>
      <c r="Y24" s="249"/>
      <c r="Z24" s="249"/>
      <c r="AA24" s="249"/>
      <c r="AB24" s="249"/>
      <c r="AC24" s="249"/>
    </row>
    <row r="25" ht="15.75" customHeight="1">
      <c r="A25" s="249"/>
      <c r="B25" s="1111"/>
      <c r="C25" s="1111"/>
      <c r="D25" s="704"/>
      <c r="E25" s="539"/>
      <c r="F25" s="539"/>
      <c r="G25" s="539"/>
      <c r="H25" s="539"/>
      <c r="I25" s="479"/>
      <c r="J25" s="704"/>
      <c r="K25" s="539"/>
      <c r="L25" s="539"/>
      <c r="M25" s="539"/>
      <c r="N25" s="539"/>
      <c r="O25" s="479"/>
      <c r="P25" s="737"/>
      <c r="Q25" s="469"/>
      <c r="R25" s="469"/>
      <c r="S25" s="469"/>
      <c r="T25" s="469"/>
      <c r="U25" s="469"/>
      <c r="V25" s="249"/>
      <c r="W25" s="249"/>
      <c r="X25" s="249"/>
      <c r="Y25" s="249"/>
      <c r="Z25" s="249"/>
      <c r="AA25" s="249"/>
      <c r="AB25" s="249"/>
      <c r="AC25" s="249"/>
    </row>
    <row r="26" ht="15.75" customHeight="1">
      <c r="A26" s="249"/>
      <c r="B26" s="1111"/>
      <c r="C26" s="1111" t="s">
        <v>178</v>
      </c>
      <c r="D26" s="704"/>
      <c r="E26" s="539"/>
      <c r="F26" s="539"/>
      <c r="G26" s="539"/>
      <c r="H26" s="539"/>
      <c r="I26" s="479"/>
      <c r="J26" s="704"/>
      <c r="K26" s="539"/>
      <c r="L26" s="539"/>
      <c r="M26" s="539"/>
      <c r="N26" s="539"/>
      <c r="O26" s="479"/>
      <c r="P26" s="737"/>
      <c r="Q26" s="469"/>
      <c r="R26" s="469"/>
      <c r="S26" s="469"/>
      <c r="T26" s="469"/>
      <c r="U26" s="469"/>
      <c r="V26" s="249"/>
      <c r="W26" s="249"/>
      <c r="X26" s="249"/>
      <c r="Y26" s="249"/>
      <c r="Z26" s="249"/>
      <c r="AA26" s="249"/>
      <c r="AB26" s="249"/>
      <c r="AC26" s="249"/>
    </row>
    <row r="27" ht="15.75" customHeight="1">
      <c r="A27" s="249"/>
      <c r="B27" s="1111"/>
      <c r="C27" s="1111" t="s">
        <v>179</v>
      </c>
      <c r="D27" s="704">
        <f>D22+D23+D24+D26</f>
        <v>174122.08</v>
      </c>
      <c r="E27" s="539"/>
      <c r="F27" s="649" t="str">
        <f>F22+F23+F24+F26</f>
        <v>#REF!</v>
      </c>
      <c r="G27" s="539"/>
      <c r="H27" s="649" t="str">
        <f>H22+H23+H24+H26</f>
        <v>#REF!</v>
      </c>
      <c r="I27" s="479"/>
      <c r="J27" s="704">
        <f>J22+J23+J24+J26</f>
        <v>132839</v>
      </c>
      <c r="K27" s="539"/>
      <c r="L27" s="649">
        <f>L22+L23+L24+L26</f>
        <v>0</v>
      </c>
      <c r="M27" s="539"/>
      <c r="N27" s="649">
        <f>N22+N23+N24+N26</f>
        <v>65950</v>
      </c>
      <c r="O27" s="479"/>
      <c r="P27" s="737"/>
      <c r="Q27" s="469"/>
      <c r="R27" s="737">
        <f>R22+R23+R24+R26</f>
        <v>0</v>
      </c>
      <c r="S27" s="469"/>
      <c r="T27" s="737">
        <f>T22+T23+T24+T26</f>
        <v>0</v>
      </c>
      <c r="U27" s="469"/>
      <c r="V27" s="249"/>
      <c r="W27" s="249"/>
      <c r="X27" s="249"/>
      <c r="Y27" s="249"/>
      <c r="Z27" s="249"/>
      <c r="AA27" s="249"/>
      <c r="AB27" s="249"/>
      <c r="AC27" s="249"/>
    </row>
    <row r="28" ht="15.75" customHeight="1">
      <c r="A28" s="249"/>
      <c r="B28" s="1111"/>
      <c r="C28" s="1111"/>
      <c r="D28" s="704"/>
      <c r="E28" s="557"/>
      <c r="F28" s="649"/>
      <c r="G28" s="649"/>
      <c r="H28" s="649"/>
      <c r="I28" s="742"/>
      <c r="J28" s="704"/>
      <c r="K28" s="557"/>
      <c r="L28" s="649"/>
      <c r="M28" s="649"/>
      <c r="N28" s="649"/>
      <c r="O28" s="742"/>
      <c r="P28" s="737"/>
      <c r="Q28" s="605"/>
      <c r="R28" s="737"/>
      <c r="S28" s="737"/>
      <c r="T28" s="737"/>
      <c r="U28" s="737"/>
      <c r="V28" s="249"/>
      <c r="W28" s="249"/>
      <c r="X28" s="249"/>
      <c r="Y28" s="249"/>
      <c r="Z28" s="249"/>
      <c r="AA28" s="249"/>
      <c r="AB28" s="249"/>
      <c r="AC28" s="249"/>
    </row>
    <row r="29" ht="15.75" customHeight="1">
      <c r="A29" s="249"/>
      <c r="B29" s="1125" t="s">
        <v>183</v>
      </c>
      <c r="C29" s="1126"/>
      <c r="D29" s="704"/>
      <c r="E29" s="539"/>
      <c r="F29" s="539"/>
      <c r="G29" s="539"/>
      <c r="H29" s="539"/>
      <c r="I29" s="479"/>
      <c r="J29" s="704"/>
      <c r="K29" s="539"/>
      <c r="L29" s="539"/>
      <c r="M29" s="539"/>
      <c r="N29" s="539"/>
      <c r="O29" s="479"/>
      <c r="P29" s="737"/>
      <c r="Q29" s="469"/>
      <c r="R29" s="469"/>
      <c r="S29" s="469"/>
      <c r="T29" s="469"/>
      <c r="U29" s="469"/>
      <c r="V29" s="249"/>
      <c r="W29" s="249"/>
      <c r="X29" s="249"/>
      <c r="Y29" s="249"/>
      <c r="Z29" s="249"/>
      <c r="AA29" s="249"/>
      <c r="AB29" s="249"/>
      <c r="AC29" s="249"/>
    </row>
    <row r="30" ht="15.75" customHeight="1">
      <c r="A30" s="249"/>
      <c r="B30" s="1111" t="s">
        <v>28</v>
      </c>
      <c r="C30" s="1111"/>
      <c r="D30" s="704"/>
      <c r="E30" s="539"/>
      <c r="F30" s="539"/>
      <c r="G30" s="539"/>
      <c r="H30" s="539"/>
      <c r="I30" s="479"/>
      <c r="J30" s="704"/>
      <c r="K30" s="539"/>
      <c r="L30" s="539"/>
      <c r="M30" s="539"/>
      <c r="N30" s="539"/>
      <c r="O30" s="479"/>
      <c r="P30" s="737"/>
      <c r="Q30" s="469"/>
      <c r="R30" s="469"/>
      <c r="S30" s="469"/>
      <c r="T30" s="469"/>
      <c r="U30" s="469"/>
      <c r="V30" s="249"/>
      <c r="W30" s="249"/>
      <c r="X30" s="249"/>
      <c r="Y30" s="249"/>
      <c r="Z30" s="249"/>
      <c r="AA30" s="249"/>
      <c r="AB30" s="249"/>
      <c r="AC30" s="249"/>
    </row>
    <row r="31" ht="15.75" customHeight="1">
      <c r="A31" s="249"/>
      <c r="B31" s="1111"/>
      <c r="C31" s="663" t="s">
        <v>184</v>
      </c>
      <c r="D31" s="704"/>
      <c r="E31" s="539"/>
      <c r="F31" s="539"/>
      <c r="G31" s="539"/>
      <c r="H31" s="539"/>
      <c r="I31" s="479"/>
      <c r="J31" s="704"/>
      <c r="K31" s="539"/>
      <c r="L31" s="539"/>
      <c r="M31" s="539"/>
      <c r="N31" s="539"/>
      <c r="O31" s="479"/>
      <c r="P31" s="737"/>
      <c r="Q31" s="469"/>
      <c r="R31" s="469"/>
      <c r="S31" s="469"/>
      <c r="T31" s="469"/>
      <c r="U31" s="469"/>
      <c r="V31" s="249"/>
      <c r="W31" s="249"/>
      <c r="X31" s="249"/>
      <c r="Y31" s="249"/>
      <c r="Z31" s="249"/>
      <c r="AA31" s="249"/>
      <c r="AB31" s="249"/>
      <c r="AC31" s="249"/>
    </row>
    <row r="32" ht="15.75" customHeight="1">
      <c r="A32" s="249"/>
      <c r="B32" s="1111"/>
      <c r="C32" s="1111" t="s">
        <v>185</v>
      </c>
      <c r="D32" s="467">
        <f>'MSBC CK Allocation'!B38</f>
        <v>172986.5035</v>
      </c>
      <c r="E32" s="557"/>
      <c r="F32" s="539"/>
      <c r="G32" s="539"/>
      <c r="H32" s="649"/>
      <c r="I32" s="479"/>
      <c r="J32" s="467">
        <f>'MSBC CK Allocation'!C38</f>
        <v>153949.7981</v>
      </c>
      <c r="K32" s="557"/>
      <c r="L32" s="539"/>
      <c r="M32" s="539"/>
      <c r="N32" s="649"/>
      <c r="O32" s="479"/>
      <c r="P32" s="474"/>
      <c r="Q32" s="605"/>
      <c r="R32" s="469"/>
      <c r="S32" s="469"/>
      <c r="T32" s="737"/>
      <c r="U32" s="469"/>
      <c r="V32" s="249"/>
      <c r="W32" s="249"/>
      <c r="X32" s="249"/>
      <c r="Y32" s="249"/>
      <c r="Z32" s="249"/>
      <c r="AA32" s="249"/>
      <c r="AB32" s="249"/>
      <c r="AC32" s="249"/>
    </row>
    <row r="33" ht="15.75" customHeight="1">
      <c r="A33" s="249"/>
      <c r="B33" s="1111"/>
      <c r="C33" s="1111" t="s">
        <v>186</v>
      </c>
      <c r="D33" s="467">
        <v>101593.54757728706</v>
      </c>
      <c r="E33" s="539"/>
      <c r="F33" s="539"/>
      <c r="G33" s="539"/>
      <c r="H33" s="649"/>
      <c r="I33" s="479"/>
      <c r="J33" s="467">
        <v>71757.0</v>
      </c>
      <c r="K33" s="539"/>
      <c r="L33" s="539"/>
      <c r="M33" s="539"/>
      <c r="N33" s="649"/>
      <c r="O33" s="479"/>
      <c r="P33" s="474"/>
      <c r="Q33" s="469"/>
      <c r="R33" s="469"/>
      <c r="S33" s="469"/>
      <c r="T33" s="737"/>
      <c r="U33" s="469"/>
      <c r="V33" s="249"/>
      <c r="W33" s="249"/>
      <c r="X33" s="249"/>
      <c r="Y33" s="249"/>
      <c r="Z33" s="249"/>
      <c r="AA33" s="249"/>
      <c r="AB33" s="249"/>
      <c r="AC33" s="249"/>
    </row>
    <row r="34" ht="15.75" customHeight="1">
      <c r="A34" s="249"/>
      <c r="B34" s="1111"/>
      <c r="C34" s="465" t="s">
        <v>375</v>
      </c>
      <c r="D34" s="467"/>
      <c r="E34" s="539"/>
      <c r="F34" s="539"/>
      <c r="G34" s="539"/>
      <c r="H34" s="649"/>
      <c r="I34" s="479"/>
      <c r="J34" s="467"/>
      <c r="K34" s="539"/>
      <c r="L34" s="539"/>
      <c r="M34" s="539"/>
      <c r="N34" s="649"/>
      <c r="O34" s="479"/>
      <c r="P34" s="474"/>
      <c r="Q34" s="469"/>
      <c r="R34" s="469"/>
      <c r="S34" s="469"/>
      <c r="T34" s="737"/>
      <c r="U34" s="469"/>
      <c r="V34" s="249"/>
      <c r="W34" s="249"/>
      <c r="X34" s="249"/>
      <c r="Y34" s="249"/>
      <c r="Z34" s="249"/>
      <c r="AA34" s="249"/>
      <c r="AB34" s="249"/>
      <c r="AC34" s="249"/>
    </row>
    <row r="35" ht="15.75" customHeight="1">
      <c r="A35" s="249"/>
      <c r="B35" s="1111"/>
      <c r="C35" s="1111" t="s">
        <v>22</v>
      </c>
      <c r="D35" s="467"/>
      <c r="E35" s="539"/>
      <c r="F35" s="539"/>
      <c r="G35" s="539"/>
      <c r="H35" s="649"/>
      <c r="I35" s="479"/>
      <c r="J35" s="467"/>
      <c r="K35" s="539"/>
      <c r="L35" s="539"/>
      <c r="M35" s="539"/>
      <c r="N35" s="649"/>
      <c r="O35" s="479"/>
      <c r="P35" s="474"/>
      <c r="Q35" s="469"/>
      <c r="R35" s="469"/>
      <c r="S35" s="469"/>
      <c r="T35" s="737"/>
      <c r="U35" s="469"/>
      <c r="V35" s="249"/>
      <c r="W35" s="249"/>
      <c r="X35" s="249"/>
      <c r="Y35" s="249"/>
      <c r="Z35" s="249"/>
      <c r="AA35" s="249"/>
      <c r="AB35" s="249"/>
      <c r="AC35" s="249"/>
    </row>
    <row r="36" ht="15.75" customHeight="1">
      <c r="A36" s="249"/>
      <c r="B36" s="1111"/>
      <c r="C36" s="1111" t="s">
        <v>187</v>
      </c>
      <c r="D36" s="467">
        <f>'Calculation Sheet for GST on Pu'!C30</f>
        <v>4267.608193</v>
      </c>
      <c r="E36" s="539"/>
      <c r="F36" s="539"/>
      <c r="G36" s="539"/>
      <c r="H36" s="649"/>
      <c r="I36" s="479"/>
      <c r="J36" s="467">
        <f>'Calculation Sheet for GST on Pu'!D30</f>
        <v>2956.915953</v>
      </c>
      <c r="K36" s="539"/>
      <c r="L36" s="539"/>
      <c r="M36" s="539"/>
      <c r="N36" s="649"/>
      <c r="O36" s="479"/>
      <c r="P36" s="474"/>
      <c r="Q36" s="469"/>
      <c r="R36" s="469"/>
      <c r="S36" s="469"/>
      <c r="T36" s="737"/>
      <c r="U36" s="469"/>
      <c r="V36" s="249"/>
      <c r="W36" s="249"/>
      <c r="X36" s="249"/>
      <c r="Y36" s="249"/>
      <c r="Z36" s="249"/>
      <c r="AA36" s="249"/>
      <c r="AB36" s="249"/>
      <c r="AC36" s="249"/>
    </row>
    <row r="37" ht="15.75" customHeight="1">
      <c r="A37" s="249"/>
      <c r="B37" s="1111"/>
      <c r="C37" s="1111" t="s">
        <v>188</v>
      </c>
      <c r="D37" s="467">
        <f>SUM(D32:D36)</f>
        <v>278847.6593</v>
      </c>
      <c r="E37" s="557">
        <f>D37/D$27</f>
        <v>1.601449163</v>
      </c>
      <c r="F37" s="539">
        <f>SUM(F32:F36)</f>
        <v>0</v>
      </c>
      <c r="G37" s="539"/>
      <c r="H37" s="649">
        <f>SUM(H32:H36)</f>
        <v>0</v>
      </c>
      <c r="I37" s="479"/>
      <c r="J37" s="467">
        <f>SUM(J32:J36)</f>
        <v>228663.7141</v>
      </c>
      <c r="K37" s="557">
        <f>J37/J$27</f>
        <v>1.721359797</v>
      </c>
      <c r="L37" s="539">
        <f>SUM(L32:L36)</f>
        <v>0</v>
      </c>
      <c r="M37" s="539"/>
      <c r="N37" s="649">
        <f>SUM(N32:N36)</f>
        <v>0</v>
      </c>
      <c r="O37" s="479"/>
      <c r="P37" s="474"/>
      <c r="Q37" s="605" t="str">
        <f>P37/P$27</f>
        <v>#DIV/0!</v>
      </c>
      <c r="R37" s="469">
        <f>SUM(R32:R36)</f>
        <v>0</v>
      </c>
      <c r="S37" s="469"/>
      <c r="T37" s="737">
        <f>SUM(T32:T36)</f>
        <v>0</v>
      </c>
      <c r="U37" s="469"/>
      <c r="V37" s="249"/>
      <c r="W37" s="249"/>
      <c r="X37" s="249"/>
      <c r="Y37" s="249"/>
      <c r="Z37" s="249"/>
      <c r="AA37" s="249"/>
      <c r="AB37" s="249"/>
      <c r="AC37" s="249"/>
    </row>
    <row r="38" ht="15.75" customHeight="1">
      <c r="A38" s="249"/>
      <c r="B38" s="1189"/>
      <c r="C38" s="1189" t="s">
        <v>189</v>
      </c>
      <c r="D38" s="485">
        <v>2354.0</v>
      </c>
      <c r="E38" s="544"/>
      <c r="F38" s="544"/>
      <c r="G38" s="544"/>
      <c r="H38" s="544"/>
      <c r="I38" s="546"/>
      <c r="J38" s="485">
        <v>3293.0</v>
      </c>
      <c r="K38" s="539"/>
      <c r="L38" s="539"/>
      <c r="M38" s="539"/>
      <c r="N38" s="539"/>
      <c r="O38" s="479"/>
      <c r="P38" s="501"/>
      <c r="Q38" s="469"/>
      <c r="R38" s="469"/>
      <c r="S38" s="469"/>
      <c r="T38" s="469"/>
      <c r="U38" s="469"/>
      <c r="V38" s="249"/>
      <c r="W38" s="249"/>
      <c r="X38" s="249"/>
      <c r="Y38" s="249"/>
      <c r="Z38" s="249"/>
      <c r="AA38" s="249"/>
      <c r="AB38" s="249"/>
      <c r="AC38" s="249"/>
    </row>
    <row r="39" ht="15.75" customHeight="1">
      <c r="A39" s="249"/>
      <c r="B39" s="1194"/>
      <c r="C39" s="1194" t="s">
        <v>190</v>
      </c>
      <c r="D39" s="491">
        <f>D37+D38</f>
        <v>281201.6593</v>
      </c>
      <c r="E39" s="613">
        <f>D39/D$27</f>
        <v>1.614968413</v>
      </c>
      <c r="F39" s="457">
        <f>F37+F38</f>
        <v>0</v>
      </c>
      <c r="G39" s="457"/>
      <c r="H39" s="668">
        <f>H37+H38</f>
        <v>0</v>
      </c>
      <c r="I39" s="457"/>
      <c r="J39" s="491">
        <f>J37+J38</f>
        <v>231956.7141</v>
      </c>
      <c r="K39" s="757">
        <f>J39/J$27</f>
        <v>1.746149204</v>
      </c>
      <c r="L39" s="653">
        <f>L37+L38</f>
        <v>0</v>
      </c>
      <c r="M39" s="653"/>
      <c r="N39" s="734">
        <f>N37+N38</f>
        <v>0</v>
      </c>
      <c r="O39" s="657"/>
      <c r="P39" s="491">
        <f>P37+P38</f>
        <v>0</v>
      </c>
      <c r="Q39" s="790" t="str">
        <f>P39/P$27</f>
        <v>#DIV/0!</v>
      </c>
      <c r="R39" s="788">
        <f>R37+R38</f>
        <v>0</v>
      </c>
      <c r="S39" s="788"/>
      <c r="T39" s="796">
        <f>T37+T38</f>
        <v>0</v>
      </c>
      <c r="U39" s="788"/>
      <c r="V39" s="249"/>
      <c r="W39" s="249"/>
      <c r="X39" s="249"/>
      <c r="Y39" s="249"/>
      <c r="Z39" s="249"/>
      <c r="AA39" s="249"/>
      <c r="AB39" s="249"/>
      <c r="AC39" s="249"/>
    </row>
    <row r="40" ht="15.75" customHeight="1">
      <c r="A40" s="249"/>
      <c r="B40" s="1194"/>
      <c r="C40" s="1194" t="s">
        <v>32</v>
      </c>
      <c r="D40" s="491">
        <f>D27-D39</f>
        <v>-107079.5793</v>
      </c>
      <c r="E40" s="457"/>
      <c r="F40" s="457"/>
      <c r="G40" s="457"/>
      <c r="H40" s="457"/>
      <c r="I40" s="457"/>
      <c r="J40" s="491">
        <f>J27-J39</f>
        <v>-99117.71409</v>
      </c>
      <c r="K40" s="656"/>
      <c r="L40" s="653"/>
      <c r="M40" s="653"/>
      <c r="N40" s="653"/>
      <c r="O40" s="657"/>
      <c r="P40" s="491">
        <f>P27-P39</f>
        <v>0</v>
      </c>
      <c r="Q40" s="788"/>
      <c r="R40" s="788"/>
      <c r="S40" s="788"/>
      <c r="T40" s="788"/>
      <c r="U40" s="788"/>
      <c r="V40" s="249"/>
      <c r="W40" s="249"/>
      <c r="X40" s="249"/>
      <c r="Y40" s="249"/>
      <c r="Z40" s="249"/>
      <c r="AA40" s="249"/>
      <c r="AB40" s="249"/>
      <c r="AC40" s="249"/>
    </row>
    <row r="41" ht="15.75" customHeight="1">
      <c r="A41" s="249"/>
      <c r="B41" s="1180" t="s">
        <v>23</v>
      </c>
      <c r="C41" s="1180" t="s">
        <v>199</v>
      </c>
      <c r="D41" s="463">
        <v>0.0</v>
      </c>
      <c r="E41" s="540"/>
      <c r="F41" s="540"/>
      <c r="G41" s="540"/>
      <c r="H41" s="540"/>
      <c r="I41" s="542"/>
      <c r="J41" s="463">
        <v>0.0</v>
      </c>
      <c r="K41" s="539"/>
      <c r="L41" s="539"/>
      <c r="M41" s="539"/>
      <c r="N41" s="539"/>
      <c r="O41" s="479"/>
      <c r="P41" s="498">
        <v>0.0</v>
      </c>
      <c r="Q41" s="469"/>
      <c r="R41" s="469"/>
      <c r="S41" s="469"/>
      <c r="T41" s="469"/>
      <c r="U41" s="469"/>
      <c r="V41" s="249"/>
      <c r="W41" s="249"/>
      <c r="X41" s="249"/>
      <c r="Y41" s="249"/>
      <c r="Z41" s="249"/>
      <c r="AA41" s="249"/>
      <c r="AB41" s="249"/>
      <c r="AC41" s="249"/>
    </row>
    <row r="42" ht="15.75" customHeight="1">
      <c r="A42" s="249"/>
      <c r="B42" s="1111" t="s">
        <v>23</v>
      </c>
      <c r="C42" s="1111" t="s">
        <v>198</v>
      </c>
      <c r="D42" s="467">
        <v>0.0</v>
      </c>
      <c r="E42" s="539"/>
      <c r="F42" s="539"/>
      <c r="G42" s="539"/>
      <c r="H42" s="539"/>
      <c r="I42" s="479"/>
      <c r="J42" s="467">
        <v>0.0</v>
      </c>
      <c r="K42" s="539"/>
      <c r="L42" s="539"/>
      <c r="M42" s="539"/>
      <c r="N42" s="539"/>
      <c r="O42" s="479"/>
      <c r="P42" s="474">
        <v>0.0</v>
      </c>
      <c r="Q42" s="469"/>
      <c r="R42" s="469"/>
      <c r="S42" s="469"/>
      <c r="T42" s="469"/>
      <c r="U42" s="469"/>
      <c r="V42" s="249"/>
      <c r="W42" s="249"/>
      <c r="X42" s="249"/>
      <c r="Y42" s="249"/>
      <c r="Z42" s="249"/>
      <c r="AA42" s="249"/>
      <c r="AB42" s="249"/>
      <c r="AC42" s="249"/>
    </row>
    <row r="43" ht="15.75" hidden="1" customHeight="1">
      <c r="A43" s="249"/>
      <c r="B43" s="1111" t="s">
        <v>21</v>
      </c>
      <c r="C43" s="1111" t="s">
        <v>199</v>
      </c>
      <c r="D43" s="467">
        <v>0.0</v>
      </c>
      <c r="E43" s="539"/>
      <c r="F43" s="539"/>
      <c r="G43" s="539"/>
      <c r="H43" s="539"/>
      <c r="I43" s="479"/>
      <c r="J43" s="467">
        <v>0.0</v>
      </c>
      <c r="K43" s="539"/>
      <c r="L43" s="539"/>
      <c r="M43" s="539"/>
      <c r="N43" s="539"/>
      <c r="O43" s="479"/>
      <c r="P43" s="474">
        <v>0.0</v>
      </c>
      <c r="Q43" s="469"/>
      <c r="R43" s="469"/>
      <c r="S43" s="469"/>
      <c r="T43" s="469"/>
      <c r="U43" s="469"/>
      <c r="V43" s="249"/>
      <c r="W43" s="249"/>
      <c r="X43" s="249"/>
      <c r="Y43" s="249"/>
      <c r="Z43" s="249"/>
      <c r="AA43" s="249"/>
      <c r="AB43" s="249"/>
      <c r="AC43" s="249"/>
    </row>
    <row r="44" ht="15.75" hidden="1" customHeight="1">
      <c r="A44" s="249"/>
      <c r="B44" s="1111" t="s">
        <v>21</v>
      </c>
      <c r="C44" s="1111" t="s">
        <v>198</v>
      </c>
      <c r="D44" s="467">
        <v>0.0</v>
      </c>
      <c r="E44" s="539"/>
      <c r="F44" s="539"/>
      <c r="G44" s="539"/>
      <c r="H44" s="539"/>
      <c r="I44" s="479"/>
      <c r="J44" s="467">
        <v>0.0</v>
      </c>
      <c r="K44" s="539"/>
      <c r="L44" s="539"/>
      <c r="M44" s="539"/>
      <c r="N44" s="539"/>
      <c r="O44" s="479"/>
      <c r="P44" s="474">
        <v>0.0</v>
      </c>
      <c r="Q44" s="469"/>
      <c r="R44" s="469"/>
      <c r="S44" s="469"/>
      <c r="T44" s="469"/>
      <c r="U44" s="469"/>
      <c r="V44" s="249"/>
      <c r="W44" s="249"/>
      <c r="X44" s="249"/>
      <c r="Y44" s="249"/>
      <c r="Z44" s="249"/>
      <c r="AA44" s="249"/>
      <c r="AB44" s="249"/>
      <c r="AC44" s="249"/>
    </row>
    <row r="45" ht="15.75" hidden="1" customHeight="1">
      <c r="A45" s="249"/>
      <c r="B45" s="1111" t="s">
        <v>22</v>
      </c>
      <c r="C45" s="1111" t="s">
        <v>199</v>
      </c>
      <c r="D45" s="467">
        <v>0.0</v>
      </c>
      <c r="E45" s="539"/>
      <c r="F45" s="539"/>
      <c r="G45" s="539"/>
      <c r="H45" s="539"/>
      <c r="I45" s="479"/>
      <c r="J45" s="467">
        <v>0.0</v>
      </c>
      <c r="K45" s="539"/>
      <c r="L45" s="539"/>
      <c r="M45" s="539"/>
      <c r="N45" s="539"/>
      <c r="O45" s="479"/>
      <c r="P45" s="474">
        <v>0.0</v>
      </c>
      <c r="Q45" s="469"/>
      <c r="R45" s="469"/>
      <c r="S45" s="469"/>
      <c r="T45" s="469"/>
      <c r="U45" s="469"/>
      <c r="V45" s="249"/>
      <c r="W45" s="249"/>
      <c r="X45" s="249"/>
      <c r="Y45" s="249"/>
      <c r="Z45" s="249"/>
      <c r="AA45" s="249"/>
      <c r="AB45" s="249"/>
      <c r="AC45" s="249"/>
    </row>
    <row r="46" ht="15.75" hidden="1" customHeight="1">
      <c r="A46" s="249"/>
      <c r="B46" s="1111" t="s">
        <v>22</v>
      </c>
      <c r="C46" s="1111" t="s">
        <v>198</v>
      </c>
      <c r="D46" s="467">
        <v>0.0</v>
      </c>
      <c r="E46" s="539"/>
      <c r="F46" s="539"/>
      <c r="G46" s="539"/>
      <c r="H46" s="539"/>
      <c r="I46" s="479"/>
      <c r="J46" s="467">
        <v>0.0</v>
      </c>
      <c r="K46" s="539"/>
      <c r="L46" s="539"/>
      <c r="M46" s="539"/>
      <c r="N46" s="539"/>
      <c r="O46" s="479"/>
      <c r="P46" s="474">
        <v>0.0</v>
      </c>
      <c r="Q46" s="469"/>
      <c r="R46" s="469"/>
      <c r="S46" s="469"/>
      <c r="T46" s="469"/>
      <c r="U46" s="469"/>
      <c r="V46" s="249"/>
      <c r="W46" s="249"/>
      <c r="X46" s="249"/>
      <c r="Y46" s="249"/>
      <c r="Z46" s="249"/>
      <c r="AA46" s="249"/>
      <c r="AB46" s="249"/>
      <c r="AC46" s="249"/>
    </row>
    <row r="47" ht="15.75" hidden="1" customHeight="1">
      <c r="A47" s="249"/>
      <c r="B47" s="1111"/>
      <c r="C47" s="1111"/>
      <c r="D47" s="467"/>
      <c r="E47" s="539"/>
      <c r="F47" s="539"/>
      <c r="G47" s="539"/>
      <c r="H47" s="539"/>
      <c r="I47" s="479"/>
      <c r="J47" s="467"/>
      <c r="K47" s="539"/>
      <c r="L47" s="539"/>
      <c r="M47" s="539"/>
      <c r="N47" s="539"/>
      <c r="O47" s="479"/>
      <c r="P47" s="474"/>
      <c r="Q47" s="469"/>
      <c r="R47" s="469"/>
      <c r="S47" s="469"/>
      <c r="T47" s="469"/>
      <c r="U47" s="469"/>
      <c r="V47" s="249"/>
      <c r="W47" s="249"/>
      <c r="X47" s="249"/>
      <c r="Y47" s="249"/>
      <c r="Z47" s="249"/>
      <c r="AA47" s="249"/>
      <c r="AB47" s="249"/>
      <c r="AC47" s="249"/>
    </row>
    <row r="48" ht="15.75" hidden="1" customHeight="1">
      <c r="A48" s="249"/>
      <c r="B48" s="1111"/>
      <c r="C48" s="1111"/>
      <c r="D48" s="467"/>
      <c r="E48" s="539"/>
      <c r="F48" s="539"/>
      <c r="G48" s="539"/>
      <c r="H48" s="539"/>
      <c r="I48" s="479"/>
      <c r="J48" s="467"/>
      <c r="K48" s="539"/>
      <c r="L48" s="539"/>
      <c r="M48" s="539"/>
      <c r="N48" s="539"/>
      <c r="O48" s="479"/>
      <c r="P48" s="474"/>
      <c r="Q48" s="469"/>
      <c r="R48" s="469"/>
      <c r="S48" s="469"/>
      <c r="T48" s="469"/>
      <c r="U48" s="469"/>
      <c r="V48" s="249"/>
      <c r="W48" s="249"/>
      <c r="X48" s="249"/>
      <c r="Y48" s="249"/>
      <c r="Z48" s="249"/>
      <c r="AA48" s="249"/>
      <c r="AB48" s="249"/>
      <c r="AC48" s="249"/>
    </row>
    <row r="49" ht="15.75" hidden="1" customHeight="1">
      <c r="A49" s="249"/>
      <c r="B49" s="1111"/>
      <c r="C49" s="1111"/>
      <c r="D49" s="467"/>
      <c r="E49" s="539"/>
      <c r="F49" s="539"/>
      <c r="G49" s="539"/>
      <c r="H49" s="539"/>
      <c r="I49" s="479"/>
      <c r="J49" s="467"/>
      <c r="K49" s="539"/>
      <c r="L49" s="539"/>
      <c r="M49" s="539"/>
      <c r="N49" s="539"/>
      <c r="O49" s="479"/>
      <c r="P49" s="474"/>
      <c r="Q49" s="469"/>
      <c r="R49" s="469"/>
      <c r="S49" s="469"/>
      <c r="T49" s="469"/>
      <c r="U49" s="469"/>
      <c r="V49" s="249"/>
      <c r="W49" s="249"/>
      <c r="X49" s="249"/>
      <c r="Y49" s="249"/>
      <c r="Z49" s="249"/>
      <c r="AA49" s="249"/>
      <c r="AB49" s="249"/>
      <c r="AC49" s="249"/>
    </row>
    <row r="50" ht="15.75" customHeight="1">
      <c r="A50" s="249"/>
      <c r="B50" s="1111"/>
      <c r="C50" s="1111" t="s">
        <v>376</v>
      </c>
      <c r="D50" s="467">
        <f>SUM(D41:D47)</f>
        <v>0</v>
      </c>
      <c r="E50" s="557" t="str">
        <f>D50/D14</f>
        <v>#DIV/0!</v>
      </c>
      <c r="F50" s="649">
        <f>SUM(F41:F47)</f>
        <v>0</v>
      </c>
      <c r="G50" s="557" t="str">
        <f>F50/F14</f>
        <v>#DIV/0!</v>
      </c>
      <c r="H50" s="649">
        <f>SUM(H41:H47)</f>
        <v>0</v>
      </c>
      <c r="I50" s="562"/>
      <c r="J50" s="467">
        <f>SUM(J41:J47)</f>
        <v>0</v>
      </c>
      <c r="K50" s="557" t="str">
        <f>J50/J14</f>
        <v>#DIV/0!</v>
      </c>
      <c r="L50" s="649">
        <f>SUM(L41:L47)</f>
        <v>0</v>
      </c>
      <c r="M50" s="557" t="str">
        <f>L50/L14</f>
        <v>#DIV/0!</v>
      </c>
      <c r="N50" s="649">
        <f>SUM(N41:N47)</f>
        <v>0</v>
      </c>
      <c r="O50" s="562"/>
      <c r="P50" s="474">
        <f>SUM(P41:P47)</f>
        <v>0</v>
      </c>
      <c r="Q50" s="605" t="str">
        <f>P50/P14</f>
        <v>#DIV/0!</v>
      </c>
      <c r="R50" s="737">
        <f>SUM(R41:R47)</f>
        <v>0</v>
      </c>
      <c r="S50" s="605" t="str">
        <f>R50/R14</f>
        <v>#DIV/0!</v>
      </c>
      <c r="T50" s="737">
        <f>SUM(T41:T47)</f>
        <v>0</v>
      </c>
      <c r="U50" s="605"/>
      <c r="V50" s="249"/>
      <c r="W50" s="249"/>
      <c r="X50" s="249"/>
      <c r="Y50" s="249"/>
      <c r="Z50" s="249"/>
      <c r="AA50" s="249"/>
      <c r="AB50" s="249"/>
      <c r="AC50" s="249"/>
    </row>
    <row r="51" ht="15.75" customHeight="1">
      <c r="A51" s="249"/>
      <c r="B51" s="1111"/>
      <c r="C51" s="1111"/>
      <c r="D51" s="467"/>
      <c r="E51" s="539"/>
      <c r="F51" s="539"/>
      <c r="G51" s="539"/>
      <c r="H51" s="539"/>
      <c r="I51" s="479"/>
      <c r="J51" s="467"/>
      <c r="K51" s="539"/>
      <c r="L51" s="539"/>
      <c r="M51" s="539"/>
      <c r="N51" s="539"/>
      <c r="O51" s="479"/>
      <c r="P51" s="474"/>
      <c r="Q51" s="469"/>
      <c r="R51" s="469"/>
      <c r="S51" s="469"/>
      <c r="T51" s="469"/>
      <c r="U51" s="469"/>
      <c r="V51" s="249"/>
      <c r="W51" s="249"/>
      <c r="X51" s="249"/>
      <c r="Y51" s="249"/>
      <c r="Z51" s="249"/>
      <c r="AA51" s="249"/>
      <c r="AB51" s="249"/>
      <c r="AC51" s="249"/>
    </row>
    <row r="52" ht="15.75" customHeight="1">
      <c r="A52" s="249"/>
      <c r="B52" s="1111"/>
      <c r="C52" s="1111"/>
      <c r="D52" s="467"/>
      <c r="E52" s="539"/>
      <c r="F52" s="539"/>
      <c r="G52" s="539"/>
      <c r="H52" s="539"/>
      <c r="I52" s="479"/>
      <c r="J52" s="467"/>
      <c r="K52" s="539"/>
      <c r="L52" s="539"/>
      <c r="M52" s="539"/>
      <c r="N52" s="539"/>
      <c r="O52" s="479"/>
      <c r="P52" s="474"/>
      <c r="Q52" s="469"/>
      <c r="R52" s="469"/>
      <c r="S52" s="469"/>
      <c r="T52" s="469"/>
      <c r="U52" s="469"/>
      <c r="V52" s="249"/>
      <c r="W52" s="249"/>
      <c r="X52" s="249"/>
      <c r="Y52" s="249"/>
      <c r="Z52" s="249"/>
      <c r="AA52" s="249"/>
      <c r="AB52" s="249"/>
      <c r="AC52" s="249"/>
    </row>
    <row r="53" ht="15.75" customHeight="1">
      <c r="A53" s="249"/>
      <c r="B53" s="1196"/>
      <c r="C53" s="795" t="s">
        <v>191</v>
      </c>
      <c r="D53" s="495"/>
      <c r="E53" s="1104"/>
      <c r="F53" s="1104"/>
      <c r="G53" s="1104"/>
      <c r="H53" s="1197">
        <f t="shared" ref="H53:H59" si="5">D53-F53</f>
        <v>0</v>
      </c>
      <c r="I53" s="1107"/>
      <c r="J53" s="495"/>
      <c r="K53" s="1104"/>
      <c r="L53" s="1104"/>
      <c r="M53" s="1104"/>
      <c r="N53" s="1197">
        <f t="shared" ref="N53:N59" si="6">J53-L53</f>
        <v>0</v>
      </c>
      <c r="O53" s="1107"/>
      <c r="P53" s="512"/>
      <c r="Q53" s="670"/>
      <c r="R53" s="670"/>
      <c r="S53" s="670"/>
      <c r="T53" s="755">
        <f t="shared" ref="T53:T59" si="7">P53-R53</f>
        <v>0</v>
      </c>
      <c r="U53" s="670"/>
      <c r="V53" s="249"/>
      <c r="W53" s="249"/>
      <c r="X53" s="249"/>
      <c r="Y53" s="249"/>
      <c r="Z53" s="249"/>
      <c r="AA53" s="249"/>
      <c r="AB53" s="249"/>
      <c r="AC53" s="249"/>
    </row>
    <row r="54" ht="15.75" hidden="1" customHeight="1">
      <c r="A54" s="249"/>
      <c r="B54" s="1180"/>
      <c r="C54" s="1180" t="s">
        <v>192</v>
      </c>
      <c r="D54" s="463"/>
      <c r="E54" s="540"/>
      <c r="F54" s="646"/>
      <c r="G54" s="540"/>
      <c r="H54" s="646">
        <f t="shared" si="5"/>
        <v>0</v>
      </c>
      <c r="I54" s="542"/>
      <c r="J54" s="463"/>
      <c r="K54" s="540"/>
      <c r="L54" s="646"/>
      <c r="M54" s="540"/>
      <c r="N54" s="646">
        <f t="shared" si="6"/>
        <v>0</v>
      </c>
      <c r="O54" s="542"/>
      <c r="P54" s="498"/>
      <c r="Q54" s="461"/>
      <c r="R54" s="741"/>
      <c r="S54" s="461"/>
      <c r="T54" s="741">
        <f t="shared" si="7"/>
        <v>0</v>
      </c>
      <c r="U54" s="461"/>
      <c r="V54" s="249"/>
      <c r="W54" s="249"/>
      <c r="X54" s="249"/>
      <c r="Y54" s="249"/>
      <c r="Z54" s="249"/>
      <c r="AA54" s="249"/>
      <c r="AB54" s="249"/>
      <c r="AC54" s="249"/>
    </row>
    <row r="55" ht="15.75" hidden="1" customHeight="1">
      <c r="A55" s="249"/>
      <c r="B55" s="1111"/>
      <c r="C55" s="1111" t="s">
        <v>193</v>
      </c>
      <c r="D55" s="467"/>
      <c r="E55" s="539"/>
      <c r="F55" s="539"/>
      <c r="G55" s="539"/>
      <c r="H55" s="649">
        <f t="shared" si="5"/>
        <v>0</v>
      </c>
      <c r="I55" s="479"/>
      <c r="J55" s="467"/>
      <c r="K55" s="539"/>
      <c r="L55" s="539"/>
      <c r="M55" s="539"/>
      <c r="N55" s="649">
        <f t="shared" si="6"/>
        <v>0</v>
      </c>
      <c r="O55" s="479"/>
      <c r="P55" s="474"/>
      <c r="Q55" s="469"/>
      <c r="R55" s="469"/>
      <c r="S55" s="469"/>
      <c r="T55" s="737">
        <f t="shared" si="7"/>
        <v>0</v>
      </c>
      <c r="U55" s="469"/>
      <c r="V55" s="249"/>
      <c r="W55" s="249"/>
      <c r="X55" s="249"/>
      <c r="Y55" s="249"/>
      <c r="Z55" s="249"/>
      <c r="AA55" s="249"/>
      <c r="AB55" s="249"/>
      <c r="AC55" s="249"/>
    </row>
    <row r="56" ht="15.75" hidden="1" customHeight="1">
      <c r="A56" s="249"/>
      <c r="B56" s="1111"/>
      <c r="C56" s="1111" t="s">
        <v>266</v>
      </c>
      <c r="D56" s="467"/>
      <c r="E56" s="539"/>
      <c r="F56" s="539"/>
      <c r="G56" s="539"/>
      <c r="H56" s="649">
        <f t="shared" si="5"/>
        <v>0</v>
      </c>
      <c r="I56" s="479"/>
      <c r="J56" s="467"/>
      <c r="K56" s="539"/>
      <c r="L56" s="539"/>
      <c r="M56" s="539"/>
      <c r="N56" s="649">
        <f t="shared" si="6"/>
        <v>0</v>
      </c>
      <c r="O56" s="479"/>
      <c r="P56" s="474"/>
      <c r="Q56" s="469"/>
      <c r="R56" s="469"/>
      <c r="S56" s="469"/>
      <c r="T56" s="737">
        <f t="shared" si="7"/>
        <v>0</v>
      </c>
      <c r="U56" s="469"/>
      <c r="V56" s="249"/>
      <c r="W56" s="249"/>
      <c r="X56" s="249"/>
      <c r="Y56" s="249"/>
      <c r="Z56" s="249"/>
      <c r="AA56" s="249"/>
      <c r="AB56" s="249"/>
      <c r="AC56" s="249"/>
    </row>
    <row r="57" ht="15.75" hidden="1" customHeight="1">
      <c r="A57" s="249"/>
      <c r="B57" s="1111"/>
      <c r="C57" s="1111" t="s">
        <v>194</v>
      </c>
      <c r="D57" s="467"/>
      <c r="E57" s="539"/>
      <c r="F57" s="539"/>
      <c r="G57" s="539"/>
      <c r="H57" s="649">
        <f t="shared" si="5"/>
        <v>0</v>
      </c>
      <c r="I57" s="479"/>
      <c r="J57" s="467"/>
      <c r="K57" s="539"/>
      <c r="L57" s="539"/>
      <c r="M57" s="539"/>
      <c r="N57" s="649">
        <f t="shared" si="6"/>
        <v>0</v>
      </c>
      <c r="O57" s="479"/>
      <c r="P57" s="474"/>
      <c r="Q57" s="469"/>
      <c r="R57" s="469"/>
      <c r="S57" s="469"/>
      <c r="T57" s="737">
        <f t="shared" si="7"/>
        <v>0</v>
      </c>
      <c r="U57" s="469"/>
      <c r="V57" s="249"/>
      <c r="W57" s="249"/>
      <c r="X57" s="249"/>
      <c r="Y57" s="249"/>
      <c r="Z57" s="249"/>
      <c r="AA57" s="249"/>
      <c r="AB57" s="249"/>
      <c r="AC57" s="249"/>
    </row>
    <row r="58" ht="15.75" hidden="1" customHeight="1">
      <c r="A58" s="249"/>
      <c r="B58" s="1111"/>
      <c r="C58" s="1111" t="s">
        <v>195</v>
      </c>
      <c r="D58" s="467"/>
      <c r="E58" s="539"/>
      <c r="F58" s="539"/>
      <c r="G58" s="539"/>
      <c r="H58" s="649">
        <f t="shared" si="5"/>
        <v>0</v>
      </c>
      <c r="I58" s="479"/>
      <c r="J58" s="467"/>
      <c r="K58" s="539"/>
      <c r="L58" s="539"/>
      <c r="M58" s="539"/>
      <c r="N58" s="649">
        <f t="shared" si="6"/>
        <v>0</v>
      </c>
      <c r="O58" s="479"/>
      <c r="P58" s="474"/>
      <c r="Q58" s="469"/>
      <c r="R58" s="469"/>
      <c r="S58" s="469"/>
      <c r="T58" s="737">
        <f t="shared" si="7"/>
        <v>0</v>
      </c>
      <c r="U58" s="469"/>
      <c r="V58" s="249"/>
      <c r="W58" s="249"/>
      <c r="X58" s="249"/>
      <c r="Y58" s="249"/>
      <c r="Z58" s="249"/>
      <c r="AA58" s="249"/>
      <c r="AB58" s="249"/>
      <c r="AC58" s="249"/>
    </row>
    <row r="59" ht="15.75" hidden="1" customHeight="1">
      <c r="A59" s="249"/>
      <c r="B59" s="1189"/>
      <c r="C59" s="1189" t="s">
        <v>196</v>
      </c>
      <c r="D59" s="485"/>
      <c r="E59" s="544"/>
      <c r="F59" s="544"/>
      <c r="G59" s="544"/>
      <c r="H59" s="706">
        <f t="shared" si="5"/>
        <v>0</v>
      </c>
      <c r="I59" s="546"/>
      <c r="J59" s="485"/>
      <c r="K59" s="544"/>
      <c r="L59" s="544"/>
      <c r="M59" s="544"/>
      <c r="N59" s="706">
        <f t="shared" si="6"/>
        <v>0</v>
      </c>
      <c r="O59" s="546"/>
      <c r="P59" s="501"/>
      <c r="Q59" s="543"/>
      <c r="R59" s="543"/>
      <c r="S59" s="543"/>
      <c r="T59" s="731">
        <f t="shared" si="7"/>
        <v>0</v>
      </c>
      <c r="U59" s="543"/>
      <c r="V59" s="249"/>
      <c r="W59" s="249"/>
      <c r="X59" s="249"/>
      <c r="Y59" s="249"/>
      <c r="Z59" s="249"/>
      <c r="AA59" s="249"/>
      <c r="AB59" s="249"/>
      <c r="AC59" s="249"/>
    </row>
    <row r="60" ht="15.75" customHeight="1">
      <c r="A60" s="249"/>
      <c r="B60" s="1194"/>
      <c r="C60" s="1194" t="s">
        <v>197</v>
      </c>
      <c r="D60" s="491">
        <f>SUM(D54:D59)</f>
        <v>0</v>
      </c>
      <c r="E60" s="457"/>
      <c r="F60" s="668">
        <f>SUM(F54:F59)</f>
        <v>0</v>
      </c>
      <c r="G60" s="457"/>
      <c r="H60" s="668">
        <f>SUM(H54:H59)</f>
        <v>0</v>
      </c>
      <c r="I60" s="457"/>
      <c r="J60" s="491">
        <f>SUM(J54:J59)</f>
        <v>0</v>
      </c>
      <c r="K60" s="457"/>
      <c r="L60" s="668">
        <f>SUM(L54:L59)</f>
        <v>0</v>
      </c>
      <c r="M60" s="457"/>
      <c r="N60" s="668">
        <f>SUM(N54:N59)</f>
        <v>0</v>
      </c>
      <c r="O60" s="457"/>
      <c r="P60" s="491">
        <f>SUM(P54:P59)</f>
        <v>0</v>
      </c>
      <c r="Q60" s="457"/>
      <c r="R60" s="668">
        <f>SUM(R54:R59)</f>
        <v>0</v>
      </c>
      <c r="S60" s="457"/>
      <c r="T60" s="668">
        <f>SUM(T54:T59)</f>
        <v>0</v>
      </c>
      <c r="U60" s="457"/>
      <c r="V60" s="249"/>
      <c r="W60" s="249"/>
      <c r="X60" s="249"/>
      <c r="Y60" s="249"/>
      <c r="Z60" s="249"/>
      <c r="AA60" s="249"/>
      <c r="AB60" s="249"/>
      <c r="AC60" s="249"/>
    </row>
    <row r="61" ht="15.75" hidden="1" customHeight="1">
      <c r="A61" s="249"/>
      <c r="B61" s="1180"/>
      <c r="C61" s="1180"/>
      <c r="D61" s="463"/>
      <c r="E61" s="540"/>
      <c r="F61" s="540"/>
      <c r="G61" s="540"/>
      <c r="H61" s="540"/>
      <c r="I61" s="542"/>
      <c r="J61" s="463"/>
      <c r="K61" s="540"/>
      <c r="L61" s="540"/>
      <c r="M61" s="540"/>
      <c r="N61" s="540"/>
      <c r="O61" s="542"/>
      <c r="P61" s="498"/>
      <c r="Q61" s="461"/>
      <c r="R61" s="461"/>
      <c r="S61" s="461"/>
      <c r="T61" s="461"/>
      <c r="U61" s="461"/>
      <c r="V61" s="249"/>
      <c r="W61" s="249"/>
      <c r="X61" s="249"/>
      <c r="Y61" s="249"/>
      <c r="Z61" s="249"/>
      <c r="AA61" s="249"/>
      <c r="AB61" s="249"/>
      <c r="AC61" s="249"/>
    </row>
    <row r="62" ht="15.75" hidden="1" customHeight="1">
      <c r="A62" s="249"/>
      <c r="B62" s="1111"/>
      <c r="C62" s="1111"/>
      <c r="D62" s="467"/>
      <c r="E62" s="539"/>
      <c r="F62" s="539"/>
      <c r="G62" s="539"/>
      <c r="H62" s="539"/>
      <c r="I62" s="479"/>
      <c r="J62" s="467"/>
      <c r="K62" s="539"/>
      <c r="L62" s="539"/>
      <c r="M62" s="539"/>
      <c r="N62" s="539"/>
      <c r="O62" s="479"/>
      <c r="P62" s="474"/>
      <c r="Q62" s="469"/>
      <c r="R62" s="469"/>
      <c r="S62" s="469"/>
      <c r="T62" s="469"/>
      <c r="U62" s="469"/>
      <c r="V62" s="249"/>
      <c r="W62" s="249"/>
      <c r="X62" s="249"/>
      <c r="Y62" s="249"/>
      <c r="Z62" s="249"/>
      <c r="AA62" s="249"/>
      <c r="AB62" s="249"/>
      <c r="AC62" s="249"/>
    </row>
    <row r="63" ht="15.75" hidden="1" customHeight="1">
      <c r="A63" s="249"/>
      <c r="B63" s="1111"/>
      <c r="C63" s="1111"/>
      <c r="D63" s="467"/>
      <c r="E63" s="539"/>
      <c r="F63" s="539"/>
      <c r="G63" s="539"/>
      <c r="H63" s="539"/>
      <c r="I63" s="479"/>
      <c r="J63" s="467"/>
      <c r="K63" s="539"/>
      <c r="L63" s="539"/>
      <c r="M63" s="539"/>
      <c r="N63" s="539"/>
      <c r="O63" s="479"/>
      <c r="P63" s="474"/>
      <c r="Q63" s="469"/>
      <c r="R63" s="469"/>
      <c r="S63" s="469"/>
      <c r="T63" s="469"/>
      <c r="U63" s="469"/>
      <c r="V63" s="249"/>
      <c r="W63" s="249"/>
      <c r="X63" s="249"/>
      <c r="Y63" s="249"/>
      <c r="Z63" s="249"/>
      <c r="AA63" s="249"/>
      <c r="AB63" s="249"/>
      <c r="AC63" s="249"/>
    </row>
    <row r="64" ht="15.75" hidden="1" customHeight="1">
      <c r="A64" s="249"/>
      <c r="B64" s="1111"/>
      <c r="C64" s="1111"/>
      <c r="D64" s="467"/>
      <c r="E64" s="539"/>
      <c r="F64" s="539"/>
      <c r="G64" s="539"/>
      <c r="H64" s="539"/>
      <c r="I64" s="479"/>
      <c r="J64" s="467"/>
      <c r="K64" s="539"/>
      <c r="L64" s="539"/>
      <c r="M64" s="539"/>
      <c r="N64" s="539"/>
      <c r="O64" s="479"/>
      <c r="P64" s="474"/>
      <c r="Q64" s="469"/>
      <c r="R64" s="469"/>
      <c r="S64" s="469"/>
      <c r="T64" s="469"/>
      <c r="U64" s="469"/>
      <c r="V64" s="249"/>
      <c r="W64" s="249"/>
      <c r="X64" s="249"/>
      <c r="Y64" s="249"/>
      <c r="Z64" s="249"/>
      <c r="AA64" s="249"/>
      <c r="AB64" s="249"/>
      <c r="AC64" s="249"/>
    </row>
    <row r="65" ht="15.75" hidden="1" customHeight="1">
      <c r="A65" s="249"/>
      <c r="B65" s="1111"/>
      <c r="C65" s="1111"/>
      <c r="D65" s="467"/>
      <c r="E65" s="539"/>
      <c r="F65" s="539"/>
      <c r="G65" s="539"/>
      <c r="H65" s="539"/>
      <c r="I65" s="479"/>
      <c r="J65" s="467"/>
      <c r="K65" s="539"/>
      <c r="L65" s="539"/>
      <c r="M65" s="539"/>
      <c r="N65" s="539"/>
      <c r="O65" s="479"/>
      <c r="P65" s="474"/>
      <c r="Q65" s="469"/>
      <c r="R65" s="469"/>
      <c r="S65" s="469"/>
      <c r="T65" s="469"/>
      <c r="U65" s="469"/>
      <c r="V65" s="249"/>
      <c r="W65" s="249"/>
      <c r="X65" s="249"/>
      <c r="Y65" s="249"/>
      <c r="Z65" s="249"/>
      <c r="AA65" s="249"/>
      <c r="AB65" s="249"/>
      <c r="AC65" s="249"/>
    </row>
    <row r="66" ht="15.75" hidden="1" customHeight="1">
      <c r="A66" s="249"/>
      <c r="B66" s="1111"/>
      <c r="C66" s="1111"/>
      <c r="D66" s="467"/>
      <c r="E66" s="539"/>
      <c r="F66" s="539"/>
      <c r="G66" s="539"/>
      <c r="H66" s="539"/>
      <c r="I66" s="479"/>
      <c r="J66" s="467"/>
      <c r="K66" s="539"/>
      <c r="L66" s="539"/>
      <c r="M66" s="539"/>
      <c r="N66" s="539"/>
      <c r="O66" s="479"/>
      <c r="P66" s="474"/>
      <c r="Q66" s="469"/>
      <c r="R66" s="469"/>
      <c r="S66" s="469"/>
      <c r="T66" s="469"/>
      <c r="U66" s="469"/>
      <c r="V66" s="249"/>
      <c r="W66" s="249"/>
      <c r="X66" s="249"/>
      <c r="Y66" s="249"/>
      <c r="Z66" s="249"/>
      <c r="AA66" s="249"/>
      <c r="AB66" s="249"/>
      <c r="AC66" s="249"/>
    </row>
    <row r="67" ht="15.75" hidden="1" customHeight="1">
      <c r="A67" s="249"/>
      <c r="B67" s="1111"/>
      <c r="C67" s="1111"/>
      <c r="D67" s="467"/>
      <c r="E67" s="539"/>
      <c r="F67" s="539"/>
      <c r="G67" s="539"/>
      <c r="H67" s="539"/>
      <c r="I67" s="479"/>
      <c r="J67" s="467"/>
      <c r="K67" s="539"/>
      <c r="L67" s="539"/>
      <c r="M67" s="539"/>
      <c r="N67" s="539"/>
      <c r="O67" s="479"/>
      <c r="P67" s="474"/>
      <c r="Q67" s="469"/>
      <c r="R67" s="469"/>
      <c r="S67" s="469"/>
      <c r="T67" s="469"/>
      <c r="U67" s="469"/>
      <c r="V67" s="249"/>
      <c r="W67" s="249"/>
      <c r="X67" s="249"/>
      <c r="Y67" s="249"/>
      <c r="Z67" s="249"/>
      <c r="AA67" s="249"/>
      <c r="AB67" s="249"/>
      <c r="AC67" s="249"/>
    </row>
    <row r="68" ht="15.75" customHeight="1">
      <c r="A68" s="249"/>
      <c r="B68" s="1111"/>
      <c r="C68" s="1111"/>
      <c r="D68" s="467"/>
      <c r="E68" s="539"/>
      <c r="F68" s="539"/>
      <c r="G68" s="539"/>
      <c r="H68" s="539"/>
      <c r="I68" s="479"/>
      <c r="J68" s="467"/>
      <c r="K68" s="539"/>
      <c r="L68" s="539"/>
      <c r="M68" s="539"/>
      <c r="N68" s="539"/>
      <c r="O68" s="479"/>
      <c r="P68" s="474"/>
      <c r="Q68" s="469"/>
      <c r="R68" s="469"/>
      <c r="S68" s="469"/>
      <c r="T68" s="469"/>
      <c r="U68" s="469"/>
      <c r="V68" s="249"/>
      <c r="W68" s="249"/>
      <c r="X68" s="249"/>
      <c r="Y68" s="249"/>
      <c r="Z68" s="249"/>
      <c r="AA68" s="249"/>
      <c r="AB68" s="249"/>
      <c r="AC68" s="249"/>
    </row>
    <row r="69" ht="15.75" customHeight="1">
      <c r="A69" s="249"/>
      <c r="B69" s="1111"/>
      <c r="C69" s="1111"/>
      <c r="D69" s="467"/>
      <c r="E69" s="557"/>
      <c r="F69" s="539"/>
      <c r="G69" s="557"/>
      <c r="H69" s="539"/>
      <c r="I69" s="562"/>
      <c r="J69" s="467"/>
      <c r="K69" s="557"/>
      <c r="L69" s="539"/>
      <c r="M69" s="557"/>
      <c r="N69" s="539"/>
      <c r="O69" s="562"/>
      <c r="P69" s="474"/>
      <c r="Q69" s="605"/>
      <c r="R69" s="469"/>
      <c r="S69" s="605"/>
      <c r="T69" s="469"/>
      <c r="U69" s="605"/>
      <c r="V69" s="249"/>
      <c r="W69" s="249"/>
      <c r="X69" s="249"/>
      <c r="Y69" s="249"/>
      <c r="Z69" s="249"/>
      <c r="AA69" s="249"/>
      <c r="AB69" s="249"/>
      <c r="AC69" s="249"/>
    </row>
    <row r="70" ht="15.75" customHeight="1">
      <c r="A70" s="249"/>
      <c r="B70" s="1111"/>
      <c r="C70" s="1111"/>
      <c r="D70" s="467"/>
      <c r="E70" s="539"/>
      <c r="F70" s="539"/>
      <c r="G70" s="539"/>
      <c r="H70" s="539"/>
      <c r="I70" s="479"/>
      <c r="J70" s="467"/>
      <c r="K70" s="539"/>
      <c r="L70" s="539"/>
      <c r="M70" s="539"/>
      <c r="N70" s="539"/>
      <c r="O70" s="479"/>
      <c r="P70" s="474"/>
      <c r="Q70" s="469"/>
      <c r="R70" s="469"/>
      <c r="S70" s="469"/>
      <c r="T70" s="469"/>
      <c r="U70" s="469"/>
      <c r="V70" s="249"/>
      <c r="W70" s="249"/>
      <c r="X70" s="249"/>
      <c r="Y70" s="249"/>
      <c r="Z70" s="249"/>
      <c r="AA70" s="249"/>
      <c r="AB70" s="249"/>
      <c r="AC70" s="249"/>
    </row>
    <row r="71" ht="15.75" customHeight="1">
      <c r="A71" s="249"/>
      <c r="B71" s="1198" t="s">
        <v>201</v>
      </c>
      <c r="C71" s="821"/>
      <c r="D71" s="485"/>
      <c r="E71" s="544"/>
      <c r="F71" s="544"/>
      <c r="G71" s="544"/>
      <c r="H71" s="544"/>
      <c r="I71" s="546"/>
      <c r="J71" s="485"/>
      <c r="K71" s="544"/>
      <c r="L71" s="544"/>
      <c r="M71" s="544"/>
      <c r="N71" s="544"/>
      <c r="O71" s="546"/>
      <c r="P71" s="501"/>
      <c r="Q71" s="543"/>
      <c r="R71" s="543"/>
      <c r="S71" s="543"/>
      <c r="T71" s="543"/>
      <c r="U71" s="543"/>
      <c r="V71" s="249"/>
      <c r="W71" s="249"/>
      <c r="X71" s="249"/>
      <c r="Y71" s="249"/>
      <c r="Z71" s="249"/>
      <c r="AA71" s="249"/>
      <c r="AB71" s="249"/>
      <c r="AC71" s="249"/>
    </row>
    <row r="72" ht="15.75" customHeight="1">
      <c r="A72" s="249"/>
      <c r="B72" s="1196"/>
      <c r="C72" s="795" t="s">
        <v>202</v>
      </c>
      <c r="D72" s="459">
        <f>SUM(D73:D78)</f>
        <v>39752.03</v>
      </c>
      <c r="E72" s="547">
        <f t="shared" ref="E72:E75" si="8">D72/D$27</f>
        <v>0.2282997653</v>
      </c>
      <c r="F72" s="645">
        <f>SUM(F73:F78)</f>
        <v>0</v>
      </c>
      <c r="G72" s="547" t="str">
        <f t="shared" ref="G72:G75" si="9">F72/F$27</f>
        <v>#REF!</v>
      </c>
      <c r="H72" s="645">
        <f>SUM(H73:H78)</f>
        <v>37003.03</v>
      </c>
      <c r="I72" s="549" t="str">
        <f t="shared" ref="I72:I75" si="10">H72/H$27</f>
        <v>#REF!</v>
      </c>
      <c r="J72" s="459">
        <f>SUM(J73:J78)</f>
        <v>3715</v>
      </c>
      <c r="K72" s="547">
        <f t="shared" ref="K72:K75" si="11">J72/J$27</f>
        <v>0.02796618463</v>
      </c>
      <c r="L72" s="645">
        <f>SUM(L73:L78)</f>
        <v>0</v>
      </c>
      <c r="M72" s="547" t="str">
        <f t="shared" ref="M72:M75" si="12">L72/L$27</f>
        <v>#DIV/0!</v>
      </c>
      <c r="N72" s="645">
        <f>SUM(N73:N78)</f>
        <v>1555</v>
      </c>
      <c r="O72" s="549">
        <f t="shared" ref="O72:O75" si="13">N72/N$27</f>
        <v>0.02357846854</v>
      </c>
      <c r="P72" s="491">
        <f>SUM(P73:P78)</f>
        <v>0</v>
      </c>
      <c r="Q72" s="613" t="str">
        <f t="shared" ref="Q72:Q75" si="14">P72/P$27</f>
        <v>#DIV/0!</v>
      </c>
      <c r="R72" s="668">
        <f>SUM(R73:R78)</f>
        <v>0</v>
      </c>
      <c r="S72" s="613" t="str">
        <f t="shared" ref="S72:S75" si="15">R72/R$27</f>
        <v>#DIV/0!</v>
      </c>
      <c r="T72" s="668">
        <f>SUM(T73:T78)</f>
        <v>0</v>
      </c>
      <c r="U72" s="613" t="str">
        <f t="shared" ref="U72:U75" si="16">T72/T$27</f>
        <v>#DIV/0!</v>
      </c>
      <c r="V72" s="249"/>
      <c r="W72" s="249"/>
      <c r="X72" s="249"/>
      <c r="Y72" s="249"/>
      <c r="Z72" s="249"/>
      <c r="AA72" s="249"/>
      <c r="AB72" s="249"/>
      <c r="AC72" s="249"/>
    </row>
    <row r="73" ht="15.75" customHeight="1">
      <c r="A73" s="249"/>
      <c r="B73" s="1180"/>
      <c r="C73" s="1180" t="s">
        <v>268</v>
      </c>
      <c r="D73" s="1199">
        <v>2749.0</v>
      </c>
      <c r="E73" s="778">
        <f t="shared" si="8"/>
        <v>0.01578777373</v>
      </c>
      <c r="F73" s="741"/>
      <c r="G73" s="778" t="str">
        <f t="shared" si="9"/>
        <v>#REF!</v>
      </c>
      <c r="H73" s="741"/>
      <c r="I73" s="778" t="str">
        <f t="shared" si="10"/>
        <v>#REF!</v>
      </c>
      <c r="J73" s="1200">
        <v>2160.0</v>
      </c>
      <c r="K73" s="554">
        <f t="shared" si="11"/>
        <v>0.01626028501</v>
      </c>
      <c r="L73" s="646"/>
      <c r="M73" s="552" t="str">
        <f t="shared" si="12"/>
        <v>#DIV/0!</v>
      </c>
      <c r="N73" s="646"/>
      <c r="O73" s="556">
        <f t="shared" si="13"/>
        <v>0</v>
      </c>
      <c r="P73" s="1201"/>
      <c r="Q73" s="778" t="str">
        <f t="shared" si="14"/>
        <v>#DIV/0!</v>
      </c>
      <c r="R73" s="741"/>
      <c r="S73" s="778" t="str">
        <f t="shared" si="15"/>
        <v>#DIV/0!</v>
      </c>
      <c r="T73" s="741"/>
      <c r="U73" s="778" t="str">
        <f t="shared" si="16"/>
        <v>#DIV/0!</v>
      </c>
      <c r="V73" s="249"/>
      <c r="W73" s="249"/>
      <c r="X73" s="249"/>
      <c r="Y73" s="249"/>
      <c r="Z73" s="249"/>
      <c r="AA73" s="249"/>
      <c r="AB73" s="249"/>
      <c r="AC73" s="249"/>
    </row>
    <row r="74" ht="15.75" customHeight="1">
      <c r="A74" s="249"/>
      <c r="B74" s="1111"/>
      <c r="C74" s="1202" t="s">
        <v>269</v>
      </c>
      <c r="D74" s="467">
        <v>0.0</v>
      </c>
      <c r="E74" s="557">
        <f t="shared" si="8"/>
        <v>0</v>
      </c>
      <c r="F74" s="649"/>
      <c r="G74" s="557" t="str">
        <f t="shared" si="9"/>
        <v>#REF!</v>
      </c>
      <c r="H74" s="649"/>
      <c r="I74" s="562" t="str">
        <f t="shared" si="10"/>
        <v>#REF!</v>
      </c>
      <c r="J74" s="463">
        <v>0.0</v>
      </c>
      <c r="K74" s="557">
        <f t="shared" si="11"/>
        <v>0</v>
      </c>
      <c r="L74" s="649"/>
      <c r="M74" s="557" t="str">
        <f t="shared" si="12"/>
        <v>#DIV/0!</v>
      </c>
      <c r="N74" s="649"/>
      <c r="O74" s="562">
        <f t="shared" si="13"/>
        <v>0</v>
      </c>
      <c r="P74" s="498"/>
      <c r="Q74" s="605" t="str">
        <f t="shared" si="14"/>
        <v>#DIV/0!</v>
      </c>
      <c r="R74" s="737"/>
      <c r="S74" s="605" t="str">
        <f t="shared" si="15"/>
        <v>#DIV/0!</v>
      </c>
      <c r="T74" s="737"/>
      <c r="U74" s="605" t="str">
        <f t="shared" si="16"/>
        <v>#DIV/0!</v>
      </c>
      <c r="V74" s="249"/>
      <c r="W74" s="249"/>
      <c r="X74" s="249"/>
      <c r="Y74" s="249"/>
      <c r="Z74" s="249"/>
      <c r="AA74" s="249"/>
      <c r="AB74" s="249"/>
      <c r="AC74" s="249"/>
    </row>
    <row r="75" ht="15.75" customHeight="1">
      <c r="A75" s="249"/>
      <c r="B75" s="1111"/>
      <c r="C75" s="1111" t="s">
        <v>209</v>
      </c>
      <c r="D75" s="467">
        <v>0.0</v>
      </c>
      <c r="E75" s="557">
        <f t="shared" si="8"/>
        <v>0</v>
      </c>
      <c r="F75" s="649"/>
      <c r="G75" s="557" t="str">
        <f t="shared" si="9"/>
        <v>#REF!</v>
      </c>
      <c r="H75" s="649"/>
      <c r="I75" s="562" t="str">
        <f t="shared" si="10"/>
        <v>#REF!</v>
      </c>
      <c r="J75" s="467">
        <v>0.0</v>
      </c>
      <c r="K75" s="557">
        <f t="shared" si="11"/>
        <v>0</v>
      </c>
      <c r="L75" s="649"/>
      <c r="M75" s="557" t="str">
        <f t="shared" si="12"/>
        <v>#DIV/0!</v>
      </c>
      <c r="N75" s="649"/>
      <c r="O75" s="562">
        <f t="shared" si="13"/>
        <v>0</v>
      </c>
      <c r="P75" s="474"/>
      <c r="Q75" s="605" t="str">
        <f t="shared" si="14"/>
        <v>#DIV/0!</v>
      </c>
      <c r="R75" s="737"/>
      <c r="S75" s="605" t="str">
        <f t="shared" si="15"/>
        <v>#DIV/0!</v>
      </c>
      <c r="T75" s="737"/>
      <c r="U75" s="605" t="str">
        <f t="shared" si="16"/>
        <v>#DIV/0!</v>
      </c>
      <c r="V75" s="249"/>
      <c r="W75" s="249"/>
      <c r="X75" s="249"/>
      <c r="Y75" s="249"/>
      <c r="Z75" s="249"/>
      <c r="AA75" s="249"/>
      <c r="AB75" s="249"/>
      <c r="AC75" s="249"/>
    </row>
    <row r="76" ht="15.75" customHeight="1">
      <c r="A76" s="249"/>
      <c r="B76" s="1111"/>
      <c r="C76" s="1111" t="s">
        <v>310</v>
      </c>
      <c r="D76" s="467">
        <v>0.0</v>
      </c>
      <c r="E76" s="557"/>
      <c r="F76" s="649"/>
      <c r="G76" s="557"/>
      <c r="H76" s="649"/>
      <c r="I76" s="562"/>
      <c r="J76" s="467">
        <v>0.0</v>
      </c>
      <c r="K76" s="557"/>
      <c r="L76" s="649"/>
      <c r="M76" s="557"/>
      <c r="N76" s="649"/>
      <c r="O76" s="562"/>
      <c r="P76" s="474"/>
      <c r="Q76" s="605"/>
      <c r="R76" s="737"/>
      <c r="S76" s="605"/>
      <c r="T76" s="737"/>
      <c r="U76" s="605"/>
      <c r="V76" s="249"/>
      <c r="W76" s="249"/>
      <c r="X76" s="249"/>
      <c r="Y76" s="249"/>
      <c r="Z76" s="249"/>
      <c r="AA76" s="249"/>
      <c r="AB76" s="249"/>
      <c r="AC76" s="249"/>
    </row>
    <row r="77" ht="15.75" customHeight="1">
      <c r="A77" s="249"/>
      <c r="B77" s="1111"/>
      <c r="C77" s="1202" t="s">
        <v>363</v>
      </c>
      <c r="D77" s="467">
        <v>0.0</v>
      </c>
      <c r="E77" s="557">
        <f t="shared" ref="E77:E78" si="17">D77/D$27</f>
        <v>0</v>
      </c>
      <c r="F77" s="649"/>
      <c r="G77" s="557" t="str">
        <f t="shared" ref="G77:G78" si="18">F77/F$27</f>
        <v>#REF!</v>
      </c>
      <c r="H77" s="649"/>
      <c r="I77" s="562" t="str">
        <f t="shared" ref="I77:I78" si="19">H77/H$27</f>
        <v>#REF!</v>
      </c>
      <c r="J77" s="467">
        <v>0.0</v>
      </c>
      <c r="K77" s="557">
        <f t="shared" ref="K77:K78" si="20">J77/J$27</f>
        <v>0</v>
      </c>
      <c r="L77" s="649"/>
      <c r="M77" s="557" t="str">
        <f t="shared" ref="M77:M78" si="21">L77/L$27</f>
        <v>#DIV/0!</v>
      </c>
      <c r="N77" s="649"/>
      <c r="O77" s="562">
        <f t="shared" ref="O77:O78" si="22">N77/N$27</f>
        <v>0</v>
      </c>
      <c r="P77" s="474"/>
      <c r="Q77" s="605" t="str">
        <f t="shared" ref="Q77:Q78" si="23">P77/P$27</f>
        <v>#DIV/0!</v>
      </c>
      <c r="R77" s="737"/>
      <c r="S77" s="605" t="str">
        <f t="shared" ref="S77:S78" si="24">R77/R$27</f>
        <v>#DIV/0!</v>
      </c>
      <c r="T77" s="737"/>
      <c r="U77" s="605" t="str">
        <f t="shared" ref="U77:U78" si="25">T77/T$27</f>
        <v>#DIV/0!</v>
      </c>
      <c r="V77" s="249"/>
      <c r="W77" s="249"/>
      <c r="X77" s="249"/>
      <c r="Y77" s="249"/>
      <c r="Z77" s="249"/>
      <c r="AA77" s="249"/>
      <c r="AB77" s="249"/>
      <c r="AC77" s="249"/>
    </row>
    <row r="78" ht="15.75" customHeight="1">
      <c r="A78" s="249"/>
      <c r="B78" s="1111"/>
      <c r="C78" s="1111" t="s">
        <v>271</v>
      </c>
      <c r="D78" s="467">
        <f>(22735.06)+14267.97</f>
        <v>37003.03</v>
      </c>
      <c r="E78" s="557">
        <f t="shared" si="17"/>
        <v>0.2125119916</v>
      </c>
      <c r="F78" s="539">
        <v>0.0</v>
      </c>
      <c r="G78" s="557" t="str">
        <f t="shared" si="18"/>
        <v>#REF!</v>
      </c>
      <c r="H78" s="649">
        <f>D78-F78</f>
        <v>37003.03</v>
      </c>
      <c r="I78" s="562" t="str">
        <f t="shared" si="19"/>
        <v>#REF!</v>
      </c>
      <c r="J78" s="467">
        <v>1555.0</v>
      </c>
      <c r="K78" s="557">
        <f t="shared" si="20"/>
        <v>0.01170589962</v>
      </c>
      <c r="L78" s="539">
        <v>0.0</v>
      </c>
      <c r="M78" s="557" t="str">
        <f t="shared" si="21"/>
        <v>#DIV/0!</v>
      </c>
      <c r="N78" s="649">
        <f>J78-L78</f>
        <v>1555</v>
      </c>
      <c r="O78" s="562">
        <f t="shared" si="22"/>
        <v>0.02357846854</v>
      </c>
      <c r="P78" s="474"/>
      <c r="Q78" s="605" t="str">
        <f t="shared" si="23"/>
        <v>#DIV/0!</v>
      </c>
      <c r="R78" s="469">
        <v>0.0</v>
      </c>
      <c r="S78" s="605" t="str">
        <f t="shared" si="24"/>
        <v>#DIV/0!</v>
      </c>
      <c r="T78" s="737">
        <f>P78-R78</f>
        <v>0</v>
      </c>
      <c r="U78" s="605" t="str">
        <f t="shared" si="25"/>
        <v>#DIV/0!</v>
      </c>
      <c r="V78" s="249"/>
      <c r="W78" s="249"/>
      <c r="X78" s="249"/>
      <c r="Y78" s="249"/>
      <c r="Z78" s="249"/>
      <c r="AA78" s="249"/>
      <c r="AB78" s="249"/>
      <c r="AC78" s="249"/>
    </row>
    <row r="79" ht="15.75" customHeight="1">
      <c r="A79" s="249"/>
      <c r="B79" s="1189"/>
      <c r="C79" s="1203"/>
      <c r="D79" s="485"/>
      <c r="E79" s="544"/>
      <c r="F79" s="544"/>
      <c r="G79" s="544"/>
      <c r="H79" s="544"/>
      <c r="I79" s="546"/>
      <c r="J79" s="485"/>
      <c r="K79" s="544"/>
      <c r="L79" s="544"/>
      <c r="M79" s="544"/>
      <c r="N79" s="544"/>
      <c r="O79" s="546"/>
      <c r="P79" s="501"/>
      <c r="Q79" s="543"/>
      <c r="R79" s="543"/>
      <c r="S79" s="543"/>
      <c r="T79" s="543"/>
      <c r="U79" s="543"/>
      <c r="V79" s="249"/>
      <c r="W79" s="249"/>
      <c r="X79" s="249"/>
      <c r="Y79" s="249"/>
      <c r="Z79" s="249"/>
      <c r="AA79" s="249"/>
      <c r="AB79" s="249"/>
      <c r="AC79" s="249"/>
    </row>
    <row r="80" ht="15.75" customHeight="1">
      <c r="A80" s="249"/>
      <c r="B80" s="1196"/>
      <c r="C80" s="795" t="s">
        <v>35</v>
      </c>
      <c r="D80" s="459">
        <f>SUM(D81:D85)</f>
        <v>65245.94</v>
      </c>
      <c r="E80" s="547">
        <f>D80/D$27</f>
        <v>0.374713764</v>
      </c>
      <c r="F80" s="645">
        <f>SUM(F81:F85)</f>
        <v>0</v>
      </c>
      <c r="G80" s="547" t="str">
        <f>F80/F$27</f>
        <v>#REF!</v>
      </c>
      <c r="H80" s="645">
        <f>SUM(H81:H84)</f>
        <v>0</v>
      </c>
      <c r="I80" s="585"/>
      <c r="J80" s="459">
        <f>SUM(J81:J85)</f>
        <v>20427</v>
      </c>
      <c r="K80" s="547">
        <f>J80/J$27</f>
        <v>0.153772612</v>
      </c>
      <c r="L80" s="645">
        <f>SUM(L81:L85)</f>
        <v>0</v>
      </c>
      <c r="M80" s="547" t="str">
        <f>L80/L$27</f>
        <v>#DIV/0!</v>
      </c>
      <c r="N80" s="645">
        <f>SUM(N81:N84)</f>
        <v>0</v>
      </c>
      <c r="O80" s="585"/>
      <c r="P80" s="491">
        <f>SUM(P81:P85)</f>
        <v>0</v>
      </c>
      <c r="Q80" s="613" t="str">
        <f>P80/P$27</f>
        <v>#DIV/0!</v>
      </c>
      <c r="R80" s="668">
        <f>SUM(R81:R85)</f>
        <v>0</v>
      </c>
      <c r="S80" s="613" t="str">
        <f>R80/R$27</f>
        <v>#DIV/0!</v>
      </c>
      <c r="T80" s="668">
        <f>SUM(T81:T84)</f>
        <v>0</v>
      </c>
      <c r="U80" s="457"/>
      <c r="V80" s="249"/>
      <c r="W80" s="249"/>
      <c r="X80" s="249"/>
      <c r="Y80" s="249"/>
      <c r="Z80" s="249"/>
      <c r="AA80" s="249"/>
      <c r="AB80" s="249"/>
      <c r="AC80" s="249"/>
    </row>
    <row r="81" ht="15.75" customHeight="1">
      <c r="A81" s="249"/>
      <c r="B81" s="1180"/>
      <c r="C81" s="1180" t="s">
        <v>212</v>
      </c>
      <c r="D81" s="463"/>
      <c r="E81" s="540"/>
      <c r="F81" s="646"/>
      <c r="G81" s="540"/>
      <c r="H81" s="646"/>
      <c r="I81" s="542"/>
      <c r="J81" s="463"/>
      <c r="K81" s="540"/>
      <c r="L81" s="646"/>
      <c r="M81" s="540"/>
      <c r="N81" s="646"/>
      <c r="O81" s="542"/>
      <c r="P81" s="498"/>
      <c r="Q81" s="461"/>
      <c r="R81" s="741"/>
      <c r="S81" s="461"/>
      <c r="T81" s="741"/>
      <c r="U81" s="461"/>
      <c r="V81" s="249"/>
      <c r="W81" s="249"/>
      <c r="X81" s="249"/>
      <c r="Y81" s="249"/>
      <c r="Z81" s="249"/>
      <c r="AA81" s="249"/>
      <c r="AB81" s="249"/>
      <c r="AC81" s="249"/>
    </row>
    <row r="82" ht="15.75" customHeight="1">
      <c r="A82" s="249"/>
      <c r="B82" s="1111"/>
      <c r="C82" s="1111" t="s">
        <v>213</v>
      </c>
      <c r="D82" s="467"/>
      <c r="E82" s="539"/>
      <c r="F82" s="649"/>
      <c r="G82" s="539"/>
      <c r="H82" s="649"/>
      <c r="I82" s="479"/>
      <c r="J82" s="485"/>
      <c r="K82" s="539"/>
      <c r="L82" s="649"/>
      <c r="M82" s="539"/>
      <c r="N82" s="649"/>
      <c r="O82" s="479"/>
      <c r="P82" s="501"/>
      <c r="Q82" s="469"/>
      <c r="R82" s="737"/>
      <c r="S82" s="469"/>
      <c r="T82" s="737"/>
      <c r="U82" s="469"/>
      <c r="V82" s="249"/>
      <c r="W82" s="249"/>
      <c r="X82" s="249"/>
      <c r="Y82" s="249"/>
      <c r="Z82" s="249"/>
      <c r="AA82" s="249"/>
      <c r="AB82" s="249"/>
      <c r="AC82" s="249"/>
    </row>
    <row r="83" ht="15.75" customHeight="1">
      <c r="A83" s="249"/>
      <c r="B83" s="1111"/>
      <c r="C83" s="465" t="s">
        <v>272</v>
      </c>
      <c r="D83" s="474">
        <v>10262.85</v>
      </c>
      <c r="E83" s="560">
        <f t="shared" ref="E83:E84" si="26">D83/D17</f>
        <v>0.1493206922</v>
      </c>
      <c r="F83" s="649"/>
      <c r="G83" s="557"/>
      <c r="H83" s="649"/>
      <c r="I83" s="574"/>
      <c r="J83" s="957">
        <v>9948.0</v>
      </c>
      <c r="K83" s="560">
        <f t="shared" ref="K83:K84" si="27">J83/J17</f>
        <v>0.1508415466</v>
      </c>
      <c r="L83" s="649"/>
      <c r="M83" s="557"/>
      <c r="N83" s="649"/>
      <c r="O83" s="479"/>
      <c r="P83" s="847"/>
      <c r="Q83" s="605" t="str">
        <f t="shared" ref="Q83:Q84" si="28">P83/P17</f>
        <v>#DIV/0!</v>
      </c>
      <c r="R83" s="737"/>
      <c r="S83" s="605"/>
      <c r="T83" s="737"/>
      <c r="U83" s="469"/>
      <c r="V83" s="249"/>
      <c r="W83" s="249"/>
      <c r="X83" s="249"/>
      <c r="Y83" s="249"/>
      <c r="Z83" s="249"/>
      <c r="AA83" s="249"/>
      <c r="AB83" s="249"/>
      <c r="AC83" s="249"/>
    </row>
    <row r="84" ht="15.75" customHeight="1">
      <c r="A84" s="249"/>
      <c r="B84" s="1111"/>
      <c r="C84" s="465" t="s">
        <v>311</v>
      </c>
      <c r="D84" s="467">
        <v>19603.09</v>
      </c>
      <c r="E84" s="557">
        <f t="shared" si="26"/>
        <v>0.2031192542</v>
      </c>
      <c r="F84" s="649"/>
      <c r="G84" s="557"/>
      <c r="H84" s="649"/>
      <c r="I84" s="479"/>
      <c r="J84" s="463">
        <v>9889.0</v>
      </c>
      <c r="K84" s="557">
        <f t="shared" si="27"/>
        <v>0.1478419471</v>
      </c>
      <c r="L84" s="649"/>
      <c r="M84" s="557"/>
      <c r="N84" s="649"/>
      <c r="O84" s="479"/>
      <c r="P84" s="498"/>
      <c r="Q84" s="605" t="str">
        <f t="shared" si="28"/>
        <v>#DIV/0!</v>
      </c>
      <c r="R84" s="737"/>
      <c r="S84" s="605"/>
      <c r="T84" s="737"/>
      <c r="U84" s="469"/>
      <c r="V84" s="249"/>
      <c r="W84" s="249"/>
      <c r="X84" s="249"/>
      <c r="Y84" s="249"/>
      <c r="Z84" s="249"/>
      <c r="AA84" s="249"/>
      <c r="AB84" s="249"/>
      <c r="AC84" s="249"/>
    </row>
    <row r="85" ht="15.75" customHeight="1">
      <c r="A85" s="249"/>
      <c r="B85" s="1111"/>
      <c r="C85" s="465" t="s">
        <v>366</v>
      </c>
      <c r="D85" s="467">
        <f>34800+580</f>
        <v>35380</v>
      </c>
      <c r="E85" s="557">
        <f>D85/D27</f>
        <v>0.2031907728</v>
      </c>
      <c r="F85" s="649"/>
      <c r="G85" s="557"/>
      <c r="H85" s="649"/>
      <c r="I85" s="479"/>
      <c r="J85" s="515">
        <v>590.0</v>
      </c>
      <c r="K85" s="557">
        <f>J85/J27</f>
        <v>0.004441466738</v>
      </c>
      <c r="L85" s="649"/>
      <c r="M85" s="557"/>
      <c r="N85" s="649"/>
      <c r="O85" s="479"/>
      <c r="P85" s="522"/>
      <c r="Q85" s="605" t="str">
        <f>P85/P27</f>
        <v>#DIV/0!</v>
      </c>
      <c r="R85" s="737"/>
      <c r="S85" s="605"/>
      <c r="T85" s="737"/>
      <c r="U85" s="469"/>
      <c r="V85" s="249"/>
      <c r="W85" s="249"/>
      <c r="X85" s="249"/>
      <c r="Y85" s="249"/>
      <c r="Z85" s="249"/>
      <c r="AA85" s="249"/>
      <c r="AB85" s="249"/>
      <c r="AC85" s="249"/>
    </row>
    <row r="86" ht="15.75" customHeight="1">
      <c r="A86" s="249"/>
      <c r="B86" s="1189"/>
      <c r="C86" s="1189"/>
      <c r="D86" s="485"/>
      <c r="E86" s="544"/>
      <c r="F86" s="544"/>
      <c r="G86" s="544"/>
      <c r="H86" s="544"/>
      <c r="I86" s="546"/>
      <c r="J86" s="485"/>
      <c r="K86" s="539"/>
      <c r="L86" s="539"/>
      <c r="M86" s="539"/>
      <c r="N86" s="539"/>
      <c r="O86" s="479"/>
      <c r="P86" s="501"/>
      <c r="Q86" s="469"/>
      <c r="R86" s="469"/>
      <c r="S86" s="469"/>
      <c r="T86" s="469"/>
      <c r="U86" s="469"/>
      <c r="V86" s="249"/>
      <c r="W86" s="249"/>
      <c r="X86" s="249"/>
      <c r="Y86" s="249"/>
      <c r="Z86" s="249"/>
      <c r="AA86" s="249"/>
      <c r="AB86" s="249"/>
      <c r="AC86" s="249"/>
    </row>
    <row r="87" ht="15.75" customHeight="1">
      <c r="A87" s="249"/>
      <c r="B87" s="1196"/>
      <c r="C87" s="795" t="s">
        <v>216</v>
      </c>
      <c r="D87" s="491">
        <f>SUM(D88:D91)</f>
        <v>0</v>
      </c>
      <c r="E87" s="613">
        <f>D87/D$27</f>
        <v>0</v>
      </c>
      <c r="F87" s="457">
        <f>SUM(F88:F91)</f>
        <v>0</v>
      </c>
      <c r="G87" s="613" t="str">
        <f>F87/F$27</f>
        <v>#REF!</v>
      </c>
      <c r="H87" s="668">
        <f>SUM(H88:H91)</f>
        <v>0</v>
      </c>
      <c r="I87" s="457"/>
      <c r="J87" s="491">
        <f>SUM(J88:J91)</f>
        <v>0</v>
      </c>
      <c r="K87" s="757">
        <f>J87/J$27</f>
        <v>0</v>
      </c>
      <c r="L87" s="653">
        <f>SUM(L88:L91)</f>
        <v>0</v>
      </c>
      <c r="M87" s="577" t="str">
        <f>L87/L$27</f>
        <v>#DIV/0!</v>
      </c>
      <c r="N87" s="734">
        <f>SUM(N88:N91)</f>
        <v>0</v>
      </c>
      <c r="O87" s="657"/>
      <c r="P87" s="491">
        <f>SUM(P88:P91)</f>
        <v>0</v>
      </c>
      <c r="Q87" s="790" t="str">
        <f>P87/P$27</f>
        <v>#DIV/0!</v>
      </c>
      <c r="R87" s="788">
        <f>SUM(R88:R91)</f>
        <v>0</v>
      </c>
      <c r="S87" s="790" t="str">
        <f>R87/R$27</f>
        <v>#DIV/0!</v>
      </c>
      <c r="T87" s="796">
        <f>SUM(T88:T91)</f>
        <v>0</v>
      </c>
      <c r="U87" s="788"/>
      <c r="V87" s="249"/>
      <c r="W87" s="249"/>
      <c r="X87" s="249"/>
      <c r="Y87" s="249"/>
      <c r="Z87" s="249"/>
      <c r="AA87" s="249"/>
      <c r="AB87" s="249"/>
      <c r="AC87" s="249"/>
    </row>
    <row r="88" ht="15.75" customHeight="1">
      <c r="A88" s="249"/>
      <c r="B88" s="1180"/>
      <c r="C88" s="1180" t="s">
        <v>217</v>
      </c>
      <c r="D88" s="463"/>
      <c r="E88" s="552"/>
      <c r="F88" s="540"/>
      <c r="G88" s="552"/>
      <c r="H88" s="646"/>
      <c r="I88" s="542"/>
      <c r="J88" s="463"/>
      <c r="K88" s="557"/>
      <c r="L88" s="539"/>
      <c r="M88" s="557"/>
      <c r="N88" s="649"/>
      <c r="O88" s="479"/>
      <c r="P88" s="498"/>
      <c r="Q88" s="605"/>
      <c r="R88" s="469"/>
      <c r="S88" s="605"/>
      <c r="T88" s="737"/>
      <c r="U88" s="469"/>
      <c r="V88" s="249"/>
      <c r="W88" s="249"/>
      <c r="X88" s="249"/>
      <c r="Y88" s="249"/>
      <c r="Z88" s="249"/>
      <c r="AA88" s="249"/>
      <c r="AB88" s="249"/>
      <c r="AC88" s="249"/>
    </row>
    <row r="89" ht="15.75" customHeight="1">
      <c r="A89" s="249"/>
      <c r="B89" s="1111"/>
      <c r="C89" s="1111" t="s">
        <v>218</v>
      </c>
      <c r="D89" s="467"/>
      <c r="E89" s="557"/>
      <c r="F89" s="539"/>
      <c r="G89" s="557"/>
      <c r="H89" s="649"/>
      <c r="I89" s="479"/>
      <c r="J89" s="467"/>
      <c r="K89" s="557"/>
      <c r="L89" s="539"/>
      <c r="M89" s="557"/>
      <c r="N89" s="649"/>
      <c r="O89" s="479"/>
      <c r="P89" s="474"/>
      <c r="Q89" s="605"/>
      <c r="R89" s="469"/>
      <c r="S89" s="605"/>
      <c r="T89" s="737"/>
      <c r="U89" s="469"/>
      <c r="V89" s="249"/>
      <c r="W89" s="249"/>
      <c r="X89" s="249"/>
      <c r="Y89" s="249"/>
      <c r="Z89" s="249"/>
      <c r="AA89" s="249"/>
      <c r="AB89" s="249"/>
      <c r="AC89" s="249"/>
    </row>
    <row r="90" ht="15.75" customHeight="1">
      <c r="A90" s="249"/>
      <c r="B90" s="1111"/>
      <c r="C90" s="1111" t="s">
        <v>219</v>
      </c>
      <c r="D90" s="467"/>
      <c r="E90" s="539"/>
      <c r="F90" s="539"/>
      <c r="G90" s="539"/>
      <c r="H90" s="539"/>
      <c r="I90" s="479"/>
      <c r="J90" s="467"/>
      <c r="K90" s="539"/>
      <c r="L90" s="539"/>
      <c r="M90" s="539"/>
      <c r="N90" s="539"/>
      <c r="O90" s="479"/>
      <c r="P90" s="474"/>
      <c r="Q90" s="469"/>
      <c r="R90" s="469"/>
      <c r="S90" s="469"/>
      <c r="T90" s="469"/>
      <c r="U90" s="469"/>
      <c r="V90" s="249"/>
      <c r="W90" s="249"/>
      <c r="X90" s="249"/>
      <c r="Y90" s="249"/>
      <c r="Z90" s="249"/>
      <c r="AA90" s="249"/>
      <c r="AB90" s="249"/>
      <c r="AC90" s="249"/>
    </row>
    <row r="91" ht="15.75" customHeight="1">
      <c r="A91" s="249"/>
      <c r="B91" s="1111"/>
      <c r="C91" s="1111" t="s">
        <v>220</v>
      </c>
      <c r="D91" s="467"/>
      <c r="E91" s="539"/>
      <c r="F91" s="539"/>
      <c r="G91" s="539"/>
      <c r="H91" s="539"/>
      <c r="I91" s="479"/>
      <c r="J91" s="467"/>
      <c r="K91" s="539"/>
      <c r="L91" s="539"/>
      <c r="M91" s="539"/>
      <c r="N91" s="539"/>
      <c r="O91" s="479"/>
      <c r="P91" s="474"/>
      <c r="Q91" s="469"/>
      <c r="R91" s="469"/>
      <c r="S91" s="469"/>
      <c r="T91" s="469"/>
      <c r="U91" s="469"/>
      <c r="V91" s="249"/>
      <c r="W91" s="249"/>
      <c r="X91" s="249"/>
      <c r="Y91" s="249"/>
      <c r="Z91" s="249"/>
      <c r="AA91" s="249"/>
      <c r="AB91" s="249"/>
      <c r="AC91" s="249"/>
    </row>
    <row r="92" ht="15.75" customHeight="1">
      <c r="A92" s="249"/>
      <c r="B92" s="1189"/>
      <c r="C92" s="1203"/>
      <c r="D92" s="485"/>
      <c r="E92" s="544"/>
      <c r="F92" s="544"/>
      <c r="G92" s="544"/>
      <c r="H92" s="544"/>
      <c r="I92" s="546"/>
      <c r="J92" s="485"/>
      <c r="K92" s="539"/>
      <c r="L92" s="539"/>
      <c r="M92" s="539"/>
      <c r="N92" s="539"/>
      <c r="O92" s="479"/>
      <c r="P92" s="501"/>
      <c r="Q92" s="469"/>
      <c r="R92" s="469"/>
      <c r="S92" s="469"/>
      <c r="T92" s="469"/>
      <c r="U92" s="469"/>
      <c r="V92" s="249"/>
      <c r="W92" s="249"/>
      <c r="X92" s="249"/>
      <c r="Y92" s="249"/>
      <c r="Z92" s="249"/>
      <c r="AA92" s="249"/>
      <c r="AB92" s="249"/>
      <c r="AC92" s="249"/>
    </row>
    <row r="93" ht="15.75" customHeight="1">
      <c r="A93" s="249"/>
      <c r="B93" s="1196"/>
      <c r="C93" s="795" t="s">
        <v>37</v>
      </c>
      <c r="D93" s="491">
        <f>SUM(D94:D100)</f>
        <v>0</v>
      </c>
      <c r="E93" s="613">
        <f>D93/D$27</f>
        <v>0</v>
      </c>
      <c r="F93" s="668">
        <f>SUM(F94:F100)</f>
        <v>0</v>
      </c>
      <c r="G93" s="613" t="str">
        <f>F93/F$27</f>
        <v>#REF!</v>
      </c>
      <c r="H93" s="668">
        <f>SUM(H94:H100)</f>
        <v>0</v>
      </c>
      <c r="I93" s="457"/>
      <c r="J93" s="491">
        <f>SUM(J94:J100)</f>
        <v>0</v>
      </c>
      <c r="K93" s="757">
        <f>J93/J$27</f>
        <v>0</v>
      </c>
      <c r="L93" s="734">
        <f>SUM(L94:L100)</f>
        <v>0</v>
      </c>
      <c r="M93" s="577" t="str">
        <f>L93/L$27</f>
        <v>#DIV/0!</v>
      </c>
      <c r="N93" s="734">
        <f>SUM(N94:N100)</f>
        <v>0</v>
      </c>
      <c r="O93" s="657"/>
      <c r="P93" s="491">
        <f>SUM(P94:P100)</f>
        <v>0</v>
      </c>
      <c r="Q93" s="790" t="str">
        <f>P93/P$27</f>
        <v>#DIV/0!</v>
      </c>
      <c r="R93" s="796">
        <f>SUM(R94:R100)</f>
        <v>0</v>
      </c>
      <c r="S93" s="790" t="str">
        <f>R93/R$27</f>
        <v>#DIV/0!</v>
      </c>
      <c r="T93" s="796">
        <f>SUM(T94:T100)</f>
        <v>0</v>
      </c>
      <c r="U93" s="788"/>
      <c r="V93" s="249"/>
      <c r="W93" s="249"/>
      <c r="X93" s="249"/>
      <c r="Y93" s="249"/>
      <c r="Z93" s="249"/>
      <c r="AA93" s="249"/>
      <c r="AB93" s="249"/>
      <c r="AC93" s="249"/>
    </row>
    <row r="94" ht="15.75" customHeight="1">
      <c r="A94" s="249"/>
      <c r="B94" s="1180"/>
      <c r="C94" s="1180" t="s">
        <v>221</v>
      </c>
      <c r="D94" s="463"/>
      <c r="E94" s="552"/>
      <c r="F94" s="540"/>
      <c r="G94" s="552"/>
      <c r="H94" s="646"/>
      <c r="I94" s="542"/>
      <c r="J94" s="463"/>
      <c r="K94" s="557"/>
      <c r="L94" s="539"/>
      <c r="M94" s="557"/>
      <c r="N94" s="649"/>
      <c r="O94" s="479"/>
      <c r="P94" s="498"/>
      <c r="Q94" s="605"/>
      <c r="R94" s="469"/>
      <c r="S94" s="605"/>
      <c r="T94" s="737"/>
      <c r="U94" s="469"/>
      <c r="V94" s="249"/>
      <c r="W94" s="249"/>
      <c r="X94" s="249"/>
      <c r="Y94" s="249"/>
      <c r="Z94" s="249"/>
      <c r="AA94" s="249"/>
      <c r="AB94" s="249"/>
      <c r="AC94" s="249"/>
    </row>
    <row r="95" ht="15.75" customHeight="1">
      <c r="A95" s="249"/>
      <c r="B95" s="1111"/>
      <c r="C95" s="1111" t="s">
        <v>222</v>
      </c>
      <c r="D95" s="467"/>
      <c r="E95" s="557"/>
      <c r="F95" s="539"/>
      <c r="G95" s="557"/>
      <c r="H95" s="649"/>
      <c r="I95" s="479"/>
      <c r="J95" s="467"/>
      <c r="K95" s="557"/>
      <c r="L95" s="539"/>
      <c r="M95" s="557"/>
      <c r="N95" s="649"/>
      <c r="O95" s="479"/>
      <c r="P95" s="474"/>
      <c r="Q95" s="605"/>
      <c r="R95" s="469"/>
      <c r="S95" s="605"/>
      <c r="T95" s="737"/>
      <c r="U95" s="469"/>
      <c r="V95" s="249"/>
      <c r="W95" s="249"/>
      <c r="X95" s="249"/>
      <c r="Y95" s="249"/>
      <c r="Z95" s="249"/>
      <c r="AA95" s="249"/>
      <c r="AB95" s="249"/>
      <c r="AC95" s="249"/>
    </row>
    <row r="96" ht="15.75" customHeight="1">
      <c r="A96" s="249"/>
      <c r="B96" s="1111"/>
      <c r="C96" s="1111" t="s">
        <v>223</v>
      </c>
      <c r="D96" s="467"/>
      <c r="E96" s="557"/>
      <c r="F96" s="539"/>
      <c r="G96" s="557"/>
      <c r="H96" s="649"/>
      <c r="I96" s="479"/>
      <c r="J96" s="467"/>
      <c r="K96" s="557"/>
      <c r="L96" s="539"/>
      <c r="M96" s="557"/>
      <c r="N96" s="649"/>
      <c r="O96" s="479"/>
      <c r="P96" s="474"/>
      <c r="Q96" s="605"/>
      <c r="R96" s="469"/>
      <c r="S96" s="605"/>
      <c r="T96" s="737"/>
      <c r="U96" s="469"/>
      <c r="V96" s="249"/>
      <c r="W96" s="249"/>
      <c r="X96" s="249"/>
      <c r="Y96" s="249"/>
      <c r="Z96" s="249"/>
      <c r="AA96" s="249"/>
      <c r="AB96" s="249"/>
      <c r="AC96" s="249"/>
    </row>
    <row r="97" ht="15.75" customHeight="1">
      <c r="A97" s="249"/>
      <c r="B97" s="1111"/>
      <c r="C97" s="1111" t="s">
        <v>225</v>
      </c>
      <c r="D97" s="467"/>
      <c r="E97" s="557"/>
      <c r="F97" s="539"/>
      <c r="G97" s="557"/>
      <c r="H97" s="649"/>
      <c r="I97" s="479"/>
      <c r="J97" s="467"/>
      <c r="K97" s="557"/>
      <c r="L97" s="539"/>
      <c r="M97" s="557"/>
      <c r="N97" s="649"/>
      <c r="O97" s="479"/>
      <c r="P97" s="474"/>
      <c r="Q97" s="605"/>
      <c r="R97" s="469"/>
      <c r="S97" s="605"/>
      <c r="T97" s="737"/>
      <c r="U97" s="469"/>
      <c r="V97" s="249"/>
      <c r="W97" s="249"/>
      <c r="X97" s="249"/>
      <c r="Y97" s="249"/>
      <c r="Z97" s="249"/>
      <c r="AA97" s="249"/>
      <c r="AB97" s="249"/>
      <c r="AC97" s="249"/>
    </row>
    <row r="98" ht="15.75" customHeight="1">
      <c r="A98" s="249"/>
      <c r="B98" s="1111"/>
      <c r="C98" s="1111" t="s">
        <v>226</v>
      </c>
      <c r="D98" s="467"/>
      <c r="E98" s="557"/>
      <c r="F98" s="539"/>
      <c r="G98" s="557"/>
      <c r="H98" s="649"/>
      <c r="I98" s="479"/>
      <c r="J98" s="467"/>
      <c r="K98" s="557"/>
      <c r="L98" s="539"/>
      <c r="M98" s="557"/>
      <c r="N98" s="649"/>
      <c r="O98" s="479"/>
      <c r="P98" s="474"/>
      <c r="Q98" s="605"/>
      <c r="R98" s="469"/>
      <c r="S98" s="605"/>
      <c r="T98" s="737"/>
      <c r="U98" s="469"/>
      <c r="V98" s="249"/>
      <c r="W98" s="249"/>
      <c r="X98" s="249"/>
      <c r="Y98" s="249"/>
      <c r="Z98" s="249"/>
      <c r="AA98" s="249"/>
      <c r="AB98" s="249"/>
      <c r="AC98" s="249"/>
    </row>
    <row r="99" ht="15.75" customHeight="1">
      <c r="A99" s="249"/>
      <c r="B99" s="1111"/>
      <c r="C99" s="1111" t="s">
        <v>227</v>
      </c>
      <c r="D99" s="467"/>
      <c r="E99" s="557"/>
      <c r="F99" s="539"/>
      <c r="G99" s="557"/>
      <c r="H99" s="649"/>
      <c r="I99" s="479"/>
      <c r="J99" s="467"/>
      <c r="K99" s="557"/>
      <c r="L99" s="539"/>
      <c r="M99" s="557"/>
      <c r="N99" s="649"/>
      <c r="O99" s="479"/>
      <c r="P99" s="474"/>
      <c r="Q99" s="605"/>
      <c r="R99" s="469"/>
      <c r="S99" s="605"/>
      <c r="T99" s="737"/>
      <c r="U99" s="469"/>
      <c r="V99" s="249"/>
      <c r="W99" s="249"/>
      <c r="X99" s="249"/>
      <c r="Y99" s="249"/>
      <c r="Z99" s="249"/>
      <c r="AA99" s="249"/>
      <c r="AB99" s="249"/>
      <c r="AC99" s="249"/>
    </row>
    <row r="100" ht="15.75" customHeight="1">
      <c r="A100" s="249"/>
      <c r="B100" s="1111"/>
      <c r="C100" s="1111" t="s">
        <v>228</v>
      </c>
      <c r="D100" s="467"/>
      <c r="E100" s="557"/>
      <c r="F100" s="539"/>
      <c r="G100" s="557"/>
      <c r="H100" s="649"/>
      <c r="I100" s="479"/>
      <c r="J100" s="467"/>
      <c r="K100" s="557"/>
      <c r="L100" s="539"/>
      <c r="M100" s="557"/>
      <c r="N100" s="649"/>
      <c r="O100" s="479"/>
      <c r="P100" s="474"/>
      <c r="Q100" s="605"/>
      <c r="R100" s="469"/>
      <c r="S100" s="605"/>
      <c r="T100" s="737"/>
      <c r="U100" s="469"/>
      <c r="V100" s="249"/>
      <c r="W100" s="249"/>
      <c r="X100" s="249"/>
      <c r="Y100" s="249"/>
      <c r="Z100" s="249"/>
      <c r="AA100" s="249"/>
      <c r="AB100" s="249"/>
      <c r="AC100" s="249"/>
    </row>
    <row r="101" ht="15.75" customHeight="1">
      <c r="A101" s="249"/>
      <c r="B101" s="1111"/>
      <c r="C101" s="663"/>
      <c r="D101" s="467"/>
      <c r="E101" s="539"/>
      <c r="F101" s="539"/>
      <c r="G101" s="539"/>
      <c r="H101" s="649"/>
      <c r="I101" s="479"/>
      <c r="J101" s="467"/>
      <c r="K101" s="539"/>
      <c r="L101" s="539"/>
      <c r="M101" s="539"/>
      <c r="N101" s="649"/>
      <c r="O101" s="479"/>
      <c r="P101" s="474"/>
      <c r="Q101" s="469"/>
      <c r="R101" s="469"/>
      <c r="S101" s="469"/>
      <c r="T101" s="737"/>
      <c r="U101" s="469"/>
      <c r="V101" s="249"/>
      <c r="W101" s="249"/>
      <c r="X101" s="249"/>
      <c r="Y101" s="249"/>
      <c r="Z101" s="249"/>
      <c r="AA101" s="249"/>
      <c r="AB101" s="249"/>
      <c r="AC101" s="249"/>
    </row>
    <row r="102" ht="15.75" customHeight="1">
      <c r="A102" s="249"/>
      <c r="B102" s="1189"/>
      <c r="C102" s="1203"/>
      <c r="D102" s="485"/>
      <c r="E102" s="544"/>
      <c r="F102" s="544"/>
      <c r="G102" s="544"/>
      <c r="H102" s="544"/>
      <c r="I102" s="546"/>
      <c r="J102" s="485"/>
      <c r="K102" s="539"/>
      <c r="L102" s="539"/>
      <c r="M102" s="539"/>
      <c r="N102" s="539"/>
      <c r="O102" s="479"/>
      <c r="P102" s="501"/>
      <c r="Q102" s="469"/>
      <c r="R102" s="469"/>
      <c r="S102" s="469"/>
      <c r="T102" s="469"/>
      <c r="U102" s="469"/>
      <c r="V102" s="249"/>
      <c r="W102" s="249"/>
      <c r="X102" s="249"/>
      <c r="Y102" s="249"/>
      <c r="Z102" s="249"/>
      <c r="AA102" s="249"/>
      <c r="AB102" s="249"/>
      <c r="AC102" s="249"/>
    </row>
    <row r="103" ht="15.75" customHeight="1">
      <c r="A103" s="249"/>
      <c r="B103" s="1196"/>
      <c r="C103" s="795" t="s">
        <v>38</v>
      </c>
      <c r="D103" s="491">
        <f>SUM(D104)</f>
        <v>0</v>
      </c>
      <c r="E103" s="613">
        <f>D103/D$27</f>
        <v>0</v>
      </c>
      <c r="F103" s="457">
        <f>SUM(F104)</f>
        <v>0</v>
      </c>
      <c r="G103" s="613" t="str">
        <f>F103/F$27</f>
        <v>#REF!</v>
      </c>
      <c r="H103" s="668">
        <f>SUM(H104)</f>
        <v>0</v>
      </c>
      <c r="I103" s="457"/>
      <c r="J103" s="491">
        <f>SUM(J104)</f>
        <v>0</v>
      </c>
      <c r="K103" s="757">
        <f>J103/J$27</f>
        <v>0</v>
      </c>
      <c r="L103" s="653">
        <f>SUM(L104)</f>
        <v>0</v>
      </c>
      <c r="M103" s="577" t="str">
        <f>L103/L$27</f>
        <v>#DIV/0!</v>
      </c>
      <c r="N103" s="734">
        <f>SUM(N104)</f>
        <v>0</v>
      </c>
      <c r="O103" s="657"/>
      <c r="P103" s="491">
        <f>SUM(P104)</f>
        <v>0</v>
      </c>
      <c r="Q103" s="790" t="str">
        <f>P103/P$27</f>
        <v>#DIV/0!</v>
      </c>
      <c r="R103" s="788">
        <f>SUM(R104)</f>
        <v>0</v>
      </c>
      <c r="S103" s="790" t="str">
        <f>R103/R$27</f>
        <v>#DIV/0!</v>
      </c>
      <c r="T103" s="796">
        <f>SUM(T104)</f>
        <v>0</v>
      </c>
      <c r="U103" s="788"/>
      <c r="V103" s="249"/>
      <c r="W103" s="249"/>
      <c r="X103" s="249"/>
      <c r="Y103" s="249"/>
      <c r="Z103" s="249"/>
      <c r="AA103" s="249"/>
      <c r="AB103" s="249"/>
      <c r="AC103" s="249"/>
    </row>
    <row r="104" ht="15.75" customHeight="1">
      <c r="A104" s="249"/>
      <c r="B104" s="1180"/>
      <c r="C104" s="1180" t="s">
        <v>277</v>
      </c>
      <c r="D104" s="463">
        <v>0.0</v>
      </c>
      <c r="E104" s="552">
        <f>IFERROR((D104/D$27),"")</f>
        <v>0</v>
      </c>
      <c r="F104" s="540"/>
      <c r="G104" s="540"/>
      <c r="H104" s="646">
        <f>D104-F104</f>
        <v>0</v>
      </c>
      <c r="I104" s="542"/>
      <c r="J104" s="463">
        <v>0.0</v>
      </c>
      <c r="K104" s="557">
        <f>IFERROR((J104/J$27),"")</f>
        <v>0</v>
      </c>
      <c r="L104" s="539"/>
      <c r="M104" s="539"/>
      <c r="N104" s="649">
        <f>J104-L104</f>
        <v>0</v>
      </c>
      <c r="O104" s="479"/>
      <c r="P104" s="498">
        <v>0.0</v>
      </c>
      <c r="Q104" s="605" t="str">
        <f>IFERROR((P104/P$27),"")</f>
        <v/>
      </c>
      <c r="R104" s="469"/>
      <c r="S104" s="469"/>
      <c r="T104" s="737">
        <f>P104-R104</f>
        <v>0</v>
      </c>
      <c r="U104" s="469"/>
      <c r="V104" s="249"/>
      <c r="W104" s="249"/>
      <c r="X104" s="249"/>
      <c r="Y104" s="249"/>
      <c r="Z104" s="249"/>
      <c r="AA104" s="249"/>
      <c r="AB104" s="249"/>
      <c r="AC104" s="249"/>
    </row>
    <row r="105" ht="15.75" customHeight="1">
      <c r="A105" s="249"/>
      <c r="B105" s="1189"/>
      <c r="C105" s="1189"/>
      <c r="D105" s="485"/>
      <c r="E105" s="544"/>
      <c r="F105" s="544"/>
      <c r="G105" s="544"/>
      <c r="H105" s="544"/>
      <c r="I105" s="546"/>
      <c r="J105" s="485"/>
      <c r="K105" s="539"/>
      <c r="L105" s="539"/>
      <c r="M105" s="539"/>
      <c r="N105" s="539"/>
      <c r="O105" s="479"/>
      <c r="P105" s="501"/>
      <c r="Q105" s="469"/>
      <c r="R105" s="469"/>
      <c r="S105" s="469"/>
      <c r="T105" s="469"/>
      <c r="U105" s="469"/>
      <c r="V105" s="249"/>
      <c r="W105" s="249"/>
      <c r="X105" s="249"/>
      <c r="Y105" s="249"/>
      <c r="Z105" s="249"/>
      <c r="AA105" s="249"/>
      <c r="AB105" s="249"/>
      <c r="AC105" s="249"/>
    </row>
    <row r="106" ht="15.75" customHeight="1">
      <c r="A106" s="249"/>
      <c r="B106" s="1196"/>
      <c r="C106" s="795" t="s">
        <v>235</v>
      </c>
      <c r="D106" s="491">
        <f>SUM(D107:D108)</f>
        <v>23091</v>
      </c>
      <c r="E106" s="613">
        <f>D106/D$27</f>
        <v>0.1326138535</v>
      </c>
      <c r="F106" s="457">
        <f>SUM(F107:F108)</f>
        <v>0</v>
      </c>
      <c r="G106" s="613" t="str">
        <f>F106/F$27</f>
        <v>#REF!</v>
      </c>
      <c r="H106" s="668">
        <f>SUM(H107:H108)</f>
        <v>0</v>
      </c>
      <c r="I106" s="457"/>
      <c r="J106" s="491">
        <f>SUM(J107:J108)</f>
        <v>23091</v>
      </c>
      <c r="K106" s="757">
        <f>J106/J$27</f>
        <v>0.1738269635</v>
      </c>
      <c r="L106" s="653">
        <f>SUM(L107:L108)</f>
        <v>0</v>
      </c>
      <c r="M106" s="577" t="str">
        <f>L106/L$27</f>
        <v>#DIV/0!</v>
      </c>
      <c r="N106" s="734">
        <f>SUM(N107:N108)</f>
        <v>0</v>
      </c>
      <c r="O106" s="657"/>
      <c r="P106" s="491">
        <f>SUM(P107:P108)</f>
        <v>0</v>
      </c>
      <c r="Q106" s="790" t="str">
        <f>P106/P$27</f>
        <v>#DIV/0!</v>
      </c>
      <c r="R106" s="788">
        <f>SUM(R107:R108)</f>
        <v>0</v>
      </c>
      <c r="S106" s="790" t="str">
        <f>R106/R$27</f>
        <v>#DIV/0!</v>
      </c>
      <c r="T106" s="796">
        <f>SUM(T107:T108)</f>
        <v>0</v>
      </c>
      <c r="U106" s="788"/>
      <c r="V106" s="249"/>
      <c r="W106" s="249"/>
      <c r="X106" s="249"/>
      <c r="Y106" s="249"/>
      <c r="Z106" s="249"/>
      <c r="AA106" s="249"/>
      <c r="AB106" s="249"/>
      <c r="AC106" s="249"/>
    </row>
    <row r="107" ht="15.75" customHeight="1">
      <c r="A107" s="249"/>
      <c r="B107" s="1180"/>
      <c r="C107" s="1180" t="s">
        <v>236</v>
      </c>
      <c r="D107" s="463"/>
      <c r="E107" s="552"/>
      <c r="F107" s="540"/>
      <c r="G107" s="552"/>
      <c r="H107" s="646"/>
      <c r="I107" s="542"/>
      <c r="J107" s="463"/>
      <c r="K107" s="557"/>
      <c r="L107" s="539"/>
      <c r="M107" s="557"/>
      <c r="N107" s="649"/>
      <c r="O107" s="479"/>
      <c r="P107" s="498"/>
      <c r="Q107" s="605"/>
      <c r="R107" s="469"/>
      <c r="S107" s="605"/>
      <c r="T107" s="737"/>
      <c r="U107" s="469"/>
      <c r="V107" s="249"/>
      <c r="W107" s="249"/>
      <c r="X107" s="249"/>
      <c r="Y107" s="249"/>
      <c r="Z107" s="249"/>
      <c r="AA107" s="249"/>
      <c r="AB107" s="249"/>
      <c r="AC107" s="249"/>
    </row>
    <row r="108" ht="15.75" customHeight="1">
      <c r="A108" s="249"/>
      <c r="B108" s="1111"/>
      <c r="C108" s="1111" t="s">
        <v>291</v>
      </c>
      <c r="D108" s="467">
        <v>23091.0</v>
      </c>
      <c r="E108" s="557"/>
      <c r="F108" s="539"/>
      <c r="G108" s="557"/>
      <c r="H108" s="649"/>
      <c r="I108" s="479"/>
      <c r="J108" s="467">
        <v>23091.0</v>
      </c>
      <c r="K108" s="557"/>
      <c r="L108" s="539"/>
      <c r="M108" s="557"/>
      <c r="N108" s="649"/>
      <c r="O108" s="479"/>
      <c r="P108" s="474"/>
      <c r="Q108" s="605"/>
      <c r="R108" s="469"/>
      <c r="S108" s="605"/>
      <c r="T108" s="737"/>
      <c r="U108" s="469"/>
      <c r="V108" s="249"/>
      <c r="W108" s="249"/>
      <c r="X108" s="249"/>
      <c r="Y108" s="249"/>
      <c r="Z108" s="249"/>
      <c r="AA108" s="249"/>
      <c r="AB108" s="249"/>
      <c r="AC108" s="249"/>
    </row>
    <row r="109" ht="15.75" customHeight="1">
      <c r="A109" s="249"/>
      <c r="B109" s="1189"/>
      <c r="C109" s="1189"/>
      <c r="D109" s="485"/>
      <c r="E109" s="544"/>
      <c r="F109" s="544"/>
      <c r="G109" s="544"/>
      <c r="H109" s="544"/>
      <c r="I109" s="546"/>
      <c r="J109" s="485"/>
      <c r="K109" s="544"/>
      <c r="L109" s="544"/>
      <c r="M109" s="544"/>
      <c r="N109" s="544"/>
      <c r="O109" s="546"/>
      <c r="P109" s="501"/>
      <c r="Q109" s="543"/>
      <c r="R109" s="543"/>
      <c r="S109" s="543"/>
      <c r="T109" s="543"/>
      <c r="U109" s="543"/>
      <c r="V109" s="249"/>
      <c r="W109" s="249"/>
      <c r="X109" s="249"/>
      <c r="Y109" s="249"/>
      <c r="Z109" s="249"/>
      <c r="AA109" s="249"/>
      <c r="AB109" s="249"/>
      <c r="AC109" s="249"/>
    </row>
    <row r="110" ht="15.75" customHeight="1">
      <c r="A110" s="249"/>
      <c r="B110" s="1196"/>
      <c r="C110" s="795" t="s">
        <v>40</v>
      </c>
      <c r="D110" s="459">
        <f>SUM(D111:D123)</f>
        <v>0</v>
      </c>
      <c r="E110" s="547">
        <f>D110/D$27</f>
        <v>0</v>
      </c>
      <c r="F110" s="645">
        <f>SUM(F111:F123)</f>
        <v>0</v>
      </c>
      <c r="G110" s="547" t="str">
        <f>F110/F$27</f>
        <v>#REF!</v>
      </c>
      <c r="H110" s="645">
        <f>SUM(H111:H123)</f>
        <v>0</v>
      </c>
      <c r="I110" s="585"/>
      <c r="J110" s="459">
        <f>SUM(J111:J123)</f>
        <v>0</v>
      </c>
      <c r="K110" s="547">
        <f>J110/J$27</f>
        <v>0</v>
      </c>
      <c r="L110" s="645">
        <f>SUM(L111:L123)</f>
        <v>0</v>
      </c>
      <c r="M110" s="547" t="str">
        <f>L110/L$27</f>
        <v>#DIV/0!</v>
      </c>
      <c r="N110" s="645">
        <f>SUM(N111:N123)</f>
        <v>0</v>
      </c>
      <c r="O110" s="585"/>
      <c r="P110" s="491">
        <f>SUM(P111:P123)</f>
        <v>0</v>
      </c>
      <c r="Q110" s="613" t="str">
        <f>P110/P$27</f>
        <v>#DIV/0!</v>
      </c>
      <c r="R110" s="668">
        <f>SUM(R111:R123)</f>
        <v>0</v>
      </c>
      <c r="S110" s="613" t="str">
        <f>R110/R$27</f>
        <v>#DIV/0!</v>
      </c>
      <c r="T110" s="668">
        <f>SUM(T111:T123)</f>
        <v>0</v>
      </c>
      <c r="U110" s="457"/>
      <c r="V110" s="249"/>
      <c r="W110" s="249"/>
      <c r="X110" s="249"/>
      <c r="Y110" s="249"/>
      <c r="Z110" s="249"/>
      <c r="AA110" s="249"/>
      <c r="AB110" s="249"/>
      <c r="AC110" s="249"/>
    </row>
    <row r="111" ht="15.75" customHeight="1">
      <c r="A111" s="249"/>
      <c r="B111" s="1180"/>
      <c r="C111" s="1180" t="s">
        <v>238</v>
      </c>
      <c r="D111" s="463"/>
      <c r="E111" s="552"/>
      <c r="F111" s="540"/>
      <c r="G111" s="552"/>
      <c r="H111" s="646"/>
      <c r="I111" s="542"/>
      <c r="J111" s="463"/>
      <c r="K111" s="552"/>
      <c r="L111" s="540"/>
      <c r="M111" s="552"/>
      <c r="N111" s="646"/>
      <c r="O111" s="542"/>
      <c r="P111" s="498"/>
      <c r="Q111" s="778"/>
      <c r="R111" s="461"/>
      <c r="S111" s="778"/>
      <c r="T111" s="741"/>
      <c r="U111" s="461"/>
      <c r="V111" s="249"/>
      <c r="W111" s="249"/>
      <c r="X111" s="249"/>
      <c r="Y111" s="249"/>
      <c r="Z111" s="249"/>
      <c r="AA111" s="249"/>
      <c r="AB111" s="249"/>
      <c r="AC111" s="249"/>
    </row>
    <row r="112" ht="15.75" customHeight="1">
      <c r="A112" s="249"/>
      <c r="B112" s="1111"/>
      <c r="C112" s="1111" t="s">
        <v>239</v>
      </c>
      <c r="D112" s="467"/>
      <c r="E112" s="557"/>
      <c r="F112" s="539"/>
      <c r="G112" s="557"/>
      <c r="H112" s="649"/>
      <c r="I112" s="479"/>
      <c r="J112" s="467"/>
      <c r="K112" s="557"/>
      <c r="L112" s="539"/>
      <c r="M112" s="557"/>
      <c r="N112" s="649"/>
      <c r="O112" s="479"/>
      <c r="P112" s="474"/>
      <c r="Q112" s="605"/>
      <c r="R112" s="469"/>
      <c r="S112" s="605"/>
      <c r="T112" s="737"/>
      <c r="U112" s="469"/>
      <c r="V112" s="249"/>
      <c r="W112" s="249"/>
      <c r="X112" s="249"/>
      <c r="Y112" s="249"/>
      <c r="Z112" s="249"/>
      <c r="AA112" s="249"/>
      <c r="AB112" s="249"/>
      <c r="AC112" s="249"/>
    </row>
    <row r="113" ht="15.75" hidden="1" customHeight="1">
      <c r="A113" s="249"/>
      <c r="B113" s="1111"/>
      <c r="C113" s="1111" t="s">
        <v>240</v>
      </c>
      <c r="D113" s="467"/>
      <c r="E113" s="557"/>
      <c r="F113" s="539"/>
      <c r="G113" s="557"/>
      <c r="H113" s="649"/>
      <c r="I113" s="479"/>
      <c r="J113" s="467"/>
      <c r="K113" s="557"/>
      <c r="L113" s="539"/>
      <c r="M113" s="557"/>
      <c r="N113" s="649"/>
      <c r="O113" s="479"/>
      <c r="P113" s="474"/>
      <c r="Q113" s="605"/>
      <c r="R113" s="469"/>
      <c r="S113" s="605"/>
      <c r="T113" s="737"/>
      <c r="U113" s="469"/>
      <c r="V113" s="249"/>
      <c r="W113" s="249"/>
      <c r="X113" s="249"/>
      <c r="Y113" s="249"/>
      <c r="Z113" s="249"/>
      <c r="AA113" s="249"/>
      <c r="AB113" s="249"/>
      <c r="AC113" s="249"/>
    </row>
    <row r="114" ht="15.75" hidden="1" customHeight="1">
      <c r="A114" s="249"/>
      <c r="B114" s="1111"/>
      <c r="C114" s="1111" t="s">
        <v>241</v>
      </c>
      <c r="D114" s="467"/>
      <c r="E114" s="557"/>
      <c r="F114" s="539"/>
      <c r="G114" s="557"/>
      <c r="H114" s="649"/>
      <c r="I114" s="479"/>
      <c r="J114" s="467"/>
      <c r="K114" s="557"/>
      <c r="L114" s="539"/>
      <c r="M114" s="557"/>
      <c r="N114" s="649"/>
      <c r="O114" s="479"/>
      <c r="P114" s="474"/>
      <c r="Q114" s="605"/>
      <c r="R114" s="469"/>
      <c r="S114" s="605"/>
      <c r="T114" s="737"/>
      <c r="U114" s="469"/>
      <c r="V114" s="249"/>
      <c r="W114" s="249"/>
      <c r="X114" s="249"/>
      <c r="Y114" s="249"/>
      <c r="Z114" s="249"/>
      <c r="AA114" s="249"/>
      <c r="AB114" s="249"/>
      <c r="AC114" s="249"/>
    </row>
    <row r="115" ht="15.75" hidden="1" customHeight="1">
      <c r="A115" s="249"/>
      <c r="B115" s="1111"/>
      <c r="C115" s="1111" t="s">
        <v>292</v>
      </c>
      <c r="D115" s="467"/>
      <c r="E115" s="557"/>
      <c r="F115" s="539"/>
      <c r="G115" s="557"/>
      <c r="H115" s="649"/>
      <c r="I115" s="479"/>
      <c r="J115" s="467"/>
      <c r="K115" s="557"/>
      <c r="L115" s="539"/>
      <c r="M115" s="557"/>
      <c r="N115" s="649"/>
      <c r="O115" s="479"/>
      <c r="P115" s="474"/>
      <c r="Q115" s="605"/>
      <c r="R115" s="469"/>
      <c r="S115" s="605"/>
      <c r="T115" s="737"/>
      <c r="U115" s="469"/>
      <c r="V115" s="249"/>
      <c r="W115" s="249"/>
      <c r="X115" s="249"/>
      <c r="Y115" s="249"/>
      <c r="Z115" s="249"/>
      <c r="AA115" s="249"/>
      <c r="AB115" s="249"/>
      <c r="AC115" s="249"/>
    </row>
    <row r="116" ht="15.75" hidden="1" customHeight="1">
      <c r="A116" s="249"/>
      <c r="B116" s="1111"/>
      <c r="C116" s="1111" t="s">
        <v>244</v>
      </c>
      <c r="D116" s="467"/>
      <c r="E116" s="557"/>
      <c r="F116" s="539"/>
      <c r="G116" s="557"/>
      <c r="H116" s="649"/>
      <c r="I116" s="479"/>
      <c r="J116" s="467"/>
      <c r="K116" s="557"/>
      <c r="L116" s="539"/>
      <c r="M116" s="557"/>
      <c r="N116" s="649"/>
      <c r="O116" s="479"/>
      <c r="P116" s="474"/>
      <c r="Q116" s="605"/>
      <c r="R116" s="469"/>
      <c r="S116" s="605"/>
      <c r="T116" s="737"/>
      <c r="U116" s="469"/>
      <c r="V116" s="249"/>
      <c r="W116" s="249"/>
      <c r="X116" s="249"/>
      <c r="Y116" s="249"/>
      <c r="Z116" s="249"/>
      <c r="AA116" s="249"/>
      <c r="AB116" s="249"/>
      <c r="AC116" s="249"/>
    </row>
    <row r="117" ht="15.75" hidden="1" customHeight="1">
      <c r="A117" s="249"/>
      <c r="B117" s="1111"/>
      <c r="C117" s="1111" t="s">
        <v>246</v>
      </c>
      <c r="D117" s="467"/>
      <c r="E117" s="557"/>
      <c r="F117" s="539"/>
      <c r="G117" s="557"/>
      <c r="H117" s="649"/>
      <c r="I117" s="479"/>
      <c r="J117" s="467"/>
      <c r="K117" s="557"/>
      <c r="L117" s="539"/>
      <c r="M117" s="557"/>
      <c r="N117" s="649"/>
      <c r="O117" s="479"/>
      <c r="P117" s="474"/>
      <c r="Q117" s="605"/>
      <c r="R117" s="469"/>
      <c r="S117" s="605"/>
      <c r="T117" s="737"/>
      <c r="U117" s="469"/>
      <c r="V117" s="249"/>
      <c r="W117" s="249"/>
      <c r="X117" s="249"/>
      <c r="Y117" s="249"/>
      <c r="Z117" s="249"/>
      <c r="AA117" s="249"/>
      <c r="AB117" s="249"/>
      <c r="AC117" s="249"/>
    </row>
    <row r="118" ht="15.75" hidden="1" customHeight="1">
      <c r="A118" s="249"/>
      <c r="B118" s="1111"/>
      <c r="C118" s="1111" t="s">
        <v>247</v>
      </c>
      <c r="D118" s="467"/>
      <c r="E118" s="557"/>
      <c r="F118" s="539"/>
      <c r="G118" s="557"/>
      <c r="H118" s="649"/>
      <c r="I118" s="479"/>
      <c r="J118" s="467"/>
      <c r="K118" s="557"/>
      <c r="L118" s="539"/>
      <c r="M118" s="557"/>
      <c r="N118" s="649"/>
      <c r="O118" s="479"/>
      <c r="P118" s="474"/>
      <c r="Q118" s="605"/>
      <c r="R118" s="469"/>
      <c r="S118" s="605"/>
      <c r="T118" s="737"/>
      <c r="U118" s="469"/>
      <c r="V118" s="249"/>
      <c r="W118" s="249"/>
      <c r="X118" s="249"/>
      <c r="Y118" s="249"/>
      <c r="Z118" s="249"/>
      <c r="AA118" s="249"/>
      <c r="AB118" s="249"/>
      <c r="AC118" s="249"/>
    </row>
    <row r="119" ht="15.75" hidden="1" customHeight="1">
      <c r="A119" s="249"/>
      <c r="B119" s="1111"/>
      <c r="C119" s="1111" t="s">
        <v>248</v>
      </c>
      <c r="D119" s="467"/>
      <c r="E119" s="557"/>
      <c r="F119" s="539"/>
      <c r="G119" s="557"/>
      <c r="H119" s="649"/>
      <c r="I119" s="479"/>
      <c r="J119" s="467"/>
      <c r="K119" s="557"/>
      <c r="L119" s="539"/>
      <c r="M119" s="557"/>
      <c r="N119" s="649"/>
      <c r="O119" s="479"/>
      <c r="P119" s="474"/>
      <c r="Q119" s="605"/>
      <c r="R119" s="469"/>
      <c r="S119" s="605"/>
      <c r="T119" s="737"/>
      <c r="U119" s="469"/>
      <c r="V119" s="249"/>
      <c r="W119" s="249"/>
      <c r="X119" s="249"/>
      <c r="Y119" s="249"/>
      <c r="Z119" s="249"/>
      <c r="AA119" s="249"/>
      <c r="AB119" s="249"/>
      <c r="AC119" s="249"/>
    </row>
    <row r="120" ht="15.75" hidden="1" customHeight="1">
      <c r="A120" s="249"/>
      <c r="B120" s="1111"/>
      <c r="C120" s="1111" t="s">
        <v>249</v>
      </c>
      <c r="D120" s="467"/>
      <c r="E120" s="557"/>
      <c r="F120" s="539"/>
      <c r="G120" s="557"/>
      <c r="H120" s="649"/>
      <c r="I120" s="479"/>
      <c r="J120" s="467"/>
      <c r="K120" s="557"/>
      <c r="L120" s="539"/>
      <c r="M120" s="557"/>
      <c r="N120" s="649"/>
      <c r="O120" s="479"/>
      <c r="P120" s="474"/>
      <c r="Q120" s="605"/>
      <c r="R120" s="469"/>
      <c r="S120" s="605"/>
      <c r="T120" s="737"/>
      <c r="U120" s="469"/>
      <c r="V120" s="249"/>
      <c r="W120" s="249"/>
      <c r="X120" s="249"/>
      <c r="Y120" s="249"/>
      <c r="Z120" s="249"/>
      <c r="AA120" s="249"/>
      <c r="AB120" s="249"/>
      <c r="AC120" s="249"/>
    </row>
    <row r="121" ht="15.75" hidden="1" customHeight="1">
      <c r="A121" s="249"/>
      <c r="B121" s="1111"/>
      <c r="C121" s="1111" t="s">
        <v>306</v>
      </c>
      <c r="D121" s="467"/>
      <c r="E121" s="557"/>
      <c r="F121" s="539"/>
      <c r="G121" s="557"/>
      <c r="H121" s="649"/>
      <c r="I121" s="479"/>
      <c r="J121" s="467"/>
      <c r="K121" s="557"/>
      <c r="L121" s="539"/>
      <c r="M121" s="557"/>
      <c r="N121" s="649"/>
      <c r="O121" s="479"/>
      <c r="P121" s="474"/>
      <c r="Q121" s="605"/>
      <c r="R121" s="469"/>
      <c r="S121" s="605"/>
      <c r="T121" s="737"/>
      <c r="U121" s="469"/>
      <c r="V121" s="249"/>
      <c r="W121" s="249"/>
      <c r="X121" s="249"/>
      <c r="Y121" s="249"/>
      <c r="Z121" s="249"/>
      <c r="AA121" s="249"/>
      <c r="AB121" s="249"/>
      <c r="AC121" s="249"/>
    </row>
    <row r="122" ht="15.75" hidden="1" customHeight="1">
      <c r="A122" s="249"/>
      <c r="B122" s="1111"/>
      <c r="C122" s="1111" t="s">
        <v>281</v>
      </c>
      <c r="D122" s="467"/>
      <c r="E122" s="557"/>
      <c r="F122" s="539"/>
      <c r="G122" s="557"/>
      <c r="H122" s="539"/>
      <c r="I122" s="479"/>
      <c r="J122" s="467"/>
      <c r="K122" s="557"/>
      <c r="L122" s="539"/>
      <c r="M122" s="557"/>
      <c r="N122" s="539"/>
      <c r="O122" s="479"/>
      <c r="P122" s="474"/>
      <c r="Q122" s="605"/>
      <c r="R122" s="469"/>
      <c r="S122" s="605"/>
      <c r="T122" s="469"/>
      <c r="U122" s="469"/>
      <c r="V122" s="249"/>
      <c r="W122" s="249"/>
      <c r="X122" s="249"/>
      <c r="Y122" s="249"/>
      <c r="Z122" s="249"/>
      <c r="AA122" s="249"/>
      <c r="AB122" s="249"/>
      <c r="AC122" s="249"/>
    </row>
    <row r="123" ht="15.75" customHeight="1">
      <c r="A123" s="249"/>
      <c r="B123" s="1111"/>
      <c r="C123" s="1111" t="s">
        <v>244</v>
      </c>
      <c r="D123" s="467"/>
      <c r="E123" s="539"/>
      <c r="F123" s="539"/>
      <c r="G123" s="539"/>
      <c r="H123" s="539"/>
      <c r="I123" s="479"/>
      <c r="J123" s="467"/>
      <c r="K123" s="539"/>
      <c r="L123" s="539"/>
      <c r="M123" s="539"/>
      <c r="N123" s="539"/>
      <c r="O123" s="479"/>
      <c r="P123" s="474"/>
      <c r="Q123" s="469"/>
      <c r="R123" s="469"/>
      <c r="S123" s="469"/>
      <c r="T123" s="469"/>
      <c r="U123" s="469"/>
      <c r="V123" s="249"/>
      <c r="W123" s="249"/>
      <c r="X123" s="249"/>
      <c r="Y123" s="249"/>
      <c r="Z123" s="249"/>
      <c r="AA123" s="249"/>
      <c r="AB123" s="249"/>
      <c r="AC123" s="249"/>
    </row>
    <row r="124" ht="15.75" customHeight="1">
      <c r="A124" s="249"/>
      <c r="B124" s="1189"/>
      <c r="C124" s="1202"/>
      <c r="D124" s="485"/>
      <c r="E124" s="544"/>
      <c r="F124" s="544"/>
      <c r="G124" s="544"/>
      <c r="H124" s="544"/>
      <c r="I124" s="546"/>
      <c r="J124" s="485"/>
      <c r="K124" s="544"/>
      <c r="L124" s="544"/>
      <c r="M124" s="544"/>
      <c r="N124" s="544"/>
      <c r="O124" s="546"/>
      <c r="P124" s="501"/>
      <c r="Q124" s="543"/>
      <c r="R124" s="543"/>
      <c r="S124" s="543"/>
      <c r="T124" s="543"/>
      <c r="U124" s="543"/>
      <c r="V124" s="249"/>
      <c r="W124" s="249"/>
      <c r="X124" s="249"/>
      <c r="Y124" s="249"/>
      <c r="Z124" s="249"/>
      <c r="AA124" s="249"/>
      <c r="AB124" s="249"/>
      <c r="AC124" s="249"/>
    </row>
    <row r="125" ht="15.75" customHeight="1">
      <c r="A125" s="249"/>
      <c r="B125" s="1196"/>
      <c r="C125" s="795" t="s">
        <v>41</v>
      </c>
      <c r="D125" s="459">
        <f>SUM(D126:D127)</f>
        <v>0</v>
      </c>
      <c r="E125" s="584"/>
      <c r="F125" s="645">
        <f>SUM(F126:F127)</f>
        <v>0</v>
      </c>
      <c r="G125" s="584"/>
      <c r="H125" s="645">
        <f>SUM(H126:H127)</f>
        <v>0</v>
      </c>
      <c r="I125" s="585"/>
      <c r="J125" s="459">
        <f>SUM(J126:J127)</f>
        <v>0</v>
      </c>
      <c r="K125" s="584"/>
      <c r="L125" s="645">
        <f>SUM(L126:L127)</f>
        <v>0</v>
      </c>
      <c r="M125" s="584"/>
      <c r="N125" s="645">
        <f>SUM(N126:N127)</f>
        <v>0</v>
      </c>
      <c r="O125" s="585"/>
      <c r="P125" s="491">
        <f>SUM(P126:P127)</f>
        <v>0</v>
      </c>
      <c r="Q125" s="457"/>
      <c r="R125" s="668">
        <f>SUM(R126:R127)</f>
        <v>0</v>
      </c>
      <c r="S125" s="457"/>
      <c r="T125" s="668">
        <f>SUM(T126:T127)</f>
        <v>0</v>
      </c>
      <c r="U125" s="457"/>
      <c r="V125" s="249"/>
      <c r="W125" s="249"/>
      <c r="X125" s="249"/>
      <c r="Y125" s="249"/>
      <c r="Z125" s="249"/>
      <c r="AA125" s="249"/>
      <c r="AB125" s="249"/>
      <c r="AC125" s="249"/>
    </row>
    <row r="126" ht="15.75" hidden="1" customHeight="1">
      <c r="A126" s="249"/>
      <c r="B126" s="1180"/>
      <c r="C126" s="1180" t="s">
        <v>250</v>
      </c>
      <c r="D126" s="463"/>
      <c r="E126" s="552">
        <f t="shared" ref="E126:E127" si="29">IFERROR((D126/D$27),"")</f>
        <v>0</v>
      </c>
      <c r="F126" s="540"/>
      <c r="G126" s="540"/>
      <c r="H126" s="646">
        <f t="shared" ref="H126:H127" si="30">D126-F126</f>
        <v>0</v>
      </c>
      <c r="I126" s="542"/>
      <c r="J126" s="463"/>
      <c r="K126" s="552">
        <f t="shared" ref="K126:K127" si="31">IFERROR((J126/J$27),"")</f>
        <v>0</v>
      </c>
      <c r="L126" s="540"/>
      <c r="M126" s="540"/>
      <c r="N126" s="646">
        <f t="shared" ref="N126:N127" si="32">J126-L126</f>
        <v>0</v>
      </c>
      <c r="O126" s="542"/>
      <c r="P126" s="498"/>
      <c r="Q126" s="778" t="str">
        <f t="shared" ref="Q126:Q127" si="33">IFERROR((P126/P$27),"")</f>
        <v/>
      </c>
      <c r="R126" s="461"/>
      <c r="S126" s="461"/>
      <c r="T126" s="741">
        <f t="shared" ref="T126:T127" si="34">P126-R126</f>
        <v>0</v>
      </c>
      <c r="U126" s="461"/>
      <c r="V126" s="249"/>
      <c r="W126" s="249"/>
      <c r="X126" s="249"/>
      <c r="Y126" s="249"/>
      <c r="Z126" s="249"/>
      <c r="AA126" s="249"/>
      <c r="AB126" s="249"/>
      <c r="AC126" s="249"/>
    </row>
    <row r="127" ht="15.75" hidden="1" customHeight="1">
      <c r="A127" s="249"/>
      <c r="B127" s="1111"/>
      <c r="C127" s="1111" t="s">
        <v>294</v>
      </c>
      <c r="D127" s="467"/>
      <c r="E127" s="557">
        <f t="shared" si="29"/>
        <v>0</v>
      </c>
      <c r="F127" s="539"/>
      <c r="G127" s="539"/>
      <c r="H127" s="649">
        <f t="shared" si="30"/>
        <v>0</v>
      </c>
      <c r="I127" s="479"/>
      <c r="J127" s="467"/>
      <c r="K127" s="557">
        <f t="shared" si="31"/>
        <v>0</v>
      </c>
      <c r="L127" s="539"/>
      <c r="M127" s="539"/>
      <c r="N127" s="649">
        <f t="shared" si="32"/>
        <v>0</v>
      </c>
      <c r="O127" s="479"/>
      <c r="P127" s="474"/>
      <c r="Q127" s="605" t="str">
        <f t="shared" si="33"/>
        <v/>
      </c>
      <c r="R127" s="469"/>
      <c r="S127" s="469"/>
      <c r="T127" s="737">
        <f t="shared" si="34"/>
        <v>0</v>
      </c>
      <c r="U127" s="469"/>
      <c r="V127" s="249"/>
      <c r="W127" s="249"/>
      <c r="X127" s="249"/>
      <c r="Y127" s="249"/>
      <c r="Z127" s="249"/>
      <c r="AA127" s="249"/>
      <c r="AB127" s="249"/>
      <c r="AC127" s="249"/>
    </row>
    <row r="128" ht="15.75" customHeight="1">
      <c r="A128" s="249"/>
      <c r="B128" s="1189"/>
      <c r="C128" s="1189"/>
      <c r="D128" s="485"/>
      <c r="E128" s="544"/>
      <c r="F128" s="544"/>
      <c r="G128" s="544"/>
      <c r="H128" s="544"/>
      <c r="I128" s="546"/>
      <c r="J128" s="485"/>
      <c r="K128" s="544"/>
      <c r="L128" s="544"/>
      <c r="M128" s="544"/>
      <c r="N128" s="544"/>
      <c r="O128" s="546"/>
      <c r="P128" s="501"/>
      <c r="Q128" s="543"/>
      <c r="R128" s="543"/>
      <c r="S128" s="543"/>
      <c r="T128" s="543"/>
      <c r="U128" s="543"/>
      <c r="V128" s="249"/>
      <c r="W128" s="249"/>
      <c r="X128" s="249"/>
      <c r="Y128" s="249"/>
      <c r="Z128" s="249"/>
      <c r="AA128" s="249"/>
      <c r="AB128" s="249"/>
      <c r="AC128" s="249"/>
    </row>
    <row r="129" ht="15.75" customHeight="1">
      <c r="A129" s="249"/>
      <c r="B129" s="1196"/>
      <c r="C129" s="795" t="s">
        <v>42</v>
      </c>
      <c r="D129" s="459">
        <f>SUM(D130:D131)</f>
        <v>0</v>
      </c>
      <c r="E129" s="584"/>
      <c r="F129" s="584">
        <f>SUM(F130:F131)</f>
        <v>0</v>
      </c>
      <c r="G129" s="584"/>
      <c r="H129" s="645">
        <f>SUM(H130:H131)</f>
        <v>0</v>
      </c>
      <c r="I129" s="585"/>
      <c r="J129" s="459">
        <f>SUM(J130:J131)</f>
        <v>0</v>
      </c>
      <c r="K129" s="584"/>
      <c r="L129" s="584">
        <f>SUM(L130:L131)</f>
        <v>0</v>
      </c>
      <c r="M129" s="584"/>
      <c r="N129" s="645">
        <f>SUM(N130:N131)</f>
        <v>0</v>
      </c>
      <c r="O129" s="585"/>
      <c r="P129" s="491">
        <f>SUM(P130:P131)</f>
        <v>0</v>
      </c>
      <c r="Q129" s="457"/>
      <c r="R129" s="457">
        <f>SUM(R130:R131)</f>
        <v>0</v>
      </c>
      <c r="S129" s="457"/>
      <c r="T129" s="668">
        <f>SUM(T130:T131)</f>
        <v>0</v>
      </c>
      <c r="U129" s="457"/>
      <c r="V129" s="249"/>
      <c r="W129" s="249"/>
      <c r="X129" s="249"/>
      <c r="Y129" s="249"/>
      <c r="Z129" s="249"/>
      <c r="AA129" s="249"/>
      <c r="AB129" s="249"/>
      <c r="AC129" s="249"/>
    </row>
    <row r="130" ht="15.75" hidden="1" customHeight="1">
      <c r="A130" s="249"/>
      <c r="B130" s="1180"/>
      <c r="C130" s="1180" t="s">
        <v>349</v>
      </c>
      <c r="D130" s="463"/>
      <c r="E130" s="552"/>
      <c r="F130" s="540"/>
      <c r="G130" s="540"/>
      <c r="H130" s="646"/>
      <c r="I130" s="542"/>
      <c r="J130" s="463"/>
      <c r="K130" s="552"/>
      <c r="L130" s="540"/>
      <c r="M130" s="540"/>
      <c r="N130" s="646"/>
      <c r="O130" s="542"/>
      <c r="P130" s="498"/>
      <c r="Q130" s="778"/>
      <c r="R130" s="461"/>
      <c r="S130" s="461"/>
      <c r="T130" s="741"/>
      <c r="U130" s="461"/>
      <c r="V130" s="249"/>
      <c r="W130" s="249"/>
      <c r="X130" s="249"/>
      <c r="Y130" s="249"/>
      <c r="Z130" s="249"/>
      <c r="AA130" s="249"/>
      <c r="AB130" s="249"/>
      <c r="AC130" s="249"/>
    </row>
    <row r="131" ht="15.75" customHeight="1">
      <c r="A131" s="249"/>
      <c r="B131" s="1111"/>
      <c r="C131" s="1111" t="s">
        <v>253</v>
      </c>
      <c r="D131" s="467">
        <v>0.0</v>
      </c>
      <c r="E131" s="557"/>
      <c r="F131" s="539"/>
      <c r="G131" s="539"/>
      <c r="H131" s="649"/>
      <c r="I131" s="479"/>
      <c r="J131" s="467">
        <v>0.0</v>
      </c>
      <c r="K131" s="557"/>
      <c r="L131" s="539"/>
      <c r="M131" s="539"/>
      <c r="N131" s="649"/>
      <c r="O131" s="479"/>
      <c r="P131" s="474">
        <v>0.0</v>
      </c>
      <c r="Q131" s="605"/>
      <c r="R131" s="469"/>
      <c r="S131" s="469"/>
      <c r="T131" s="737"/>
      <c r="U131" s="469"/>
      <c r="V131" s="249"/>
      <c r="W131" s="249"/>
      <c r="X131" s="249"/>
      <c r="Y131" s="249"/>
      <c r="Z131" s="249"/>
      <c r="AA131" s="249"/>
      <c r="AB131" s="249"/>
      <c r="AC131" s="249"/>
    </row>
    <row r="132" ht="15.75" customHeight="1">
      <c r="A132" s="249"/>
      <c r="B132" s="1189"/>
      <c r="C132" s="1189"/>
      <c r="D132" s="485"/>
      <c r="E132" s="544"/>
      <c r="F132" s="544"/>
      <c r="G132" s="544"/>
      <c r="H132" s="544"/>
      <c r="I132" s="546"/>
      <c r="J132" s="485"/>
      <c r="K132" s="544"/>
      <c r="L132" s="544"/>
      <c r="M132" s="544"/>
      <c r="N132" s="544"/>
      <c r="O132" s="546"/>
      <c r="P132" s="501"/>
      <c r="Q132" s="543"/>
      <c r="R132" s="543"/>
      <c r="S132" s="543"/>
      <c r="T132" s="543"/>
      <c r="U132" s="543"/>
      <c r="V132" s="249"/>
      <c r="W132" s="249"/>
      <c r="X132" s="249"/>
      <c r="Y132" s="249"/>
      <c r="Z132" s="249"/>
      <c r="AA132" s="249"/>
      <c r="AB132" s="249"/>
      <c r="AC132" s="249"/>
    </row>
    <row r="133" ht="15.75" customHeight="1">
      <c r="A133" s="249"/>
      <c r="B133" s="1194"/>
      <c r="C133" s="1194" t="s">
        <v>254</v>
      </c>
      <c r="D133" s="459">
        <f>D60+D87+D93+D129+D125+D110+D106+D103+D80+D72</f>
        <v>128088.97</v>
      </c>
      <c r="E133" s="547">
        <f>IFERROR((D133/D$27),"")</f>
        <v>0.7356273828</v>
      </c>
      <c r="F133" s="645">
        <f>F129+F125+F110+F106+F103+F93+F87+F80+F72</f>
        <v>0</v>
      </c>
      <c r="G133" s="547" t="str">
        <f>IFERROR((F133/F$27),"")</f>
        <v/>
      </c>
      <c r="H133" s="645"/>
      <c r="I133" s="585"/>
      <c r="J133" s="459">
        <f>J129+J125+J110+J106+J103+J93+J87+J80+J72</f>
        <v>47233</v>
      </c>
      <c r="K133" s="547">
        <f>IFERROR((J133/J$27),"")</f>
        <v>0.3555657601</v>
      </c>
      <c r="L133" s="645">
        <f>L129+L125+L110+L106+L103+L93+L87+L80+L72</f>
        <v>0</v>
      </c>
      <c r="M133" s="547" t="str">
        <f>IFERROR((L133/L$27),"")</f>
        <v/>
      </c>
      <c r="N133" s="645"/>
      <c r="O133" s="585"/>
      <c r="P133" s="491">
        <f>P129+P125+P110+P106+P103+P93+P87+P80+P72</f>
        <v>0</v>
      </c>
      <c r="Q133" s="613" t="str">
        <f>IFERROR((P133/P$27),"")</f>
        <v/>
      </c>
      <c r="R133" s="668">
        <f>R129+R125+R110+R106+R103+R93+R87+R80+R72</f>
        <v>0</v>
      </c>
      <c r="S133" s="613" t="str">
        <f>IFERROR((R133/R$27),"")</f>
        <v/>
      </c>
      <c r="T133" s="668"/>
      <c r="U133" s="457"/>
      <c r="V133" s="249"/>
      <c r="W133" s="249"/>
      <c r="X133" s="249"/>
      <c r="Y133" s="249"/>
      <c r="Z133" s="249"/>
      <c r="AA133" s="249"/>
      <c r="AB133" s="249"/>
      <c r="AC133" s="249"/>
    </row>
    <row r="134" ht="15.75" customHeight="1">
      <c r="A134" s="249"/>
      <c r="B134" s="1202"/>
      <c r="C134" s="1202"/>
      <c r="D134" s="515"/>
      <c r="E134" s="620"/>
      <c r="F134" s="620"/>
      <c r="G134" s="620"/>
      <c r="H134" s="620"/>
      <c r="I134" s="455"/>
      <c r="J134" s="515"/>
      <c r="K134" s="620"/>
      <c r="L134" s="620"/>
      <c r="M134" s="620"/>
      <c r="N134" s="620"/>
      <c r="O134" s="455"/>
      <c r="P134" s="522"/>
      <c r="Q134" s="794"/>
      <c r="R134" s="794"/>
      <c r="S134" s="794"/>
      <c r="T134" s="794"/>
      <c r="U134" s="794"/>
      <c r="V134" s="249"/>
      <c r="W134" s="249"/>
      <c r="X134" s="249"/>
      <c r="Y134" s="249"/>
      <c r="Z134" s="249"/>
      <c r="AA134" s="249"/>
      <c r="AB134" s="249"/>
      <c r="AC134" s="249"/>
    </row>
    <row r="135" ht="15.75" customHeight="1">
      <c r="A135" s="249"/>
      <c r="B135" s="1194"/>
      <c r="C135" s="1194" t="s">
        <v>255</v>
      </c>
      <c r="D135" s="459">
        <f>D40-D133</f>
        <v>-235168.5493</v>
      </c>
      <c r="E135" s="547">
        <f>IFERROR((D135/D$27),"")</f>
        <v>-1.350595796</v>
      </c>
      <c r="F135" s="645" t="str">
        <f>#REF!-F133</f>
        <v>#REF!</v>
      </c>
      <c r="G135" s="547" t="str">
        <f>IFERROR((F135/F$27),"")</f>
        <v/>
      </c>
      <c r="H135" s="645" t="str">
        <f>#REF!-H133</f>
        <v>#REF!</v>
      </c>
      <c r="I135" s="585"/>
      <c r="J135" s="459">
        <f>J40-J133</f>
        <v>-146350.7141</v>
      </c>
      <c r="K135" s="547">
        <f>IFERROR((J135/J$27),"")</f>
        <v>-1.101714964</v>
      </c>
      <c r="L135" s="645" t="str">
        <f>#REF!-L133</f>
        <v>#REF!</v>
      </c>
      <c r="M135" s="547" t="str">
        <f>IFERROR((L135/L$27),"")</f>
        <v/>
      </c>
      <c r="N135" s="645" t="str">
        <f>#REF!-N133</f>
        <v>#REF!</v>
      </c>
      <c r="O135" s="585"/>
      <c r="P135" s="491">
        <f>P40-P133</f>
        <v>0</v>
      </c>
      <c r="Q135" s="613" t="str">
        <f>IFERROR((P135/P$27),"")</f>
        <v/>
      </c>
      <c r="R135" s="668" t="str">
        <f>#REF!-R133</f>
        <v>#REF!</v>
      </c>
      <c r="S135" s="613" t="str">
        <f>IFERROR((R135/R$27),"")</f>
        <v/>
      </c>
      <c r="T135" s="668" t="str">
        <f>#REF!-T133</f>
        <v>#REF!</v>
      </c>
      <c r="U135" s="457"/>
      <c r="V135" s="249"/>
      <c r="W135" s="249"/>
      <c r="X135" s="249"/>
      <c r="Y135" s="249"/>
      <c r="Z135" s="249"/>
      <c r="AA135" s="249"/>
      <c r="AB135" s="249"/>
      <c r="AC135" s="249"/>
    </row>
    <row r="136" ht="15.7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249"/>
      <c r="X136" s="249"/>
      <c r="Y136" s="249"/>
      <c r="Z136" s="249"/>
      <c r="AA136" s="249"/>
      <c r="AB136" s="249"/>
      <c r="AC136" s="249"/>
    </row>
    <row r="137" ht="15.7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  <c r="W137" s="249"/>
      <c r="X137" s="249"/>
      <c r="Y137" s="249"/>
      <c r="Z137" s="249"/>
      <c r="AA137" s="249"/>
      <c r="AB137" s="249"/>
      <c r="AC137" s="249"/>
    </row>
    <row r="138" ht="15.7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249"/>
      <c r="W138" s="249"/>
      <c r="X138" s="249"/>
      <c r="Y138" s="249"/>
      <c r="Z138" s="249"/>
      <c r="AA138" s="249"/>
      <c r="AB138" s="249"/>
      <c r="AC138" s="249"/>
    </row>
    <row r="139" ht="15.7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249"/>
      <c r="W139" s="249"/>
      <c r="X139" s="249"/>
      <c r="Y139" s="249"/>
      <c r="Z139" s="249"/>
      <c r="AA139" s="249"/>
      <c r="AB139" s="249"/>
      <c r="AC139" s="249"/>
    </row>
    <row r="140" ht="15.7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  <c r="W140" s="249"/>
      <c r="X140" s="249"/>
      <c r="Y140" s="249"/>
      <c r="Z140" s="249"/>
      <c r="AA140" s="249"/>
      <c r="AB140" s="249"/>
      <c r="AC140" s="249"/>
    </row>
    <row r="141" ht="15.7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249"/>
      <c r="X141" s="249"/>
      <c r="Y141" s="249"/>
      <c r="Z141" s="249"/>
      <c r="AA141" s="249"/>
      <c r="AB141" s="249"/>
      <c r="AC141" s="249"/>
    </row>
    <row r="142" ht="15.7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  <c r="AA142" s="249"/>
      <c r="AB142" s="249"/>
      <c r="AC142" s="249"/>
    </row>
    <row r="143" ht="15.7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249"/>
      <c r="X143" s="249"/>
      <c r="Y143" s="249"/>
      <c r="Z143" s="249"/>
      <c r="AA143" s="249"/>
      <c r="AB143" s="249"/>
      <c r="AC143" s="249"/>
    </row>
    <row r="144" ht="15.7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249"/>
      <c r="X144" s="249"/>
      <c r="Y144" s="249"/>
      <c r="Z144" s="249"/>
      <c r="AA144" s="249"/>
      <c r="AB144" s="249"/>
      <c r="AC144" s="249"/>
    </row>
    <row r="145" ht="15.7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49"/>
      <c r="X145" s="249"/>
      <c r="Y145" s="249"/>
      <c r="Z145" s="249"/>
      <c r="AA145" s="249"/>
      <c r="AB145" s="249"/>
      <c r="AC145" s="249"/>
    </row>
    <row r="146" ht="15.7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  <c r="W146" s="249"/>
      <c r="X146" s="249"/>
      <c r="Y146" s="249"/>
      <c r="Z146" s="249"/>
      <c r="AA146" s="249"/>
      <c r="AB146" s="249"/>
      <c r="AC146" s="249"/>
    </row>
    <row r="147" ht="15.7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  <c r="X147" s="249"/>
      <c r="Y147" s="249"/>
      <c r="Z147" s="249"/>
      <c r="AA147" s="249"/>
      <c r="AB147" s="249"/>
      <c r="AC147" s="249"/>
    </row>
    <row r="148" ht="15.7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  <c r="X148" s="249"/>
      <c r="Y148" s="249"/>
      <c r="Z148" s="249"/>
      <c r="AA148" s="249"/>
      <c r="AB148" s="249"/>
      <c r="AC148" s="249"/>
    </row>
    <row r="149" ht="15.7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249"/>
      <c r="X149" s="249"/>
      <c r="Y149" s="249"/>
      <c r="Z149" s="249"/>
      <c r="AA149" s="249"/>
      <c r="AB149" s="249"/>
      <c r="AC149" s="249"/>
    </row>
    <row r="150" ht="15.7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  <c r="X150" s="249"/>
      <c r="Y150" s="249"/>
      <c r="Z150" s="249"/>
      <c r="AA150" s="249"/>
      <c r="AB150" s="249"/>
      <c r="AC150" s="249"/>
    </row>
    <row r="151" ht="15.7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  <c r="W151" s="249"/>
      <c r="X151" s="249"/>
      <c r="Y151" s="249"/>
      <c r="Z151" s="249"/>
      <c r="AA151" s="249"/>
      <c r="AB151" s="249"/>
      <c r="AC151" s="249"/>
    </row>
    <row r="152" ht="15.7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  <c r="W152" s="249"/>
      <c r="X152" s="249"/>
      <c r="Y152" s="249"/>
      <c r="Z152" s="249"/>
      <c r="AA152" s="249"/>
      <c r="AB152" s="249"/>
      <c r="AC152" s="249"/>
    </row>
    <row r="153" ht="15.7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249"/>
      <c r="W153" s="249"/>
      <c r="X153" s="249"/>
      <c r="Y153" s="249"/>
      <c r="Z153" s="249"/>
      <c r="AA153" s="249"/>
      <c r="AB153" s="249"/>
      <c r="AC153" s="249"/>
    </row>
    <row r="154" ht="15.7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249"/>
      <c r="W154" s="249"/>
      <c r="X154" s="249"/>
      <c r="Y154" s="249"/>
      <c r="Z154" s="249"/>
      <c r="AA154" s="249"/>
      <c r="AB154" s="249"/>
      <c r="AC154" s="249"/>
    </row>
    <row r="155" ht="15.7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249"/>
      <c r="X155" s="249"/>
      <c r="Y155" s="249"/>
      <c r="Z155" s="249"/>
      <c r="AA155" s="249"/>
      <c r="AB155" s="249"/>
      <c r="AC155" s="249"/>
    </row>
    <row r="156" ht="15.7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249"/>
      <c r="W156" s="249"/>
      <c r="X156" s="249"/>
      <c r="Y156" s="249"/>
      <c r="Z156" s="249"/>
      <c r="AA156" s="249"/>
      <c r="AB156" s="249"/>
      <c r="AC156" s="249"/>
    </row>
    <row r="157" ht="15.7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249"/>
      <c r="W157" s="249"/>
      <c r="X157" s="249"/>
      <c r="Y157" s="249"/>
      <c r="Z157" s="249"/>
      <c r="AA157" s="249"/>
      <c r="AB157" s="249"/>
      <c r="AC157" s="249"/>
    </row>
    <row r="158" ht="15.7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249"/>
      <c r="W158" s="249"/>
      <c r="X158" s="249"/>
      <c r="Y158" s="249"/>
      <c r="Z158" s="249"/>
      <c r="AA158" s="249"/>
      <c r="AB158" s="249"/>
      <c r="AC158" s="249"/>
    </row>
    <row r="159" ht="15.7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249"/>
      <c r="W159" s="249"/>
      <c r="X159" s="249"/>
      <c r="Y159" s="249"/>
      <c r="Z159" s="249"/>
      <c r="AA159" s="249"/>
      <c r="AB159" s="249"/>
      <c r="AC159" s="249"/>
    </row>
    <row r="160" ht="15.7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  <c r="W160" s="249"/>
      <c r="X160" s="249"/>
      <c r="Y160" s="249"/>
      <c r="Z160" s="249"/>
      <c r="AA160" s="249"/>
      <c r="AB160" s="249"/>
      <c r="AC160" s="249"/>
    </row>
    <row r="161" ht="15.7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249"/>
      <c r="W161" s="249"/>
      <c r="X161" s="249"/>
      <c r="Y161" s="249"/>
      <c r="Z161" s="249"/>
      <c r="AA161" s="249"/>
      <c r="AB161" s="249"/>
      <c r="AC161" s="249"/>
    </row>
    <row r="162" ht="15.7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249"/>
      <c r="W162" s="249"/>
      <c r="X162" s="249"/>
      <c r="Y162" s="249"/>
      <c r="Z162" s="249"/>
      <c r="AA162" s="249"/>
      <c r="AB162" s="249"/>
      <c r="AC162" s="249"/>
    </row>
    <row r="163" ht="15.7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249"/>
      <c r="W163" s="249"/>
      <c r="X163" s="249"/>
      <c r="Y163" s="249"/>
      <c r="Z163" s="249"/>
      <c r="AA163" s="249"/>
      <c r="AB163" s="249"/>
      <c r="AC163" s="249"/>
    </row>
    <row r="164" ht="15.7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249"/>
      <c r="X164" s="249"/>
      <c r="Y164" s="249"/>
      <c r="Z164" s="249"/>
      <c r="AA164" s="249"/>
      <c r="AB164" s="249"/>
      <c r="AC164" s="249"/>
    </row>
    <row r="165" ht="15.7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249"/>
      <c r="W165" s="249"/>
      <c r="X165" s="249"/>
      <c r="Y165" s="249"/>
      <c r="Z165" s="249"/>
      <c r="AA165" s="249"/>
      <c r="AB165" s="249"/>
      <c r="AC165" s="249"/>
    </row>
    <row r="166" ht="15.7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249"/>
      <c r="W166" s="249"/>
      <c r="X166" s="249"/>
      <c r="Y166" s="249"/>
      <c r="Z166" s="249"/>
      <c r="AA166" s="249"/>
      <c r="AB166" s="249"/>
      <c r="AC166" s="249"/>
    </row>
    <row r="167" ht="15.7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  <c r="W167" s="249"/>
      <c r="X167" s="249"/>
      <c r="Y167" s="249"/>
      <c r="Z167" s="249"/>
      <c r="AA167" s="249"/>
      <c r="AB167" s="249"/>
      <c r="AC167" s="249"/>
    </row>
    <row r="168" ht="15.7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9"/>
      <c r="Z168" s="249"/>
      <c r="AA168" s="249"/>
      <c r="AB168" s="249"/>
      <c r="AC168" s="249"/>
    </row>
    <row r="169" ht="15.7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249"/>
      <c r="W169" s="249"/>
      <c r="X169" s="249"/>
      <c r="Y169" s="249"/>
      <c r="Z169" s="249"/>
      <c r="AA169" s="249"/>
      <c r="AB169" s="249"/>
      <c r="AC169" s="249"/>
    </row>
    <row r="170" ht="15.7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249"/>
      <c r="W170" s="249"/>
      <c r="X170" s="249"/>
      <c r="Y170" s="249"/>
      <c r="Z170" s="249"/>
      <c r="AA170" s="249"/>
      <c r="AB170" s="249"/>
      <c r="AC170" s="249"/>
    </row>
    <row r="171" ht="15.7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249"/>
      <c r="W171" s="249"/>
      <c r="X171" s="249"/>
      <c r="Y171" s="249"/>
      <c r="Z171" s="249"/>
      <c r="AA171" s="249"/>
      <c r="AB171" s="249"/>
      <c r="AC171" s="249"/>
    </row>
    <row r="172" ht="15.7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  <c r="W172" s="249"/>
      <c r="X172" s="249"/>
      <c r="Y172" s="249"/>
      <c r="Z172" s="249"/>
      <c r="AA172" s="249"/>
      <c r="AB172" s="249"/>
      <c r="AC172" s="249"/>
    </row>
    <row r="173" ht="15.7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249"/>
      <c r="X173" s="249"/>
      <c r="Y173" s="249"/>
      <c r="Z173" s="249"/>
      <c r="AA173" s="249"/>
      <c r="AB173" s="249"/>
      <c r="AC173" s="249"/>
    </row>
    <row r="174" ht="15.7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  <c r="W174" s="249"/>
      <c r="X174" s="249"/>
      <c r="Y174" s="249"/>
      <c r="Z174" s="249"/>
      <c r="AA174" s="249"/>
      <c r="AB174" s="249"/>
      <c r="AC174" s="249"/>
    </row>
    <row r="175" ht="15.7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249"/>
      <c r="W175" s="249"/>
      <c r="X175" s="249"/>
      <c r="Y175" s="249"/>
      <c r="Z175" s="249"/>
      <c r="AA175" s="249"/>
      <c r="AB175" s="249"/>
      <c r="AC175" s="249"/>
    </row>
    <row r="176" ht="15.7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249"/>
      <c r="W176" s="249"/>
      <c r="X176" s="249"/>
      <c r="Y176" s="249"/>
      <c r="Z176" s="249"/>
      <c r="AA176" s="249"/>
      <c r="AB176" s="249"/>
      <c r="AC176" s="249"/>
    </row>
    <row r="177" ht="15.7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249"/>
      <c r="W177" s="249"/>
      <c r="X177" s="249"/>
      <c r="Y177" s="249"/>
      <c r="Z177" s="249"/>
      <c r="AA177" s="249"/>
      <c r="AB177" s="249"/>
      <c r="AC177" s="249"/>
    </row>
    <row r="178" ht="15.7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  <c r="W178" s="249"/>
      <c r="X178" s="249"/>
      <c r="Y178" s="249"/>
      <c r="Z178" s="249"/>
      <c r="AA178" s="249"/>
      <c r="AB178" s="249"/>
      <c r="AC178" s="249"/>
    </row>
    <row r="179" ht="15.7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249"/>
      <c r="W179" s="249"/>
      <c r="X179" s="249"/>
      <c r="Y179" s="249"/>
      <c r="Z179" s="249"/>
      <c r="AA179" s="249"/>
      <c r="AB179" s="249"/>
      <c r="AC179" s="249"/>
    </row>
    <row r="180" ht="15.7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249"/>
      <c r="W180" s="249"/>
      <c r="X180" s="249"/>
      <c r="Y180" s="249"/>
      <c r="Z180" s="249"/>
      <c r="AA180" s="249"/>
      <c r="AB180" s="249"/>
      <c r="AC180" s="249"/>
    </row>
    <row r="181" ht="15.7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249"/>
      <c r="W181" s="249"/>
      <c r="X181" s="249"/>
      <c r="Y181" s="249"/>
      <c r="Z181" s="249"/>
      <c r="AA181" s="249"/>
      <c r="AB181" s="249"/>
      <c r="AC181" s="249"/>
    </row>
    <row r="182" ht="15.7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249"/>
      <c r="W182" s="249"/>
      <c r="X182" s="249"/>
      <c r="Y182" s="249"/>
      <c r="Z182" s="249"/>
      <c r="AA182" s="249"/>
      <c r="AB182" s="249"/>
      <c r="AC182" s="249"/>
    </row>
    <row r="183" ht="15.7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249"/>
      <c r="W183" s="249"/>
      <c r="X183" s="249"/>
      <c r="Y183" s="249"/>
      <c r="Z183" s="249"/>
      <c r="AA183" s="249"/>
      <c r="AB183" s="249"/>
      <c r="AC183" s="249"/>
    </row>
    <row r="184" ht="15.7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249"/>
      <c r="W184" s="249"/>
      <c r="X184" s="249"/>
      <c r="Y184" s="249"/>
      <c r="Z184" s="249"/>
      <c r="AA184" s="249"/>
      <c r="AB184" s="249"/>
      <c r="AC184" s="249"/>
    </row>
    <row r="185" ht="15.7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249"/>
      <c r="W185" s="249"/>
      <c r="X185" s="249"/>
      <c r="Y185" s="249"/>
      <c r="Z185" s="249"/>
      <c r="AA185" s="249"/>
      <c r="AB185" s="249"/>
      <c r="AC185" s="249"/>
    </row>
    <row r="186" ht="15.7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249"/>
      <c r="W186" s="249"/>
      <c r="X186" s="249"/>
      <c r="Y186" s="249"/>
      <c r="Z186" s="249"/>
      <c r="AA186" s="249"/>
      <c r="AB186" s="249"/>
      <c r="AC186" s="249"/>
    </row>
    <row r="187" ht="15.7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  <c r="X187" s="249"/>
      <c r="Y187" s="249"/>
      <c r="Z187" s="249"/>
      <c r="AA187" s="249"/>
      <c r="AB187" s="249"/>
      <c r="AC187" s="249"/>
    </row>
    <row r="188" ht="15.7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249"/>
      <c r="W188" s="249"/>
      <c r="X188" s="249"/>
      <c r="Y188" s="249"/>
      <c r="Z188" s="249"/>
      <c r="AA188" s="249"/>
      <c r="AB188" s="249"/>
      <c r="AC188" s="249"/>
    </row>
    <row r="189" ht="15.7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249"/>
      <c r="X189" s="249"/>
      <c r="Y189" s="249"/>
      <c r="Z189" s="249"/>
      <c r="AA189" s="249"/>
      <c r="AB189" s="249"/>
      <c r="AC189" s="249"/>
    </row>
    <row r="190" ht="15.7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249"/>
      <c r="W190" s="249"/>
      <c r="X190" s="249"/>
      <c r="Y190" s="249"/>
      <c r="Z190" s="249"/>
      <c r="AA190" s="249"/>
      <c r="AB190" s="249"/>
      <c r="AC190" s="249"/>
    </row>
    <row r="191" ht="15.7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249"/>
      <c r="W191" s="249"/>
      <c r="X191" s="249"/>
      <c r="Y191" s="249"/>
      <c r="Z191" s="249"/>
      <c r="AA191" s="249"/>
      <c r="AB191" s="249"/>
      <c r="AC191" s="249"/>
    </row>
    <row r="192" ht="15.7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249"/>
      <c r="W192" s="249"/>
      <c r="X192" s="249"/>
      <c r="Y192" s="249"/>
      <c r="Z192" s="249"/>
      <c r="AA192" s="249"/>
      <c r="AB192" s="249"/>
      <c r="AC192" s="249"/>
    </row>
    <row r="193" ht="15.7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  <c r="W193" s="249"/>
      <c r="X193" s="249"/>
      <c r="Y193" s="249"/>
      <c r="Z193" s="249"/>
      <c r="AA193" s="249"/>
      <c r="AB193" s="249"/>
      <c r="AC193" s="249"/>
    </row>
    <row r="194" ht="15.7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249"/>
      <c r="W194" s="249"/>
      <c r="X194" s="249"/>
      <c r="Y194" s="249"/>
      <c r="Z194" s="249"/>
      <c r="AA194" s="249"/>
      <c r="AB194" s="249"/>
      <c r="AC194" s="249"/>
    </row>
    <row r="195" ht="15.7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249"/>
      <c r="W195" s="249"/>
      <c r="X195" s="249"/>
      <c r="Y195" s="249"/>
      <c r="Z195" s="249"/>
      <c r="AA195" s="249"/>
      <c r="AB195" s="249"/>
      <c r="AC195" s="249"/>
    </row>
    <row r="196" ht="15.7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249"/>
      <c r="W196" s="249"/>
      <c r="X196" s="249"/>
      <c r="Y196" s="249"/>
      <c r="Z196" s="249"/>
      <c r="AA196" s="249"/>
      <c r="AB196" s="249"/>
      <c r="AC196" s="249"/>
    </row>
    <row r="197" ht="15.7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249"/>
      <c r="W197" s="249"/>
      <c r="X197" s="249"/>
      <c r="Y197" s="249"/>
      <c r="Z197" s="249"/>
      <c r="AA197" s="249"/>
      <c r="AB197" s="249"/>
      <c r="AC197" s="249"/>
    </row>
    <row r="198" ht="15.7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  <c r="W198" s="249"/>
      <c r="X198" s="249"/>
      <c r="Y198" s="249"/>
      <c r="Z198" s="249"/>
      <c r="AA198" s="249"/>
      <c r="AB198" s="249"/>
      <c r="AC198" s="249"/>
    </row>
    <row r="199" ht="15.7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  <c r="W199" s="249"/>
      <c r="X199" s="249"/>
      <c r="Y199" s="249"/>
      <c r="Z199" s="249"/>
      <c r="AA199" s="249"/>
      <c r="AB199" s="249"/>
      <c r="AC199" s="249"/>
    </row>
    <row r="200" ht="15.7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  <c r="X200" s="249"/>
      <c r="Y200" s="249"/>
      <c r="Z200" s="249"/>
      <c r="AA200" s="249"/>
      <c r="AB200" s="249"/>
      <c r="AC200" s="249"/>
    </row>
    <row r="201" ht="15.7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249"/>
      <c r="W201" s="249"/>
      <c r="X201" s="249"/>
      <c r="Y201" s="249"/>
      <c r="Z201" s="249"/>
      <c r="AA201" s="249"/>
      <c r="AB201" s="249"/>
      <c r="AC201" s="249"/>
    </row>
    <row r="202" ht="15.7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  <c r="W202" s="249"/>
      <c r="X202" s="249"/>
      <c r="Y202" s="249"/>
      <c r="Z202" s="249"/>
      <c r="AA202" s="249"/>
      <c r="AB202" s="249"/>
      <c r="AC202" s="249"/>
    </row>
    <row r="203" ht="15.7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  <c r="X203" s="249"/>
      <c r="Y203" s="249"/>
      <c r="Z203" s="249"/>
      <c r="AA203" s="249"/>
      <c r="AB203" s="249"/>
      <c r="AC203" s="249"/>
    </row>
    <row r="204" ht="15.7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  <c r="W204" s="249"/>
      <c r="X204" s="249"/>
      <c r="Y204" s="249"/>
      <c r="Z204" s="249"/>
      <c r="AA204" s="249"/>
      <c r="AB204" s="249"/>
      <c r="AC204" s="249"/>
    </row>
    <row r="205" ht="15.7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  <c r="W205" s="249"/>
      <c r="X205" s="249"/>
      <c r="Y205" s="249"/>
      <c r="Z205" s="249"/>
      <c r="AA205" s="249"/>
      <c r="AB205" s="249"/>
      <c r="AC205" s="249"/>
    </row>
    <row r="206" ht="15.7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  <c r="X206" s="249"/>
      <c r="Y206" s="249"/>
      <c r="Z206" s="249"/>
      <c r="AA206" s="249"/>
      <c r="AB206" s="249"/>
      <c r="AC206" s="249"/>
    </row>
    <row r="207" ht="15.7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  <c r="W207" s="249"/>
      <c r="X207" s="249"/>
      <c r="Y207" s="249"/>
      <c r="Z207" s="249"/>
      <c r="AA207" s="249"/>
      <c r="AB207" s="249"/>
      <c r="AC207" s="249"/>
    </row>
    <row r="208" ht="15.7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249"/>
      <c r="X208" s="249"/>
      <c r="Y208" s="249"/>
      <c r="Z208" s="249"/>
      <c r="AA208" s="249"/>
      <c r="AB208" s="249"/>
      <c r="AC208" s="249"/>
    </row>
    <row r="209" ht="15.7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  <c r="X209" s="249"/>
      <c r="Y209" s="249"/>
      <c r="Z209" s="249"/>
      <c r="AA209" s="249"/>
      <c r="AB209" s="249"/>
      <c r="AC209" s="249"/>
    </row>
    <row r="210" ht="15.7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  <c r="W210" s="249"/>
      <c r="X210" s="249"/>
      <c r="Y210" s="249"/>
      <c r="Z210" s="249"/>
      <c r="AA210" s="249"/>
      <c r="AB210" s="249"/>
      <c r="AC210" s="249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249"/>
      <c r="X211" s="249"/>
      <c r="Y211" s="249"/>
      <c r="Z211" s="249"/>
      <c r="AA211" s="249"/>
      <c r="AB211" s="249"/>
      <c r="AC211" s="249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249"/>
      <c r="Y212" s="249"/>
      <c r="Z212" s="249"/>
      <c r="AA212" s="249"/>
      <c r="AB212" s="249"/>
      <c r="AC212" s="249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  <c r="W213" s="249"/>
      <c r="X213" s="249"/>
      <c r="Y213" s="249"/>
      <c r="Z213" s="249"/>
      <c r="AA213" s="249"/>
      <c r="AB213" s="249"/>
      <c r="AC213" s="249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  <c r="X214" s="249"/>
      <c r="Y214" s="249"/>
      <c r="Z214" s="249"/>
      <c r="AA214" s="249"/>
      <c r="AB214" s="249"/>
      <c r="AC214" s="249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  <c r="X215" s="249"/>
      <c r="Y215" s="249"/>
      <c r="Z215" s="249"/>
      <c r="AA215" s="249"/>
      <c r="AB215" s="249"/>
      <c r="AC215" s="249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  <c r="W216" s="249"/>
      <c r="X216" s="249"/>
      <c r="Y216" s="249"/>
      <c r="Z216" s="249"/>
      <c r="AA216" s="249"/>
      <c r="AB216" s="249"/>
      <c r="AC216" s="249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  <c r="X217" s="249"/>
      <c r="Y217" s="249"/>
      <c r="Z217" s="249"/>
      <c r="AA217" s="249"/>
      <c r="AB217" s="249"/>
      <c r="AC217" s="249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  <c r="X218" s="249"/>
      <c r="Y218" s="249"/>
      <c r="Z218" s="249"/>
      <c r="AA218" s="249"/>
      <c r="AB218" s="249"/>
      <c r="AC218" s="249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  <c r="W219" s="249"/>
      <c r="X219" s="249"/>
      <c r="Y219" s="249"/>
      <c r="Z219" s="249"/>
      <c r="AA219" s="249"/>
      <c r="AB219" s="249"/>
      <c r="AC219" s="249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249"/>
      <c r="X220" s="249"/>
      <c r="Y220" s="249"/>
      <c r="Z220" s="249"/>
      <c r="AA220" s="249"/>
      <c r="AB220" s="249"/>
      <c r="AC220" s="249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  <c r="X221" s="249"/>
      <c r="Y221" s="249"/>
      <c r="Z221" s="249"/>
      <c r="AA221" s="249"/>
      <c r="AB221" s="249"/>
      <c r="AC221" s="249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249"/>
      <c r="X222" s="249"/>
      <c r="Y222" s="249"/>
      <c r="Z222" s="249"/>
      <c r="AA222" s="249"/>
      <c r="AB222" s="249"/>
      <c r="AC222" s="249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249"/>
      <c r="X223" s="249"/>
      <c r="Y223" s="249"/>
      <c r="Z223" s="249"/>
      <c r="AA223" s="249"/>
      <c r="AB223" s="249"/>
      <c r="AC223" s="249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  <c r="W224" s="249"/>
      <c r="X224" s="249"/>
      <c r="Y224" s="249"/>
      <c r="Z224" s="249"/>
      <c r="AA224" s="249"/>
      <c r="AB224" s="249"/>
      <c r="AC224" s="249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  <c r="W225" s="249"/>
      <c r="X225" s="249"/>
      <c r="Y225" s="249"/>
      <c r="Z225" s="249"/>
      <c r="AA225" s="249"/>
      <c r="AB225" s="249"/>
      <c r="AC225" s="249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249"/>
      <c r="X226" s="249"/>
      <c r="Y226" s="249"/>
      <c r="Z226" s="249"/>
      <c r="AA226" s="249"/>
      <c r="AB226" s="249"/>
      <c r="AC226" s="249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  <c r="W227" s="249"/>
      <c r="X227" s="249"/>
      <c r="Y227" s="249"/>
      <c r="Z227" s="249"/>
      <c r="AA227" s="249"/>
      <c r="AB227" s="249"/>
      <c r="AC227" s="249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249"/>
      <c r="W228" s="249"/>
      <c r="X228" s="249"/>
      <c r="Y228" s="249"/>
      <c r="Z228" s="249"/>
      <c r="AA228" s="249"/>
      <c r="AB228" s="249"/>
      <c r="AC228" s="249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  <c r="W229" s="249"/>
      <c r="X229" s="249"/>
      <c r="Y229" s="249"/>
      <c r="Z229" s="249"/>
      <c r="AA229" s="249"/>
      <c r="AB229" s="249"/>
      <c r="AC229" s="249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  <c r="W230" s="249"/>
      <c r="X230" s="249"/>
      <c r="Y230" s="249"/>
      <c r="Z230" s="249"/>
      <c r="AA230" s="249"/>
      <c r="AB230" s="249"/>
      <c r="AC230" s="249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249"/>
      <c r="W231" s="249"/>
      <c r="X231" s="249"/>
      <c r="Y231" s="249"/>
      <c r="Z231" s="249"/>
      <c r="AA231" s="249"/>
      <c r="AB231" s="249"/>
      <c r="AC231" s="249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249"/>
      <c r="X232" s="249"/>
      <c r="Y232" s="249"/>
      <c r="Z232" s="249"/>
      <c r="AA232" s="249"/>
      <c r="AB232" s="249"/>
      <c r="AC232" s="249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  <c r="W233" s="249"/>
      <c r="X233" s="249"/>
      <c r="Y233" s="249"/>
      <c r="Z233" s="249"/>
      <c r="AA233" s="249"/>
      <c r="AB233" s="249"/>
      <c r="AC233" s="249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249"/>
      <c r="W234" s="249"/>
      <c r="X234" s="249"/>
      <c r="Y234" s="249"/>
      <c r="Z234" s="249"/>
      <c r="AA234" s="249"/>
      <c r="AB234" s="249"/>
      <c r="AC234" s="249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  <c r="W235" s="249"/>
      <c r="X235" s="249"/>
      <c r="Y235" s="249"/>
      <c r="Z235" s="249"/>
      <c r="AA235" s="249"/>
      <c r="AB235" s="249"/>
      <c r="AC235" s="249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249"/>
      <c r="W236" s="249"/>
      <c r="X236" s="249"/>
      <c r="Y236" s="249"/>
      <c r="Z236" s="249"/>
      <c r="AA236" s="249"/>
      <c r="AB236" s="249"/>
      <c r="AC236" s="249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249"/>
      <c r="W237" s="249"/>
      <c r="X237" s="249"/>
      <c r="Y237" s="249"/>
      <c r="Z237" s="249"/>
      <c r="AA237" s="249"/>
      <c r="AB237" s="249"/>
      <c r="AC237" s="249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249"/>
      <c r="W238" s="249"/>
      <c r="X238" s="249"/>
      <c r="Y238" s="249"/>
      <c r="Z238" s="249"/>
      <c r="AA238" s="249"/>
      <c r="AB238" s="249"/>
      <c r="AC238" s="249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249"/>
      <c r="W239" s="249"/>
      <c r="X239" s="249"/>
      <c r="Y239" s="249"/>
      <c r="Z239" s="249"/>
      <c r="AA239" s="249"/>
      <c r="AB239" s="249"/>
      <c r="AC239" s="249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249"/>
      <c r="W240" s="249"/>
      <c r="X240" s="249"/>
      <c r="Y240" s="249"/>
      <c r="Z240" s="249"/>
      <c r="AA240" s="249"/>
      <c r="AB240" s="249"/>
      <c r="AC240" s="249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249"/>
      <c r="W241" s="249"/>
      <c r="X241" s="249"/>
      <c r="Y241" s="249"/>
      <c r="Z241" s="249"/>
      <c r="AA241" s="249"/>
      <c r="AB241" s="249"/>
      <c r="AC241" s="249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  <c r="W242" s="249"/>
      <c r="X242" s="249"/>
      <c r="Y242" s="249"/>
      <c r="Z242" s="249"/>
      <c r="AA242" s="249"/>
      <c r="AB242" s="249"/>
      <c r="AC242" s="249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249"/>
      <c r="W243" s="249"/>
      <c r="X243" s="249"/>
      <c r="Y243" s="249"/>
      <c r="Z243" s="249"/>
      <c r="AA243" s="249"/>
      <c r="AB243" s="249"/>
      <c r="AC243" s="249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249"/>
      <c r="W244" s="249"/>
      <c r="X244" s="249"/>
      <c r="Y244" s="249"/>
      <c r="Z244" s="249"/>
      <c r="AA244" s="249"/>
      <c r="AB244" s="249"/>
      <c r="AC244" s="249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249"/>
      <c r="W245" s="249"/>
      <c r="X245" s="249"/>
      <c r="Y245" s="249"/>
      <c r="Z245" s="249"/>
      <c r="AA245" s="249"/>
      <c r="AB245" s="249"/>
      <c r="AC245" s="249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249"/>
      <c r="W246" s="249"/>
      <c r="X246" s="249"/>
      <c r="Y246" s="249"/>
      <c r="Z246" s="249"/>
      <c r="AA246" s="249"/>
      <c r="AB246" s="249"/>
      <c r="AC246" s="249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249"/>
      <c r="W247" s="249"/>
      <c r="X247" s="249"/>
      <c r="Y247" s="249"/>
      <c r="Z247" s="249"/>
      <c r="AA247" s="249"/>
      <c r="AB247" s="249"/>
      <c r="AC247" s="249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249"/>
      <c r="W248" s="249"/>
      <c r="X248" s="249"/>
      <c r="Y248" s="249"/>
      <c r="Z248" s="249"/>
      <c r="AA248" s="249"/>
      <c r="AB248" s="249"/>
      <c r="AC248" s="249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249"/>
      <c r="W249" s="249"/>
      <c r="X249" s="249"/>
      <c r="Y249" s="249"/>
      <c r="Z249" s="249"/>
      <c r="AA249" s="249"/>
      <c r="AB249" s="249"/>
      <c r="AC249" s="249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249"/>
      <c r="W250" s="249"/>
      <c r="X250" s="249"/>
      <c r="Y250" s="249"/>
      <c r="Z250" s="249"/>
      <c r="AA250" s="249"/>
      <c r="AB250" s="249"/>
      <c r="AC250" s="249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249"/>
      <c r="W251" s="249"/>
      <c r="X251" s="249"/>
      <c r="Y251" s="249"/>
      <c r="Z251" s="249"/>
      <c r="AA251" s="249"/>
      <c r="AB251" s="249"/>
      <c r="AC251" s="249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249"/>
      <c r="W252" s="249"/>
      <c r="X252" s="249"/>
      <c r="Y252" s="249"/>
      <c r="Z252" s="249"/>
      <c r="AA252" s="249"/>
      <c r="AB252" s="249"/>
      <c r="AC252" s="249"/>
    </row>
    <row r="253" ht="15.75" customHeight="1">
      <c r="A253" s="249"/>
      <c r="B253" s="249"/>
      <c r="C253" s="249"/>
      <c r="D253" s="249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  <c r="U253" s="249"/>
      <c r="V253" s="249"/>
      <c r="W253" s="249"/>
      <c r="X253" s="249"/>
      <c r="Y253" s="249"/>
      <c r="Z253" s="249"/>
      <c r="AA253" s="249"/>
      <c r="AB253" s="249"/>
      <c r="AC253" s="249"/>
    </row>
    <row r="254" ht="15.75" customHeight="1">
      <c r="A254" s="249"/>
      <c r="B254" s="249"/>
      <c r="C254" s="249"/>
      <c r="D254" s="249"/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  <c r="W254" s="249"/>
      <c r="X254" s="249"/>
      <c r="Y254" s="249"/>
      <c r="Z254" s="249"/>
      <c r="AA254" s="249"/>
      <c r="AB254" s="249"/>
      <c r="AC254" s="249"/>
    </row>
    <row r="255" ht="15.75" customHeight="1">
      <c r="A255" s="249"/>
      <c r="B255" s="249"/>
      <c r="C255" s="249"/>
      <c r="D255" s="24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49"/>
      <c r="V255" s="249"/>
      <c r="W255" s="249"/>
      <c r="X255" s="249"/>
      <c r="Y255" s="249"/>
      <c r="Z255" s="249"/>
      <c r="AA255" s="249"/>
      <c r="AB255" s="249"/>
      <c r="AC255" s="249"/>
    </row>
    <row r="256" ht="15.75" customHeight="1">
      <c r="A256" s="249"/>
      <c r="B256" s="249"/>
      <c r="C256" s="249"/>
      <c r="D256" s="249"/>
      <c r="E256" s="249"/>
      <c r="F256" s="249"/>
      <c r="G256" s="249"/>
      <c r="H256" s="249"/>
      <c r="I256" s="249"/>
      <c r="J256" s="249"/>
      <c r="K256" s="249"/>
      <c r="L256" s="249"/>
      <c r="M256" s="249"/>
      <c r="N256" s="249"/>
      <c r="O256" s="249"/>
      <c r="P256" s="249"/>
      <c r="Q256" s="249"/>
      <c r="R256" s="249"/>
      <c r="S256" s="249"/>
      <c r="T256" s="249"/>
      <c r="U256" s="249"/>
      <c r="V256" s="249"/>
      <c r="W256" s="249"/>
      <c r="X256" s="249"/>
      <c r="Y256" s="249"/>
      <c r="Z256" s="249"/>
      <c r="AA256" s="249"/>
      <c r="AB256" s="249"/>
      <c r="AC256" s="249"/>
    </row>
    <row r="257" ht="15.75" customHeight="1">
      <c r="A257" s="249"/>
      <c r="B257" s="249"/>
      <c r="C257" s="249"/>
      <c r="D257" s="249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  <c r="U257" s="249"/>
      <c r="V257" s="249"/>
      <c r="W257" s="249"/>
      <c r="X257" s="249"/>
      <c r="Y257" s="249"/>
      <c r="Z257" s="249"/>
      <c r="AA257" s="249"/>
      <c r="AB257" s="249"/>
      <c r="AC257" s="249"/>
    </row>
    <row r="258" ht="15.75" customHeight="1">
      <c r="A258" s="249"/>
      <c r="B258" s="249"/>
      <c r="C258" s="249"/>
      <c r="D258" s="249"/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  <c r="U258" s="249"/>
      <c r="V258" s="249"/>
      <c r="W258" s="249"/>
      <c r="X258" s="249"/>
      <c r="Y258" s="249"/>
      <c r="Z258" s="249"/>
      <c r="AA258" s="249"/>
      <c r="AB258" s="249"/>
      <c r="AC258" s="249"/>
    </row>
    <row r="259" ht="15.75" customHeight="1">
      <c r="A259" s="249"/>
      <c r="B259" s="249"/>
      <c r="C259" s="249"/>
      <c r="D259" s="249"/>
      <c r="E259" s="249"/>
      <c r="F259" s="249"/>
      <c r="G259" s="249"/>
      <c r="H259" s="249"/>
      <c r="I259" s="249"/>
      <c r="J259" s="249"/>
      <c r="K259" s="249"/>
      <c r="L259" s="249"/>
      <c r="M259" s="249"/>
      <c r="N259" s="249"/>
      <c r="O259" s="249"/>
      <c r="P259" s="249"/>
      <c r="Q259" s="249"/>
      <c r="R259" s="249"/>
      <c r="S259" s="249"/>
      <c r="T259" s="249"/>
      <c r="U259" s="249"/>
      <c r="V259" s="249"/>
      <c r="W259" s="249"/>
      <c r="X259" s="249"/>
      <c r="Y259" s="249"/>
      <c r="Z259" s="249"/>
      <c r="AA259" s="249"/>
      <c r="AB259" s="249"/>
      <c r="AC259" s="249"/>
    </row>
    <row r="260" ht="15.75" customHeight="1">
      <c r="A260" s="249"/>
      <c r="B260" s="249"/>
      <c r="C260" s="249"/>
      <c r="D260" s="24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49"/>
      <c r="W260" s="249"/>
      <c r="X260" s="249"/>
      <c r="Y260" s="249"/>
      <c r="Z260" s="249"/>
      <c r="AA260" s="249"/>
      <c r="AB260" s="249"/>
      <c r="AC260" s="249"/>
    </row>
    <row r="261" ht="15.75" customHeight="1">
      <c r="A261" s="249"/>
      <c r="B261" s="249"/>
      <c r="C261" s="249"/>
      <c r="D261" s="249"/>
      <c r="E261" s="249"/>
      <c r="F261" s="249"/>
      <c r="G261" s="249"/>
      <c r="H261" s="249"/>
      <c r="I261" s="249"/>
      <c r="J261" s="249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49"/>
      <c r="V261" s="249"/>
      <c r="W261" s="249"/>
      <c r="X261" s="249"/>
      <c r="Y261" s="249"/>
      <c r="Z261" s="249"/>
      <c r="AA261" s="249"/>
      <c r="AB261" s="249"/>
      <c r="AC261" s="249"/>
    </row>
    <row r="262" ht="15.75" customHeight="1">
      <c r="A262" s="249"/>
      <c r="B262" s="249"/>
      <c r="C262" s="249"/>
      <c r="D262" s="249"/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49"/>
      <c r="W262" s="249"/>
      <c r="X262" s="249"/>
      <c r="Y262" s="249"/>
      <c r="Z262" s="249"/>
      <c r="AA262" s="249"/>
      <c r="AB262" s="249"/>
      <c r="AC262" s="249"/>
    </row>
    <row r="263" ht="15.75" customHeight="1">
      <c r="A263" s="249"/>
      <c r="B263" s="249"/>
      <c r="C263" s="249"/>
      <c r="D263" s="249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49"/>
      <c r="W263" s="249"/>
      <c r="X263" s="249"/>
      <c r="Y263" s="249"/>
      <c r="Z263" s="249"/>
      <c r="AA263" s="249"/>
      <c r="AB263" s="249"/>
      <c r="AC263" s="249"/>
    </row>
    <row r="264" ht="15.75" customHeight="1">
      <c r="A264" s="249"/>
      <c r="B264" s="249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49"/>
      <c r="V264" s="249"/>
      <c r="W264" s="249"/>
      <c r="X264" s="249"/>
      <c r="Y264" s="249"/>
      <c r="Z264" s="249"/>
      <c r="AA264" s="249"/>
      <c r="AB264" s="249"/>
      <c r="AC264" s="249"/>
    </row>
    <row r="265" ht="15.75" customHeight="1">
      <c r="A265" s="249"/>
      <c r="B265" s="249"/>
      <c r="C265" s="249"/>
      <c r="D265" s="24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49"/>
      <c r="W265" s="249"/>
      <c r="X265" s="249"/>
      <c r="Y265" s="249"/>
      <c r="Z265" s="249"/>
      <c r="AA265" s="249"/>
      <c r="AB265" s="249"/>
      <c r="AC265" s="249"/>
    </row>
    <row r="266" ht="15.75" customHeight="1">
      <c r="A266" s="249"/>
      <c r="B266" s="249"/>
      <c r="C266" s="249"/>
      <c r="D266" s="249"/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49"/>
      <c r="W266" s="249"/>
      <c r="X266" s="249"/>
      <c r="Y266" s="249"/>
      <c r="Z266" s="249"/>
      <c r="AA266" s="249"/>
      <c r="AB266" s="249"/>
      <c r="AC266" s="249"/>
    </row>
    <row r="267" ht="15.75" customHeight="1">
      <c r="A267" s="249"/>
      <c r="B267" s="249"/>
      <c r="C267" s="249"/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49"/>
      <c r="V267" s="249"/>
      <c r="W267" s="249"/>
      <c r="X267" s="249"/>
      <c r="Y267" s="249"/>
      <c r="Z267" s="249"/>
      <c r="AA267" s="249"/>
      <c r="AB267" s="249"/>
      <c r="AC267" s="249"/>
    </row>
    <row r="268" ht="15.75" customHeight="1">
      <c r="A268" s="249"/>
      <c r="B268" s="249"/>
      <c r="C268" s="249"/>
      <c r="D268" s="249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49"/>
      <c r="V268" s="249"/>
      <c r="W268" s="249"/>
      <c r="X268" s="249"/>
      <c r="Y268" s="249"/>
      <c r="Z268" s="249"/>
      <c r="AA268" s="249"/>
      <c r="AB268" s="249"/>
      <c r="AC268" s="249"/>
    </row>
    <row r="269" ht="15.75" customHeight="1">
      <c r="A269" s="249"/>
      <c r="B269" s="249"/>
      <c r="C269" s="249"/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49"/>
      <c r="V269" s="249"/>
      <c r="W269" s="249"/>
      <c r="X269" s="249"/>
      <c r="Y269" s="249"/>
      <c r="Z269" s="249"/>
      <c r="AA269" s="249"/>
      <c r="AB269" s="249"/>
      <c r="AC269" s="249"/>
    </row>
    <row r="270" ht="15.75" customHeight="1">
      <c r="A270" s="249"/>
      <c r="B270" s="249"/>
      <c r="C270" s="249"/>
      <c r="D270" s="249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49"/>
      <c r="V270" s="249"/>
      <c r="W270" s="249"/>
      <c r="X270" s="249"/>
      <c r="Y270" s="249"/>
      <c r="Z270" s="249"/>
      <c r="AA270" s="249"/>
      <c r="AB270" s="249"/>
      <c r="AC270" s="249"/>
    </row>
    <row r="271" ht="15.75" customHeight="1">
      <c r="A271" s="249"/>
      <c r="B271" s="249"/>
      <c r="C271" s="249"/>
      <c r="D271" s="249"/>
      <c r="E271" s="249"/>
      <c r="F271" s="249"/>
      <c r="G271" s="249"/>
      <c r="H271" s="249"/>
      <c r="I271" s="249"/>
      <c r="J271" s="249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  <c r="U271" s="249"/>
      <c r="V271" s="249"/>
      <c r="W271" s="249"/>
      <c r="X271" s="249"/>
      <c r="Y271" s="249"/>
      <c r="Z271" s="249"/>
      <c r="AA271" s="249"/>
      <c r="AB271" s="249"/>
      <c r="AC271" s="249"/>
    </row>
    <row r="272" ht="15.75" customHeight="1">
      <c r="A272" s="249"/>
      <c r="B272" s="249"/>
      <c r="C272" s="249"/>
      <c r="D272" s="249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49"/>
      <c r="V272" s="249"/>
      <c r="W272" s="249"/>
      <c r="X272" s="249"/>
      <c r="Y272" s="249"/>
      <c r="Z272" s="249"/>
      <c r="AA272" s="249"/>
      <c r="AB272" s="249"/>
      <c r="AC272" s="249"/>
    </row>
    <row r="273" ht="15.75" customHeight="1">
      <c r="A273" s="249"/>
      <c r="B273" s="249"/>
      <c r="C273" s="249"/>
      <c r="D273" s="249"/>
      <c r="E273" s="249"/>
      <c r="F273" s="249"/>
      <c r="G273" s="249"/>
      <c r="H273" s="249"/>
      <c r="I273" s="249"/>
      <c r="J273" s="249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  <c r="U273" s="249"/>
      <c r="V273" s="249"/>
      <c r="W273" s="249"/>
      <c r="X273" s="249"/>
      <c r="Y273" s="249"/>
      <c r="Z273" s="249"/>
      <c r="AA273" s="249"/>
      <c r="AB273" s="249"/>
      <c r="AC273" s="249"/>
    </row>
    <row r="274" ht="15.75" customHeight="1">
      <c r="A274" s="249"/>
      <c r="B274" s="249"/>
      <c r="C274" s="249"/>
      <c r="D274" s="249"/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49"/>
      <c r="V274" s="249"/>
      <c r="W274" s="249"/>
      <c r="X274" s="249"/>
      <c r="Y274" s="249"/>
      <c r="Z274" s="249"/>
      <c r="AA274" s="249"/>
      <c r="AB274" s="249"/>
      <c r="AC274" s="249"/>
    </row>
    <row r="275" ht="15.75" customHeight="1">
      <c r="A275" s="249"/>
      <c r="B275" s="249"/>
      <c r="C275" s="249"/>
      <c r="D275" s="249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49"/>
      <c r="V275" s="249"/>
      <c r="W275" s="249"/>
      <c r="X275" s="249"/>
      <c r="Y275" s="249"/>
      <c r="Z275" s="249"/>
      <c r="AA275" s="249"/>
      <c r="AB275" s="249"/>
      <c r="AC275" s="249"/>
    </row>
    <row r="276" ht="15.75" customHeight="1">
      <c r="A276" s="249"/>
      <c r="B276" s="249"/>
      <c r="C276" s="249"/>
      <c r="D276" s="249"/>
      <c r="E276" s="249"/>
      <c r="F276" s="249"/>
      <c r="G276" s="249"/>
      <c r="H276" s="249"/>
      <c r="I276" s="249"/>
      <c r="J276" s="249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  <c r="U276" s="249"/>
      <c r="V276" s="249"/>
      <c r="W276" s="249"/>
      <c r="X276" s="249"/>
      <c r="Y276" s="249"/>
      <c r="Z276" s="249"/>
      <c r="AA276" s="249"/>
      <c r="AB276" s="249"/>
      <c r="AC276" s="249"/>
    </row>
    <row r="277" ht="15.75" customHeight="1">
      <c r="A277" s="249"/>
      <c r="B277" s="249"/>
      <c r="C277" s="249"/>
      <c r="D277" s="249"/>
      <c r="E277" s="249"/>
      <c r="F277" s="249"/>
      <c r="G277" s="249"/>
      <c r="H277" s="249"/>
      <c r="I277" s="249"/>
      <c r="J277" s="249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49"/>
      <c r="W277" s="249"/>
      <c r="X277" s="249"/>
      <c r="Y277" s="249"/>
      <c r="Z277" s="249"/>
      <c r="AA277" s="249"/>
      <c r="AB277" s="249"/>
      <c r="AC277" s="249"/>
    </row>
    <row r="278" ht="15.75" customHeight="1">
      <c r="A278" s="249"/>
      <c r="B278" s="249"/>
      <c r="C278" s="249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49"/>
      <c r="V278" s="249"/>
      <c r="W278" s="249"/>
      <c r="X278" s="249"/>
      <c r="Y278" s="249"/>
      <c r="Z278" s="249"/>
      <c r="AA278" s="249"/>
      <c r="AB278" s="249"/>
      <c r="AC278" s="249"/>
    </row>
    <row r="279" ht="15.75" customHeight="1">
      <c r="A279" s="249"/>
      <c r="B279" s="249"/>
      <c r="C279" s="249"/>
      <c r="D279" s="249"/>
      <c r="E279" s="249"/>
      <c r="F279" s="249"/>
      <c r="G279" s="249"/>
      <c r="H279" s="249"/>
      <c r="I279" s="249"/>
      <c r="J279" s="249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49"/>
      <c r="V279" s="249"/>
      <c r="W279" s="249"/>
      <c r="X279" s="249"/>
      <c r="Y279" s="249"/>
      <c r="Z279" s="249"/>
      <c r="AA279" s="249"/>
      <c r="AB279" s="249"/>
      <c r="AC279" s="249"/>
    </row>
    <row r="280" ht="15.75" customHeight="1">
      <c r="A280" s="249"/>
      <c r="B280" s="249"/>
      <c r="C280" s="249"/>
      <c r="D280" s="249"/>
      <c r="E280" s="249"/>
      <c r="F280" s="249"/>
      <c r="G280" s="249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49"/>
      <c r="W280" s="249"/>
      <c r="X280" s="249"/>
      <c r="Y280" s="249"/>
      <c r="Z280" s="249"/>
      <c r="AA280" s="249"/>
      <c r="AB280" s="249"/>
      <c r="AC280" s="249"/>
    </row>
    <row r="281" ht="15.75" customHeight="1">
      <c r="A281" s="249"/>
      <c r="B281" s="249"/>
      <c r="C281" s="249"/>
      <c r="D281" s="249"/>
      <c r="E281" s="249"/>
      <c r="F281" s="249"/>
      <c r="G281" s="249"/>
      <c r="H281" s="249"/>
      <c r="I281" s="249"/>
      <c r="J281" s="249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49"/>
      <c r="V281" s="249"/>
      <c r="W281" s="249"/>
      <c r="X281" s="249"/>
      <c r="Y281" s="249"/>
      <c r="Z281" s="249"/>
      <c r="AA281" s="249"/>
      <c r="AB281" s="249"/>
      <c r="AC281" s="249"/>
    </row>
    <row r="282" ht="15.75" customHeight="1">
      <c r="A282" s="249"/>
      <c r="B282" s="249"/>
      <c r="C282" s="249"/>
      <c r="D282" s="249"/>
      <c r="E282" s="249"/>
      <c r="F282" s="249"/>
      <c r="G282" s="249"/>
      <c r="H282" s="249"/>
      <c r="I282" s="249"/>
      <c r="J282" s="249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  <c r="U282" s="249"/>
      <c r="V282" s="249"/>
      <c r="W282" s="249"/>
      <c r="X282" s="249"/>
      <c r="Y282" s="249"/>
      <c r="Z282" s="249"/>
      <c r="AA282" s="249"/>
      <c r="AB282" s="249"/>
      <c r="AC282" s="249"/>
    </row>
    <row r="283" ht="15.75" customHeight="1">
      <c r="A283" s="249"/>
      <c r="B283" s="249"/>
      <c r="C283" s="249"/>
      <c r="D283" s="249"/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49"/>
      <c r="W283" s="249"/>
      <c r="X283" s="249"/>
      <c r="Y283" s="249"/>
      <c r="Z283" s="249"/>
      <c r="AA283" s="249"/>
      <c r="AB283" s="249"/>
      <c r="AC283" s="249"/>
    </row>
    <row r="284" ht="15.75" customHeight="1">
      <c r="A284" s="249"/>
      <c r="B284" s="249"/>
      <c r="C284" s="249"/>
      <c r="D284" s="249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49"/>
      <c r="V284" s="249"/>
      <c r="W284" s="249"/>
      <c r="X284" s="249"/>
      <c r="Y284" s="249"/>
      <c r="Z284" s="249"/>
      <c r="AA284" s="249"/>
      <c r="AB284" s="249"/>
      <c r="AC284" s="249"/>
    </row>
    <row r="285" ht="15.75" customHeight="1">
      <c r="A285" s="249"/>
      <c r="B285" s="249"/>
      <c r="C285" s="249"/>
      <c r="D285" s="249"/>
      <c r="E285" s="249"/>
      <c r="F285" s="249"/>
      <c r="G285" s="249"/>
      <c r="H285" s="249"/>
      <c r="I285" s="249"/>
      <c r="J285" s="249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  <c r="U285" s="249"/>
      <c r="V285" s="249"/>
      <c r="W285" s="249"/>
      <c r="X285" s="249"/>
      <c r="Y285" s="249"/>
      <c r="Z285" s="249"/>
      <c r="AA285" s="249"/>
      <c r="AB285" s="249"/>
      <c r="AC285" s="249"/>
    </row>
    <row r="286" ht="15.75" customHeight="1">
      <c r="A286" s="249"/>
      <c r="B286" s="249"/>
      <c r="C286" s="249"/>
      <c r="D286" s="249"/>
      <c r="E286" s="249"/>
      <c r="F286" s="249"/>
      <c r="G286" s="249"/>
      <c r="H286" s="249"/>
      <c r="I286" s="249"/>
      <c r="J286" s="249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49"/>
      <c r="V286" s="249"/>
      <c r="W286" s="249"/>
      <c r="X286" s="249"/>
      <c r="Y286" s="249"/>
      <c r="Z286" s="249"/>
      <c r="AA286" s="249"/>
      <c r="AB286" s="249"/>
      <c r="AC286" s="249"/>
    </row>
    <row r="287" ht="15.75" customHeight="1">
      <c r="A287" s="249"/>
      <c r="B287" s="249"/>
      <c r="C287" s="249"/>
      <c r="D287" s="249"/>
      <c r="E287" s="249"/>
      <c r="F287" s="249"/>
      <c r="G287" s="249"/>
      <c r="H287" s="249"/>
      <c r="I287" s="249"/>
      <c r="J287" s="249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49"/>
      <c r="V287" s="249"/>
      <c r="W287" s="249"/>
      <c r="X287" s="249"/>
      <c r="Y287" s="249"/>
      <c r="Z287" s="249"/>
      <c r="AA287" s="249"/>
      <c r="AB287" s="249"/>
      <c r="AC287" s="249"/>
    </row>
    <row r="288" ht="15.75" customHeight="1">
      <c r="A288" s="249"/>
      <c r="B288" s="249"/>
      <c r="C288" s="249"/>
      <c r="D288" s="249"/>
      <c r="E288" s="249"/>
      <c r="F288" s="249"/>
      <c r="G288" s="249"/>
      <c r="H288" s="249"/>
      <c r="I288" s="249"/>
      <c r="J288" s="249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  <c r="U288" s="249"/>
      <c r="V288" s="249"/>
      <c r="W288" s="249"/>
      <c r="X288" s="249"/>
      <c r="Y288" s="249"/>
      <c r="Z288" s="249"/>
      <c r="AA288" s="249"/>
      <c r="AB288" s="249"/>
      <c r="AC288" s="249"/>
    </row>
    <row r="289" ht="15.75" customHeight="1">
      <c r="A289" s="249"/>
      <c r="B289" s="249"/>
      <c r="C289" s="249"/>
      <c r="D289" s="249"/>
      <c r="E289" s="249"/>
      <c r="F289" s="249"/>
      <c r="G289" s="249"/>
      <c r="H289" s="249"/>
      <c r="I289" s="249"/>
      <c r="J289" s="249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49"/>
      <c r="V289" s="249"/>
      <c r="W289" s="249"/>
      <c r="X289" s="249"/>
      <c r="Y289" s="249"/>
      <c r="Z289" s="249"/>
      <c r="AA289" s="249"/>
      <c r="AB289" s="249"/>
      <c r="AC289" s="249"/>
    </row>
    <row r="290" ht="15.75" customHeight="1">
      <c r="A290" s="249"/>
      <c r="B290" s="249"/>
      <c r="C290" s="249"/>
      <c r="D290" s="249"/>
      <c r="E290" s="249"/>
      <c r="F290" s="249"/>
      <c r="G290" s="249"/>
      <c r="H290" s="249"/>
      <c r="I290" s="249"/>
      <c r="J290" s="249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  <c r="U290" s="249"/>
      <c r="V290" s="249"/>
      <c r="W290" s="249"/>
      <c r="X290" s="249"/>
      <c r="Y290" s="249"/>
      <c r="Z290" s="249"/>
      <c r="AA290" s="249"/>
      <c r="AB290" s="249"/>
      <c r="AC290" s="249"/>
    </row>
    <row r="291" ht="15.75" customHeight="1">
      <c r="A291" s="249"/>
      <c r="B291" s="249"/>
      <c r="C291" s="249"/>
      <c r="D291" s="249"/>
      <c r="E291" s="249"/>
      <c r="F291" s="249"/>
      <c r="G291" s="249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49"/>
      <c r="W291" s="249"/>
      <c r="X291" s="249"/>
      <c r="Y291" s="249"/>
      <c r="Z291" s="249"/>
      <c r="AA291" s="249"/>
      <c r="AB291" s="249"/>
      <c r="AC291" s="249"/>
    </row>
    <row r="292" ht="15.75" customHeight="1">
      <c r="A292" s="249"/>
      <c r="B292" s="249"/>
      <c r="C292" s="249"/>
      <c r="D292" s="249"/>
      <c r="E292" s="249"/>
      <c r="F292" s="249"/>
      <c r="G292" s="249"/>
      <c r="H292" s="249"/>
      <c r="I292" s="249"/>
      <c r="J292" s="249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49"/>
      <c r="W292" s="249"/>
      <c r="X292" s="249"/>
      <c r="Y292" s="249"/>
      <c r="Z292" s="249"/>
      <c r="AA292" s="249"/>
      <c r="AB292" s="249"/>
      <c r="AC292" s="249"/>
    </row>
    <row r="293" ht="15.75" customHeight="1">
      <c r="A293" s="249"/>
      <c r="B293" s="249"/>
      <c r="C293" s="249"/>
      <c r="D293" s="249"/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49"/>
      <c r="W293" s="249"/>
      <c r="X293" s="249"/>
      <c r="Y293" s="249"/>
      <c r="Z293" s="249"/>
      <c r="AA293" s="249"/>
      <c r="AB293" s="249"/>
      <c r="AC293" s="249"/>
    </row>
    <row r="294" ht="15.75" customHeight="1">
      <c r="A294" s="249"/>
      <c r="B294" s="249"/>
      <c r="C294" s="249"/>
      <c r="D294" s="249"/>
      <c r="E294" s="249"/>
      <c r="F294" s="249"/>
      <c r="G294" s="249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49"/>
      <c r="W294" s="249"/>
      <c r="X294" s="249"/>
      <c r="Y294" s="249"/>
      <c r="Z294" s="249"/>
      <c r="AA294" s="249"/>
      <c r="AB294" s="249"/>
      <c r="AC294" s="249"/>
    </row>
    <row r="295" ht="15.75" customHeight="1">
      <c r="A295" s="249"/>
      <c r="B295" s="249"/>
      <c r="C295" s="249"/>
      <c r="D295" s="249"/>
      <c r="E295" s="249"/>
      <c r="F295" s="249"/>
      <c r="G295" s="249"/>
      <c r="H295" s="249"/>
      <c r="I295" s="249"/>
      <c r="J295" s="249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49"/>
      <c r="V295" s="249"/>
      <c r="W295" s="249"/>
      <c r="X295" s="249"/>
      <c r="Y295" s="249"/>
      <c r="Z295" s="249"/>
      <c r="AA295" s="249"/>
      <c r="AB295" s="249"/>
      <c r="AC295" s="249"/>
    </row>
    <row r="296" ht="15.75" customHeight="1">
      <c r="A296" s="249"/>
      <c r="B296" s="249"/>
      <c r="C296" s="249"/>
      <c r="D296" s="249"/>
      <c r="E296" s="249"/>
      <c r="F296" s="249"/>
      <c r="G296" s="249"/>
      <c r="H296" s="249"/>
      <c r="I296" s="249"/>
      <c r="J296" s="249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49"/>
      <c r="V296" s="249"/>
      <c r="W296" s="249"/>
      <c r="X296" s="249"/>
      <c r="Y296" s="249"/>
      <c r="Z296" s="249"/>
      <c r="AA296" s="249"/>
      <c r="AB296" s="249"/>
      <c r="AC296" s="249"/>
    </row>
    <row r="297" ht="15.75" customHeight="1">
      <c r="A297" s="249"/>
      <c r="B297" s="249"/>
      <c r="C297" s="249"/>
      <c r="D297" s="249"/>
      <c r="E297" s="249"/>
      <c r="F297" s="249"/>
      <c r="G297" s="249"/>
      <c r="H297" s="249"/>
      <c r="I297" s="249"/>
      <c r="J297" s="249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49"/>
      <c r="V297" s="249"/>
      <c r="W297" s="249"/>
      <c r="X297" s="249"/>
      <c r="Y297" s="249"/>
      <c r="Z297" s="249"/>
      <c r="AA297" s="249"/>
      <c r="AB297" s="249"/>
      <c r="AC297" s="249"/>
    </row>
    <row r="298" ht="15.75" customHeight="1">
      <c r="A298" s="249"/>
      <c r="B298" s="249"/>
      <c r="C298" s="249"/>
      <c r="D298" s="249"/>
      <c r="E298" s="249"/>
      <c r="F298" s="249"/>
      <c r="G298" s="249"/>
      <c r="H298" s="249"/>
      <c r="I298" s="249"/>
      <c r="J298" s="249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  <c r="U298" s="249"/>
      <c r="V298" s="249"/>
      <c r="W298" s="249"/>
      <c r="X298" s="249"/>
      <c r="Y298" s="249"/>
      <c r="Z298" s="249"/>
      <c r="AA298" s="249"/>
      <c r="AB298" s="249"/>
      <c r="AC298" s="249"/>
    </row>
    <row r="299" ht="15.75" customHeight="1">
      <c r="A299" s="249"/>
      <c r="B299" s="249"/>
      <c r="C299" s="249"/>
      <c r="D299" s="249"/>
      <c r="E299" s="249"/>
      <c r="F299" s="249"/>
      <c r="G299" s="249"/>
      <c r="H299" s="249"/>
      <c r="I299" s="249"/>
      <c r="J299" s="249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49"/>
      <c r="V299" s="249"/>
      <c r="W299" s="249"/>
      <c r="X299" s="249"/>
      <c r="Y299" s="249"/>
      <c r="Z299" s="249"/>
      <c r="AA299" s="249"/>
      <c r="AB299" s="249"/>
      <c r="AC299" s="249"/>
    </row>
    <row r="300" ht="15.75" customHeight="1">
      <c r="A300" s="249"/>
      <c r="B300" s="249"/>
      <c r="C300" s="249"/>
      <c r="D300" s="249"/>
      <c r="E300" s="249"/>
      <c r="F300" s="249"/>
      <c r="G300" s="249"/>
      <c r="H300" s="249"/>
      <c r="I300" s="249"/>
      <c r="J300" s="249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49"/>
      <c r="V300" s="249"/>
      <c r="W300" s="249"/>
      <c r="X300" s="249"/>
      <c r="Y300" s="249"/>
      <c r="Z300" s="249"/>
      <c r="AA300" s="249"/>
      <c r="AB300" s="249"/>
      <c r="AC300" s="249"/>
    </row>
    <row r="301" ht="15.75" customHeight="1">
      <c r="A301" s="249"/>
      <c r="B301" s="249"/>
      <c r="C301" s="249"/>
      <c r="D301" s="249"/>
      <c r="E301" s="249"/>
      <c r="F301" s="249"/>
      <c r="G301" s="249"/>
      <c r="H301" s="249"/>
      <c r="I301" s="249"/>
      <c r="J301" s="249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  <c r="U301" s="249"/>
      <c r="V301" s="249"/>
      <c r="W301" s="249"/>
      <c r="X301" s="249"/>
      <c r="Y301" s="249"/>
      <c r="Z301" s="249"/>
      <c r="AA301" s="249"/>
      <c r="AB301" s="249"/>
      <c r="AC301" s="249"/>
    </row>
    <row r="302" ht="15.75" customHeight="1">
      <c r="A302" s="249"/>
      <c r="B302" s="249"/>
      <c r="C302" s="249"/>
      <c r="D302" s="249"/>
      <c r="E302" s="249"/>
      <c r="F302" s="249"/>
      <c r="G302" s="249"/>
      <c r="H302" s="249"/>
      <c r="I302" s="249"/>
      <c r="J302" s="249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49"/>
      <c r="V302" s="249"/>
      <c r="W302" s="249"/>
      <c r="X302" s="249"/>
      <c r="Y302" s="249"/>
      <c r="Z302" s="249"/>
      <c r="AA302" s="249"/>
      <c r="AB302" s="249"/>
      <c r="AC302" s="249"/>
    </row>
    <row r="303" ht="15.75" customHeight="1">
      <c r="A303" s="249"/>
      <c r="B303" s="249"/>
      <c r="C303" s="249"/>
      <c r="D303" s="249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49"/>
      <c r="W303" s="249"/>
      <c r="X303" s="249"/>
      <c r="Y303" s="249"/>
      <c r="Z303" s="249"/>
      <c r="AA303" s="249"/>
      <c r="AB303" s="249"/>
      <c r="AC303" s="249"/>
    </row>
    <row r="304" ht="15.75" customHeight="1">
      <c r="A304" s="249"/>
      <c r="B304" s="249"/>
      <c r="C304" s="249"/>
      <c r="D304" s="249"/>
      <c r="E304" s="249"/>
      <c r="F304" s="249"/>
      <c r="G304" s="249"/>
      <c r="H304" s="249"/>
      <c r="I304" s="249"/>
      <c r="J304" s="249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  <c r="U304" s="249"/>
      <c r="V304" s="249"/>
      <c r="W304" s="249"/>
      <c r="X304" s="249"/>
      <c r="Y304" s="249"/>
      <c r="Z304" s="249"/>
      <c r="AA304" s="249"/>
      <c r="AB304" s="249"/>
      <c r="AC304" s="249"/>
    </row>
    <row r="305" ht="15.75" customHeight="1">
      <c r="A305" s="249"/>
      <c r="B305" s="249"/>
      <c r="C305" s="249"/>
      <c r="D305" s="249"/>
      <c r="E305" s="249"/>
      <c r="F305" s="249"/>
      <c r="G305" s="249"/>
      <c r="H305" s="249"/>
      <c r="I305" s="249"/>
      <c r="J305" s="249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49"/>
      <c r="V305" s="249"/>
      <c r="W305" s="249"/>
      <c r="X305" s="249"/>
      <c r="Y305" s="249"/>
      <c r="Z305" s="249"/>
      <c r="AA305" s="249"/>
      <c r="AB305" s="249"/>
      <c r="AC305" s="249"/>
    </row>
    <row r="306" ht="15.75" customHeight="1">
      <c r="A306" s="249"/>
      <c r="B306" s="249"/>
      <c r="C306" s="249"/>
      <c r="D306" s="249"/>
      <c r="E306" s="249"/>
      <c r="F306" s="249"/>
      <c r="G306" s="249"/>
      <c r="H306" s="249"/>
      <c r="I306" s="249"/>
      <c r="J306" s="249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49"/>
      <c r="W306" s="249"/>
      <c r="X306" s="249"/>
      <c r="Y306" s="249"/>
      <c r="Z306" s="249"/>
      <c r="AA306" s="249"/>
      <c r="AB306" s="249"/>
      <c r="AC306" s="249"/>
    </row>
    <row r="307" ht="15.75" customHeight="1">
      <c r="A307" s="249"/>
      <c r="B307" s="249"/>
      <c r="C307" s="249"/>
      <c r="D307" s="249"/>
      <c r="E307" s="249"/>
      <c r="F307" s="249"/>
      <c r="G307" s="249"/>
      <c r="H307" s="249"/>
      <c r="I307" s="249"/>
      <c r="J307" s="249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  <c r="U307" s="249"/>
      <c r="V307" s="249"/>
      <c r="W307" s="249"/>
      <c r="X307" s="249"/>
      <c r="Y307" s="249"/>
      <c r="Z307" s="249"/>
      <c r="AA307" s="249"/>
      <c r="AB307" s="249"/>
      <c r="AC307" s="249"/>
    </row>
    <row r="308" ht="15.75" customHeight="1">
      <c r="A308" s="249"/>
      <c r="B308" s="249"/>
      <c r="C308" s="249"/>
      <c r="D308" s="249"/>
      <c r="E308" s="249"/>
      <c r="F308" s="249"/>
      <c r="G308" s="249"/>
      <c r="H308" s="249"/>
      <c r="I308" s="249"/>
      <c r="J308" s="249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49"/>
      <c r="V308" s="249"/>
      <c r="W308" s="249"/>
      <c r="X308" s="249"/>
      <c r="Y308" s="249"/>
      <c r="Z308" s="249"/>
      <c r="AA308" s="249"/>
      <c r="AB308" s="249"/>
      <c r="AC308" s="249"/>
    </row>
    <row r="309" ht="15.75" customHeight="1">
      <c r="A309" s="249"/>
      <c r="B309" s="249"/>
      <c r="C309" s="249"/>
      <c r="D309" s="249"/>
      <c r="E309" s="249"/>
      <c r="F309" s="249"/>
      <c r="G309" s="249"/>
      <c r="H309" s="249"/>
      <c r="I309" s="249"/>
      <c r="J309" s="249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  <c r="U309" s="249"/>
      <c r="V309" s="249"/>
      <c r="W309" s="249"/>
      <c r="X309" s="249"/>
      <c r="Y309" s="249"/>
      <c r="Z309" s="249"/>
      <c r="AA309" s="249"/>
      <c r="AB309" s="249"/>
      <c r="AC309" s="249"/>
    </row>
    <row r="310" ht="15.75" customHeight="1">
      <c r="A310" s="249"/>
      <c r="B310" s="249"/>
      <c r="C310" s="249"/>
      <c r="D310" s="249"/>
      <c r="E310" s="249"/>
      <c r="F310" s="249"/>
      <c r="G310" s="249"/>
      <c r="H310" s="249"/>
      <c r="I310" s="249"/>
      <c r="J310" s="249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49"/>
      <c r="V310" s="249"/>
      <c r="W310" s="249"/>
      <c r="X310" s="249"/>
      <c r="Y310" s="249"/>
      <c r="Z310" s="249"/>
      <c r="AA310" s="249"/>
      <c r="AB310" s="249"/>
      <c r="AC310" s="249"/>
    </row>
    <row r="311" ht="15.75" customHeight="1">
      <c r="A311" s="249"/>
      <c r="B311" s="249"/>
      <c r="C311" s="249"/>
      <c r="D311" s="249"/>
      <c r="E311" s="249"/>
      <c r="F311" s="249"/>
      <c r="G311" s="249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49"/>
      <c r="V311" s="249"/>
      <c r="W311" s="249"/>
      <c r="X311" s="249"/>
      <c r="Y311" s="249"/>
      <c r="Z311" s="249"/>
      <c r="AA311" s="249"/>
      <c r="AB311" s="249"/>
      <c r="AC311" s="249"/>
    </row>
    <row r="312" ht="15.75" customHeight="1">
      <c r="A312" s="249"/>
      <c r="B312" s="249"/>
      <c r="C312" s="249"/>
      <c r="D312" s="249"/>
      <c r="E312" s="249"/>
      <c r="F312" s="249"/>
      <c r="G312" s="249"/>
      <c r="H312" s="249"/>
      <c r="I312" s="249"/>
      <c r="J312" s="249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  <c r="U312" s="249"/>
      <c r="V312" s="249"/>
      <c r="W312" s="249"/>
      <c r="X312" s="249"/>
      <c r="Y312" s="249"/>
      <c r="Z312" s="249"/>
      <c r="AA312" s="249"/>
      <c r="AB312" s="249"/>
      <c r="AC312" s="249"/>
    </row>
    <row r="313" ht="15.75" customHeight="1">
      <c r="A313" s="249"/>
      <c r="B313" s="249"/>
      <c r="C313" s="249"/>
      <c r="D313" s="249"/>
      <c r="E313" s="249"/>
      <c r="F313" s="249"/>
      <c r="G313" s="249"/>
      <c r="H313" s="249"/>
      <c r="I313" s="249"/>
      <c r="J313" s="249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49"/>
      <c r="V313" s="249"/>
      <c r="W313" s="249"/>
      <c r="X313" s="249"/>
      <c r="Y313" s="249"/>
      <c r="Z313" s="249"/>
      <c r="AA313" s="249"/>
      <c r="AB313" s="249"/>
      <c r="AC313" s="249"/>
    </row>
    <row r="314" ht="15.75" customHeight="1">
      <c r="A314" s="249"/>
      <c r="B314" s="249"/>
      <c r="C314" s="249"/>
      <c r="D314" s="249"/>
      <c r="E314" s="249"/>
      <c r="F314" s="249"/>
      <c r="G314" s="249"/>
      <c r="H314" s="249"/>
      <c r="I314" s="249"/>
      <c r="J314" s="249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  <c r="U314" s="249"/>
      <c r="V314" s="249"/>
      <c r="W314" s="249"/>
      <c r="X314" s="249"/>
      <c r="Y314" s="249"/>
      <c r="Z314" s="249"/>
      <c r="AA314" s="249"/>
      <c r="AB314" s="249"/>
      <c r="AC314" s="249"/>
    </row>
    <row r="315" ht="15.75" customHeight="1">
      <c r="A315" s="249"/>
      <c r="B315" s="249"/>
      <c r="C315" s="249"/>
      <c r="D315" s="249"/>
      <c r="E315" s="249"/>
      <c r="F315" s="249"/>
      <c r="G315" s="249"/>
      <c r="H315" s="249"/>
      <c r="I315" s="249"/>
      <c r="J315" s="249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49"/>
      <c r="V315" s="249"/>
      <c r="W315" s="249"/>
      <c r="X315" s="249"/>
      <c r="Y315" s="249"/>
      <c r="Z315" s="249"/>
      <c r="AA315" s="249"/>
      <c r="AB315" s="249"/>
      <c r="AC315" s="249"/>
    </row>
    <row r="316" ht="15.75" customHeight="1">
      <c r="A316" s="249"/>
      <c r="B316" s="249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49"/>
      <c r="V316" s="249"/>
      <c r="W316" s="249"/>
      <c r="X316" s="249"/>
      <c r="Y316" s="249"/>
      <c r="Z316" s="249"/>
      <c r="AA316" s="249"/>
      <c r="AB316" s="249"/>
      <c r="AC316" s="249"/>
    </row>
    <row r="317" ht="15.75" customHeight="1">
      <c r="A317" s="249"/>
      <c r="B317" s="249"/>
      <c r="C317" s="249"/>
      <c r="D317" s="249"/>
      <c r="E317" s="249"/>
      <c r="F317" s="249"/>
      <c r="G317" s="249"/>
      <c r="H317" s="249"/>
      <c r="I317" s="249"/>
      <c r="J317" s="249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  <c r="U317" s="249"/>
      <c r="V317" s="249"/>
      <c r="W317" s="249"/>
      <c r="X317" s="249"/>
      <c r="Y317" s="249"/>
      <c r="Z317" s="249"/>
      <c r="AA317" s="249"/>
      <c r="AB317" s="249"/>
      <c r="AC317" s="249"/>
    </row>
    <row r="318" ht="15.75" customHeight="1">
      <c r="A318" s="249"/>
      <c r="B318" s="249"/>
      <c r="C318" s="249"/>
      <c r="D318" s="249"/>
      <c r="E318" s="249"/>
      <c r="F318" s="249"/>
      <c r="G318" s="249"/>
      <c r="H318" s="249"/>
      <c r="I318" s="249"/>
      <c r="J318" s="249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49"/>
      <c r="W318" s="249"/>
      <c r="X318" s="249"/>
      <c r="Y318" s="249"/>
      <c r="Z318" s="249"/>
      <c r="AA318" s="249"/>
      <c r="AB318" s="249"/>
      <c r="AC318" s="249"/>
    </row>
    <row r="319" ht="15.75" customHeight="1">
      <c r="A319" s="249"/>
      <c r="B319" s="249"/>
      <c r="C319" s="249"/>
      <c r="D319" s="249"/>
      <c r="E319" s="249"/>
      <c r="F319" s="249"/>
      <c r="G319" s="249"/>
      <c r="H319" s="249"/>
      <c r="I319" s="249"/>
      <c r="J319" s="249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49"/>
      <c r="V319" s="249"/>
      <c r="W319" s="249"/>
      <c r="X319" s="249"/>
      <c r="Y319" s="249"/>
      <c r="Z319" s="249"/>
      <c r="AA319" s="249"/>
      <c r="AB319" s="249"/>
      <c r="AC319" s="249"/>
    </row>
    <row r="320" ht="15.75" customHeight="1">
      <c r="A320" s="249"/>
      <c r="B320" s="249"/>
      <c r="C320" s="249"/>
      <c r="D320" s="249"/>
      <c r="E320" s="249"/>
      <c r="F320" s="249"/>
      <c r="G320" s="249"/>
      <c r="H320" s="249"/>
      <c r="I320" s="249"/>
      <c r="J320" s="249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  <c r="U320" s="249"/>
      <c r="V320" s="249"/>
      <c r="W320" s="249"/>
      <c r="X320" s="249"/>
      <c r="Y320" s="249"/>
      <c r="Z320" s="249"/>
      <c r="AA320" s="249"/>
      <c r="AB320" s="249"/>
      <c r="AC320" s="249"/>
    </row>
    <row r="321" ht="15.75" customHeight="1">
      <c r="A321" s="249"/>
      <c r="B321" s="249"/>
      <c r="C321" s="249"/>
      <c r="D321" s="249"/>
      <c r="E321" s="249"/>
      <c r="F321" s="249"/>
      <c r="G321" s="249"/>
      <c r="H321" s="249"/>
      <c r="I321" s="249"/>
      <c r="J321" s="249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49"/>
      <c r="W321" s="249"/>
      <c r="X321" s="249"/>
      <c r="Y321" s="249"/>
      <c r="Z321" s="249"/>
      <c r="AA321" s="249"/>
      <c r="AB321" s="249"/>
      <c r="AC321" s="249"/>
    </row>
    <row r="322" ht="15.75" customHeight="1">
      <c r="A322" s="249"/>
      <c r="B322" s="249"/>
      <c r="C322" s="249"/>
      <c r="D322" s="249"/>
      <c r="E322" s="249"/>
      <c r="F322" s="249"/>
      <c r="G322" s="249"/>
      <c r="H322" s="249"/>
      <c r="I322" s="249"/>
      <c r="J322" s="249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49"/>
      <c r="W322" s="249"/>
      <c r="X322" s="249"/>
      <c r="Y322" s="249"/>
      <c r="Z322" s="249"/>
      <c r="AA322" s="249"/>
      <c r="AB322" s="249"/>
      <c r="AC322" s="249"/>
    </row>
    <row r="323" ht="15.75" customHeight="1">
      <c r="A323" s="249"/>
      <c r="B323" s="249"/>
      <c r="C323" s="249"/>
      <c r="D323" s="249"/>
      <c r="E323" s="249"/>
      <c r="F323" s="249"/>
      <c r="G323" s="249"/>
      <c r="H323" s="249"/>
      <c r="I323" s="249"/>
      <c r="J323" s="249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49"/>
      <c r="V323" s="249"/>
      <c r="W323" s="249"/>
      <c r="X323" s="249"/>
      <c r="Y323" s="249"/>
      <c r="Z323" s="249"/>
      <c r="AA323" s="249"/>
      <c r="AB323" s="249"/>
      <c r="AC323" s="249"/>
    </row>
    <row r="324" ht="15.75" customHeight="1">
      <c r="A324" s="249"/>
      <c r="B324" s="249"/>
      <c r="C324" s="249"/>
      <c r="D324" s="24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  <c r="U324" s="249"/>
      <c r="V324" s="249"/>
      <c r="W324" s="249"/>
      <c r="X324" s="249"/>
      <c r="Y324" s="249"/>
      <c r="Z324" s="249"/>
      <c r="AA324" s="249"/>
      <c r="AB324" s="249"/>
      <c r="AC324" s="249"/>
    </row>
    <row r="325" ht="15.75" customHeight="1">
      <c r="A325" s="249"/>
      <c r="B325" s="249"/>
      <c r="C325" s="249"/>
      <c r="D325" s="249"/>
      <c r="E325" s="249"/>
      <c r="F325" s="249"/>
      <c r="G325" s="249"/>
      <c r="H325" s="249"/>
      <c r="I325" s="249"/>
      <c r="J325" s="249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49"/>
      <c r="V325" s="249"/>
      <c r="W325" s="249"/>
      <c r="X325" s="249"/>
      <c r="Y325" s="249"/>
      <c r="Z325" s="249"/>
      <c r="AA325" s="249"/>
      <c r="AB325" s="249"/>
      <c r="AC325" s="249"/>
    </row>
    <row r="326" ht="15.75" customHeight="1">
      <c r="A326" s="249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249"/>
      <c r="Z326" s="249"/>
      <c r="AA326" s="249"/>
      <c r="AB326" s="249"/>
      <c r="AC326" s="249"/>
    </row>
    <row r="327" ht="15.75" customHeight="1">
      <c r="A327" s="249"/>
      <c r="B327" s="249"/>
      <c r="C327" s="249"/>
      <c r="D327" s="249"/>
      <c r="E327" s="249"/>
      <c r="F327" s="249"/>
      <c r="G327" s="249"/>
      <c r="H327" s="249"/>
      <c r="I327" s="249"/>
      <c r="J327" s="249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  <c r="U327" s="249"/>
      <c r="V327" s="249"/>
      <c r="W327" s="249"/>
      <c r="X327" s="249"/>
      <c r="Y327" s="249"/>
      <c r="Z327" s="249"/>
      <c r="AA327" s="249"/>
      <c r="AB327" s="249"/>
      <c r="AC327" s="249"/>
    </row>
    <row r="328" ht="15.75" customHeight="1">
      <c r="A328" s="249"/>
      <c r="B328" s="249"/>
      <c r="C328" s="249"/>
      <c r="D328" s="249"/>
      <c r="E328" s="249"/>
      <c r="F328" s="249"/>
      <c r="G328" s="249"/>
      <c r="H328" s="249"/>
      <c r="I328" s="249"/>
      <c r="J328" s="249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49"/>
      <c r="V328" s="249"/>
      <c r="W328" s="249"/>
      <c r="X328" s="249"/>
      <c r="Y328" s="249"/>
      <c r="Z328" s="249"/>
      <c r="AA328" s="249"/>
      <c r="AB328" s="249"/>
      <c r="AC328" s="249"/>
    </row>
    <row r="329" ht="15.75" customHeight="1">
      <c r="A329" s="249"/>
      <c r="B329" s="249"/>
      <c r="C329" s="249"/>
      <c r="D329" s="249"/>
      <c r="E329" s="249"/>
      <c r="F329" s="249"/>
      <c r="G329" s="249"/>
      <c r="H329" s="249"/>
      <c r="I329" s="249"/>
      <c r="J329" s="249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49"/>
      <c r="V329" s="249"/>
      <c r="W329" s="249"/>
      <c r="X329" s="249"/>
      <c r="Y329" s="249"/>
      <c r="Z329" s="249"/>
      <c r="AA329" s="249"/>
      <c r="AB329" s="249"/>
      <c r="AC329" s="249"/>
    </row>
    <row r="330" ht="15.75" customHeight="1">
      <c r="A330" s="249"/>
      <c r="B330" s="249"/>
      <c r="C330" s="249"/>
      <c r="D330" s="249"/>
      <c r="E330" s="249"/>
      <c r="F330" s="249"/>
      <c r="G330" s="249"/>
      <c r="H330" s="249"/>
      <c r="I330" s="249"/>
      <c r="J330" s="249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  <c r="U330" s="249"/>
      <c r="V330" s="249"/>
      <c r="W330" s="249"/>
      <c r="X330" s="249"/>
      <c r="Y330" s="249"/>
      <c r="Z330" s="249"/>
      <c r="AA330" s="249"/>
      <c r="AB330" s="249"/>
      <c r="AC330" s="249"/>
    </row>
    <row r="331" ht="15.75" customHeight="1">
      <c r="A331" s="249"/>
      <c r="B331" s="249"/>
      <c r="C331" s="249"/>
      <c r="D331" s="249"/>
      <c r="E331" s="249"/>
      <c r="F331" s="249"/>
      <c r="G331" s="249"/>
      <c r="H331" s="249"/>
      <c r="I331" s="249"/>
      <c r="J331" s="249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49"/>
      <c r="V331" s="249"/>
      <c r="W331" s="249"/>
      <c r="X331" s="249"/>
      <c r="Y331" s="249"/>
      <c r="Z331" s="249"/>
      <c r="AA331" s="249"/>
      <c r="AB331" s="249"/>
      <c r="AC331" s="249"/>
    </row>
    <row r="332" ht="15.75" customHeight="1">
      <c r="A332" s="249"/>
      <c r="B332" s="249"/>
      <c r="C332" s="249"/>
      <c r="D332" s="249"/>
      <c r="E332" s="249"/>
      <c r="F332" s="249"/>
      <c r="G332" s="249"/>
      <c r="H332" s="249"/>
      <c r="I332" s="249"/>
      <c r="J332" s="249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49"/>
      <c r="V332" s="249"/>
      <c r="W332" s="249"/>
      <c r="X332" s="249"/>
      <c r="Y332" s="249"/>
      <c r="Z332" s="249"/>
      <c r="AA332" s="249"/>
      <c r="AB332" s="249"/>
      <c r="AC332" s="249"/>
    </row>
    <row r="333" ht="15.75" customHeight="1">
      <c r="A333" s="249"/>
      <c r="B333" s="249"/>
      <c r="C333" s="249"/>
      <c r="D333" s="249"/>
      <c r="E333" s="249"/>
      <c r="F333" s="249"/>
      <c r="G333" s="249"/>
      <c r="H333" s="249"/>
      <c r="I333" s="249"/>
      <c r="J333" s="249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49"/>
      <c r="V333" s="249"/>
      <c r="W333" s="249"/>
      <c r="X333" s="249"/>
      <c r="Y333" s="249"/>
      <c r="Z333" s="249"/>
      <c r="AA333" s="249"/>
      <c r="AB333" s="249"/>
      <c r="AC333" s="249"/>
    </row>
    <row r="334" ht="15.75" customHeight="1">
      <c r="A334" s="249"/>
      <c r="B334" s="249"/>
      <c r="C334" s="249"/>
      <c r="D334" s="249"/>
      <c r="E334" s="249"/>
      <c r="F334" s="249"/>
      <c r="G334" s="249"/>
      <c r="H334" s="249"/>
      <c r="I334" s="249"/>
      <c r="J334" s="249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49"/>
      <c r="V334" s="249"/>
      <c r="W334" s="249"/>
      <c r="X334" s="249"/>
      <c r="Y334" s="249"/>
      <c r="Z334" s="249"/>
      <c r="AA334" s="249"/>
      <c r="AB334" s="249"/>
      <c r="AC334" s="249"/>
    </row>
    <row r="335" ht="15.75" customHeight="1">
      <c r="A335" s="249"/>
      <c r="B335" s="249"/>
      <c r="C335" s="249"/>
      <c r="D335" s="249"/>
      <c r="E335" s="249"/>
      <c r="F335" s="249"/>
      <c r="G335" s="249"/>
      <c r="H335" s="249"/>
      <c r="I335" s="249"/>
      <c r="J335" s="249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49"/>
      <c r="V335" s="249"/>
      <c r="W335" s="249"/>
      <c r="X335" s="249"/>
      <c r="Y335" s="249"/>
      <c r="Z335" s="249"/>
      <c r="AA335" s="249"/>
      <c r="AB335" s="249"/>
      <c r="AC335" s="249"/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B4:B5"/>
    <mergeCell ref="C4:C5"/>
    <mergeCell ref="D4:I4"/>
    <mergeCell ref="J4:O4"/>
    <mergeCell ref="P4:U4"/>
    <mergeCell ref="B29:C29"/>
    <mergeCell ref="B71:C71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5.88"/>
    <col customWidth="1" min="4" max="4" width="12.5"/>
    <col customWidth="1" hidden="1" min="5" max="9" width="12.63"/>
    <col customWidth="1" min="10" max="10" width="11.25"/>
    <col customWidth="1" hidden="1" min="11" max="15" width="12.63"/>
    <col customWidth="1" min="16" max="16" width="11.13"/>
    <col customWidth="1" hidden="1" min="17" max="21" width="12.63"/>
    <col customWidth="1" min="22" max="29" width="12.63"/>
  </cols>
  <sheetData>
    <row r="1" ht="15.75" customHeight="1">
      <c r="A1" s="439"/>
      <c r="B1" s="440" t="s">
        <v>0</v>
      </c>
      <c r="C1" s="439"/>
      <c r="D1" s="530"/>
      <c r="E1" s="247"/>
      <c r="F1" s="439"/>
      <c r="G1" s="439"/>
      <c r="H1" s="439"/>
      <c r="I1" s="439"/>
      <c r="J1" s="530"/>
      <c r="K1" s="247"/>
      <c r="L1" s="439"/>
      <c r="M1" s="439"/>
      <c r="N1" s="439"/>
      <c r="O1" s="439"/>
      <c r="P1" s="530"/>
      <c r="Q1" s="247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</row>
    <row r="2" ht="15.75" customHeight="1">
      <c r="A2" s="439"/>
      <c r="B2" s="692" t="s">
        <v>377</v>
      </c>
      <c r="C2" s="439"/>
      <c r="D2" s="530"/>
      <c r="E2" s="247"/>
      <c r="F2" s="439"/>
      <c r="G2" s="439"/>
      <c r="H2" s="439"/>
      <c r="I2" s="439"/>
      <c r="J2" s="530"/>
      <c r="K2" s="247"/>
      <c r="L2" s="439"/>
      <c r="M2" s="439"/>
      <c r="N2" s="439"/>
      <c r="O2" s="439"/>
      <c r="P2" s="530"/>
      <c r="Q2" s="247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</row>
    <row r="3" ht="15.75" customHeight="1">
      <c r="A3" s="439"/>
      <c r="B3" s="439"/>
      <c r="C3" s="439"/>
      <c r="D3" s="530"/>
      <c r="E3" s="247"/>
      <c r="F3" s="439"/>
      <c r="G3" s="439"/>
      <c r="H3" s="439"/>
      <c r="I3" s="439"/>
      <c r="J3" s="530"/>
      <c r="K3" s="247"/>
      <c r="L3" s="439"/>
      <c r="M3" s="439"/>
      <c r="N3" s="439"/>
      <c r="O3" s="439"/>
      <c r="P3" s="530"/>
      <c r="Q3" s="247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</row>
    <row r="4" ht="15.75" customHeight="1">
      <c r="A4" s="439"/>
      <c r="B4" s="443" t="s">
        <v>162</v>
      </c>
      <c r="C4" s="443" t="s">
        <v>163</v>
      </c>
      <c r="D4" s="694" t="s">
        <v>164</v>
      </c>
      <c r="E4" s="10"/>
      <c r="F4" s="10"/>
      <c r="G4" s="10"/>
      <c r="H4" s="10"/>
      <c r="I4" s="13"/>
      <c r="J4" s="694" t="s">
        <v>165</v>
      </c>
      <c r="K4" s="10"/>
      <c r="L4" s="10"/>
      <c r="M4" s="10"/>
      <c r="N4" s="10"/>
      <c r="O4" s="13"/>
      <c r="P4" s="695" t="s">
        <v>166</v>
      </c>
      <c r="Q4" s="10"/>
      <c r="R4" s="10"/>
      <c r="S4" s="10"/>
      <c r="T4" s="10"/>
      <c r="U4" s="13"/>
      <c r="V4" s="696"/>
      <c r="W4" s="696"/>
      <c r="X4" s="696"/>
      <c r="Y4" s="696"/>
      <c r="Z4" s="696"/>
      <c r="AA4" s="696"/>
      <c r="AB4" s="696"/>
      <c r="AC4" s="696"/>
    </row>
    <row r="5" ht="15.75" customHeight="1">
      <c r="A5" s="532"/>
      <c r="B5" s="448"/>
      <c r="C5" s="448"/>
      <c r="D5" s="804" t="s">
        <v>167</v>
      </c>
      <c r="E5" s="803" t="s">
        <v>18</v>
      </c>
      <c r="F5" s="803" t="s">
        <v>168</v>
      </c>
      <c r="G5" s="803" t="s">
        <v>18</v>
      </c>
      <c r="H5" s="803" t="s">
        <v>169</v>
      </c>
      <c r="I5" s="803" t="s">
        <v>260</v>
      </c>
      <c r="J5" s="804" t="s">
        <v>167</v>
      </c>
      <c r="K5" s="803" t="s">
        <v>18</v>
      </c>
      <c r="L5" s="803" t="s">
        <v>168</v>
      </c>
      <c r="M5" s="803" t="s">
        <v>18</v>
      </c>
      <c r="N5" s="803" t="s">
        <v>169</v>
      </c>
      <c r="O5" s="803" t="s">
        <v>260</v>
      </c>
      <c r="P5" s="804" t="s">
        <v>167</v>
      </c>
      <c r="Q5" s="803" t="s">
        <v>18</v>
      </c>
      <c r="R5" s="803" t="s">
        <v>168</v>
      </c>
      <c r="S5" s="803" t="s">
        <v>18</v>
      </c>
      <c r="T5" s="803" t="s">
        <v>169</v>
      </c>
      <c r="U5" s="803" t="s">
        <v>260</v>
      </c>
      <c r="V5" s="805"/>
      <c r="W5" s="805"/>
      <c r="X5" s="805"/>
      <c r="Y5" s="805"/>
      <c r="Z5" s="805"/>
      <c r="AA5" s="805"/>
      <c r="AB5" s="805"/>
      <c r="AC5" s="805"/>
    </row>
    <row r="6" ht="15.75" hidden="1" customHeight="1">
      <c r="A6" s="439"/>
      <c r="B6" s="461"/>
      <c r="C6" s="1204" t="s">
        <v>73</v>
      </c>
      <c r="D6" s="541">
        <v>0.0</v>
      </c>
      <c r="E6" s="540"/>
      <c r="F6" s="646"/>
      <c r="G6" s="540"/>
      <c r="H6" s="646"/>
      <c r="I6" s="542"/>
      <c r="J6" s="463">
        <v>0.0</v>
      </c>
      <c r="K6" s="540"/>
      <c r="L6" s="646"/>
      <c r="M6" s="540"/>
      <c r="N6" s="646"/>
      <c r="O6" s="647"/>
      <c r="P6" s="463">
        <v>0.0</v>
      </c>
      <c r="Q6" s="540"/>
      <c r="R6" s="646"/>
      <c r="S6" s="540"/>
      <c r="T6" s="646"/>
      <c r="U6" s="647"/>
      <c r="V6" s="439"/>
      <c r="W6" s="439"/>
      <c r="X6" s="439"/>
      <c r="Y6" s="439"/>
      <c r="Z6" s="439"/>
      <c r="AA6" s="439"/>
      <c r="AB6" s="439"/>
      <c r="AC6" s="439"/>
    </row>
    <row r="7" ht="15.75" hidden="1" customHeight="1">
      <c r="A7" s="439"/>
      <c r="B7" s="469"/>
      <c r="C7" s="1205" t="s">
        <v>80</v>
      </c>
      <c r="D7" s="521">
        <v>0.0</v>
      </c>
      <c r="E7" s="539"/>
      <c r="F7" s="649"/>
      <c r="G7" s="539"/>
      <c r="H7" s="649"/>
      <c r="I7" s="479"/>
      <c r="J7" s="467">
        <v>0.0</v>
      </c>
      <c r="K7" s="539"/>
      <c r="L7" s="649"/>
      <c r="M7" s="539"/>
      <c r="N7" s="649"/>
      <c r="O7" s="574"/>
      <c r="P7" s="467">
        <v>0.0</v>
      </c>
      <c r="Q7" s="539"/>
      <c r="R7" s="649"/>
      <c r="S7" s="539"/>
      <c r="T7" s="649"/>
      <c r="U7" s="574"/>
      <c r="V7" s="439"/>
      <c r="W7" s="439"/>
      <c r="X7" s="439"/>
      <c r="Y7" s="439"/>
      <c r="Z7" s="439"/>
      <c r="AA7" s="439"/>
      <c r="AB7" s="439"/>
      <c r="AC7" s="439"/>
    </row>
    <row r="8" ht="15.75" hidden="1" customHeight="1">
      <c r="A8" s="439"/>
      <c r="B8" s="469"/>
      <c r="C8" s="1205" t="s">
        <v>87</v>
      </c>
      <c r="D8" s="521">
        <v>0.0</v>
      </c>
      <c r="E8" s="539"/>
      <c r="F8" s="649"/>
      <c r="G8" s="539"/>
      <c r="H8" s="649"/>
      <c r="I8" s="479"/>
      <c r="J8" s="467">
        <v>0.0</v>
      </c>
      <c r="K8" s="539"/>
      <c r="L8" s="649"/>
      <c r="M8" s="539"/>
      <c r="N8" s="649"/>
      <c r="O8" s="574"/>
      <c r="P8" s="467">
        <v>0.0</v>
      </c>
      <c r="Q8" s="539"/>
      <c r="R8" s="649"/>
      <c r="S8" s="539"/>
      <c r="T8" s="649"/>
      <c r="U8" s="574"/>
      <c r="V8" s="439"/>
      <c r="W8" s="439"/>
      <c r="X8" s="439"/>
      <c r="Y8" s="439"/>
      <c r="Z8" s="439"/>
      <c r="AA8" s="439"/>
      <c r="AB8" s="439"/>
      <c r="AC8" s="439"/>
    </row>
    <row r="9" ht="15.75" hidden="1" customHeight="1">
      <c r="A9" s="439"/>
      <c r="B9" s="469"/>
      <c r="C9" s="1205" t="s">
        <v>94</v>
      </c>
      <c r="D9" s="521">
        <v>0.0</v>
      </c>
      <c r="E9" s="539"/>
      <c r="F9" s="649"/>
      <c r="G9" s="539"/>
      <c r="H9" s="649"/>
      <c r="I9" s="479"/>
      <c r="J9" s="467">
        <v>0.0</v>
      </c>
      <c r="K9" s="539"/>
      <c r="L9" s="649"/>
      <c r="M9" s="539"/>
      <c r="N9" s="649"/>
      <c r="O9" s="574"/>
      <c r="P9" s="467">
        <v>0.0</v>
      </c>
      <c r="Q9" s="539"/>
      <c r="R9" s="649"/>
      <c r="S9" s="539"/>
      <c r="T9" s="649"/>
      <c r="U9" s="574"/>
      <c r="V9" s="439"/>
      <c r="W9" s="439"/>
      <c r="X9" s="439"/>
      <c r="Y9" s="439"/>
      <c r="Z9" s="439"/>
      <c r="AA9" s="439"/>
      <c r="AB9" s="439"/>
      <c r="AC9" s="439"/>
    </row>
    <row r="10" ht="15.75" hidden="1" customHeight="1">
      <c r="A10" s="439"/>
      <c r="B10" s="469"/>
      <c r="C10" s="1205" t="s">
        <v>101</v>
      </c>
      <c r="D10" s="521">
        <f>SUM(D8:D9)-D29</f>
        <v>-636289</v>
      </c>
      <c r="E10" s="539"/>
      <c r="F10" s="649"/>
      <c r="G10" s="539"/>
      <c r="H10" s="649"/>
      <c r="I10" s="479"/>
      <c r="J10" s="467">
        <f>SUM(J8:J9)-J29</f>
        <v>-600696</v>
      </c>
      <c r="K10" s="539"/>
      <c r="L10" s="649"/>
      <c r="M10" s="539"/>
      <c r="N10" s="649"/>
      <c r="O10" s="574"/>
      <c r="P10" s="467">
        <f>SUM(P8:P9)-P29</f>
        <v>-539152</v>
      </c>
      <c r="Q10" s="539"/>
      <c r="R10" s="649"/>
      <c r="S10" s="539"/>
      <c r="T10" s="649"/>
      <c r="U10" s="574"/>
      <c r="V10" s="439"/>
      <c r="W10" s="439"/>
      <c r="X10" s="439"/>
      <c r="Y10" s="439"/>
      <c r="Z10" s="439"/>
      <c r="AA10" s="439"/>
      <c r="AB10" s="439"/>
      <c r="AC10" s="439"/>
    </row>
    <row r="11" ht="15.75" hidden="1" customHeight="1">
      <c r="A11" s="439"/>
      <c r="B11" s="469"/>
      <c r="C11" s="1205" t="s">
        <v>108</v>
      </c>
      <c r="D11" s="521"/>
      <c r="E11" s="539"/>
      <c r="F11" s="649"/>
      <c r="G11" s="539"/>
      <c r="H11" s="649"/>
      <c r="I11" s="479"/>
      <c r="J11" s="467"/>
      <c r="K11" s="539"/>
      <c r="L11" s="649"/>
      <c r="M11" s="539"/>
      <c r="N11" s="649"/>
      <c r="O11" s="574"/>
      <c r="P11" s="467"/>
      <c r="Q11" s="539"/>
      <c r="R11" s="649"/>
      <c r="S11" s="539"/>
      <c r="T11" s="649"/>
      <c r="U11" s="574"/>
      <c r="V11" s="439"/>
      <c r="W11" s="439"/>
      <c r="X11" s="439"/>
      <c r="Y11" s="439"/>
      <c r="Z11" s="439"/>
      <c r="AA11" s="439"/>
      <c r="AB11" s="439"/>
      <c r="AC11" s="439"/>
    </row>
    <row r="12" ht="15.75" hidden="1" customHeight="1">
      <c r="A12" s="439"/>
      <c r="B12" s="469"/>
      <c r="C12" s="1205" t="s">
        <v>115</v>
      </c>
      <c r="D12" s="521"/>
      <c r="E12" s="539"/>
      <c r="F12" s="649"/>
      <c r="G12" s="539"/>
      <c r="H12" s="649"/>
      <c r="I12" s="479"/>
      <c r="J12" s="467"/>
      <c r="K12" s="539"/>
      <c r="L12" s="649"/>
      <c r="M12" s="539"/>
      <c r="N12" s="649"/>
      <c r="O12" s="574"/>
      <c r="P12" s="467"/>
      <c r="Q12" s="539"/>
      <c r="R12" s="649"/>
      <c r="S12" s="539"/>
      <c r="T12" s="649"/>
      <c r="U12" s="574"/>
      <c r="V12" s="439"/>
      <c r="W12" s="439"/>
      <c r="X12" s="439"/>
      <c r="Y12" s="439"/>
      <c r="Z12" s="439"/>
      <c r="AA12" s="439"/>
      <c r="AB12" s="439"/>
      <c r="AC12" s="439"/>
    </row>
    <row r="13" ht="15.75" hidden="1" customHeight="1">
      <c r="A13" s="439"/>
      <c r="B13" s="469"/>
      <c r="C13" s="1205"/>
      <c r="D13" s="521"/>
      <c r="E13" s="539"/>
      <c r="F13" s="649"/>
      <c r="G13" s="256"/>
      <c r="H13" s="649"/>
      <c r="I13" s="674"/>
      <c r="J13" s="467"/>
      <c r="K13" s="539"/>
      <c r="L13" s="649"/>
      <c r="M13" s="256"/>
      <c r="N13" s="649"/>
      <c r="O13" s="673"/>
      <c r="P13" s="467"/>
      <c r="Q13" s="539"/>
      <c r="R13" s="649"/>
      <c r="S13" s="256"/>
      <c r="T13" s="649"/>
      <c r="U13" s="673"/>
      <c r="V13" s="439"/>
      <c r="W13" s="439"/>
      <c r="X13" s="439"/>
      <c r="Y13" s="439"/>
      <c r="Z13" s="439"/>
      <c r="AA13" s="439"/>
      <c r="AB13" s="439"/>
      <c r="AC13" s="439"/>
    </row>
    <row r="14" ht="15.75" hidden="1" customHeight="1">
      <c r="A14" s="439"/>
      <c r="B14" s="543"/>
      <c r="C14" s="1206"/>
      <c r="D14" s="545"/>
      <c r="E14" s="544"/>
      <c r="F14" s="706"/>
      <c r="G14" s="677"/>
      <c r="H14" s="706"/>
      <c r="I14" s="679"/>
      <c r="J14" s="485"/>
      <c r="K14" s="544"/>
      <c r="L14" s="706"/>
      <c r="M14" s="677"/>
      <c r="N14" s="706"/>
      <c r="O14" s="1207"/>
      <c r="P14" s="485"/>
      <c r="Q14" s="544"/>
      <c r="R14" s="706"/>
      <c r="S14" s="677"/>
      <c r="T14" s="706"/>
      <c r="U14" s="1207"/>
      <c r="V14" s="439"/>
      <c r="W14" s="439"/>
      <c r="X14" s="439"/>
      <c r="Y14" s="439"/>
      <c r="Z14" s="439"/>
      <c r="AA14" s="439"/>
      <c r="AB14" s="439"/>
      <c r="AC14" s="439"/>
    </row>
    <row r="15" ht="15.75" customHeight="1">
      <c r="A15" s="439"/>
      <c r="B15" s="457" t="s">
        <v>170</v>
      </c>
      <c r="C15" s="490" t="s">
        <v>329</v>
      </c>
      <c r="D15" s="491">
        <f>SUM(D17:D21)</f>
        <v>636289</v>
      </c>
      <c r="E15" s="457"/>
      <c r="F15" s="668"/>
      <c r="G15" s="490"/>
      <c r="H15" s="668"/>
      <c r="I15" s="490"/>
      <c r="J15" s="491">
        <f>SUM(J17:J21)</f>
        <v>600696</v>
      </c>
      <c r="K15" s="457"/>
      <c r="L15" s="668"/>
      <c r="M15" s="490"/>
      <c r="N15" s="668"/>
      <c r="O15" s="490"/>
      <c r="P15" s="491">
        <f>SUM(P17:P21)</f>
        <v>539152</v>
      </c>
      <c r="Q15" s="457"/>
      <c r="R15" s="668"/>
      <c r="S15" s="490"/>
      <c r="T15" s="668"/>
      <c r="U15" s="490"/>
      <c r="V15" s="439"/>
      <c r="W15" s="439"/>
      <c r="X15" s="439"/>
      <c r="Y15" s="439"/>
      <c r="Z15" s="439"/>
      <c r="AA15" s="439"/>
      <c r="AB15" s="439"/>
      <c r="AC15" s="439"/>
    </row>
    <row r="16" ht="15.75" customHeight="1">
      <c r="A16" s="439"/>
      <c r="B16" s="461"/>
      <c r="C16" s="497"/>
      <c r="D16" s="499"/>
      <c r="E16" s="606"/>
      <c r="F16" s="646">
        <f>SUM(F17:F21)</f>
        <v>0</v>
      </c>
      <c r="G16" s="671"/>
      <c r="H16" s="646">
        <f>SUM(H17:H21)</f>
        <v>0</v>
      </c>
      <c r="I16" s="672"/>
      <c r="K16" s="540"/>
      <c r="L16" s="646">
        <f>SUM(L17:L21)</f>
        <v>0</v>
      </c>
      <c r="M16" s="671"/>
      <c r="N16" s="646">
        <f>SUM(N17:N21)</f>
        <v>0</v>
      </c>
      <c r="O16" s="1208"/>
      <c r="P16" s="782"/>
      <c r="Q16" s="461"/>
      <c r="R16" s="741">
        <f>SUM(R17:R21)</f>
        <v>0</v>
      </c>
      <c r="S16" s="497"/>
      <c r="T16" s="741">
        <f>SUM(T17:T21)</f>
        <v>0</v>
      </c>
      <c r="U16" s="497"/>
      <c r="V16" s="692"/>
      <c r="W16" s="692"/>
      <c r="X16" s="692"/>
      <c r="Y16" s="692"/>
      <c r="Z16" s="692"/>
      <c r="AA16" s="692"/>
      <c r="AB16" s="692"/>
      <c r="AC16" s="692"/>
    </row>
    <row r="17" ht="15.75" customHeight="1">
      <c r="A17" s="439"/>
      <c r="B17" s="469"/>
      <c r="C17" s="465"/>
      <c r="D17" s="520"/>
      <c r="E17" s="539"/>
      <c r="F17" s="649"/>
      <c r="G17" s="256"/>
      <c r="H17" s="649"/>
      <c r="I17" s="674"/>
      <c r="J17" s="467"/>
      <c r="K17" s="539"/>
      <c r="L17" s="649"/>
      <c r="M17" s="256"/>
      <c r="N17" s="649"/>
      <c r="O17" s="673"/>
      <c r="P17" s="474"/>
      <c r="Q17" s="469"/>
      <c r="R17" s="737"/>
      <c r="S17" s="465"/>
      <c r="T17" s="737"/>
      <c r="U17" s="465"/>
      <c r="V17" s="439"/>
      <c r="W17" s="439"/>
      <c r="X17" s="439"/>
      <c r="Y17" s="439"/>
      <c r="Z17" s="439"/>
      <c r="AA17" s="439"/>
      <c r="AB17" s="439"/>
      <c r="AC17" s="439"/>
    </row>
    <row r="18" ht="15.75" customHeight="1">
      <c r="A18" s="439"/>
      <c r="B18" s="469" t="s">
        <v>23</v>
      </c>
      <c r="C18" s="465" t="s">
        <v>172</v>
      </c>
      <c r="D18" s="1083">
        <v>0.0</v>
      </c>
      <c r="E18" s="557"/>
      <c r="F18" s="649"/>
      <c r="G18" s="256"/>
      <c r="H18" s="649"/>
      <c r="I18" s="674"/>
      <c r="J18" s="514">
        <v>0.0</v>
      </c>
      <c r="K18" s="557"/>
      <c r="L18" s="649"/>
      <c r="M18" s="256"/>
      <c r="N18" s="649"/>
      <c r="O18" s="673"/>
      <c r="P18" s="506">
        <v>0.0</v>
      </c>
      <c r="Q18" s="605"/>
      <c r="R18" s="737"/>
      <c r="S18" s="465"/>
      <c r="T18" s="737"/>
      <c r="U18" s="465"/>
      <c r="V18" s="439"/>
      <c r="W18" s="439"/>
      <c r="X18" s="439"/>
      <c r="Y18" s="439"/>
      <c r="Z18" s="439"/>
      <c r="AA18" s="439"/>
      <c r="AB18" s="439"/>
      <c r="AC18" s="439"/>
    </row>
    <row r="19" ht="15.75" customHeight="1">
      <c r="A19" s="439"/>
      <c r="B19" s="465"/>
      <c r="C19" s="465" t="s">
        <v>378</v>
      </c>
      <c r="D19" s="520">
        <f>360380+157280</f>
        <v>517660</v>
      </c>
      <c r="E19" s="557"/>
      <c r="F19" s="649"/>
      <c r="G19" s="256"/>
      <c r="H19" s="649"/>
      <c r="I19" s="674"/>
      <c r="J19" s="467">
        <v>507085.0</v>
      </c>
      <c r="K19" s="557"/>
      <c r="L19" s="649"/>
      <c r="M19" s="256"/>
      <c r="N19" s="649"/>
      <c r="O19" s="673"/>
      <c r="P19" s="506">
        <v>461335.0</v>
      </c>
      <c r="Q19" s="605"/>
      <c r="R19" s="737"/>
      <c r="S19" s="465"/>
      <c r="T19" s="737"/>
      <c r="U19" s="465"/>
      <c r="V19" s="439"/>
      <c r="W19" s="439"/>
      <c r="X19" s="439"/>
      <c r="Y19" s="439"/>
      <c r="Z19" s="439"/>
      <c r="AA19" s="439"/>
      <c r="AB19" s="439"/>
      <c r="AC19" s="439"/>
    </row>
    <row r="20" ht="15.75" customHeight="1">
      <c r="A20" s="439"/>
      <c r="B20" s="465"/>
      <c r="C20" s="465" t="s">
        <v>346</v>
      </c>
      <c r="D20" s="520">
        <v>118629.0</v>
      </c>
      <c r="E20" s="256"/>
      <c r="F20" s="649"/>
      <c r="G20" s="256"/>
      <c r="H20" s="649"/>
      <c r="I20" s="674"/>
      <c r="J20" s="467">
        <v>93611.0</v>
      </c>
      <c r="K20" s="256"/>
      <c r="L20" s="649"/>
      <c r="M20" s="256"/>
      <c r="N20" s="649"/>
      <c r="O20" s="673"/>
      <c r="P20" s="506">
        <v>77817.0</v>
      </c>
      <c r="Q20" s="465"/>
      <c r="R20" s="737"/>
      <c r="S20" s="465"/>
      <c r="T20" s="737"/>
      <c r="U20" s="465"/>
      <c r="V20" s="439"/>
      <c r="W20" s="439"/>
      <c r="X20" s="439"/>
      <c r="Y20" s="439"/>
      <c r="Z20" s="439"/>
      <c r="AA20" s="439"/>
      <c r="AB20" s="439"/>
      <c r="AC20" s="439"/>
    </row>
    <row r="21" ht="15.75" customHeight="1">
      <c r="A21" s="439"/>
      <c r="B21" s="465"/>
      <c r="C21" s="465" t="s">
        <v>176</v>
      </c>
      <c r="D21" s="1083">
        <v>0.0</v>
      </c>
      <c r="E21" s="256"/>
      <c r="F21" s="649"/>
      <c r="G21" s="256"/>
      <c r="H21" s="649"/>
      <c r="I21" s="674"/>
      <c r="J21" s="514">
        <v>0.0</v>
      </c>
      <c r="K21" s="256"/>
      <c r="L21" s="649"/>
      <c r="M21" s="256"/>
      <c r="N21" s="649"/>
      <c r="O21" s="673"/>
      <c r="P21" s="506">
        <v>0.0</v>
      </c>
      <c r="Q21" s="465"/>
      <c r="R21" s="737"/>
      <c r="S21" s="465"/>
      <c r="T21" s="737"/>
      <c r="U21" s="465"/>
      <c r="V21" s="439"/>
      <c r="W21" s="439"/>
      <c r="X21" s="439"/>
      <c r="Y21" s="439"/>
      <c r="Z21" s="439"/>
      <c r="AA21" s="439"/>
      <c r="AB21" s="439"/>
      <c r="AC21" s="439"/>
    </row>
    <row r="22" ht="15.75" customHeight="1">
      <c r="A22" s="439"/>
      <c r="B22" s="465"/>
      <c r="C22" s="465" t="s">
        <v>263</v>
      </c>
      <c r="D22" s="1083">
        <v>0.0</v>
      </c>
      <c r="E22" s="539"/>
      <c r="F22" s="649"/>
      <c r="G22" s="256"/>
      <c r="H22" s="649"/>
      <c r="I22" s="674"/>
      <c r="J22" s="514">
        <v>0.0</v>
      </c>
      <c r="K22" s="539"/>
      <c r="L22" s="649"/>
      <c r="M22" s="256"/>
      <c r="N22" s="649"/>
      <c r="O22" s="673"/>
      <c r="P22" s="506">
        <v>0.0</v>
      </c>
      <c r="Q22" s="469"/>
      <c r="R22" s="737"/>
      <c r="S22" s="465"/>
      <c r="T22" s="737"/>
      <c r="U22" s="465"/>
      <c r="V22" s="439"/>
      <c r="W22" s="439"/>
      <c r="X22" s="439"/>
      <c r="Y22" s="439"/>
      <c r="Z22" s="439"/>
      <c r="AA22" s="439"/>
      <c r="AB22" s="439"/>
      <c r="AC22" s="439"/>
    </row>
    <row r="23" ht="15.75" customHeight="1">
      <c r="A23" s="439"/>
      <c r="B23" s="469"/>
      <c r="C23" s="465"/>
      <c r="D23" s="520"/>
      <c r="E23" s="539"/>
      <c r="F23" s="649"/>
      <c r="G23" s="256"/>
      <c r="H23" s="649"/>
      <c r="I23" s="674"/>
      <c r="J23" s="467"/>
      <c r="K23" s="539"/>
      <c r="L23" s="649"/>
      <c r="M23" s="256"/>
      <c r="N23" s="649"/>
      <c r="O23" s="673"/>
      <c r="P23" s="474"/>
      <c r="Q23" s="469"/>
      <c r="R23" s="737"/>
      <c r="S23" s="465"/>
      <c r="T23" s="737"/>
      <c r="U23" s="465"/>
      <c r="V23" s="439"/>
      <c r="W23" s="439"/>
      <c r="X23" s="439"/>
      <c r="Y23" s="439"/>
      <c r="Z23" s="439"/>
      <c r="AA23" s="439"/>
      <c r="AB23" s="439"/>
      <c r="AC23" s="439"/>
    </row>
    <row r="24" ht="15.75" customHeight="1">
      <c r="A24" s="439"/>
      <c r="B24" s="469" t="s">
        <v>21</v>
      </c>
      <c r="C24" s="465" t="s">
        <v>21</v>
      </c>
      <c r="D24" s="1083">
        <v>0.0</v>
      </c>
      <c r="E24" s="539"/>
      <c r="F24" s="649"/>
      <c r="G24" s="256"/>
      <c r="H24" s="649"/>
      <c r="I24" s="674"/>
      <c r="J24" s="514">
        <v>0.0</v>
      </c>
      <c r="K24" s="539"/>
      <c r="L24" s="649"/>
      <c r="M24" s="256"/>
      <c r="N24" s="649"/>
      <c r="O24" s="673"/>
      <c r="P24" s="506">
        <v>0.0</v>
      </c>
      <c r="Q24" s="469"/>
      <c r="R24" s="737"/>
      <c r="S24" s="465"/>
      <c r="T24" s="737"/>
      <c r="U24" s="465"/>
      <c r="V24" s="439"/>
      <c r="W24" s="439"/>
      <c r="X24" s="439"/>
      <c r="Y24" s="439"/>
      <c r="Z24" s="439"/>
      <c r="AA24" s="439"/>
      <c r="AB24" s="439"/>
      <c r="AC24" s="439"/>
    </row>
    <row r="25" ht="15.75" customHeight="1">
      <c r="A25" s="439"/>
      <c r="B25" s="469" t="s">
        <v>22</v>
      </c>
      <c r="C25" s="465" t="s">
        <v>22</v>
      </c>
      <c r="D25" s="1083">
        <v>0.0</v>
      </c>
      <c r="E25" s="539"/>
      <c r="F25" s="649"/>
      <c r="G25" s="256"/>
      <c r="H25" s="649"/>
      <c r="I25" s="674"/>
      <c r="J25" s="514">
        <v>0.0</v>
      </c>
      <c r="K25" s="539"/>
      <c r="L25" s="649"/>
      <c r="M25" s="256"/>
      <c r="N25" s="649"/>
      <c r="O25" s="673"/>
      <c r="P25" s="506">
        <v>0.0</v>
      </c>
      <c r="Q25" s="469"/>
      <c r="R25" s="737"/>
      <c r="S25" s="465"/>
      <c r="T25" s="737"/>
      <c r="U25" s="465"/>
      <c r="V25" s="439"/>
      <c r="W25" s="439"/>
      <c r="X25" s="439"/>
      <c r="Y25" s="439"/>
      <c r="Z25" s="439"/>
      <c r="AA25" s="439"/>
      <c r="AB25" s="439"/>
      <c r="AC25" s="439"/>
    </row>
    <row r="26" ht="15.75" customHeight="1">
      <c r="A26" s="439"/>
      <c r="B26" s="469" t="s">
        <v>23</v>
      </c>
      <c r="C26" s="465" t="s">
        <v>177</v>
      </c>
      <c r="D26" s="475">
        <f>SUM(D17:D22)</f>
        <v>636289</v>
      </c>
      <c r="E26" s="539"/>
      <c r="F26" s="658"/>
      <c r="G26" s="256"/>
      <c r="H26" s="658"/>
      <c r="I26" s="674"/>
      <c r="J26" s="475">
        <f>SUM(J17:J22)</f>
        <v>600696</v>
      </c>
      <c r="K26" s="539"/>
      <c r="L26" s="658"/>
      <c r="M26" s="256"/>
      <c r="N26" s="658"/>
      <c r="O26" s="673"/>
      <c r="P26" s="476">
        <f>SUM(P17:P22)</f>
        <v>539152</v>
      </c>
      <c r="Q26" s="469"/>
      <c r="R26" s="1123"/>
      <c r="S26" s="465"/>
      <c r="T26" s="1123"/>
      <c r="U26" s="465"/>
      <c r="V26" s="439"/>
      <c r="W26" s="439"/>
      <c r="X26" s="439"/>
      <c r="Y26" s="439"/>
      <c r="Z26" s="439"/>
      <c r="AA26" s="439"/>
      <c r="AB26" s="439"/>
      <c r="AC26" s="439"/>
    </row>
    <row r="27" ht="15.75" customHeight="1">
      <c r="A27" s="439"/>
      <c r="B27" s="483"/>
      <c r="C27" s="483"/>
      <c r="D27" s="1088"/>
      <c r="E27" s="544"/>
      <c r="F27" s="544"/>
      <c r="G27" s="677"/>
      <c r="H27" s="677"/>
      <c r="I27" s="679"/>
      <c r="J27" s="485"/>
      <c r="K27" s="544"/>
      <c r="L27" s="544"/>
      <c r="M27" s="677"/>
      <c r="N27" s="677"/>
      <c r="O27" s="1207"/>
      <c r="P27" s="501"/>
      <c r="Q27" s="543"/>
      <c r="R27" s="543"/>
      <c r="S27" s="483"/>
      <c r="T27" s="483"/>
      <c r="U27" s="483"/>
      <c r="V27" s="439"/>
      <c r="W27" s="439"/>
      <c r="X27" s="439"/>
      <c r="Y27" s="439"/>
      <c r="Z27" s="439"/>
      <c r="AA27" s="439"/>
      <c r="AB27" s="439"/>
      <c r="AC27" s="439"/>
    </row>
    <row r="28" ht="15.75" customHeight="1">
      <c r="A28" s="439"/>
      <c r="B28" s="493"/>
      <c r="C28" s="493" t="s">
        <v>178</v>
      </c>
      <c r="D28" s="512"/>
      <c r="E28" s="670"/>
      <c r="F28" s="670"/>
      <c r="G28" s="493"/>
      <c r="H28" s="493"/>
      <c r="I28" s="493"/>
      <c r="J28" s="512"/>
      <c r="K28" s="670"/>
      <c r="L28" s="670"/>
      <c r="M28" s="493"/>
      <c r="N28" s="493"/>
      <c r="O28" s="493"/>
      <c r="P28" s="512"/>
      <c r="Q28" s="670"/>
      <c r="R28" s="670"/>
      <c r="S28" s="493"/>
      <c r="T28" s="493"/>
      <c r="U28" s="493"/>
      <c r="V28" s="439"/>
      <c r="W28" s="439"/>
      <c r="X28" s="439"/>
      <c r="Y28" s="439"/>
      <c r="Z28" s="439"/>
      <c r="AA28" s="439"/>
      <c r="AB28" s="439"/>
      <c r="AC28" s="439"/>
    </row>
    <row r="29" ht="15.75" customHeight="1">
      <c r="A29" s="439"/>
      <c r="B29" s="490"/>
      <c r="C29" s="490" t="s">
        <v>179</v>
      </c>
      <c r="D29" s="491">
        <f>D24+D25+D26+D28</f>
        <v>636289</v>
      </c>
      <c r="E29" s="457"/>
      <c r="F29" s="668">
        <f>F24+F25+F26+F28</f>
        <v>0</v>
      </c>
      <c r="G29" s="490"/>
      <c r="H29" s="668">
        <f>H24+H25+H26+H28</f>
        <v>0</v>
      </c>
      <c r="I29" s="490"/>
      <c r="J29" s="491">
        <f>J24+J25+J26+J28</f>
        <v>600696</v>
      </c>
      <c r="K29" s="457"/>
      <c r="L29" s="668">
        <f>L24+L25+L26+L28</f>
        <v>0</v>
      </c>
      <c r="M29" s="490"/>
      <c r="N29" s="668">
        <f>N24+N25+N26+N28</f>
        <v>0</v>
      </c>
      <c r="O29" s="490"/>
      <c r="P29" s="491">
        <f>P24+P25+P26+P28</f>
        <v>539152</v>
      </c>
      <c r="Q29" s="457"/>
      <c r="R29" s="668">
        <f>R24+R25+R26+R28</f>
        <v>0</v>
      </c>
      <c r="S29" s="490"/>
      <c r="T29" s="668">
        <f>T24+T25+T26+T28</f>
        <v>0</v>
      </c>
      <c r="U29" s="490"/>
      <c r="V29" s="692"/>
      <c r="W29" s="692"/>
      <c r="X29" s="692"/>
      <c r="Y29" s="692"/>
      <c r="Z29" s="692"/>
      <c r="AA29" s="692"/>
      <c r="AB29" s="692"/>
      <c r="AC29" s="692"/>
    </row>
    <row r="30" ht="15.75" customHeight="1">
      <c r="A30" s="439"/>
      <c r="B30" s="461"/>
      <c r="C30" s="1124"/>
      <c r="D30" s="541"/>
      <c r="E30" s="540"/>
      <c r="F30" s="671"/>
      <c r="G30" s="671"/>
      <c r="H30" s="671"/>
      <c r="I30" s="672"/>
      <c r="J30" s="463"/>
      <c r="K30" s="540"/>
      <c r="L30" s="671"/>
      <c r="M30" s="671"/>
      <c r="N30" s="671"/>
      <c r="O30" s="1208"/>
      <c r="P30" s="498"/>
      <c r="Q30" s="461"/>
      <c r="R30" s="497"/>
      <c r="S30" s="497"/>
      <c r="T30" s="497"/>
      <c r="U30" s="497"/>
      <c r="V30" s="439"/>
      <c r="W30" s="439"/>
      <c r="X30" s="439"/>
      <c r="Y30" s="439"/>
      <c r="Z30" s="439"/>
      <c r="AA30" s="439"/>
      <c r="AB30" s="439"/>
      <c r="AC30" s="439"/>
    </row>
    <row r="31" ht="15.75" customHeight="1">
      <c r="A31" s="439"/>
      <c r="B31" s="481" t="s">
        <v>183</v>
      </c>
      <c r="C31" s="1209"/>
      <c r="D31" s="521"/>
      <c r="E31" s="539"/>
      <c r="F31" s="256"/>
      <c r="G31" s="256"/>
      <c r="H31" s="256"/>
      <c r="I31" s="674"/>
      <c r="J31" s="467"/>
      <c r="K31" s="539"/>
      <c r="L31" s="256"/>
      <c r="M31" s="256"/>
      <c r="N31" s="256"/>
      <c r="O31" s="673"/>
      <c r="P31" s="474"/>
      <c r="Q31" s="469"/>
      <c r="R31" s="465"/>
      <c r="S31" s="465"/>
      <c r="T31" s="465"/>
      <c r="U31" s="465"/>
      <c r="V31" s="439"/>
      <c r="W31" s="439"/>
      <c r="X31" s="439"/>
      <c r="Y31" s="439"/>
      <c r="Z31" s="439"/>
      <c r="AA31" s="439"/>
      <c r="AB31" s="439"/>
      <c r="AC31" s="439"/>
    </row>
    <row r="32" ht="15.75" customHeight="1">
      <c r="A32" s="439"/>
      <c r="B32" s="469" t="s">
        <v>28</v>
      </c>
      <c r="C32" s="1205"/>
      <c r="D32" s="521"/>
      <c r="E32" s="539"/>
      <c r="F32" s="256"/>
      <c r="G32" s="256"/>
      <c r="H32" s="256"/>
      <c r="I32" s="674"/>
      <c r="J32" s="467"/>
      <c r="K32" s="539"/>
      <c r="L32" s="256"/>
      <c r="M32" s="256"/>
      <c r="N32" s="256"/>
      <c r="O32" s="673"/>
      <c r="P32" s="474"/>
      <c r="Q32" s="469"/>
      <c r="R32" s="465"/>
      <c r="S32" s="465"/>
      <c r="T32" s="465"/>
      <c r="U32" s="465"/>
      <c r="V32" s="439"/>
      <c r="W32" s="439"/>
      <c r="X32" s="439"/>
      <c r="Y32" s="439"/>
      <c r="Z32" s="439"/>
      <c r="AA32" s="439"/>
      <c r="AB32" s="439"/>
      <c r="AC32" s="439"/>
    </row>
    <row r="33" ht="15.75" customHeight="1">
      <c r="A33" s="439"/>
      <c r="B33" s="465"/>
      <c r="C33" s="1210" t="s">
        <v>184</v>
      </c>
      <c r="D33" s="521"/>
      <c r="E33" s="539"/>
      <c r="F33" s="256"/>
      <c r="G33" s="256"/>
      <c r="H33" s="256"/>
      <c r="I33" s="674"/>
      <c r="J33" s="467"/>
      <c r="K33" s="539"/>
      <c r="L33" s="256"/>
      <c r="M33" s="256"/>
      <c r="N33" s="256"/>
      <c r="O33" s="673"/>
      <c r="P33" s="474"/>
      <c r="Q33" s="469"/>
      <c r="R33" s="465"/>
      <c r="S33" s="465"/>
      <c r="T33" s="465"/>
      <c r="U33" s="465"/>
      <c r="V33" s="439"/>
      <c r="W33" s="439"/>
      <c r="X33" s="439"/>
      <c r="Y33" s="439"/>
      <c r="Z33" s="439"/>
      <c r="AA33" s="439"/>
      <c r="AB33" s="439"/>
      <c r="AC33" s="439"/>
    </row>
    <row r="34" ht="15.75" customHeight="1">
      <c r="A34" s="439"/>
      <c r="B34" s="465"/>
      <c r="C34" s="1205" t="s">
        <v>185</v>
      </c>
      <c r="D34" s="521">
        <v>0.0</v>
      </c>
      <c r="E34" s="557"/>
      <c r="F34" s="256"/>
      <c r="G34" s="256"/>
      <c r="H34" s="649"/>
      <c r="I34" s="674"/>
      <c r="J34" s="467">
        <v>0.0</v>
      </c>
      <c r="K34" s="557"/>
      <c r="L34" s="256"/>
      <c r="M34" s="256"/>
      <c r="N34" s="649"/>
      <c r="O34" s="673"/>
      <c r="P34" s="506">
        <v>0.0</v>
      </c>
      <c r="Q34" s="605"/>
      <c r="R34" s="465"/>
      <c r="S34" s="465"/>
      <c r="T34" s="737"/>
      <c r="U34" s="465"/>
      <c r="V34" s="439"/>
      <c r="W34" s="439"/>
      <c r="X34" s="439"/>
      <c r="Y34" s="439"/>
      <c r="Z34" s="439"/>
      <c r="AA34" s="439"/>
      <c r="AB34" s="439"/>
      <c r="AC34" s="439"/>
    </row>
    <row r="35" ht="15.75" customHeight="1">
      <c r="A35" s="439"/>
      <c r="B35" s="465"/>
      <c r="C35" s="1205" t="s">
        <v>186</v>
      </c>
      <c r="D35" s="521">
        <v>143343.6608822021</v>
      </c>
      <c r="E35" s="539"/>
      <c r="F35" s="256"/>
      <c r="G35" s="256"/>
      <c r="H35" s="649"/>
      <c r="I35" s="674"/>
      <c r="J35" s="467">
        <v>209887.7</v>
      </c>
      <c r="K35" s="539"/>
      <c r="L35" s="256"/>
      <c r="M35" s="256"/>
      <c r="N35" s="649"/>
      <c r="O35" s="673"/>
      <c r="P35" s="506">
        <v>142797.0</v>
      </c>
      <c r="Q35" s="469"/>
      <c r="R35" s="465"/>
      <c r="S35" s="465"/>
      <c r="T35" s="737"/>
      <c r="U35" s="465"/>
      <c r="V35" s="439"/>
      <c r="W35" s="439"/>
      <c r="X35" s="439"/>
      <c r="Y35" s="439"/>
      <c r="Z35" s="439"/>
      <c r="AA35" s="439"/>
      <c r="AB35" s="439"/>
      <c r="AC35" s="439"/>
    </row>
    <row r="36" ht="15.75" customHeight="1">
      <c r="A36" s="439"/>
      <c r="B36" s="465"/>
      <c r="C36" s="1205" t="s">
        <v>21</v>
      </c>
      <c r="D36" s="521">
        <v>0.0</v>
      </c>
      <c r="E36" s="539"/>
      <c r="F36" s="256"/>
      <c r="G36" s="256"/>
      <c r="H36" s="649"/>
      <c r="I36" s="674"/>
      <c r="J36" s="467">
        <v>3174.88</v>
      </c>
      <c r="K36" s="539"/>
      <c r="L36" s="256"/>
      <c r="M36" s="256"/>
      <c r="N36" s="649"/>
      <c r="O36" s="673"/>
      <c r="P36" s="506">
        <v>2979.0</v>
      </c>
      <c r="Q36" s="469"/>
      <c r="R36" s="465"/>
      <c r="S36" s="465"/>
      <c r="T36" s="737"/>
      <c r="U36" s="465"/>
      <c r="V36" s="439"/>
      <c r="W36" s="439"/>
      <c r="X36" s="439"/>
      <c r="Y36" s="439"/>
      <c r="Z36" s="439"/>
      <c r="AA36" s="439"/>
      <c r="AB36" s="439"/>
      <c r="AC36" s="439"/>
    </row>
    <row r="37" ht="15.75" customHeight="1">
      <c r="A37" s="439"/>
      <c r="B37" s="465"/>
      <c r="C37" s="1205" t="s">
        <v>22</v>
      </c>
      <c r="D37" s="521">
        <v>0.0</v>
      </c>
      <c r="E37" s="539"/>
      <c r="F37" s="256"/>
      <c r="G37" s="256"/>
      <c r="H37" s="649"/>
      <c r="I37" s="674"/>
      <c r="J37" s="467">
        <v>0.0</v>
      </c>
      <c r="K37" s="539"/>
      <c r="L37" s="256"/>
      <c r="M37" s="256"/>
      <c r="N37" s="649"/>
      <c r="O37" s="673"/>
      <c r="P37" s="506">
        <v>0.0</v>
      </c>
      <c r="Q37" s="469"/>
      <c r="R37" s="465"/>
      <c r="S37" s="465"/>
      <c r="T37" s="737"/>
      <c r="U37" s="465"/>
      <c r="V37" s="439"/>
      <c r="W37" s="439"/>
      <c r="X37" s="439"/>
      <c r="Y37" s="439"/>
      <c r="Z37" s="439"/>
      <c r="AA37" s="439"/>
      <c r="AB37" s="439"/>
      <c r="AC37" s="439"/>
    </row>
    <row r="38" ht="15.75" customHeight="1">
      <c r="A38" s="439"/>
      <c r="B38" s="483"/>
      <c r="C38" s="1206" t="s">
        <v>187</v>
      </c>
      <c r="D38" s="1211">
        <v>0.0</v>
      </c>
      <c r="E38" s="544"/>
      <c r="F38" s="677"/>
      <c r="G38" s="677"/>
      <c r="H38" s="706"/>
      <c r="I38" s="679"/>
      <c r="J38" s="487">
        <v>0.0</v>
      </c>
      <c r="K38" s="544"/>
      <c r="L38" s="677"/>
      <c r="M38" s="677"/>
      <c r="N38" s="706"/>
      <c r="O38" s="1207"/>
      <c r="P38" s="488">
        <v>0.0</v>
      </c>
      <c r="Q38" s="543"/>
      <c r="R38" s="483"/>
      <c r="S38" s="483"/>
      <c r="T38" s="731"/>
      <c r="U38" s="483"/>
      <c r="V38" s="439"/>
      <c r="W38" s="439"/>
      <c r="X38" s="439"/>
      <c r="Y38" s="439"/>
      <c r="Z38" s="439"/>
      <c r="AA38" s="439"/>
      <c r="AB38" s="439"/>
      <c r="AC38" s="439"/>
    </row>
    <row r="39" ht="15.75" customHeight="1">
      <c r="A39" s="439"/>
      <c r="B39" s="493"/>
      <c r="C39" s="490" t="s">
        <v>188</v>
      </c>
      <c r="D39" s="491">
        <f>SUM(D34:D38)</f>
        <v>143343.6609</v>
      </c>
      <c r="E39" s="613"/>
      <c r="F39" s="490"/>
      <c r="G39" s="490"/>
      <c r="H39" s="490"/>
      <c r="I39" s="490"/>
      <c r="J39" s="491">
        <f>SUM(J34:J38)</f>
        <v>213062.58</v>
      </c>
      <c r="K39" s="613"/>
      <c r="L39" s="490"/>
      <c r="M39" s="490"/>
      <c r="N39" s="490"/>
      <c r="O39" s="490"/>
      <c r="P39" s="491">
        <f>SUM(P34:P38)</f>
        <v>145776</v>
      </c>
      <c r="Q39" s="613"/>
      <c r="R39" s="490"/>
      <c r="S39" s="490"/>
      <c r="T39" s="490"/>
      <c r="U39" s="490"/>
      <c r="V39" s="692"/>
      <c r="W39" s="692"/>
      <c r="X39" s="692"/>
      <c r="Y39" s="692"/>
      <c r="Z39" s="692"/>
      <c r="AA39" s="692"/>
      <c r="AB39" s="692"/>
      <c r="AC39" s="692"/>
    </row>
    <row r="40" ht="15.75" customHeight="1">
      <c r="A40" s="439"/>
      <c r="B40" s="526"/>
      <c r="C40" s="1212" t="s">
        <v>189</v>
      </c>
      <c r="D40" s="590">
        <v>45355.0</v>
      </c>
      <c r="E40" s="620"/>
      <c r="F40" s="687"/>
      <c r="G40" s="687"/>
      <c r="H40" s="687"/>
      <c r="I40" s="688"/>
      <c r="J40" s="1213">
        <v>41129.0</v>
      </c>
      <c r="K40" s="540"/>
      <c r="L40" s="671"/>
      <c r="M40" s="671"/>
      <c r="N40" s="671"/>
      <c r="O40" s="1208"/>
      <c r="P40" s="1029">
        <v>18308.0</v>
      </c>
      <c r="Q40" s="461"/>
      <c r="R40" s="497"/>
      <c r="S40" s="497"/>
      <c r="T40" s="497"/>
      <c r="U40" s="497"/>
      <c r="V40" s="439"/>
      <c r="W40" s="439"/>
      <c r="X40" s="439"/>
      <c r="Y40" s="439"/>
      <c r="Z40" s="439"/>
      <c r="AA40" s="439"/>
      <c r="AB40" s="439"/>
      <c r="AC40" s="439"/>
    </row>
    <row r="41" ht="15.75" customHeight="1">
      <c r="A41" s="439"/>
      <c r="B41" s="493"/>
      <c r="C41" s="490" t="s">
        <v>190</v>
      </c>
      <c r="D41" s="491">
        <f>SUM(D39:D40)</f>
        <v>188698.6609</v>
      </c>
      <c r="E41" s="613"/>
      <c r="F41" s="490"/>
      <c r="G41" s="490"/>
      <c r="H41" s="490"/>
      <c r="I41" s="490"/>
      <c r="J41" s="491">
        <f>SUM(J39:J40)</f>
        <v>254191.58</v>
      </c>
      <c r="K41" s="757"/>
      <c r="L41" s="1214"/>
      <c r="M41" s="1214"/>
      <c r="N41" s="1214"/>
      <c r="O41" s="1215"/>
      <c r="P41" s="491">
        <f>SUM(P39:P40)</f>
        <v>164084</v>
      </c>
      <c r="Q41" s="790"/>
      <c r="R41" s="481"/>
      <c r="S41" s="481"/>
      <c r="T41" s="481"/>
      <c r="U41" s="481"/>
      <c r="V41" s="692"/>
      <c r="W41" s="692"/>
      <c r="X41" s="692"/>
      <c r="Y41" s="692"/>
      <c r="Z41" s="692"/>
      <c r="AA41" s="692"/>
      <c r="AB41" s="692"/>
      <c r="AC41" s="692"/>
    </row>
    <row r="42" ht="15.75" customHeight="1">
      <c r="A42" s="439"/>
      <c r="B42" s="1216"/>
      <c r="C42" s="490" t="s">
        <v>32</v>
      </c>
      <c r="D42" s="491">
        <f>D29-D41</f>
        <v>447590.3391</v>
      </c>
      <c r="E42" s="1217"/>
      <c r="F42" s="1218"/>
      <c r="G42" s="1219"/>
      <c r="H42" s="1218"/>
      <c r="I42" s="1219"/>
      <c r="J42" s="491">
        <f>J29-J41</f>
        <v>346504.42</v>
      </c>
      <c r="K42" s="1220"/>
      <c r="L42" s="1221"/>
      <c r="M42" s="1222"/>
      <c r="N42" s="1221"/>
      <c r="O42" s="1223"/>
      <c r="P42" s="491">
        <f>P29-P41</f>
        <v>375068</v>
      </c>
      <c r="Q42" s="1224"/>
      <c r="R42" s="1225"/>
      <c r="S42" s="1226"/>
      <c r="T42" s="1225"/>
      <c r="U42" s="1226"/>
      <c r="V42" s="439"/>
      <c r="W42" s="439"/>
      <c r="X42" s="439"/>
      <c r="Y42" s="439"/>
      <c r="Z42" s="439"/>
      <c r="AA42" s="439"/>
      <c r="AB42" s="439"/>
      <c r="AC42" s="439"/>
    </row>
    <row r="43" ht="15.75" customHeight="1">
      <c r="A43" s="439"/>
      <c r="B43" s="526"/>
      <c r="C43" s="1227"/>
      <c r="D43" s="590"/>
      <c r="E43" s="620"/>
      <c r="F43" s="687"/>
      <c r="G43" s="687"/>
      <c r="H43" s="687"/>
      <c r="I43" s="688"/>
      <c r="J43" s="515"/>
      <c r="K43" s="544"/>
      <c r="L43" s="677"/>
      <c r="M43" s="677"/>
      <c r="N43" s="677"/>
      <c r="O43" s="1207"/>
      <c r="P43" s="522"/>
      <c r="Q43" s="543"/>
      <c r="R43" s="483"/>
      <c r="S43" s="483"/>
      <c r="T43" s="483"/>
      <c r="U43" s="483"/>
      <c r="V43" s="439"/>
      <c r="W43" s="439"/>
      <c r="X43" s="439"/>
      <c r="Y43" s="439"/>
      <c r="Z43" s="439"/>
      <c r="AA43" s="439"/>
      <c r="AB43" s="439"/>
      <c r="AC43" s="439"/>
    </row>
    <row r="44" ht="15.75" customHeight="1">
      <c r="A44" s="439"/>
      <c r="B44" s="493"/>
      <c r="C44" s="795" t="s">
        <v>191</v>
      </c>
      <c r="D44" s="512"/>
      <c r="E44" s="670"/>
      <c r="F44" s="493"/>
      <c r="G44" s="493"/>
      <c r="H44" s="797">
        <f t="shared" ref="H44:H50" si="1">D44-F44</f>
        <v>0</v>
      </c>
      <c r="I44" s="493"/>
      <c r="J44" s="512"/>
      <c r="K44" s="670"/>
      <c r="L44" s="493"/>
      <c r="M44" s="493"/>
      <c r="N44" s="797">
        <f t="shared" ref="N44:N50" si="2">J44-L44</f>
        <v>0</v>
      </c>
      <c r="O44" s="493"/>
      <c r="P44" s="512"/>
      <c r="Q44" s="670"/>
      <c r="R44" s="493"/>
      <c r="S44" s="493"/>
      <c r="T44" s="797">
        <f t="shared" ref="T44:T50" si="3">P44-R44</f>
        <v>0</v>
      </c>
      <c r="U44" s="493"/>
      <c r="V44" s="439"/>
      <c r="W44" s="439"/>
      <c r="X44" s="439"/>
      <c r="Y44" s="439"/>
      <c r="Z44" s="439"/>
      <c r="AA44" s="439"/>
      <c r="AB44" s="439"/>
      <c r="AC44" s="439"/>
    </row>
    <row r="45" ht="15.75" customHeight="1">
      <c r="A45" s="439"/>
      <c r="B45" s="497"/>
      <c r="C45" s="1204" t="s">
        <v>192</v>
      </c>
      <c r="D45" s="1228">
        <v>0.0</v>
      </c>
      <c r="E45" s="540"/>
      <c r="F45" s="1229"/>
      <c r="G45" s="671"/>
      <c r="H45" s="1075">
        <f t="shared" si="1"/>
        <v>0</v>
      </c>
      <c r="I45" s="672"/>
      <c r="J45" s="513">
        <v>0.0</v>
      </c>
      <c r="K45" s="540"/>
      <c r="L45" s="1229"/>
      <c r="M45" s="671"/>
      <c r="N45" s="1075">
        <f t="shared" si="2"/>
        <v>0</v>
      </c>
      <c r="O45" s="1208"/>
      <c r="P45" s="505">
        <v>653.0</v>
      </c>
      <c r="Q45" s="461"/>
      <c r="R45" s="1230"/>
      <c r="S45" s="497"/>
      <c r="T45" s="751">
        <f t="shared" si="3"/>
        <v>653</v>
      </c>
      <c r="U45" s="497"/>
      <c r="V45" s="439"/>
      <c r="W45" s="439"/>
      <c r="X45" s="439"/>
      <c r="Y45" s="439"/>
      <c r="Z45" s="439"/>
      <c r="AA45" s="439"/>
      <c r="AB45" s="439"/>
      <c r="AC45" s="439"/>
    </row>
    <row r="46" ht="15.75" customHeight="1">
      <c r="A46" s="439"/>
      <c r="B46" s="465"/>
      <c r="C46" s="1205" t="s">
        <v>193</v>
      </c>
      <c r="D46" s="521">
        <v>0.0</v>
      </c>
      <c r="E46" s="539"/>
      <c r="F46" s="256"/>
      <c r="G46" s="256"/>
      <c r="H46" s="784">
        <f t="shared" si="1"/>
        <v>0</v>
      </c>
      <c r="I46" s="674"/>
      <c r="J46" s="467">
        <v>2563.0</v>
      </c>
      <c r="K46" s="539"/>
      <c r="L46" s="256"/>
      <c r="M46" s="256"/>
      <c r="N46" s="784">
        <f t="shared" si="2"/>
        <v>2563</v>
      </c>
      <c r="O46" s="673"/>
      <c r="P46" s="506">
        <v>2600.0</v>
      </c>
      <c r="Q46" s="469"/>
      <c r="R46" s="465"/>
      <c r="S46" s="465"/>
      <c r="T46" s="752">
        <f t="shared" si="3"/>
        <v>2600</v>
      </c>
      <c r="U46" s="465"/>
      <c r="V46" s="439"/>
      <c r="W46" s="439"/>
      <c r="X46" s="439"/>
      <c r="Y46" s="439"/>
      <c r="Z46" s="439"/>
      <c r="AA46" s="439"/>
      <c r="AB46" s="439"/>
      <c r="AC46" s="439"/>
    </row>
    <row r="47" ht="15.75" customHeight="1">
      <c r="A47" s="439"/>
      <c r="B47" s="465"/>
      <c r="C47" s="1205" t="s">
        <v>266</v>
      </c>
      <c r="D47" s="1231">
        <v>0.0</v>
      </c>
      <c r="E47" s="539"/>
      <c r="F47" s="256"/>
      <c r="G47" s="256"/>
      <c r="H47" s="784">
        <f t="shared" si="1"/>
        <v>0</v>
      </c>
      <c r="I47" s="674"/>
      <c r="J47" s="514">
        <v>0.0</v>
      </c>
      <c r="K47" s="539"/>
      <c r="L47" s="256"/>
      <c r="M47" s="256"/>
      <c r="N47" s="784">
        <f t="shared" si="2"/>
        <v>0</v>
      </c>
      <c r="O47" s="673"/>
      <c r="P47" s="506">
        <v>0.0</v>
      </c>
      <c r="Q47" s="469"/>
      <c r="R47" s="465"/>
      <c r="S47" s="465"/>
      <c r="T47" s="752">
        <f t="shared" si="3"/>
        <v>0</v>
      </c>
      <c r="U47" s="465"/>
      <c r="V47" s="439"/>
      <c r="W47" s="439"/>
      <c r="X47" s="439"/>
      <c r="Y47" s="439"/>
      <c r="Z47" s="439"/>
      <c r="AA47" s="439"/>
      <c r="AB47" s="439"/>
      <c r="AC47" s="439"/>
    </row>
    <row r="48" ht="15.75" customHeight="1">
      <c r="A48" s="439"/>
      <c r="B48" s="465"/>
      <c r="C48" s="1205" t="s">
        <v>194</v>
      </c>
      <c r="D48" s="521">
        <v>1500.0</v>
      </c>
      <c r="E48" s="539"/>
      <c r="F48" s="256"/>
      <c r="G48" s="256"/>
      <c r="H48" s="784">
        <f t="shared" si="1"/>
        <v>1500</v>
      </c>
      <c r="I48" s="674"/>
      <c r="J48" s="467">
        <v>1650.0</v>
      </c>
      <c r="K48" s="539"/>
      <c r="L48" s="256"/>
      <c r="M48" s="256"/>
      <c r="N48" s="784">
        <f t="shared" si="2"/>
        <v>1650</v>
      </c>
      <c r="O48" s="673"/>
      <c r="P48" s="506">
        <v>0.0</v>
      </c>
      <c r="Q48" s="469"/>
      <c r="R48" s="465"/>
      <c r="S48" s="465"/>
      <c r="T48" s="752">
        <f t="shared" si="3"/>
        <v>0</v>
      </c>
      <c r="U48" s="465"/>
      <c r="V48" s="439"/>
      <c r="W48" s="439"/>
      <c r="X48" s="439"/>
      <c r="Y48" s="439"/>
      <c r="Z48" s="439"/>
      <c r="AA48" s="439"/>
      <c r="AB48" s="439"/>
      <c r="AC48" s="439"/>
    </row>
    <row r="49" ht="15.75" customHeight="1">
      <c r="A49" s="439"/>
      <c r="B49" s="465"/>
      <c r="C49" s="1205" t="s">
        <v>195</v>
      </c>
      <c r="D49" s="1231">
        <v>0.0</v>
      </c>
      <c r="E49" s="539"/>
      <c r="F49" s="256"/>
      <c r="G49" s="256"/>
      <c r="H49" s="784">
        <f t="shared" si="1"/>
        <v>0</v>
      </c>
      <c r="I49" s="674"/>
      <c r="J49" s="514">
        <v>0.0</v>
      </c>
      <c r="K49" s="539"/>
      <c r="L49" s="256"/>
      <c r="M49" s="256"/>
      <c r="N49" s="784">
        <f t="shared" si="2"/>
        <v>0</v>
      </c>
      <c r="O49" s="673"/>
      <c r="P49" s="506">
        <v>0.0</v>
      </c>
      <c r="Q49" s="469"/>
      <c r="R49" s="465"/>
      <c r="S49" s="465"/>
      <c r="T49" s="752">
        <f t="shared" si="3"/>
        <v>0</v>
      </c>
      <c r="U49" s="465"/>
      <c r="V49" s="439"/>
      <c r="W49" s="439"/>
      <c r="X49" s="439"/>
      <c r="Y49" s="439"/>
      <c r="Z49" s="439"/>
      <c r="AA49" s="439"/>
      <c r="AB49" s="439"/>
      <c r="AC49" s="439"/>
    </row>
    <row r="50" ht="15.75" customHeight="1">
      <c r="A50" s="439"/>
      <c r="B50" s="483"/>
      <c r="C50" s="1206" t="s">
        <v>196</v>
      </c>
      <c r="D50" s="1211">
        <v>0.0</v>
      </c>
      <c r="E50" s="544"/>
      <c r="F50" s="677"/>
      <c r="G50" s="677"/>
      <c r="H50" s="1077">
        <f t="shared" si="1"/>
        <v>0</v>
      </c>
      <c r="I50" s="679"/>
      <c r="J50" s="487">
        <v>0.0</v>
      </c>
      <c r="K50" s="539"/>
      <c r="L50" s="256"/>
      <c r="M50" s="256"/>
      <c r="N50" s="784">
        <f t="shared" si="2"/>
        <v>0</v>
      </c>
      <c r="O50" s="673"/>
      <c r="P50" s="488">
        <v>0.0</v>
      </c>
      <c r="Q50" s="469"/>
      <c r="R50" s="465"/>
      <c r="S50" s="465"/>
      <c r="T50" s="752">
        <f t="shared" si="3"/>
        <v>0</v>
      </c>
      <c r="U50" s="465"/>
      <c r="V50" s="439"/>
      <c r="W50" s="439"/>
      <c r="X50" s="439"/>
      <c r="Y50" s="439"/>
      <c r="Z50" s="439"/>
      <c r="AA50" s="439"/>
      <c r="AB50" s="439"/>
      <c r="AC50" s="439"/>
    </row>
    <row r="51" ht="15.75" customHeight="1">
      <c r="A51" s="439"/>
      <c r="B51" s="493"/>
      <c r="C51" s="490" t="s">
        <v>197</v>
      </c>
      <c r="D51" s="491">
        <f>SUM(D45:D50)</f>
        <v>1500</v>
      </c>
      <c r="E51" s="457"/>
      <c r="F51" s="1093">
        <f>SUM(F45:F50)</f>
        <v>0</v>
      </c>
      <c r="G51" s="490"/>
      <c r="H51" s="1093">
        <f>SUM(H45:H50)</f>
        <v>1500</v>
      </c>
      <c r="I51" s="490"/>
      <c r="J51" s="491">
        <f>SUM(J45:J50)</f>
        <v>4213</v>
      </c>
      <c r="K51" s="575"/>
      <c r="L51" s="784">
        <f>SUM(L45:L50)</f>
        <v>0</v>
      </c>
      <c r="M51" s="256"/>
      <c r="N51" s="784">
        <f>SUM(N45:N50)</f>
        <v>4213</v>
      </c>
      <c r="O51" s="673"/>
      <c r="P51" s="491">
        <f>SUM(P45:P50)</f>
        <v>3253</v>
      </c>
      <c r="Q51" s="469"/>
      <c r="R51" s="752">
        <f>SUM(R45:R50)</f>
        <v>0</v>
      </c>
      <c r="S51" s="465"/>
      <c r="T51" s="752">
        <f>SUM(T45:T50)</f>
        <v>3253</v>
      </c>
      <c r="U51" s="465"/>
      <c r="V51" s="692"/>
      <c r="W51" s="692"/>
      <c r="X51" s="692"/>
      <c r="Y51" s="692"/>
      <c r="Z51" s="692"/>
      <c r="AA51" s="692"/>
      <c r="AB51" s="692"/>
      <c r="AC51" s="692"/>
    </row>
    <row r="52" ht="15.75" customHeight="1">
      <c r="A52" s="439"/>
      <c r="B52" s="497"/>
      <c r="C52" s="1204"/>
      <c r="D52" s="541"/>
      <c r="E52" s="540"/>
      <c r="F52" s="671"/>
      <c r="G52" s="671"/>
      <c r="H52" s="671"/>
      <c r="I52" s="672"/>
      <c r="J52" s="463"/>
      <c r="K52" s="539"/>
      <c r="L52" s="256"/>
      <c r="M52" s="256"/>
      <c r="N52" s="256"/>
      <c r="O52" s="673"/>
      <c r="P52" s="498"/>
      <c r="Q52" s="469"/>
      <c r="R52" s="465"/>
      <c r="S52" s="465"/>
      <c r="T52" s="465"/>
      <c r="U52" s="465"/>
      <c r="V52" s="439"/>
      <c r="W52" s="439"/>
      <c r="X52" s="439"/>
      <c r="Y52" s="439"/>
      <c r="Z52" s="439"/>
      <c r="AA52" s="439"/>
      <c r="AB52" s="439"/>
      <c r="AC52" s="439"/>
    </row>
    <row r="53" ht="15.75" customHeight="1">
      <c r="A53" s="439"/>
      <c r="B53" s="820" t="s">
        <v>201</v>
      </c>
      <c r="C53" s="1232"/>
      <c r="D53" s="545"/>
      <c r="E53" s="544"/>
      <c r="F53" s="677"/>
      <c r="G53" s="677"/>
      <c r="H53" s="677"/>
      <c r="I53" s="679"/>
      <c r="J53" s="485"/>
      <c r="K53" s="539"/>
      <c r="L53" s="256"/>
      <c r="M53" s="256"/>
      <c r="N53" s="256"/>
      <c r="O53" s="673"/>
      <c r="P53" s="501"/>
      <c r="Q53" s="469"/>
      <c r="R53" s="465"/>
      <c r="S53" s="465"/>
      <c r="T53" s="465"/>
      <c r="U53" s="465"/>
      <c r="V53" s="439"/>
      <c r="W53" s="439"/>
      <c r="X53" s="439"/>
      <c r="Y53" s="439"/>
      <c r="Z53" s="439"/>
      <c r="AA53" s="439"/>
      <c r="AB53" s="439"/>
      <c r="AC53" s="439"/>
    </row>
    <row r="54" ht="15.75" customHeight="1">
      <c r="A54" s="439"/>
      <c r="B54" s="493"/>
      <c r="C54" s="511" t="s">
        <v>202</v>
      </c>
      <c r="D54" s="491">
        <f>SUM(D55:D61)</f>
        <v>12583</v>
      </c>
      <c r="E54" s="613">
        <f>D54/D$29</f>
        <v>0.01977560511</v>
      </c>
      <c r="F54" s="668">
        <f>SUM(F55:F61)</f>
        <v>0</v>
      </c>
      <c r="G54" s="613" t="str">
        <f>F54/F$29</f>
        <v>#DIV/0!</v>
      </c>
      <c r="H54" s="668">
        <f>SUM(H55:H61)</f>
        <v>0</v>
      </c>
      <c r="I54" s="613" t="str">
        <f>H54/H$29</f>
        <v>#DIV/0!</v>
      </c>
      <c r="J54" s="491">
        <f>SUM(J55:J61)</f>
        <v>0</v>
      </c>
      <c r="K54" s="560">
        <f>J54/J$29</f>
        <v>0</v>
      </c>
      <c r="L54" s="649">
        <f>SUM(L55:L61)</f>
        <v>0</v>
      </c>
      <c r="M54" s="557" t="str">
        <f>L54/L$29</f>
        <v>#DIV/0!</v>
      </c>
      <c r="N54" s="649">
        <f>SUM(N55:N61)</f>
        <v>0</v>
      </c>
      <c r="O54" s="558" t="str">
        <f>N54/N$29</f>
        <v>#DIV/0!</v>
      </c>
      <c r="P54" s="491">
        <f>SUM(P55:P61)</f>
        <v>66480</v>
      </c>
      <c r="Q54" s="605">
        <f>P54/P$29</f>
        <v>0.1233047452</v>
      </c>
      <c r="R54" s="737">
        <f>SUM(R55:R61)</f>
        <v>0</v>
      </c>
      <c r="S54" s="605" t="str">
        <f>R54/R$29</f>
        <v>#DIV/0!</v>
      </c>
      <c r="T54" s="737">
        <f>SUM(T55:T61)</f>
        <v>0</v>
      </c>
      <c r="U54" s="605" t="str">
        <f>T54/T$29</f>
        <v>#DIV/0!</v>
      </c>
      <c r="V54" s="692"/>
      <c r="W54" s="692"/>
      <c r="X54" s="692"/>
      <c r="Y54" s="692"/>
      <c r="Z54" s="692"/>
      <c r="AA54" s="692"/>
      <c r="AB54" s="692"/>
      <c r="AC54" s="692"/>
    </row>
    <row r="55" ht="15.75" customHeight="1">
      <c r="A55" s="439"/>
      <c r="B55" s="497"/>
      <c r="C55" s="1204" t="s">
        <v>268</v>
      </c>
      <c r="D55" s="541"/>
      <c r="E55" s="552"/>
      <c r="F55" s="646"/>
      <c r="G55" s="552"/>
      <c r="H55" s="646"/>
      <c r="I55" s="556"/>
      <c r="J55" s="463"/>
      <c r="K55" s="557"/>
      <c r="L55" s="649"/>
      <c r="M55" s="557"/>
      <c r="N55" s="649"/>
      <c r="O55" s="558"/>
      <c r="P55" s="498"/>
      <c r="Q55" s="605"/>
      <c r="R55" s="737"/>
      <c r="S55" s="605"/>
      <c r="T55" s="737"/>
      <c r="U55" s="605"/>
      <c r="V55" s="439"/>
      <c r="W55" s="439"/>
      <c r="X55" s="439"/>
      <c r="Y55" s="439"/>
      <c r="Z55" s="439"/>
      <c r="AA55" s="439"/>
      <c r="AB55" s="439"/>
      <c r="AC55" s="439"/>
    </row>
    <row r="56" ht="15.75" customHeight="1">
      <c r="A56" s="439"/>
      <c r="B56" s="465"/>
      <c r="C56" s="453" t="s">
        <v>269</v>
      </c>
      <c r="D56" s="1231">
        <v>12583.0</v>
      </c>
      <c r="E56" s="557"/>
      <c r="F56" s="649"/>
      <c r="G56" s="557"/>
      <c r="H56" s="649"/>
      <c r="I56" s="562"/>
      <c r="J56" s="514">
        <v>0.0</v>
      </c>
      <c r="K56" s="557"/>
      <c r="L56" s="649"/>
      <c r="M56" s="557"/>
      <c r="N56" s="649"/>
      <c r="O56" s="558"/>
      <c r="P56" s="474"/>
      <c r="Q56" s="605"/>
      <c r="R56" s="737"/>
      <c r="S56" s="605"/>
      <c r="T56" s="737"/>
      <c r="U56" s="605"/>
      <c r="V56" s="439"/>
      <c r="W56" s="439"/>
      <c r="X56" s="439"/>
      <c r="Y56" s="439"/>
      <c r="Z56" s="439"/>
      <c r="AA56" s="439"/>
      <c r="AB56" s="439"/>
      <c r="AC56" s="439"/>
    </row>
    <row r="57" ht="15.75" customHeight="1">
      <c r="A57" s="439"/>
      <c r="B57" s="465"/>
      <c r="C57" s="1205" t="s">
        <v>209</v>
      </c>
      <c r="D57" s="1231">
        <v>0.0</v>
      </c>
      <c r="E57" s="557"/>
      <c r="F57" s="649"/>
      <c r="G57" s="557"/>
      <c r="H57" s="649"/>
      <c r="I57" s="562"/>
      <c r="J57" s="514">
        <v>0.0</v>
      </c>
      <c r="K57" s="557"/>
      <c r="L57" s="649"/>
      <c r="M57" s="557"/>
      <c r="N57" s="649"/>
      <c r="O57" s="558"/>
      <c r="P57" s="474"/>
      <c r="Q57" s="605"/>
      <c r="R57" s="737"/>
      <c r="S57" s="605"/>
      <c r="T57" s="737"/>
      <c r="U57" s="605"/>
      <c r="V57" s="439"/>
      <c r="W57" s="439"/>
      <c r="X57" s="439"/>
      <c r="Y57" s="439"/>
      <c r="Z57" s="439"/>
      <c r="AA57" s="439"/>
      <c r="AB57" s="439"/>
      <c r="AC57" s="439"/>
    </row>
    <row r="58" ht="15.75" customHeight="1">
      <c r="A58" s="439"/>
      <c r="B58" s="465"/>
      <c r="C58" s="453" t="s">
        <v>210</v>
      </c>
      <c r="D58" s="1231">
        <v>0.0</v>
      </c>
      <c r="E58" s="557"/>
      <c r="F58" s="649"/>
      <c r="G58" s="557"/>
      <c r="H58" s="649"/>
      <c r="I58" s="562"/>
      <c r="J58" s="514">
        <v>0.0</v>
      </c>
      <c r="K58" s="557"/>
      <c r="L58" s="649"/>
      <c r="M58" s="557"/>
      <c r="N58" s="649"/>
      <c r="O58" s="558"/>
      <c r="P58" s="506">
        <v>41300.0</v>
      </c>
      <c r="Q58" s="605"/>
      <c r="R58" s="737"/>
      <c r="S58" s="605"/>
      <c r="T58" s="737"/>
      <c r="U58" s="605"/>
      <c r="V58" s="439"/>
      <c r="W58" s="439"/>
      <c r="X58" s="439"/>
      <c r="Y58" s="439"/>
      <c r="Z58" s="439"/>
      <c r="AA58" s="439"/>
      <c r="AB58" s="439"/>
      <c r="AC58" s="439"/>
    </row>
    <row r="59" ht="15.75" customHeight="1">
      <c r="A59" s="439"/>
      <c r="B59" s="465"/>
      <c r="C59" s="1205" t="s">
        <v>310</v>
      </c>
      <c r="D59" s="1231">
        <v>0.0</v>
      </c>
      <c r="E59" s="557"/>
      <c r="F59" s="649"/>
      <c r="G59" s="557"/>
      <c r="H59" s="649"/>
      <c r="I59" s="562"/>
      <c r="J59" s="514">
        <v>0.0</v>
      </c>
      <c r="K59" s="557"/>
      <c r="L59" s="649"/>
      <c r="M59" s="557"/>
      <c r="N59" s="649"/>
      <c r="O59" s="558"/>
      <c r="P59" s="474"/>
      <c r="Q59" s="605"/>
      <c r="R59" s="737"/>
      <c r="S59" s="605"/>
      <c r="T59" s="737"/>
      <c r="U59" s="605"/>
      <c r="V59" s="439"/>
      <c r="W59" s="439"/>
      <c r="X59" s="439"/>
      <c r="Y59" s="439"/>
      <c r="Z59" s="439"/>
      <c r="AA59" s="439"/>
      <c r="AB59" s="439"/>
      <c r="AC59" s="439"/>
    </row>
    <row r="60" ht="15.75" customHeight="1">
      <c r="A60" s="439"/>
      <c r="B60" s="465"/>
      <c r="C60" s="453" t="s">
        <v>363</v>
      </c>
      <c r="D60" s="1231">
        <v>0.0</v>
      </c>
      <c r="E60" s="557"/>
      <c r="F60" s="649"/>
      <c r="G60" s="557"/>
      <c r="H60" s="649"/>
      <c r="I60" s="562"/>
      <c r="J60" s="514">
        <v>0.0</v>
      </c>
      <c r="K60" s="557"/>
      <c r="L60" s="649"/>
      <c r="M60" s="557"/>
      <c r="N60" s="649"/>
      <c r="O60" s="558"/>
      <c r="P60" s="474"/>
      <c r="Q60" s="605"/>
      <c r="R60" s="737"/>
      <c r="S60" s="605"/>
      <c r="T60" s="737"/>
      <c r="U60" s="605"/>
      <c r="V60" s="439"/>
      <c r="W60" s="439"/>
      <c r="X60" s="439"/>
      <c r="Y60" s="439"/>
      <c r="Z60" s="439"/>
      <c r="AA60" s="439"/>
      <c r="AB60" s="439"/>
      <c r="AC60" s="439"/>
    </row>
    <row r="61" ht="15.75" customHeight="1">
      <c r="A61" s="439"/>
      <c r="B61" s="465"/>
      <c r="C61" s="1205" t="s">
        <v>271</v>
      </c>
      <c r="D61" s="521">
        <v>0.0</v>
      </c>
      <c r="E61" s="557"/>
      <c r="F61" s="539"/>
      <c r="G61" s="557"/>
      <c r="H61" s="649"/>
      <c r="I61" s="562"/>
      <c r="J61" s="467">
        <v>0.0</v>
      </c>
      <c r="K61" s="557"/>
      <c r="L61" s="539"/>
      <c r="M61" s="557"/>
      <c r="N61" s="649"/>
      <c r="O61" s="558"/>
      <c r="P61" s="506">
        <v>25180.0</v>
      </c>
      <c r="Q61" s="605"/>
      <c r="R61" s="469"/>
      <c r="S61" s="605"/>
      <c r="T61" s="737"/>
      <c r="U61" s="605"/>
      <c r="V61" s="439"/>
      <c r="W61" s="439"/>
      <c r="X61" s="439"/>
      <c r="Y61" s="439"/>
      <c r="Z61" s="439"/>
      <c r="AA61" s="439"/>
      <c r="AB61" s="439"/>
      <c r="AC61" s="439"/>
    </row>
    <row r="62" ht="15.75" customHeight="1">
      <c r="A62" s="439"/>
      <c r="B62" s="483"/>
      <c r="C62" s="1233"/>
      <c r="D62" s="545"/>
      <c r="E62" s="544"/>
      <c r="F62" s="677"/>
      <c r="G62" s="677"/>
      <c r="H62" s="677"/>
      <c r="I62" s="679"/>
      <c r="J62" s="485"/>
      <c r="K62" s="539"/>
      <c r="L62" s="256"/>
      <c r="M62" s="256"/>
      <c r="N62" s="256"/>
      <c r="O62" s="673"/>
      <c r="P62" s="501"/>
      <c r="Q62" s="469"/>
      <c r="R62" s="465"/>
      <c r="S62" s="465"/>
      <c r="T62" s="465"/>
      <c r="U62" s="465"/>
      <c r="V62" s="439"/>
      <c r="W62" s="439"/>
      <c r="X62" s="439"/>
      <c r="Y62" s="439"/>
      <c r="Z62" s="439"/>
      <c r="AA62" s="439"/>
      <c r="AB62" s="439"/>
      <c r="AC62" s="439"/>
    </row>
    <row r="63" ht="15.75" customHeight="1">
      <c r="A63" s="439"/>
      <c r="B63" s="493"/>
      <c r="C63" s="511" t="s">
        <v>35</v>
      </c>
      <c r="D63" s="491">
        <f>SUM(D64:D68)</f>
        <v>73266.56</v>
      </c>
      <c r="E63" s="613">
        <f>D63/D$29</f>
        <v>0.1151466708</v>
      </c>
      <c r="F63" s="668">
        <f>SUM(F64:F68)</f>
        <v>0</v>
      </c>
      <c r="G63" s="1135" t="str">
        <f>F63/F$29</f>
        <v>#DIV/0!</v>
      </c>
      <c r="H63" s="668">
        <f>SUM(H64:H67)</f>
        <v>0</v>
      </c>
      <c r="I63" s="490"/>
      <c r="J63" s="491">
        <f>SUM(J64:J68)</f>
        <v>72888</v>
      </c>
      <c r="K63" s="560">
        <f>J63/J$29</f>
        <v>0.1213392465</v>
      </c>
      <c r="L63" s="649">
        <f>SUM(L64:L68)</f>
        <v>0</v>
      </c>
      <c r="M63" s="1141" t="str">
        <f>L63/L$29</f>
        <v>#DIV/0!</v>
      </c>
      <c r="N63" s="649">
        <f>SUM(N64:N67)</f>
        <v>0</v>
      </c>
      <c r="O63" s="673"/>
      <c r="P63" s="491">
        <f>SUM(P64:P68)</f>
        <v>61706</v>
      </c>
      <c r="Q63" s="605">
        <f>P63/P$29</f>
        <v>0.1144500994</v>
      </c>
      <c r="R63" s="737">
        <f>SUM(R64:R68)</f>
        <v>0</v>
      </c>
      <c r="S63" s="783" t="str">
        <f>R63/R$29</f>
        <v>#DIV/0!</v>
      </c>
      <c r="T63" s="737">
        <f>SUM(T64:T67)</f>
        <v>0</v>
      </c>
      <c r="U63" s="465"/>
      <c r="V63" s="692"/>
      <c r="W63" s="692"/>
      <c r="X63" s="692"/>
      <c r="Y63" s="692"/>
      <c r="Z63" s="692"/>
      <c r="AA63" s="692"/>
      <c r="AB63" s="692"/>
      <c r="AC63" s="692"/>
    </row>
    <row r="64" ht="15.75" customHeight="1">
      <c r="A64" s="439"/>
      <c r="B64" s="497"/>
      <c r="C64" s="1204" t="s">
        <v>212</v>
      </c>
      <c r="D64" s="1228">
        <v>0.0</v>
      </c>
      <c r="E64" s="540"/>
      <c r="F64" s="646"/>
      <c r="G64" s="671"/>
      <c r="H64" s="646"/>
      <c r="I64" s="672"/>
      <c r="J64" s="513">
        <v>0.0</v>
      </c>
      <c r="K64" s="539"/>
      <c r="L64" s="649"/>
      <c r="M64" s="256"/>
      <c r="N64" s="649"/>
      <c r="O64" s="673"/>
      <c r="P64" s="505">
        <v>0.0</v>
      </c>
      <c r="Q64" s="469"/>
      <c r="R64" s="737"/>
      <c r="S64" s="465"/>
      <c r="T64" s="737"/>
      <c r="U64" s="465"/>
      <c r="V64" s="439"/>
      <c r="W64" s="439"/>
      <c r="X64" s="439"/>
      <c r="Y64" s="439"/>
      <c r="Z64" s="439"/>
      <c r="AA64" s="439"/>
      <c r="AB64" s="439"/>
      <c r="AC64" s="439"/>
    </row>
    <row r="65" ht="15.75" customHeight="1">
      <c r="A65" s="439"/>
      <c r="B65" s="465"/>
      <c r="C65" s="1205" t="s">
        <v>213</v>
      </c>
      <c r="D65" s="1231">
        <v>0.0</v>
      </c>
      <c r="E65" s="539"/>
      <c r="F65" s="649"/>
      <c r="G65" s="256"/>
      <c r="H65" s="649"/>
      <c r="I65" s="674"/>
      <c r="J65" s="514">
        <v>0.0</v>
      </c>
      <c r="K65" s="539"/>
      <c r="L65" s="649"/>
      <c r="M65" s="256"/>
      <c r="N65" s="649"/>
      <c r="O65" s="673"/>
      <c r="P65" s="506">
        <v>0.0</v>
      </c>
      <c r="Q65" s="469"/>
      <c r="R65" s="737"/>
      <c r="S65" s="465"/>
      <c r="T65" s="737"/>
      <c r="U65" s="465"/>
      <c r="V65" s="439"/>
      <c r="W65" s="439"/>
      <c r="X65" s="439"/>
      <c r="Y65" s="439"/>
      <c r="Z65" s="439"/>
      <c r="AA65" s="439"/>
      <c r="AB65" s="439"/>
      <c r="AC65" s="439"/>
    </row>
    <row r="66" ht="15.75" customHeight="1">
      <c r="A66" s="439"/>
      <c r="B66" s="465"/>
      <c r="C66" s="1205" t="s">
        <v>272</v>
      </c>
      <c r="D66" s="521">
        <v>51122.0</v>
      </c>
      <c r="E66" s="1141" t="str">
        <f t="shared" ref="E66:E67" si="4">D66/D18</f>
        <v>#DIV/0!</v>
      </c>
      <c r="F66" s="649"/>
      <c r="G66" s="1141"/>
      <c r="H66" s="649"/>
      <c r="I66" s="674"/>
      <c r="J66" s="467">
        <v>49432.0</v>
      </c>
      <c r="K66" s="1141" t="str">
        <f t="shared" ref="K66:K67" si="5">J66/J18</f>
        <v>#DIV/0!</v>
      </c>
      <c r="L66" s="649"/>
      <c r="M66" s="1141"/>
      <c r="N66" s="649"/>
      <c r="O66" s="673"/>
      <c r="P66" s="506">
        <v>39784.0</v>
      </c>
      <c r="Q66" s="783" t="str">
        <f t="shared" ref="Q66:Q67" si="6">P66/P18</f>
        <v>#DIV/0!</v>
      </c>
      <c r="R66" s="737"/>
      <c r="S66" s="783"/>
      <c r="T66" s="737"/>
      <c r="U66" s="465"/>
      <c r="V66" s="439"/>
      <c r="W66" s="439"/>
      <c r="X66" s="439"/>
      <c r="Y66" s="439"/>
      <c r="Z66" s="439"/>
      <c r="AA66" s="439"/>
      <c r="AB66" s="439"/>
      <c r="AC66" s="439"/>
    </row>
    <row r="67" ht="15.75" customHeight="1">
      <c r="A67" s="439"/>
      <c r="B67" s="465"/>
      <c r="C67" s="1205" t="s">
        <v>311</v>
      </c>
      <c r="D67" s="521">
        <v>22144.56</v>
      </c>
      <c r="E67" s="1141">
        <f t="shared" si="4"/>
        <v>0.04277819418</v>
      </c>
      <c r="F67" s="649"/>
      <c r="G67" s="1141"/>
      <c r="H67" s="649"/>
      <c r="I67" s="674"/>
      <c r="J67" s="467">
        <v>23456.0</v>
      </c>
      <c r="K67" s="1141">
        <f t="shared" si="5"/>
        <v>0.04625654476</v>
      </c>
      <c r="L67" s="649"/>
      <c r="M67" s="1141"/>
      <c r="N67" s="649"/>
      <c r="O67" s="673"/>
      <c r="P67" s="506">
        <v>21922.0</v>
      </c>
      <c r="Q67" s="783">
        <f t="shared" si="6"/>
        <v>0.04751861446</v>
      </c>
      <c r="R67" s="737"/>
      <c r="S67" s="783"/>
      <c r="T67" s="737"/>
      <c r="U67" s="465"/>
      <c r="V67" s="439"/>
      <c r="W67" s="439"/>
      <c r="X67" s="439"/>
      <c r="Y67" s="439"/>
      <c r="Z67" s="439"/>
      <c r="AA67" s="439"/>
      <c r="AB67" s="439"/>
      <c r="AC67" s="439"/>
    </row>
    <row r="68" ht="15.75" customHeight="1">
      <c r="A68" s="439"/>
      <c r="B68" s="465"/>
      <c r="C68" s="1205" t="s">
        <v>379</v>
      </c>
      <c r="D68" s="521">
        <v>0.0</v>
      </c>
      <c r="E68" s="1141">
        <f>D68/D29</f>
        <v>0</v>
      </c>
      <c r="F68" s="649"/>
      <c r="G68" s="1141"/>
      <c r="H68" s="649"/>
      <c r="I68" s="674"/>
      <c r="J68" s="467">
        <v>0.0</v>
      </c>
      <c r="K68" s="1141">
        <f>J68/J29</f>
        <v>0</v>
      </c>
      <c r="L68" s="649"/>
      <c r="M68" s="1141"/>
      <c r="N68" s="649"/>
      <c r="O68" s="673"/>
      <c r="P68" s="474"/>
      <c r="Q68" s="783">
        <f>P68/P29</f>
        <v>0</v>
      </c>
      <c r="R68" s="737"/>
      <c r="S68" s="783"/>
      <c r="T68" s="737"/>
      <c r="U68" s="465"/>
      <c r="V68" s="439"/>
      <c r="W68" s="439"/>
      <c r="X68" s="439"/>
      <c r="Y68" s="439"/>
      <c r="Z68" s="439"/>
      <c r="AA68" s="439"/>
      <c r="AB68" s="439"/>
      <c r="AC68" s="439"/>
    </row>
    <row r="69" ht="15.75" customHeight="1">
      <c r="A69" s="439"/>
      <c r="B69" s="483"/>
      <c r="C69" s="1206"/>
      <c r="D69" s="545"/>
      <c r="E69" s="544"/>
      <c r="F69" s="677"/>
      <c r="G69" s="677"/>
      <c r="H69" s="677"/>
      <c r="I69" s="679"/>
      <c r="J69" s="485"/>
      <c r="K69" s="539"/>
      <c r="L69" s="256"/>
      <c r="M69" s="256"/>
      <c r="N69" s="256"/>
      <c r="O69" s="673"/>
      <c r="P69" s="501"/>
      <c r="Q69" s="469"/>
      <c r="R69" s="465"/>
      <c r="S69" s="465"/>
      <c r="T69" s="465"/>
      <c r="U69" s="465"/>
      <c r="V69" s="439"/>
      <c r="W69" s="439"/>
      <c r="X69" s="439"/>
      <c r="Y69" s="439"/>
      <c r="Z69" s="439"/>
      <c r="AA69" s="439"/>
      <c r="AB69" s="439"/>
      <c r="AC69" s="439"/>
    </row>
    <row r="70" ht="15.75" customHeight="1">
      <c r="A70" s="439"/>
      <c r="B70" s="493"/>
      <c r="C70" s="511" t="s">
        <v>216</v>
      </c>
      <c r="D70" s="491">
        <f>SUM(D71:D74)</f>
        <v>0</v>
      </c>
      <c r="E70" s="613">
        <f>D70/D$29</f>
        <v>0</v>
      </c>
      <c r="F70" s="490">
        <f>SUM(F71:F74)</f>
        <v>0</v>
      </c>
      <c r="G70" s="1135" t="str">
        <f>F70/F$29</f>
        <v>#DIV/0!</v>
      </c>
      <c r="H70" s="1147">
        <f>SUM(H71:H74)</f>
        <v>0</v>
      </c>
      <c r="I70" s="490"/>
      <c r="J70" s="491">
        <f>SUM(J71:J74)</f>
        <v>0</v>
      </c>
      <c r="K70" s="757">
        <f>J70/J$29</f>
        <v>0</v>
      </c>
      <c r="L70" s="1214">
        <f>SUM(L71:L74)</f>
        <v>0</v>
      </c>
      <c r="M70" s="1234" t="str">
        <f>L70/L$29</f>
        <v>#DIV/0!</v>
      </c>
      <c r="N70" s="1235">
        <f>SUM(N71:N74)</f>
        <v>0</v>
      </c>
      <c r="O70" s="1215"/>
      <c r="P70" s="491">
        <f>SUM(P71:P74)</f>
        <v>0</v>
      </c>
      <c r="Q70" s="790">
        <f>P70/P$29</f>
        <v>0</v>
      </c>
      <c r="R70" s="481">
        <f>SUM(R71:R74)</f>
        <v>0</v>
      </c>
      <c r="S70" s="1236" t="str">
        <f>R70/R$29</f>
        <v>#DIV/0!</v>
      </c>
      <c r="T70" s="1237">
        <f>SUM(T71:T74)</f>
        <v>0</v>
      </c>
      <c r="U70" s="481"/>
      <c r="V70" s="692"/>
      <c r="W70" s="692"/>
      <c r="X70" s="692"/>
      <c r="Y70" s="692"/>
      <c r="Z70" s="692"/>
      <c r="AA70" s="692"/>
      <c r="AB70" s="692"/>
      <c r="AC70" s="692"/>
    </row>
    <row r="71" ht="15.75" customHeight="1">
      <c r="A71" s="439"/>
      <c r="B71" s="497"/>
      <c r="C71" s="1204" t="s">
        <v>217</v>
      </c>
      <c r="D71" s="1228">
        <v>0.0</v>
      </c>
      <c r="E71" s="552"/>
      <c r="F71" s="671"/>
      <c r="G71" s="1148"/>
      <c r="H71" s="646"/>
      <c r="I71" s="672"/>
      <c r="J71" s="513">
        <v>0.0</v>
      </c>
      <c r="K71" s="557"/>
      <c r="L71" s="256"/>
      <c r="M71" s="1141"/>
      <c r="N71" s="649"/>
      <c r="O71" s="673"/>
      <c r="P71" s="505">
        <v>0.0</v>
      </c>
      <c r="Q71" s="605"/>
      <c r="R71" s="465"/>
      <c r="S71" s="783"/>
      <c r="T71" s="737"/>
      <c r="U71" s="465"/>
      <c r="V71" s="439"/>
      <c r="W71" s="439"/>
      <c r="X71" s="439"/>
      <c r="Y71" s="439"/>
      <c r="Z71" s="439"/>
      <c r="AA71" s="439"/>
      <c r="AB71" s="439"/>
      <c r="AC71" s="439"/>
    </row>
    <row r="72" ht="15.75" customHeight="1">
      <c r="A72" s="439"/>
      <c r="B72" s="465"/>
      <c r="C72" s="1205" t="s">
        <v>218</v>
      </c>
      <c r="D72" s="1231">
        <v>0.0</v>
      </c>
      <c r="E72" s="557"/>
      <c r="F72" s="256"/>
      <c r="G72" s="1141"/>
      <c r="H72" s="649"/>
      <c r="I72" s="674"/>
      <c r="J72" s="514">
        <v>0.0</v>
      </c>
      <c r="K72" s="557"/>
      <c r="L72" s="256"/>
      <c r="M72" s="1141"/>
      <c r="N72" s="649"/>
      <c r="O72" s="673"/>
      <c r="P72" s="506">
        <v>0.0</v>
      </c>
      <c r="Q72" s="605"/>
      <c r="R72" s="465"/>
      <c r="S72" s="783"/>
      <c r="T72" s="737"/>
      <c r="U72" s="465"/>
      <c r="V72" s="439"/>
      <c r="W72" s="439"/>
      <c r="X72" s="439"/>
      <c r="Y72" s="439"/>
      <c r="Z72" s="439"/>
      <c r="AA72" s="439"/>
      <c r="AB72" s="439"/>
      <c r="AC72" s="439"/>
    </row>
    <row r="73" ht="15.75" customHeight="1">
      <c r="A73" s="439"/>
      <c r="B73" s="465"/>
      <c r="C73" s="1205" t="s">
        <v>219</v>
      </c>
      <c r="D73" s="1231">
        <v>0.0</v>
      </c>
      <c r="E73" s="539"/>
      <c r="F73" s="256"/>
      <c r="G73" s="256"/>
      <c r="H73" s="256"/>
      <c r="I73" s="674"/>
      <c r="J73" s="514">
        <v>0.0</v>
      </c>
      <c r="K73" s="539"/>
      <c r="L73" s="256"/>
      <c r="M73" s="256"/>
      <c r="N73" s="256"/>
      <c r="O73" s="673"/>
      <c r="P73" s="506">
        <v>0.0</v>
      </c>
      <c r="Q73" s="469"/>
      <c r="R73" s="465"/>
      <c r="S73" s="465"/>
      <c r="T73" s="465"/>
      <c r="U73" s="465"/>
      <c r="V73" s="439"/>
      <c r="W73" s="439"/>
      <c r="X73" s="439"/>
      <c r="Y73" s="439"/>
      <c r="Z73" s="439"/>
      <c r="AA73" s="439"/>
      <c r="AB73" s="439"/>
      <c r="AC73" s="439"/>
    </row>
    <row r="74" ht="15.75" customHeight="1">
      <c r="A74" s="439"/>
      <c r="B74" s="465"/>
      <c r="C74" s="1205" t="s">
        <v>220</v>
      </c>
      <c r="D74" s="1231">
        <v>0.0</v>
      </c>
      <c r="E74" s="539"/>
      <c r="F74" s="256"/>
      <c r="G74" s="256"/>
      <c r="H74" s="256"/>
      <c r="I74" s="674"/>
      <c r="J74" s="514">
        <v>0.0</v>
      </c>
      <c r="K74" s="539"/>
      <c r="L74" s="256"/>
      <c r="M74" s="256"/>
      <c r="N74" s="256"/>
      <c r="O74" s="673"/>
      <c r="P74" s="506">
        <v>0.0</v>
      </c>
      <c r="Q74" s="469"/>
      <c r="R74" s="465"/>
      <c r="S74" s="465"/>
      <c r="T74" s="465"/>
      <c r="U74" s="465"/>
      <c r="V74" s="439"/>
      <c r="W74" s="439"/>
      <c r="X74" s="439"/>
      <c r="Y74" s="439"/>
      <c r="Z74" s="439"/>
      <c r="AA74" s="439"/>
      <c r="AB74" s="439"/>
      <c r="AC74" s="439"/>
    </row>
    <row r="75" ht="15.75" customHeight="1">
      <c r="A75" s="439"/>
      <c r="B75" s="465"/>
      <c r="C75" s="1205" t="s">
        <v>380</v>
      </c>
      <c r="D75" s="1231">
        <v>0.0</v>
      </c>
      <c r="E75" s="539"/>
      <c r="F75" s="256"/>
      <c r="G75" s="256"/>
      <c r="H75" s="256"/>
      <c r="I75" s="674"/>
      <c r="J75" s="514">
        <v>0.0</v>
      </c>
      <c r="K75" s="539"/>
      <c r="L75" s="256"/>
      <c r="M75" s="256"/>
      <c r="N75" s="256"/>
      <c r="O75" s="673"/>
      <c r="P75" s="506">
        <v>0.0</v>
      </c>
      <c r="Q75" s="469"/>
      <c r="R75" s="465"/>
      <c r="S75" s="465"/>
      <c r="T75" s="465"/>
      <c r="U75" s="465"/>
      <c r="V75" s="439"/>
      <c r="W75" s="439"/>
      <c r="X75" s="439"/>
      <c r="Y75" s="439"/>
      <c r="Z75" s="439"/>
      <c r="AA75" s="439"/>
      <c r="AB75" s="439"/>
      <c r="AC75" s="439"/>
    </row>
    <row r="76" ht="15.75" customHeight="1">
      <c r="A76" s="439"/>
      <c r="B76" s="483"/>
      <c r="C76" s="1233"/>
      <c r="D76" s="545"/>
      <c r="E76" s="544"/>
      <c r="F76" s="677"/>
      <c r="G76" s="677"/>
      <c r="H76" s="677"/>
      <c r="I76" s="679"/>
      <c r="J76" s="485"/>
      <c r="K76" s="539"/>
      <c r="L76" s="256"/>
      <c r="M76" s="256"/>
      <c r="N76" s="256"/>
      <c r="O76" s="673"/>
      <c r="P76" s="501"/>
      <c r="Q76" s="469"/>
      <c r="R76" s="465"/>
      <c r="S76" s="465"/>
      <c r="T76" s="465"/>
      <c r="U76" s="465"/>
      <c r="V76" s="439"/>
      <c r="W76" s="439"/>
      <c r="X76" s="439"/>
      <c r="Y76" s="439"/>
      <c r="Z76" s="439"/>
      <c r="AA76" s="439"/>
      <c r="AB76" s="439"/>
      <c r="AC76" s="439"/>
    </row>
    <row r="77" ht="15.75" customHeight="1">
      <c r="A77" s="439"/>
      <c r="B77" s="493"/>
      <c r="C77" s="511" t="s">
        <v>37</v>
      </c>
      <c r="D77" s="491">
        <f>SUM(D78:D85)</f>
        <v>501450.5</v>
      </c>
      <c r="E77" s="613">
        <f>D77/D$29</f>
        <v>0.7880860741</v>
      </c>
      <c r="F77" s="668">
        <f>SUM(F78:F85)</f>
        <v>0</v>
      </c>
      <c r="G77" s="1135" t="str">
        <f>F77/F$29</f>
        <v>#DIV/0!</v>
      </c>
      <c r="H77" s="668">
        <f>SUM(H78:H85)</f>
        <v>0</v>
      </c>
      <c r="I77" s="490"/>
      <c r="J77" s="491">
        <f>SUM(J78:J85)</f>
        <v>706216</v>
      </c>
      <c r="K77" s="560">
        <f>J77/J$29</f>
        <v>1.175662898</v>
      </c>
      <c r="L77" s="649">
        <f>SUM(L78:L85)</f>
        <v>0</v>
      </c>
      <c r="M77" s="1141" t="str">
        <f>L77/L$29</f>
        <v>#DIV/0!</v>
      </c>
      <c r="N77" s="649">
        <f>SUM(N78:N85)</f>
        <v>0</v>
      </c>
      <c r="O77" s="673"/>
      <c r="P77" s="491">
        <f>SUM(P78:P85)</f>
        <v>160708</v>
      </c>
      <c r="Q77" s="605">
        <f>P77/P$29</f>
        <v>0.2980754963</v>
      </c>
      <c r="R77" s="737">
        <f>SUM(R78:R85)</f>
        <v>0</v>
      </c>
      <c r="S77" s="783" t="str">
        <f>R77/R$29</f>
        <v>#DIV/0!</v>
      </c>
      <c r="T77" s="737">
        <f>SUM(T78:T85)</f>
        <v>0</v>
      </c>
      <c r="U77" s="465"/>
      <c r="V77" s="692"/>
      <c r="W77" s="692"/>
      <c r="X77" s="692"/>
      <c r="Y77" s="692"/>
      <c r="Z77" s="692"/>
      <c r="AA77" s="692"/>
      <c r="AB77" s="692"/>
      <c r="AC77" s="692"/>
    </row>
    <row r="78" ht="15.75" customHeight="1">
      <c r="A78" s="439"/>
      <c r="B78" s="497"/>
      <c r="C78" s="1204" t="s">
        <v>221</v>
      </c>
      <c r="D78" s="541"/>
      <c r="E78" s="552"/>
      <c r="F78" s="671"/>
      <c r="G78" s="1148"/>
      <c r="H78" s="646"/>
      <c r="I78" s="672"/>
      <c r="J78" s="463"/>
      <c r="K78" s="557"/>
      <c r="L78" s="256"/>
      <c r="M78" s="1141"/>
      <c r="N78" s="649"/>
      <c r="O78" s="673"/>
      <c r="P78" s="498"/>
      <c r="Q78" s="605"/>
      <c r="R78" s="465"/>
      <c r="S78" s="783"/>
      <c r="T78" s="737"/>
      <c r="U78" s="465"/>
      <c r="V78" s="439"/>
      <c r="W78" s="439"/>
      <c r="X78" s="439"/>
      <c r="Y78" s="439"/>
      <c r="Z78" s="439"/>
      <c r="AA78" s="439"/>
      <c r="AB78" s="439"/>
      <c r="AC78" s="439"/>
    </row>
    <row r="79" ht="15.75" customHeight="1">
      <c r="A79" s="439"/>
      <c r="B79" s="465"/>
      <c r="C79" s="1205" t="s">
        <v>222</v>
      </c>
      <c r="D79" s="521">
        <v>140157.0</v>
      </c>
      <c r="E79" s="557"/>
      <c r="F79" s="256"/>
      <c r="G79" s="1141"/>
      <c r="H79" s="649"/>
      <c r="I79" s="674"/>
      <c r="J79" s="467">
        <v>131624.0</v>
      </c>
      <c r="K79" s="557"/>
      <c r="L79" s="256"/>
      <c r="M79" s="1141"/>
      <c r="N79" s="649"/>
      <c r="O79" s="673"/>
      <c r="P79" s="506">
        <v>152322.0</v>
      </c>
      <c r="Q79" s="605"/>
      <c r="R79" s="465"/>
      <c r="S79" s="783"/>
      <c r="T79" s="737"/>
      <c r="U79" s="465"/>
      <c r="V79" s="439"/>
      <c r="W79" s="439"/>
      <c r="X79" s="439"/>
      <c r="Y79" s="439"/>
      <c r="Z79" s="439"/>
      <c r="AA79" s="439"/>
      <c r="AB79" s="439"/>
      <c r="AC79" s="439"/>
    </row>
    <row r="80" ht="15.75" customHeight="1">
      <c r="A80" s="439"/>
      <c r="B80" s="465"/>
      <c r="C80" s="1205" t="s">
        <v>381</v>
      </c>
      <c r="D80" s="521">
        <f>535355/2</f>
        <v>267677.5</v>
      </c>
      <c r="E80" s="557"/>
      <c r="F80" s="256"/>
      <c r="G80" s="1141"/>
      <c r="H80" s="649"/>
      <c r="I80" s="674"/>
      <c r="J80" s="467">
        <v>479850.0</v>
      </c>
      <c r="K80" s="557"/>
      <c r="L80" s="256"/>
      <c r="M80" s="1141"/>
      <c r="N80" s="649"/>
      <c r="O80" s="673"/>
      <c r="P80" s="1238">
        <v>0.0</v>
      </c>
      <c r="Q80" s="605"/>
      <c r="R80" s="465"/>
      <c r="S80" s="783"/>
      <c r="T80" s="737"/>
      <c r="U80" s="465"/>
      <c r="V80" s="439"/>
      <c r="W80" s="439"/>
      <c r="X80" s="439"/>
      <c r="Y80" s="439"/>
      <c r="Z80" s="439"/>
      <c r="AA80" s="439"/>
      <c r="AB80" s="439"/>
      <c r="AC80" s="439"/>
    </row>
    <row r="81" ht="15.75" customHeight="1">
      <c r="A81" s="439"/>
      <c r="B81" s="465"/>
      <c r="C81" s="1205" t="s">
        <v>223</v>
      </c>
      <c r="D81" s="521">
        <v>709.0</v>
      </c>
      <c r="E81" s="557"/>
      <c r="F81" s="256"/>
      <c r="G81" s="1141"/>
      <c r="H81" s="649"/>
      <c r="I81" s="674"/>
      <c r="J81" s="467">
        <v>6342.0</v>
      </c>
      <c r="K81" s="557"/>
      <c r="L81" s="256"/>
      <c r="M81" s="1141"/>
      <c r="N81" s="649"/>
      <c r="O81" s="673"/>
      <c r="P81" s="506">
        <v>472.0</v>
      </c>
      <c r="Q81" s="605"/>
      <c r="R81" s="465"/>
      <c r="S81" s="783"/>
      <c r="T81" s="737"/>
      <c r="U81" s="465"/>
      <c r="V81" s="439"/>
      <c r="W81" s="439"/>
      <c r="X81" s="439"/>
      <c r="Y81" s="439"/>
      <c r="Z81" s="439"/>
      <c r="AA81" s="439"/>
      <c r="AB81" s="439"/>
      <c r="AC81" s="439"/>
    </row>
    <row r="82" ht="15.75" customHeight="1">
      <c r="A82" s="439"/>
      <c r="B82" s="465"/>
      <c r="C82" s="1205" t="s">
        <v>225</v>
      </c>
      <c r="D82" s="1231">
        <v>0.0</v>
      </c>
      <c r="E82" s="557"/>
      <c r="F82" s="256"/>
      <c r="G82" s="1141"/>
      <c r="H82" s="649"/>
      <c r="I82" s="674"/>
      <c r="J82" s="467">
        <v>0.0</v>
      </c>
      <c r="K82" s="557"/>
      <c r="L82" s="256"/>
      <c r="M82" s="1141"/>
      <c r="N82" s="649"/>
      <c r="O82" s="673"/>
      <c r="P82" s="506">
        <v>0.0</v>
      </c>
      <c r="Q82" s="605"/>
      <c r="R82" s="465"/>
      <c r="S82" s="783"/>
      <c r="T82" s="737"/>
      <c r="U82" s="465"/>
      <c r="V82" s="439"/>
      <c r="W82" s="439"/>
      <c r="X82" s="439"/>
      <c r="Y82" s="439"/>
      <c r="Z82" s="439"/>
      <c r="AA82" s="439"/>
      <c r="AB82" s="439"/>
      <c r="AC82" s="439"/>
    </row>
    <row r="83" ht="15.75" customHeight="1">
      <c r="A83" s="439"/>
      <c r="B83" s="465"/>
      <c r="C83" s="1205" t="s">
        <v>226</v>
      </c>
      <c r="D83" s="1231">
        <v>0.0</v>
      </c>
      <c r="E83" s="557"/>
      <c r="F83" s="256"/>
      <c r="G83" s="1141"/>
      <c r="H83" s="649"/>
      <c r="I83" s="674"/>
      <c r="J83" s="514">
        <v>0.0</v>
      </c>
      <c r="K83" s="557"/>
      <c r="L83" s="256"/>
      <c r="M83" s="1141"/>
      <c r="N83" s="649"/>
      <c r="O83" s="673"/>
      <c r="P83" s="506">
        <v>0.0</v>
      </c>
      <c r="Q83" s="605"/>
      <c r="R83" s="465"/>
      <c r="S83" s="783"/>
      <c r="T83" s="737"/>
      <c r="U83" s="465"/>
      <c r="V83" s="439"/>
      <c r="W83" s="439"/>
      <c r="X83" s="439"/>
      <c r="Y83" s="439"/>
      <c r="Z83" s="439"/>
      <c r="AA83" s="439"/>
      <c r="AB83" s="439"/>
      <c r="AC83" s="439"/>
    </row>
    <row r="84" ht="15.75" customHeight="1">
      <c r="A84" s="439"/>
      <c r="B84" s="465"/>
      <c r="C84" s="1205" t="s">
        <v>227</v>
      </c>
      <c r="D84" s="1231">
        <v>8407.0</v>
      </c>
      <c r="E84" s="557"/>
      <c r="F84" s="256"/>
      <c r="G84" s="1141"/>
      <c r="H84" s="649"/>
      <c r="I84" s="674"/>
      <c r="J84" s="467">
        <v>3900.0</v>
      </c>
      <c r="K84" s="557"/>
      <c r="L84" s="256"/>
      <c r="M84" s="1141"/>
      <c r="N84" s="649"/>
      <c r="O84" s="673"/>
      <c r="P84" s="506">
        <v>7914.0</v>
      </c>
      <c r="Q84" s="605"/>
      <c r="R84" s="465"/>
      <c r="S84" s="783"/>
      <c r="T84" s="737"/>
      <c r="U84" s="465"/>
      <c r="V84" s="439"/>
      <c r="W84" s="439"/>
      <c r="X84" s="439"/>
      <c r="Y84" s="439"/>
      <c r="Z84" s="439"/>
      <c r="AA84" s="439"/>
      <c r="AB84" s="439"/>
      <c r="AC84" s="439"/>
    </row>
    <row r="85" ht="15.75" customHeight="1">
      <c r="A85" s="439"/>
      <c r="B85" s="465"/>
      <c r="C85" s="1205" t="s">
        <v>228</v>
      </c>
      <c r="D85" s="521">
        <v>84500.0</v>
      </c>
      <c r="E85" s="557"/>
      <c r="F85" s="256"/>
      <c r="G85" s="1141"/>
      <c r="H85" s="649"/>
      <c r="I85" s="674"/>
      <c r="J85" s="467">
        <v>84500.0</v>
      </c>
      <c r="K85" s="557"/>
      <c r="L85" s="256"/>
      <c r="M85" s="1141"/>
      <c r="N85" s="649"/>
      <c r="O85" s="673"/>
      <c r="P85" s="506">
        <v>0.0</v>
      </c>
      <c r="Q85" s="605"/>
      <c r="R85" s="465"/>
      <c r="S85" s="783"/>
      <c r="T85" s="737"/>
      <c r="U85" s="465"/>
      <c r="V85" s="439"/>
      <c r="W85" s="439"/>
      <c r="X85" s="439"/>
      <c r="Y85" s="439"/>
      <c r="Z85" s="439"/>
      <c r="AA85" s="439"/>
      <c r="AB85" s="439"/>
      <c r="AC85" s="439"/>
    </row>
    <row r="86" ht="15.75" customHeight="1">
      <c r="A86" s="439"/>
      <c r="B86" s="465"/>
      <c r="C86" s="1205" t="s">
        <v>227</v>
      </c>
      <c r="D86" s="1231">
        <v>0.0</v>
      </c>
      <c r="E86" s="539"/>
      <c r="F86" s="256"/>
      <c r="G86" s="256"/>
      <c r="H86" s="649"/>
      <c r="I86" s="674"/>
      <c r="J86" s="514">
        <v>0.0</v>
      </c>
      <c r="K86" s="539"/>
      <c r="L86" s="256"/>
      <c r="M86" s="256"/>
      <c r="N86" s="649"/>
      <c r="O86" s="673"/>
      <c r="P86" s="506">
        <v>0.0</v>
      </c>
      <c r="Q86" s="469"/>
      <c r="R86" s="465"/>
      <c r="S86" s="465"/>
      <c r="T86" s="737"/>
      <c r="U86" s="465"/>
      <c r="V86" s="439"/>
      <c r="W86" s="439"/>
      <c r="X86" s="439"/>
      <c r="Y86" s="439"/>
      <c r="Z86" s="439"/>
      <c r="AA86" s="439"/>
      <c r="AB86" s="439"/>
      <c r="AC86" s="439"/>
    </row>
    <row r="87" ht="15.75" customHeight="1">
      <c r="A87" s="439"/>
      <c r="B87" s="483"/>
      <c r="C87" s="1233"/>
      <c r="D87" s="545"/>
      <c r="E87" s="544"/>
      <c r="F87" s="677"/>
      <c r="G87" s="677"/>
      <c r="H87" s="677"/>
      <c r="I87" s="679"/>
      <c r="J87" s="485"/>
      <c r="K87" s="539"/>
      <c r="L87" s="256"/>
      <c r="M87" s="256"/>
      <c r="N87" s="256"/>
      <c r="O87" s="673"/>
      <c r="P87" s="488"/>
      <c r="Q87" s="469"/>
      <c r="R87" s="465"/>
      <c r="S87" s="465"/>
      <c r="T87" s="465"/>
      <c r="U87" s="465"/>
      <c r="V87" s="439"/>
      <c r="W87" s="439"/>
      <c r="X87" s="439"/>
      <c r="Y87" s="439"/>
      <c r="Z87" s="439"/>
      <c r="AA87" s="439"/>
      <c r="AB87" s="439"/>
      <c r="AC87" s="439"/>
    </row>
    <row r="88" ht="15.75" customHeight="1">
      <c r="A88" s="439"/>
      <c r="B88" s="493"/>
      <c r="C88" s="511" t="s">
        <v>38</v>
      </c>
      <c r="D88" s="491">
        <f>SUM(D89)</f>
        <v>0</v>
      </c>
      <c r="E88" s="613">
        <f>D88/D$29</f>
        <v>0</v>
      </c>
      <c r="F88" s="490">
        <f>SUM(F89)</f>
        <v>0</v>
      </c>
      <c r="G88" s="1135" t="str">
        <f>F88/F$29</f>
        <v>#DIV/0!</v>
      </c>
      <c r="H88" s="1147">
        <f>SUM(H89)</f>
        <v>0</v>
      </c>
      <c r="I88" s="490"/>
      <c r="J88" s="491">
        <f>SUM(J89)</f>
        <v>0</v>
      </c>
      <c r="K88" s="757">
        <f>J88/J$29</f>
        <v>0</v>
      </c>
      <c r="L88" s="1214">
        <f>SUM(L89)</f>
        <v>0</v>
      </c>
      <c r="M88" s="1234" t="str">
        <f>L88/L$29</f>
        <v>#DIV/0!</v>
      </c>
      <c r="N88" s="1235">
        <f>SUM(N89)</f>
        <v>0</v>
      </c>
      <c r="O88" s="1215"/>
      <c r="P88" s="491">
        <f>SUM(P89)</f>
        <v>0</v>
      </c>
      <c r="Q88" s="790">
        <f>P88/P$29</f>
        <v>0</v>
      </c>
      <c r="R88" s="481">
        <f>SUM(R89)</f>
        <v>0</v>
      </c>
      <c r="S88" s="1236" t="str">
        <f>R88/R$29</f>
        <v>#DIV/0!</v>
      </c>
      <c r="T88" s="1237">
        <f>SUM(T89)</f>
        <v>0</v>
      </c>
      <c r="U88" s="481"/>
      <c r="V88" s="692"/>
      <c r="W88" s="692"/>
      <c r="X88" s="692"/>
      <c r="Y88" s="692"/>
      <c r="Z88" s="692"/>
      <c r="AA88" s="692"/>
      <c r="AB88" s="692"/>
      <c r="AC88" s="692"/>
    </row>
    <row r="89" ht="15.75" customHeight="1">
      <c r="A89" s="439"/>
      <c r="B89" s="497"/>
      <c r="C89" s="1204" t="s">
        <v>277</v>
      </c>
      <c r="D89" s="541">
        <v>0.0</v>
      </c>
      <c r="E89" s="552">
        <f>IFERROR((D89/D$29),"")</f>
        <v>0</v>
      </c>
      <c r="F89" s="671"/>
      <c r="G89" s="671"/>
      <c r="H89" s="646">
        <f>D89-F89</f>
        <v>0</v>
      </c>
      <c r="I89" s="672"/>
      <c r="J89" s="463">
        <v>0.0</v>
      </c>
      <c r="K89" s="557">
        <f>IFERROR((J89/J$29),"")</f>
        <v>0</v>
      </c>
      <c r="L89" s="256"/>
      <c r="M89" s="256"/>
      <c r="N89" s="649">
        <f>J89-L89</f>
        <v>0</v>
      </c>
      <c r="O89" s="673"/>
      <c r="P89" s="498">
        <v>0.0</v>
      </c>
      <c r="Q89" s="605">
        <f>IFERROR((P89/P$29),"")</f>
        <v>0</v>
      </c>
      <c r="R89" s="465"/>
      <c r="S89" s="465"/>
      <c r="T89" s="737">
        <f>P89-R89</f>
        <v>0</v>
      </c>
      <c r="U89" s="465"/>
      <c r="V89" s="439"/>
      <c r="W89" s="439"/>
      <c r="X89" s="439"/>
      <c r="Y89" s="439"/>
      <c r="Z89" s="439"/>
      <c r="AA89" s="439"/>
      <c r="AB89" s="439"/>
      <c r="AC89" s="439"/>
    </row>
    <row r="90" ht="15.75" customHeight="1">
      <c r="A90" s="439"/>
      <c r="B90" s="483"/>
      <c r="C90" s="1206"/>
      <c r="D90" s="545"/>
      <c r="E90" s="544"/>
      <c r="F90" s="677"/>
      <c r="G90" s="677"/>
      <c r="H90" s="677"/>
      <c r="I90" s="679"/>
      <c r="J90" s="485"/>
      <c r="K90" s="539"/>
      <c r="L90" s="256"/>
      <c r="M90" s="256"/>
      <c r="N90" s="256"/>
      <c r="O90" s="673"/>
      <c r="P90" s="501"/>
      <c r="Q90" s="469"/>
      <c r="R90" s="465"/>
      <c r="S90" s="465"/>
      <c r="T90" s="465"/>
      <c r="U90" s="465"/>
      <c r="V90" s="439"/>
      <c r="W90" s="439"/>
      <c r="X90" s="439"/>
      <c r="Y90" s="439"/>
      <c r="Z90" s="439"/>
      <c r="AA90" s="439"/>
      <c r="AB90" s="439"/>
      <c r="AC90" s="439"/>
    </row>
    <row r="91" ht="15.75" customHeight="1">
      <c r="A91" s="439"/>
      <c r="B91" s="493"/>
      <c r="C91" s="511" t="s">
        <v>235</v>
      </c>
      <c r="D91" s="491">
        <f>SUM(D92:D93)</f>
        <v>1994</v>
      </c>
      <c r="E91" s="613">
        <f>D91/D$29</f>
        <v>0.003133796121</v>
      </c>
      <c r="F91" s="490">
        <f>SUM(F92:F93)</f>
        <v>0</v>
      </c>
      <c r="G91" s="1135" t="str">
        <f>F91/F$29</f>
        <v>#DIV/0!</v>
      </c>
      <c r="H91" s="668">
        <f>SUM(H92:H93)</f>
        <v>0</v>
      </c>
      <c r="I91" s="490"/>
      <c r="J91" s="491">
        <f>SUM(J92:J93)</f>
        <v>0</v>
      </c>
      <c r="K91" s="560">
        <f>J91/J$29</f>
        <v>0</v>
      </c>
      <c r="L91" s="256">
        <f>SUM(L92:L93)</f>
        <v>0</v>
      </c>
      <c r="M91" s="1141" t="str">
        <f>L91/L$29</f>
        <v>#DIV/0!</v>
      </c>
      <c r="N91" s="649">
        <f>SUM(N92:N93)</f>
        <v>0</v>
      </c>
      <c r="O91" s="673"/>
      <c r="P91" s="491">
        <f>SUM(P92:P93)</f>
        <v>0</v>
      </c>
      <c r="Q91" s="605">
        <f>P91/P$29</f>
        <v>0</v>
      </c>
      <c r="R91" s="465">
        <f>SUM(R92:R93)</f>
        <v>0</v>
      </c>
      <c r="S91" s="783" t="str">
        <f>R91/R$29</f>
        <v>#DIV/0!</v>
      </c>
      <c r="T91" s="737">
        <f>SUM(T92:T93)</f>
        <v>0</v>
      </c>
      <c r="U91" s="465"/>
      <c r="V91" s="692"/>
      <c r="W91" s="692"/>
      <c r="X91" s="692"/>
      <c r="Y91" s="692"/>
      <c r="Z91" s="692"/>
      <c r="AA91" s="692"/>
      <c r="AB91" s="692"/>
      <c r="AC91" s="692"/>
    </row>
    <row r="92" ht="15.75" customHeight="1">
      <c r="A92" s="439"/>
      <c r="B92" s="497"/>
      <c r="C92" s="1204" t="s">
        <v>236</v>
      </c>
      <c r="D92" s="541"/>
      <c r="E92" s="552"/>
      <c r="F92" s="671"/>
      <c r="G92" s="1148"/>
      <c r="H92" s="646"/>
      <c r="I92" s="672"/>
      <c r="J92" s="463"/>
      <c r="K92" s="557"/>
      <c r="L92" s="256"/>
      <c r="M92" s="1141"/>
      <c r="N92" s="649"/>
      <c r="O92" s="673"/>
      <c r="P92" s="498"/>
      <c r="Q92" s="605"/>
      <c r="R92" s="465"/>
      <c r="S92" s="783"/>
      <c r="T92" s="737"/>
      <c r="U92" s="465"/>
      <c r="V92" s="439"/>
      <c r="W92" s="439"/>
      <c r="X92" s="439"/>
      <c r="Y92" s="439"/>
      <c r="Z92" s="439"/>
      <c r="AA92" s="439"/>
      <c r="AB92" s="439"/>
      <c r="AC92" s="439"/>
    </row>
    <row r="93" ht="15.75" customHeight="1">
      <c r="A93" s="439"/>
      <c r="B93" s="465"/>
      <c r="C93" s="1205" t="s">
        <v>291</v>
      </c>
      <c r="D93" s="521">
        <v>1994.0</v>
      </c>
      <c r="E93" s="557"/>
      <c r="F93" s="256"/>
      <c r="G93" s="1141"/>
      <c r="H93" s="649"/>
      <c r="I93" s="674"/>
      <c r="J93" s="1239">
        <v>0.0</v>
      </c>
      <c r="K93" s="557"/>
      <c r="L93" s="256"/>
      <c r="M93" s="1141"/>
      <c r="N93" s="649"/>
      <c r="O93" s="673"/>
      <c r="P93" s="506">
        <v>0.0</v>
      </c>
      <c r="Q93" s="605"/>
      <c r="R93" s="465"/>
      <c r="S93" s="783"/>
      <c r="T93" s="737"/>
      <c r="U93" s="465"/>
      <c r="V93" s="439"/>
      <c r="W93" s="439"/>
      <c r="X93" s="439"/>
      <c r="Y93" s="439"/>
      <c r="Z93" s="439"/>
      <c r="AA93" s="439"/>
      <c r="AB93" s="439"/>
      <c r="AC93" s="439"/>
    </row>
    <row r="94" ht="15.75" customHeight="1">
      <c r="A94" s="439"/>
      <c r="B94" s="483"/>
      <c r="C94" s="1206"/>
      <c r="D94" s="545"/>
      <c r="E94" s="544"/>
      <c r="F94" s="677"/>
      <c r="G94" s="677"/>
      <c r="H94" s="677"/>
      <c r="I94" s="679"/>
      <c r="J94" s="485"/>
      <c r="K94" s="539"/>
      <c r="L94" s="256"/>
      <c r="M94" s="256"/>
      <c r="N94" s="256"/>
      <c r="O94" s="673"/>
      <c r="P94" s="501"/>
      <c r="Q94" s="469"/>
      <c r="R94" s="465"/>
      <c r="S94" s="465"/>
      <c r="T94" s="465"/>
      <c r="U94" s="465"/>
      <c r="V94" s="439"/>
      <c r="W94" s="439"/>
      <c r="X94" s="439"/>
      <c r="Y94" s="439"/>
      <c r="Z94" s="439"/>
      <c r="AA94" s="439"/>
      <c r="AB94" s="439"/>
      <c r="AC94" s="439"/>
    </row>
    <row r="95" ht="15.75" customHeight="1">
      <c r="A95" s="439"/>
      <c r="B95" s="493"/>
      <c r="C95" s="511" t="s">
        <v>40</v>
      </c>
      <c r="D95" s="491">
        <f>SUM(D96:D107)</f>
        <v>910</v>
      </c>
      <c r="E95" s="613">
        <f>D95/D$29</f>
        <v>0.001430167738</v>
      </c>
      <c r="F95" s="490">
        <f>SUM(F96:F105)</f>
        <v>0</v>
      </c>
      <c r="G95" s="1135" t="str">
        <f>F95/F$29</f>
        <v>#DIV/0!</v>
      </c>
      <c r="H95" s="1147">
        <f>SUM(H96:H105)</f>
        <v>0</v>
      </c>
      <c r="I95" s="490"/>
      <c r="J95" s="491">
        <f>SUM(J96:J107)</f>
        <v>0</v>
      </c>
      <c r="K95" s="560">
        <f>J95/J$29</f>
        <v>0</v>
      </c>
      <c r="L95" s="256">
        <f>SUM(L96:L105)</f>
        <v>0</v>
      </c>
      <c r="M95" s="1141" t="str">
        <f>L95/L$29</f>
        <v>#DIV/0!</v>
      </c>
      <c r="N95" s="1127">
        <f>SUM(N96:N105)</f>
        <v>0</v>
      </c>
      <c r="O95" s="673"/>
      <c r="P95" s="491">
        <f>SUM(P96:P107)</f>
        <v>12500</v>
      </c>
      <c r="Q95" s="605">
        <f>P95/P$29</f>
        <v>0.02318455649</v>
      </c>
      <c r="R95" s="465">
        <f>SUM(R96:R105)</f>
        <v>0</v>
      </c>
      <c r="S95" s="783" t="str">
        <f>R95/R$29</f>
        <v>#DIV/0!</v>
      </c>
      <c r="T95" s="1128">
        <f>SUM(T96:T105)</f>
        <v>0</v>
      </c>
      <c r="U95" s="465"/>
      <c r="V95" s="692"/>
      <c r="W95" s="692"/>
      <c r="X95" s="692"/>
      <c r="Y95" s="692"/>
      <c r="Z95" s="692"/>
      <c r="AA95" s="692"/>
      <c r="AB95" s="692"/>
      <c r="AC95" s="692"/>
    </row>
    <row r="96" ht="15.75" customHeight="1">
      <c r="A96" s="439"/>
      <c r="B96" s="497"/>
      <c r="C96" s="1204" t="s">
        <v>238</v>
      </c>
      <c r="D96" s="1228">
        <v>0.0</v>
      </c>
      <c r="E96" s="552"/>
      <c r="F96" s="671"/>
      <c r="G96" s="1148"/>
      <c r="H96" s="646"/>
      <c r="I96" s="672"/>
      <c r="J96" s="513">
        <v>0.0</v>
      </c>
      <c r="K96" s="557"/>
      <c r="L96" s="256"/>
      <c r="M96" s="1141"/>
      <c r="N96" s="649"/>
      <c r="O96" s="673"/>
      <c r="P96" s="505">
        <v>0.0</v>
      </c>
      <c r="Q96" s="605"/>
      <c r="R96" s="465"/>
      <c r="S96" s="783"/>
      <c r="T96" s="737"/>
      <c r="U96" s="465"/>
      <c r="V96" s="439"/>
      <c r="W96" s="439"/>
      <c r="X96" s="439"/>
      <c r="Y96" s="439"/>
      <c r="Z96" s="439"/>
      <c r="AA96" s="439"/>
      <c r="AB96" s="439"/>
      <c r="AC96" s="439"/>
    </row>
    <row r="97" ht="15.75" customHeight="1">
      <c r="A97" s="439"/>
      <c r="B97" s="465"/>
      <c r="C97" s="1205" t="s">
        <v>239</v>
      </c>
      <c r="D97" s="1231">
        <v>0.0</v>
      </c>
      <c r="E97" s="557"/>
      <c r="F97" s="256"/>
      <c r="G97" s="1141"/>
      <c r="H97" s="649"/>
      <c r="I97" s="674"/>
      <c r="J97" s="514">
        <v>0.0</v>
      </c>
      <c r="K97" s="557"/>
      <c r="L97" s="256"/>
      <c r="M97" s="1141"/>
      <c r="N97" s="649"/>
      <c r="O97" s="673"/>
      <c r="P97" s="506">
        <v>0.0</v>
      </c>
      <c r="Q97" s="605"/>
      <c r="R97" s="465"/>
      <c r="S97" s="783"/>
      <c r="T97" s="737"/>
      <c r="U97" s="465"/>
      <c r="V97" s="439"/>
      <c r="W97" s="439"/>
      <c r="X97" s="439"/>
      <c r="Y97" s="439"/>
      <c r="Z97" s="439"/>
      <c r="AA97" s="439"/>
      <c r="AB97" s="439"/>
      <c r="AC97" s="439"/>
    </row>
    <row r="98" ht="15.75" customHeight="1">
      <c r="A98" s="439"/>
      <c r="B98" s="465"/>
      <c r="C98" s="1205" t="s">
        <v>240</v>
      </c>
      <c r="D98" s="1231">
        <v>0.0</v>
      </c>
      <c r="E98" s="557"/>
      <c r="F98" s="256"/>
      <c r="G98" s="1141"/>
      <c r="H98" s="649"/>
      <c r="I98" s="674"/>
      <c r="J98" s="514">
        <v>0.0</v>
      </c>
      <c r="K98" s="557"/>
      <c r="L98" s="256"/>
      <c r="M98" s="1141"/>
      <c r="N98" s="649"/>
      <c r="O98" s="673"/>
      <c r="P98" s="506">
        <v>0.0</v>
      </c>
      <c r="Q98" s="605"/>
      <c r="R98" s="465"/>
      <c r="S98" s="783"/>
      <c r="T98" s="737"/>
      <c r="U98" s="465"/>
      <c r="V98" s="439"/>
      <c r="W98" s="439"/>
      <c r="X98" s="439"/>
      <c r="Y98" s="439"/>
      <c r="Z98" s="439"/>
      <c r="AA98" s="439"/>
      <c r="AB98" s="439"/>
      <c r="AC98" s="439"/>
    </row>
    <row r="99" ht="15.75" customHeight="1">
      <c r="A99" s="439"/>
      <c r="B99" s="465"/>
      <c r="C99" s="1205" t="s">
        <v>241</v>
      </c>
      <c r="D99" s="1231">
        <v>0.0</v>
      </c>
      <c r="E99" s="557"/>
      <c r="F99" s="256"/>
      <c r="G99" s="1141"/>
      <c r="H99" s="649"/>
      <c r="I99" s="674"/>
      <c r="J99" s="514">
        <v>0.0</v>
      </c>
      <c r="K99" s="557"/>
      <c r="L99" s="256"/>
      <c r="M99" s="1141"/>
      <c r="N99" s="649"/>
      <c r="O99" s="673"/>
      <c r="P99" s="506">
        <v>0.0</v>
      </c>
      <c r="Q99" s="605"/>
      <c r="R99" s="465"/>
      <c r="S99" s="783"/>
      <c r="T99" s="737"/>
      <c r="U99" s="465"/>
      <c r="V99" s="439"/>
      <c r="W99" s="439"/>
      <c r="X99" s="439"/>
      <c r="Y99" s="439"/>
      <c r="Z99" s="439"/>
      <c r="AA99" s="439"/>
      <c r="AB99" s="439"/>
      <c r="AC99" s="439"/>
    </row>
    <row r="100" ht="15.75" customHeight="1">
      <c r="A100" s="439"/>
      <c r="B100" s="465"/>
      <c r="C100" s="1205" t="s">
        <v>292</v>
      </c>
      <c r="D100" s="1231">
        <v>0.0</v>
      </c>
      <c r="E100" s="557"/>
      <c r="F100" s="256"/>
      <c r="G100" s="1141"/>
      <c r="H100" s="649"/>
      <c r="I100" s="674"/>
      <c r="J100" s="514">
        <v>0.0</v>
      </c>
      <c r="K100" s="557"/>
      <c r="L100" s="256"/>
      <c r="M100" s="1141"/>
      <c r="N100" s="649"/>
      <c r="O100" s="673"/>
      <c r="P100" s="506">
        <v>0.0</v>
      </c>
      <c r="Q100" s="605"/>
      <c r="R100" s="465"/>
      <c r="S100" s="783"/>
      <c r="T100" s="737"/>
      <c r="U100" s="465"/>
      <c r="V100" s="439"/>
      <c r="W100" s="439"/>
      <c r="X100" s="439"/>
      <c r="Y100" s="439"/>
      <c r="Z100" s="439"/>
      <c r="AA100" s="439"/>
      <c r="AB100" s="439"/>
      <c r="AC100" s="439"/>
    </row>
    <row r="101" ht="15.75" customHeight="1">
      <c r="A101" s="439"/>
      <c r="B101" s="465"/>
      <c r="C101" s="1205" t="s">
        <v>246</v>
      </c>
      <c r="D101" s="1231">
        <v>0.0</v>
      </c>
      <c r="E101" s="557"/>
      <c r="F101" s="256"/>
      <c r="G101" s="1141"/>
      <c r="H101" s="649"/>
      <c r="I101" s="674"/>
      <c r="J101" s="514">
        <v>0.0</v>
      </c>
      <c r="K101" s="557"/>
      <c r="L101" s="256"/>
      <c r="M101" s="1141"/>
      <c r="N101" s="649"/>
      <c r="O101" s="673"/>
      <c r="P101" s="506">
        <v>0.0</v>
      </c>
      <c r="Q101" s="605"/>
      <c r="R101" s="465"/>
      <c r="S101" s="783"/>
      <c r="T101" s="737"/>
      <c r="U101" s="465"/>
      <c r="V101" s="439"/>
      <c r="W101" s="439"/>
      <c r="X101" s="439"/>
      <c r="Y101" s="439"/>
      <c r="Z101" s="439"/>
      <c r="AA101" s="439"/>
      <c r="AB101" s="439"/>
      <c r="AC101" s="439"/>
    </row>
    <row r="102" ht="15.75" customHeight="1">
      <c r="A102" s="439"/>
      <c r="B102" s="465"/>
      <c r="C102" s="1205" t="s">
        <v>247</v>
      </c>
      <c r="D102" s="1231">
        <v>0.0</v>
      </c>
      <c r="E102" s="557"/>
      <c r="F102" s="256"/>
      <c r="G102" s="1141"/>
      <c r="H102" s="649"/>
      <c r="I102" s="674"/>
      <c r="J102" s="514">
        <v>0.0</v>
      </c>
      <c r="K102" s="557"/>
      <c r="L102" s="256"/>
      <c r="M102" s="1141"/>
      <c r="N102" s="649"/>
      <c r="O102" s="673"/>
      <c r="P102" s="506">
        <v>0.0</v>
      </c>
      <c r="Q102" s="605"/>
      <c r="R102" s="465"/>
      <c r="S102" s="783"/>
      <c r="T102" s="737"/>
      <c r="U102" s="465"/>
      <c r="V102" s="439"/>
      <c r="W102" s="439"/>
      <c r="X102" s="439"/>
      <c r="Y102" s="439"/>
      <c r="Z102" s="439"/>
      <c r="AA102" s="439"/>
      <c r="AB102" s="439"/>
      <c r="AC102" s="439"/>
    </row>
    <row r="103" ht="15.75" customHeight="1">
      <c r="A103" s="439"/>
      <c r="B103" s="465"/>
      <c r="C103" s="1205" t="s">
        <v>248</v>
      </c>
      <c r="D103" s="1231">
        <v>0.0</v>
      </c>
      <c r="E103" s="557"/>
      <c r="F103" s="256"/>
      <c r="G103" s="1141"/>
      <c r="H103" s="649"/>
      <c r="I103" s="674"/>
      <c r="J103" s="514">
        <v>0.0</v>
      </c>
      <c r="K103" s="557"/>
      <c r="L103" s="256"/>
      <c r="M103" s="1141"/>
      <c r="N103" s="649"/>
      <c r="O103" s="673"/>
      <c r="P103" s="506">
        <v>0.0</v>
      </c>
      <c r="Q103" s="605"/>
      <c r="R103" s="465"/>
      <c r="S103" s="783"/>
      <c r="T103" s="737"/>
      <c r="U103" s="465"/>
      <c r="V103" s="439"/>
      <c r="W103" s="439"/>
      <c r="X103" s="439"/>
      <c r="Y103" s="439"/>
      <c r="Z103" s="439"/>
      <c r="AA103" s="439"/>
      <c r="AB103" s="439"/>
      <c r="AC103" s="439"/>
    </row>
    <row r="104" ht="15.75" customHeight="1">
      <c r="A104" s="439"/>
      <c r="B104" s="465"/>
      <c r="C104" s="1205" t="s">
        <v>249</v>
      </c>
      <c r="D104" s="1231">
        <v>0.0</v>
      </c>
      <c r="E104" s="557"/>
      <c r="F104" s="256"/>
      <c r="G104" s="1141"/>
      <c r="H104" s="649"/>
      <c r="I104" s="674"/>
      <c r="J104" s="514">
        <v>0.0</v>
      </c>
      <c r="K104" s="557"/>
      <c r="L104" s="256"/>
      <c r="M104" s="1141"/>
      <c r="N104" s="649"/>
      <c r="O104" s="673"/>
      <c r="P104" s="506">
        <v>0.0</v>
      </c>
      <c r="Q104" s="605"/>
      <c r="R104" s="465"/>
      <c r="S104" s="783"/>
      <c r="T104" s="737"/>
      <c r="U104" s="465"/>
      <c r="V104" s="439"/>
      <c r="W104" s="439"/>
      <c r="X104" s="439"/>
      <c r="Y104" s="439"/>
      <c r="Z104" s="439"/>
      <c r="AA104" s="439"/>
      <c r="AB104" s="439"/>
      <c r="AC104" s="439"/>
    </row>
    <row r="105" ht="15.75" customHeight="1">
      <c r="A105" s="439"/>
      <c r="B105" s="465"/>
      <c r="C105" s="1205" t="s">
        <v>306</v>
      </c>
      <c r="D105" s="1231">
        <v>0.0</v>
      </c>
      <c r="E105" s="557"/>
      <c r="F105" s="256"/>
      <c r="G105" s="1141"/>
      <c r="H105" s="649"/>
      <c r="I105" s="674"/>
      <c r="J105" s="514">
        <v>0.0</v>
      </c>
      <c r="K105" s="557"/>
      <c r="L105" s="256"/>
      <c r="M105" s="1141"/>
      <c r="N105" s="649"/>
      <c r="O105" s="673"/>
      <c r="P105" s="506">
        <v>0.0</v>
      </c>
      <c r="Q105" s="605"/>
      <c r="R105" s="465"/>
      <c r="S105" s="783"/>
      <c r="T105" s="737"/>
      <c r="U105" s="465"/>
      <c r="V105" s="439"/>
      <c r="W105" s="439"/>
      <c r="X105" s="439"/>
      <c r="Y105" s="439"/>
      <c r="Z105" s="439"/>
      <c r="AA105" s="439"/>
      <c r="AB105" s="439"/>
      <c r="AC105" s="439"/>
    </row>
    <row r="106" ht="15.75" customHeight="1">
      <c r="A106" s="439"/>
      <c r="B106" s="465"/>
      <c r="C106" s="1205" t="s">
        <v>281</v>
      </c>
      <c r="D106" s="1231">
        <v>0.0</v>
      </c>
      <c r="E106" s="557"/>
      <c r="F106" s="256"/>
      <c r="G106" s="1141"/>
      <c r="H106" s="256"/>
      <c r="I106" s="674"/>
      <c r="J106" s="514">
        <v>0.0</v>
      </c>
      <c r="K106" s="557"/>
      <c r="L106" s="256"/>
      <c r="M106" s="1141"/>
      <c r="N106" s="256"/>
      <c r="O106" s="673"/>
      <c r="P106" s="506">
        <v>0.0</v>
      </c>
      <c r="Q106" s="605"/>
      <c r="R106" s="465"/>
      <c r="S106" s="783"/>
      <c r="T106" s="465"/>
      <c r="U106" s="465"/>
      <c r="V106" s="439"/>
      <c r="W106" s="439"/>
      <c r="X106" s="439"/>
      <c r="Y106" s="439"/>
      <c r="Z106" s="439"/>
      <c r="AA106" s="439"/>
      <c r="AB106" s="439"/>
      <c r="AC106" s="439"/>
    </row>
    <row r="107" ht="15.75" customHeight="1">
      <c r="A107" s="439"/>
      <c r="B107" s="465"/>
      <c r="C107" s="1205" t="s">
        <v>244</v>
      </c>
      <c r="D107" s="1231">
        <v>910.0</v>
      </c>
      <c r="E107" s="539"/>
      <c r="F107" s="256"/>
      <c r="G107" s="256"/>
      <c r="H107" s="256"/>
      <c r="I107" s="674"/>
      <c r="J107" s="514">
        <v>0.0</v>
      </c>
      <c r="K107" s="539"/>
      <c r="L107" s="256"/>
      <c r="M107" s="256"/>
      <c r="N107" s="256"/>
      <c r="O107" s="673"/>
      <c r="P107" s="506">
        <v>12500.0</v>
      </c>
      <c r="Q107" s="469"/>
      <c r="R107" s="465"/>
      <c r="S107" s="465"/>
      <c r="T107" s="465"/>
      <c r="U107" s="465"/>
      <c r="V107" s="439"/>
      <c r="W107" s="439"/>
      <c r="X107" s="439"/>
      <c r="Y107" s="439"/>
      <c r="Z107" s="439"/>
      <c r="AA107" s="439"/>
      <c r="AB107" s="439"/>
      <c r="AC107" s="439"/>
    </row>
    <row r="108" ht="15.75" customHeight="1">
      <c r="A108" s="439"/>
      <c r="B108" s="483"/>
      <c r="C108" s="524"/>
      <c r="D108" s="545"/>
      <c r="E108" s="544"/>
      <c r="F108" s="677"/>
      <c r="G108" s="677"/>
      <c r="H108" s="677"/>
      <c r="I108" s="679"/>
      <c r="J108" s="485"/>
      <c r="K108" s="539"/>
      <c r="L108" s="256"/>
      <c r="M108" s="256"/>
      <c r="N108" s="256"/>
      <c r="O108" s="673"/>
      <c r="P108" s="501"/>
      <c r="Q108" s="469"/>
      <c r="R108" s="465"/>
      <c r="S108" s="465"/>
      <c r="T108" s="465"/>
      <c r="U108" s="465"/>
      <c r="V108" s="439"/>
      <c r="W108" s="439"/>
      <c r="X108" s="439"/>
      <c r="Y108" s="439"/>
      <c r="Z108" s="439"/>
      <c r="AA108" s="439"/>
      <c r="AB108" s="439"/>
      <c r="AC108" s="439"/>
    </row>
    <row r="109" ht="15.75" customHeight="1">
      <c r="A109" s="439"/>
      <c r="B109" s="493"/>
      <c r="C109" s="511" t="s">
        <v>41</v>
      </c>
      <c r="D109" s="491">
        <f>SUM(D110:D111)</f>
        <v>0</v>
      </c>
      <c r="E109" s="457"/>
      <c r="F109" s="668">
        <f>SUM(F110:F111)</f>
        <v>0</v>
      </c>
      <c r="G109" s="490"/>
      <c r="H109" s="668">
        <f>SUM(H110:H111)</f>
        <v>0</v>
      </c>
      <c r="I109" s="490"/>
      <c r="J109" s="491">
        <f>SUM(J110:J111)</f>
        <v>0</v>
      </c>
      <c r="K109" s="656"/>
      <c r="L109" s="734">
        <f>SUM(L110:L111)</f>
        <v>0</v>
      </c>
      <c r="M109" s="1214"/>
      <c r="N109" s="734">
        <f>SUM(N110:N111)</f>
        <v>0</v>
      </c>
      <c r="O109" s="1215"/>
      <c r="P109" s="491">
        <f>SUM(P110:P111)</f>
        <v>0</v>
      </c>
      <c r="Q109" s="788"/>
      <c r="R109" s="796">
        <f>SUM(R110:R111)</f>
        <v>0</v>
      </c>
      <c r="S109" s="481"/>
      <c r="T109" s="796">
        <f>SUM(T110:T111)</f>
        <v>0</v>
      </c>
      <c r="U109" s="481"/>
      <c r="V109" s="692"/>
      <c r="W109" s="692"/>
      <c r="X109" s="692"/>
      <c r="Y109" s="692"/>
      <c r="Z109" s="692"/>
      <c r="AA109" s="692"/>
      <c r="AB109" s="692"/>
      <c r="AC109" s="692"/>
    </row>
    <row r="110" ht="15.75" customHeight="1">
      <c r="A110" s="439"/>
      <c r="B110" s="497"/>
      <c r="C110" s="1204" t="s">
        <v>250</v>
      </c>
      <c r="D110" s="541"/>
      <c r="E110" s="552">
        <f t="shared" ref="E110:E111" si="7">IFERROR((D110/D$29),"")</f>
        <v>0</v>
      </c>
      <c r="F110" s="671"/>
      <c r="G110" s="671"/>
      <c r="H110" s="646">
        <f t="shared" ref="H110:H111" si="8">D110-F110</f>
        <v>0</v>
      </c>
      <c r="I110" s="672"/>
      <c r="J110" s="463"/>
      <c r="K110" s="557">
        <f t="shared" ref="K110:K111" si="9">IFERROR((J110/J$29),"")</f>
        <v>0</v>
      </c>
      <c r="L110" s="256"/>
      <c r="M110" s="256"/>
      <c r="N110" s="649">
        <f t="shared" ref="N110:N111" si="10">J110-L110</f>
        <v>0</v>
      </c>
      <c r="O110" s="673"/>
      <c r="P110" s="498"/>
      <c r="Q110" s="605">
        <f t="shared" ref="Q110:Q111" si="11">IFERROR((P110/P$29),"")</f>
        <v>0</v>
      </c>
      <c r="R110" s="465"/>
      <c r="S110" s="465"/>
      <c r="T110" s="737">
        <f t="shared" ref="T110:T111" si="12">P110-R110</f>
        <v>0</v>
      </c>
      <c r="U110" s="465"/>
      <c r="V110" s="439"/>
      <c r="W110" s="439"/>
      <c r="X110" s="439"/>
      <c r="Y110" s="439"/>
      <c r="Z110" s="439"/>
      <c r="AA110" s="439"/>
      <c r="AB110" s="439"/>
      <c r="AC110" s="439"/>
    </row>
    <row r="111" ht="15.75" customHeight="1">
      <c r="A111" s="439"/>
      <c r="B111" s="465"/>
      <c r="C111" s="1205" t="s">
        <v>294</v>
      </c>
      <c r="D111" s="521"/>
      <c r="E111" s="557">
        <f t="shared" si="7"/>
        <v>0</v>
      </c>
      <c r="F111" s="256"/>
      <c r="G111" s="256"/>
      <c r="H111" s="649">
        <f t="shared" si="8"/>
        <v>0</v>
      </c>
      <c r="I111" s="674"/>
      <c r="J111" s="467"/>
      <c r="K111" s="557">
        <f t="shared" si="9"/>
        <v>0</v>
      </c>
      <c r="L111" s="256"/>
      <c r="M111" s="256"/>
      <c r="N111" s="649">
        <f t="shared" si="10"/>
        <v>0</v>
      </c>
      <c r="O111" s="673"/>
      <c r="P111" s="474"/>
      <c r="Q111" s="605">
        <f t="shared" si="11"/>
        <v>0</v>
      </c>
      <c r="R111" s="465"/>
      <c r="S111" s="465"/>
      <c r="T111" s="737">
        <f t="shared" si="12"/>
        <v>0</v>
      </c>
      <c r="U111" s="465"/>
      <c r="V111" s="439"/>
      <c r="W111" s="439"/>
      <c r="X111" s="439"/>
      <c r="Y111" s="439"/>
      <c r="Z111" s="439"/>
      <c r="AA111" s="439"/>
      <c r="AB111" s="439"/>
      <c r="AC111" s="439"/>
    </row>
    <row r="112" ht="15.75" customHeight="1">
      <c r="A112" s="439"/>
      <c r="B112" s="465"/>
      <c r="C112" s="1205" t="s">
        <v>359</v>
      </c>
      <c r="D112" s="521"/>
      <c r="E112" s="539"/>
      <c r="F112" s="256"/>
      <c r="G112" s="256"/>
      <c r="H112" s="256"/>
      <c r="I112" s="674"/>
      <c r="J112" s="467"/>
      <c r="K112" s="539"/>
      <c r="L112" s="256"/>
      <c r="M112" s="256"/>
      <c r="N112" s="256"/>
      <c r="O112" s="673"/>
      <c r="P112" s="474"/>
      <c r="Q112" s="469"/>
      <c r="R112" s="465"/>
      <c r="S112" s="465"/>
      <c r="T112" s="465"/>
      <c r="U112" s="465"/>
      <c r="V112" s="439"/>
      <c r="W112" s="439"/>
      <c r="X112" s="439"/>
      <c r="Y112" s="439"/>
      <c r="Z112" s="439"/>
      <c r="AA112" s="439"/>
      <c r="AB112" s="439"/>
      <c r="AC112" s="439"/>
    </row>
    <row r="113" ht="15.75" customHeight="1">
      <c r="A113" s="439"/>
      <c r="B113" s="483"/>
      <c r="C113" s="1206"/>
      <c r="D113" s="545"/>
      <c r="E113" s="544"/>
      <c r="F113" s="677"/>
      <c r="G113" s="677"/>
      <c r="H113" s="677"/>
      <c r="I113" s="679"/>
      <c r="J113" s="485"/>
      <c r="K113" s="539"/>
      <c r="L113" s="256"/>
      <c r="M113" s="256"/>
      <c r="N113" s="256"/>
      <c r="O113" s="673"/>
      <c r="P113" s="501"/>
      <c r="Q113" s="469"/>
      <c r="R113" s="465"/>
      <c r="S113" s="465"/>
      <c r="T113" s="465"/>
      <c r="U113" s="465"/>
      <c r="V113" s="439"/>
      <c r="W113" s="439"/>
      <c r="X113" s="439"/>
      <c r="Y113" s="439"/>
      <c r="Z113" s="439"/>
      <c r="AA113" s="439"/>
      <c r="AB113" s="439"/>
      <c r="AC113" s="439"/>
    </row>
    <row r="114" ht="15.75" customHeight="1">
      <c r="A114" s="439"/>
      <c r="B114" s="493"/>
      <c r="C114" s="511" t="s">
        <v>42</v>
      </c>
      <c r="D114" s="491">
        <f>SUM(D115:D116)</f>
        <v>10300</v>
      </c>
      <c r="E114" s="670"/>
      <c r="F114" s="493">
        <f>SUM(F115)</f>
        <v>0</v>
      </c>
      <c r="G114" s="493"/>
      <c r="H114" s="1240">
        <f>SUM(H115)</f>
        <v>0</v>
      </c>
      <c r="I114" s="493"/>
      <c r="J114" s="491">
        <f>SUM(J115:J116)</f>
        <v>0</v>
      </c>
      <c r="K114" s="656"/>
      <c r="L114" s="1214">
        <f>SUM(L115)</f>
        <v>0</v>
      </c>
      <c r="M114" s="1214"/>
      <c r="N114" s="1235">
        <f>SUM(N115)</f>
        <v>0</v>
      </c>
      <c r="O114" s="1215"/>
      <c r="P114" s="491">
        <f>SUM(P115:P116)</f>
        <v>0</v>
      </c>
      <c r="Q114" s="788"/>
      <c r="R114" s="481">
        <f>SUM(R115)</f>
        <v>0</v>
      </c>
      <c r="S114" s="481"/>
      <c r="T114" s="1237">
        <f>SUM(T115)</f>
        <v>0</v>
      </c>
      <c r="U114" s="481"/>
      <c r="V114" s="692"/>
      <c r="W114" s="692"/>
      <c r="X114" s="692"/>
      <c r="Y114" s="692"/>
      <c r="Z114" s="692"/>
      <c r="AA114" s="692"/>
      <c r="AB114" s="692"/>
      <c r="AC114" s="692"/>
    </row>
    <row r="115" ht="15.75" customHeight="1">
      <c r="A115" s="439"/>
      <c r="B115" s="497"/>
      <c r="C115" s="1204" t="s">
        <v>253</v>
      </c>
      <c r="D115" s="541"/>
      <c r="E115" s="552"/>
      <c r="F115" s="671"/>
      <c r="G115" s="671"/>
      <c r="H115" s="646"/>
      <c r="I115" s="672"/>
      <c r="J115" s="463"/>
      <c r="K115" s="557"/>
      <c r="L115" s="256"/>
      <c r="M115" s="256"/>
      <c r="N115" s="649"/>
      <c r="O115" s="673"/>
      <c r="P115" s="498"/>
      <c r="Q115" s="605"/>
      <c r="R115" s="465"/>
      <c r="S115" s="465"/>
      <c r="T115" s="737"/>
      <c r="U115" s="465"/>
      <c r="V115" s="439"/>
      <c r="W115" s="439"/>
      <c r="X115" s="439"/>
      <c r="Y115" s="439"/>
      <c r="Z115" s="439"/>
      <c r="AA115" s="439"/>
      <c r="AB115" s="439"/>
      <c r="AC115" s="439"/>
    </row>
    <row r="116" ht="15.75" customHeight="1">
      <c r="A116" s="439"/>
      <c r="B116" s="465"/>
      <c r="C116" s="1205" t="s">
        <v>293</v>
      </c>
      <c r="D116" s="521">
        <v>10300.0</v>
      </c>
      <c r="E116" s="539"/>
      <c r="F116" s="256"/>
      <c r="G116" s="256"/>
      <c r="H116" s="256"/>
      <c r="I116" s="674"/>
      <c r="J116" s="514">
        <v>0.0</v>
      </c>
      <c r="K116" s="539"/>
      <c r="L116" s="256"/>
      <c r="M116" s="256"/>
      <c r="N116" s="256"/>
      <c r="O116" s="673"/>
      <c r="P116" s="506">
        <v>0.0</v>
      </c>
      <c r="Q116" s="469"/>
      <c r="R116" s="465"/>
      <c r="S116" s="465"/>
      <c r="T116" s="465"/>
      <c r="U116" s="465"/>
      <c r="V116" s="439"/>
      <c r="W116" s="439"/>
      <c r="X116" s="439"/>
      <c r="Y116" s="439"/>
      <c r="Z116" s="439"/>
      <c r="AA116" s="439"/>
      <c r="AB116" s="439"/>
      <c r="AC116" s="439"/>
    </row>
    <row r="117" ht="15.75" customHeight="1">
      <c r="A117" s="439"/>
      <c r="B117" s="483"/>
      <c r="C117" s="1206"/>
      <c r="D117" s="545"/>
      <c r="E117" s="544"/>
      <c r="F117" s="677"/>
      <c r="G117" s="677"/>
      <c r="H117" s="677"/>
      <c r="I117" s="679"/>
      <c r="J117" s="485"/>
      <c r="K117" s="539"/>
      <c r="L117" s="256"/>
      <c r="M117" s="256"/>
      <c r="N117" s="256"/>
      <c r="O117" s="673"/>
      <c r="P117" s="501"/>
      <c r="Q117" s="469"/>
      <c r="R117" s="465"/>
      <c r="S117" s="465"/>
      <c r="T117" s="465"/>
      <c r="U117" s="465"/>
      <c r="V117" s="439"/>
      <c r="W117" s="439"/>
      <c r="X117" s="439"/>
      <c r="Y117" s="439"/>
      <c r="Z117" s="439"/>
      <c r="AA117" s="439"/>
      <c r="AB117" s="439"/>
      <c r="AC117" s="439"/>
    </row>
    <row r="118" ht="15.75" customHeight="1">
      <c r="A118" s="439"/>
      <c r="B118" s="493"/>
      <c r="C118" s="490" t="s">
        <v>254</v>
      </c>
      <c r="D118" s="491">
        <f>D51+D114+D109+D95+D91+D88+D77+D70+D63+D54</f>
        <v>602004.06</v>
      </c>
      <c r="E118" s="613">
        <f>IFERROR((D118/D$29),"")</f>
        <v>0.946117346</v>
      </c>
      <c r="F118" s="668">
        <f>F114+F109+F95+F91+F88+F77+F70+F63+F54</f>
        <v>0</v>
      </c>
      <c r="G118" s="1135" t="str">
        <f>IFERROR((F118/F$29),"")</f>
        <v/>
      </c>
      <c r="H118" s="668"/>
      <c r="I118" s="490"/>
      <c r="J118" s="491">
        <f>J51+J114+J109+J95+J91+J88+J77+J70+J63+J54</f>
        <v>783317</v>
      </c>
      <c r="K118" s="757">
        <f>IFERROR((J118/J$29),"")</f>
        <v>1.304015675</v>
      </c>
      <c r="L118" s="734">
        <f>L114+L109+L95+L91+L88+L77+L70+L63+L54</f>
        <v>0</v>
      </c>
      <c r="M118" s="1234" t="str">
        <f>IFERROR((L118/L$29),"")</f>
        <v/>
      </c>
      <c r="N118" s="734"/>
      <c r="O118" s="1215"/>
      <c r="P118" s="491">
        <f>P51+P114+P109+P95+P91+P88+P77+P70+P63+P54</f>
        <v>304647</v>
      </c>
      <c r="Q118" s="790">
        <f>IFERROR((P118/P$29),"")</f>
        <v>0.5650484464</v>
      </c>
      <c r="R118" s="796">
        <f>R114+R109+R95+R91+R88+R77+R70+R63+R54</f>
        <v>0</v>
      </c>
      <c r="S118" s="1236" t="str">
        <f>IFERROR((R118/R$29),"")</f>
        <v/>
      </c>
      <c r="T118" s="796"/>
      <c r="U118" s="481"/>
      <c r="V118" s="439"/>
      <c r="W118" s="439"/>
      <c r="X118" s="439"/>
      <c r="Y118" s="439"/>
      <c r="Z118" s="439"/>
      <c r="AA118" s="439"/>
      <c r="AB118" s="439"/>
      <c r="AC118" s="439"/>
    </row>
    <row r="119" ht="15.75" customHeight="1">
      <c r="A119" s="439"/>
      <c r="B119" s="526"/>
      <c r="C119" s="1227"/>
      <c r="D119" s="590"/>
      <c r="E119" s="620"/>
      <c r="F119" s="687"/>
      <c r="G119" s="687"/>
      <c r="H119" s="687"/>
      <c r="I119" s="688"/>
      <c r="J119" s="515"/>
      <c r="K119" s="539"/>
      <c r="L119" s="256"/>
      <c r="M119" s="256"/>
      <c r="N119" s="256"/>
      <c r="O119" s="256"/>
      <c r="P119" s="522"/>
      <c r="Q119" s="469"/>
      <c r="R119" s="465"/>
      <c r="S119" s="465"/>
      <c r="T119" s="465"/>
      <c r="U119" s="465"/>
      <c r="V119" s="439"/>
      <c r="W119" s="439"/>
      <c r="X119" s="439"/>
      <c r="Y119" s="439"/>
      <c r="Z119" s="439"/>
      <c r="AA119" s="439"/>
      <c r="AB119" s="439"/>
      <c r="AC119" s="439"/>
    </row>
    <row r="120" ht="15.75" customHeight="1">
      <c r="A120" s="439"/>
      <c r="B120" s="493"/>
      <c r="C120" s="490" t="s">
        <v>255</v>
      </c>
      <c r="D120" s="491">
        <f>D42-D118</f>
        <v>-154413.7209</v>
      </c>
      <c r="E120" s="613">
        <f>IFERROR((D120/D$29),"")</f>
        <v>-0.2426785955</v>
      </c>
      <c r="F120" s="668">
        <f>F42-F118</f>
        <v>0</v>
      </c>
      <c r="G120" s="1135" t="str">
        <f>IFERROR((F120/F$29),"")</f>
        <v/>
      </c>
      <c r="H120" s="668">
        <f>H42-H118</f>
        <v>0</v>
      </c>
      <c r="I120" s="490"/>
      <c r="J120" s="491">
        <f>J42-J118</f>
        <v>-436812.58</v>
      </c>
      <c r="K120" s="757">
        <f>IFERROR((J120/J$29),"")</f>
        <v>-0.7271774408</v>
      </c>
      <c r="L120" s="734">
        <f>L42-L118</f>
        <v>0</v>
      </c>
      <c r="M120" s="1234" t="str">
        <f>IFERROR((L120/L$29),"")</f>
        <v/>
      </c>
      <c r="N120" s="734">
        <f>N42-N118</f>
        <v>0</v>
      </c>
      <c r="O120" s="1214"/>
      <c r="P120" s="491">
        <f>P42-P118</f>
        <v>70421</v>
      </c>
      <c r="Q120" s="1241">
        <f>IFERROR((P120/P$29),"")</f>
        <v>0.1306143722</v>
      </c>
      <c r="R120" s="1242">
        <f>R42-R118</f>
        <v>0</v>
      </c>
      <c r="S120" s="1243" t="str">
        <f>IFERROR((R120/R$29),"")</f>
        <v/>
      </c>
      <c r="T120" s="1242">
        <f>T42-T118</f>
        <v>0</v>
      </c>
      <c r="U120" s="1244"/>
      <c r="V120" s="439"/>
      <c r="W120" s="439"/>
      <c r="X120" s="439"/>
      <c r="Y120" s="439"/>
      <c r="Z120" s="439"/>
      <c r="AA120" s="439"/>
      <c r="AB120" s="439"/>
      <c r="AC120" s="439"/>
    </row>
    <row r="121" ht="15.75" customHeight="1">
      <c r="A121" s="439"/>
      <c r="B121" s="439"/>
      <c r="C121" s="439"/>
      <c r="D121" s="530"/>
      <c r="E121" s="247"/>
      <c r="F121" s="439"/>
      <c r="G121" s="439"/>
      <c r="H121" s="439"/>
      <c r="I121" s="439"/>
      <c r="J121" s="530"/>
      <c r="K121" s="247"/>
      <c r="L121" s="439"/>
      <c r="M121" s="439"/>
      <c r="N121" s="439"/>
      <c r="O121" s="439"/>
      <c r="P121" s="530"/>
      <c r="Q121" s="247"/>
      <c r="R121" s="439"/>
      <c r="S121" s="439"/>
      <c r="T121" s="439"/>
      <c r="U121" s="439"/>
      <c r="V121" s="439"/>
      <c r="W121" s="439"/>
      <c r="X121" s="439"/>
      <c r="Y121" s="439"/>
      <c r="Z121" s="439"/>
      <c r="AA121" s="439"/>
      <c r="AB121" s="439"/>
      <c r="AC121" s="439"/>
    </row>
    <row r="122" ht="15.75" customHeight="1">
      <c r="A122" s="439"/>
      <c r="B122" s="439"/>
      <c r="C122" s="439"/>
      <c r="D122" s="530"/>
      <c r="E122" s="247"/>
      <c r="F122" s="439"/>
      <c r="G122" s="439"/>
      <c r="H122" s="439"/>
      <c r="I122" s="439"/>
      <c r="J122" s="530"/>
      <c r="K122" s="247"/>
      <c r="L122" s="439"/>
      <c r="M122" s="439"/>
      <c r="N122" s="439"/>
      <c r="O122" s="439"/>
      <c r="P122" s="530"/>
      <c r="Q122" s="247"/>
      <c r="R122" s="439"/>
      <c r="S122" s="439"/>
      <c r="T122" s="439"/>
      <c r="U122" s="439"/>
      <c r="V122" s="439"/>
      <c r="W122" s="439"/>
      <c r="X122" s="439"/>
      <c r="Y122" s="439"/>
      <c r="Z122" s="439"/>
      <c r="AA122" s="439"/>
      <c r="AB122" s="439"/>
      <c r="AC122" s="439"/>
    </row>
    <row r="123" ht="15.75" customHeight="1">
      <c r="A123" s="439"/>
      <c r="B123" s="439"/>
      <c r="C123" s="439"/>
      <c r="D123" s="530"/>
      <c r="E123" s="247"/>
      <c r="F123" s="439"/>
      <c r="G123" s="439"/>
      <c r="H123" s="439"/>
      <c r="I123" s="439"/>
      <c r="J123" s="530"/>
      <c r="K123" s="247"/>
      <c r="L123" s="439"/>
      <c r="M123" s="439"/>
      <c r="N123" s="439"/>
      <c r="O123" s="439"/>
      <c r="P123" s="530"/>
      <c r="Q123" s="247"/>
      <c r="R123" s="439"/>
      <c r="S123" s="439"/>
      <c r="T123" s="439"/>
      <c r="U123" s="439"/>
      <c r="V123" s="439"/>
      <c r="W123" s="439"/>
      <c r="X123" s="439"/>
      <c r="Y123" s="439"/>
      <c r="Z123" s="439"/>
      <c r="AA123" s="439"/>
      <c r="AB123" s="439"/>
      <c r="AC123" s="439"/>
    </row>
    <row r="124" ht="15.75" customHeight="1">
      <c r="A124" s="439"/>
      <c r="B124" s="439"/>
      <c r="C124" s="439"/>
      <c r="D124" s="530"/>
      <c r="E124" s="247"/>
      <c r="F124" s="439"/>
      <c r="G124" s="439"/>
      <c r="H124" s="439"/>
      <c r="I124" s="439"/>
      <c r="J124" s="530"/>
      <c r="K124" s="247"/>
      <c r="L124" s="439"/>
      <c r="M124" s="439"/>
      <c r="N124" s="439"/>
      <c r="O124" s="439"/>
      <c r="P124" s="530"/>
      <c r="Q124" s="247"/>
      <c r="R124" s="439"/>
      <c r="S124" s="439"/>
      <c r="T124" s="439"/>
      <c r="U124" s="439"/>
      <c r="V124" s="439"/>
      <c r="W124" s="439"/>
      <c r="X124" s="439"/>
      <c r="Y124" s="439"/>
      <c r="Z124" s="439"/>
      <c r="AA124" s="439"/>
      <c r="AB124" s="439"/>
      <c r="AC124" s="439"/>
    </row>
    <row r="125" ht="15.75" customHeight="1">
      <c r="A125" s="439"/>
      <c r="B125" s="439"/>
      <c r="C125" s="439"/>
      <c r="D125" s="530"/>
      <c r="E125" s="247"/>
      <c r="F125" s="439"/>
      <c r="G125" s="439"/>
      <c r="H125" s="439"/>
      <c r="I125" s="439"/>
      <c r="J125" s="530"/>
      <c r="K125" s="247"/>
      <c r="L125" s="439"/>
      <c r="M125" s="439"/>
      <c r="N125" s="439"/>
      <c r="O125" s="439"/>
      <c r="P125" s="530"/>
      <c r="Q125" s="247"/>
      <c r="R125" s="439"/>
      <c r="S125" s="439"/>
      <c r="T125" s="439"/>
      <c r="U125" s="439"/>
      <c r="V125" s="439"/>
      <c r="W125" s="439"/>
      <c r="X125" s="439"/>
      <c r="Y125" s="439"/>
      <c r="Z125" s="439"/>
      <c r="AA125" s="439"/>
      <c r="AB125" s="439"/>
      <c r="AC125" s="439"/>
    </row>
    <row r="126" ht="15.75" customHeight="1">
      <c r="A126" s="439"/>
      <c r="B126" s="439"/>
      <c r="C126" s="439"/>
      <c r="D126" s="530"/>
      <c r="E126" s="247"/>
      <c r="F126" s="439"/>
      <c r="G126" s="439"/>
      <c r="H126" s="439"/>
      <c r="I126" s="439"/>
      <c r="J126" s="530"/>
      <c r="K126" s="247"/>
      <c r="L126" s="439"/>
      <c r="M126" s="439"/>
      <c r="N126" s="439"/>
      <c r="O126" s="439"/>
      <c r="P126" s="530"/>
      <c r="Q126" s="247"/>
      <c r="R126" s="439"/>
      <c r="S126" s="439"/>
      <c r="T126" s="439"/>
      <c r="U126" s="439"/>
      <c r="V126" s="439"/>
      <c r="W126" s="439"/>
      <c r="X126" s="439"/>
      <c r="Y126" s="439"/>
      <c r="Z126" s="439"/>
      <c r="AA126" s="439"/>
      <c r="AB126" s="439"/>
      <c r="AC126" s="439"/>
    </row>
    <row r="127" ht="15.75" customHeight="1">
      <c r="A127" s="439"/>
      <c r="B127" s="439"/>
      <c r="C127" s="439"/>
      <c r="D127" s="530"/>
      <c r="E127" s="247"/>
      <c r="F127" s="439"/>
      <c r="G127" s="439"/>
      <c r="H127" s="439"/>
      <c r="I127" s="439"/>
      <c r="J127" s="530"/>
      <c r="K127" s="247"/>
      <c r="L127" s="439"/>
      <c r="M127" s="439"/>
      <c r="N127" s="439"/>
      <c r="O127" s="439"/>
      <c r="P127" s="530"/>
      <c r="Q127" s="247"/>
      <c r="R127" s="439"/>
      <c r="S127" s="439"/>
      <c r="T127" s="439"/>
      <c r="U127" s="439"/>
      <c r="V127" s="439"/>
      <c r="W127" s="439"/>
      <c r="X127" s="439"/>
      <c r="Y127" s="439"/>
      <c r="Z127" s="439"/>
      <c r="AA127" s="439"/>
      <c r="AB127" s="439"/>
      <c r="AC127" s="439"/>
    </row>
    <row r="128" ht="15.75" customHeight="1">
      <c r="A128" s="439"/>
      <c r="B128" s="439"/>
      <c r="C128" s="439"/>
      <c r="D128" s="530"/>
      <c r="E128" s="247"/>
      <c r="F128" s="439"/>
      <c r="G128" s="439"/>
      <c r="H128" s="439"/>
      <c r="I128" s="439"/>
      <c r="J128" s="530"/>
      <c r="K128" s="247"/>
      <c r="L128" s="439"/>
      <c r="M128" s="439"/>
      <c r="N128" s="439"/>
      <c r="O128" s="439"/>
      <c r="P128" s="530"/>
      <c r="Q128" s="247"/>
      <c r="R128" s="439"/>
      <c r="S128" s="439"/>
      <c r="T128" s="439"/>
      <c r="U128" s="439"/>
      <c r="V128" s="439"/>
      <c r="W128" s="439"/>
      <c r="X128" s="439"/>
      <c r="Y128" s="439"/>
      <c r="Z128" s="439"/>
      <c r="AA128" s="439"/>
      <c r="AB128" s="439"/>
      <c r="AC128" s="439"/>
    </row>
    <row r="129" ht="15.75" customHeight="1">
      <c r="A129" s="439"/>
      <c r="B129" s="439"/>
      <c r="C129" s="439"/>
      <c r="D129" s="530"/>
      <c r="E129" s="247"/>
      <c r="F129" s="439"/>
      <c r="G129" s="439"/>
      <c r="H129" s="439"/>
      <c r="I129" s="439"/>
      <c r="J129" s="530"/>
      <c r="K129" s="247"/>
      <c r="L129" s="439"/>
      <c r="M129" s="439"/>
      <c r="N129" s="439"/>
      <c r="O129" s="439"/>
      <c r="P129" s="530"/>
      <c r="Q129" s="247"/>
      <c r="R129" s="439"/>
      <c r="S129" s="439"/>
      <c r="T129" s="439"/>
      <c r="U129" s="439"/>
      <c r="V129" s="439"/>
      <c r="W129" s="439"/>
      <c r="X129" s="439"/>
      <c r="Y129" s="439"/>
      <c r="Z129" s="439"/>
      <c r="AA129" s="439"/>
      <c r="AB129" s="439"/>
      <c r="AC129" s="439"/>
    </row>
    <row r="130" ht="15.75" customHeight="1">
      <c r="A130" s="439"/>
      <c r="B130" s="439"/>
      <c r="C130" s="439"/>
      <c r="D130" s="530"/>
      <c r="E130" s="247"/>
      <c r="F130" s="439"/>
      <c r="G130" s="439"/>
      <c r="H130" s="439"/>
      <c r="I130" s="439"/>
      <c r="J130" s="530"/>
      <c r="K130" s="247"/>
      <c r="L130" s="439"/>
      <c r="M130" s="439"/>
      <c r="N130" s="439"/>
      <c r="O130" s="439"/>
      <c r="P130" s="530"/>
      <c r="Q130" s="247"/>
      <c r="R130" s="439"/>
      <c r="S130" s="439"/>
      <c r="T130" s="439"/>
      <c r="U130" s="439"/>
      <c r="V130" s="439"/>
      <c r="W130" s="439"/>
      <c r="X130" s="439"/>
      <c r="Y130" s="439"/>
      <c r="Z130" s="439"/>
      <c r="AA130" s="439"/>
      <c r="AB130" s="439"/>
      <c r="AC130" s="439"/>
    </row>
    <row r="131" ht="15.75" customHeight="1">
      <c r="A131" s="439"/>
      <c r="B131" s="439"/>
      <c r="C131" s="439"/>
      <c r="D131" s="530"/>
      <c r="E131" s="247"/>
      <c r="F131" s="439"/>
      <c r="G131" s="439"/>
      <c r="H131" s="439"/>
      <c r="I131" s="439"/>
      <c r="J131" s="530"/>
      <c r="K131" s="247"/>
      <c r="L131" s="439"/>
      <c r="M131" s="439"/>
      <c r="N131" s="439"/>
      <c r="O131" s="439"/>
      <c r="P131" s="530"/>
      <c r="Q131" s="247"/>
      <c r="R131" s="439"/>
      <c r="S131" s="439"/>
      <c r="T131" s="439"/>
      <c r="U131" s="439"/>
      <c r="V131" s="439"/>
      <c r="W131" s="439"/>
      <c r="X131" s="439"/>
      <c r="Y131" s="439"/>
      <c r="Z131" s="439"/>
      <c r="AA131" s="439"/>
      <c r="AB131" s="439"/>
      <c r="AC131" s="439"/>
    </row>
    <row r="132" ht="15.75" customHeight="1">
      <c r="A132" s="439"/>
      <c r="B132" s="439"/>
      <c r="C132" s="439"/>
      <c r="D132" s="530"/>
      <c r="E132" s="247"/>
      <c r="F132" s="439"/>
      <c r="G132" s="439"/>
      <c r="H132" s="439"/>
      <c r="I132" s="439"/>
      <c r="J132" s="530"/>
      <c r="K132" s="247"/>
      <c r="L132" s="439"/>
      <c r="M132" s="439"/>
      <c r="N132" s="439"/>
      <c r="O132" s="439"/>
      <c r="P132" s="530"/>
      <c r="Q132" s="247"/>
      <c r="R132" s="439"/>
      <c r="S132" s="439"/>
      <c r="T132" s="439"/>
      <c r="U132" s="439"/>
      <c r="V132" s="439"/>
      <c r="W132" s="439"/>
      <c r="X132" s="439"/>
      <c r="Y132" s="439"/>
      <c r="Z132" s="439"/>
      <c r="AA132" s="439"/>
      <c r="AB132" s="439"/>
      <c r="AC132" s="439"/>
    </row>
    <row r="133" ht="15.75" customHeight="1">
      <c r="A133" s="439"/>
      <c r="B133" s="439"/>
      <c r="C133" s="439"/>
      <c r="D133" s="530"/>
      <c r="E133" s="247"/>
      <c r="F133" s="439"/>
      <c r="G133" s="439"/>
      <c r="H133" s="439"/>
      <c r="I133" s="439"/>
      <c r="J133" s="530"/>
      <c r="K133" s="247"/>
      <c r="L133" s="439"/>
      <c r="M133" s="439"/>
      <c r="N133" s="439"/>
      <c r="O133" s="439"/>
      <c r="P133" s="530"/>
      <c r="Q133" s="247"/>
      <c r="R133" s="439"/>
      <c r="S133" s="439"/>
      <c r="T133" s="439"/>
      <c r="U133" s="439"/>
      <c r="V133" s="439"/>
      <c r="W133" s="439"/>
      <c r="X133" s="439"/>
      <c r="Y133" s="439"/>
      <c r="Z133" s="439"/>
      <c r="AA133" s="439"/>
      <c r="AB133" s="439"/>
      <c r="AC133" s="439"/>
    </row>
    <row r="134" ht="15.75" customHeight="1">
      <c r="A134" s="439"/>
      <c r="B134" s="439"/>
      <c r="C134" s="439"/>
      <c r="D134" s="530"/>
      <c r="E134" s="247"/>
      <c r="F134" s="439"/>
      <c r="G134" s="439"/>
      <c r="H134" s="439"/>
      <c r="I134" s="439"/>
      <c r="J134" s="530"/>
      <c r="K134" s="247"/>
      <c r="L134" s="439"/>
      <c r="M134" s="439"/>
      <c r="N134" s="439"/>
      <c r="O134" s="439"/>
      <c r="P134" s="530"/>
      <c r="Q134" s="247"/>
      <c r="R134" s="439"/>
      <c r="S134" s="439"/>
      <c r="T134" s="439"/>
      <c r="U134" s="439"/>
      <c r="V134" s="439"/>
      <c r="W134" s="439"/>
      <c r="X134" s="439"/>
      <c r="Y134" s="439"/>
      <c r="Z134" s="439"/>
      <c r="AA134" s="439"/>
      <c r="AB134" s="439"/>
      <c r="AC134" s="439"/>
    </row>
    <row r="135" ht="15.75" customHeight="1">
      <c r="A135" s="439"/>
      <c r="B135" s="439"/>
      <c r="C135" s="439"/>
      <c r="D135" s="530"/>
      <c r="E135" s="247"/>
      <c r="F135" s="439"/>
      <c r="G135" s="439"/>
      <c r="H135" s="439"/>
      <c r="I135" s="439"/>
      <c r="J135" s="530"/>
      <c r="K135" s="247"/>
      <c r="L135" s="439"/>
      <c r="M135" s="439"/>
      <c r="N135" s="439"/>
      <c r="O135" s="439"/>
      <c r="P135" s="530"/>
      <c r="Q135" s="247"/>
      <c r="R135" s="439"/>
      <c r="S135" s="439"/>
      <c r="T135" s="439"/>
      <c r="U135" s="439"/>
      <c r="V135" s="439"/>
      <c r="W135" s="439"/>
      <c r="X135" s="439"/>
      <c r="Y135" s="439"/>
      <c r="Z135" s="439"/>
      <c r="AA135" s="439"/>
      <c r="AB135" s="439"/>
      <c r="AC135" s="439"/>
    </row>
    <row r="136" ht="15.75" customHeight="1">
      <c r="A136" s="439"/>
      <c r="B136" s="439"/>
      <c r="C136" s="439"/>
      <c r="D136" s="530"/>
      <c r="E136" s="247"/>
      <c r="F136" s="439"/>
      <c r="G136" s="439"/>
      <c r="H136" s="439"/>
      <c r="I136" s="439"/>
      <c r="J136" s="530"/>
      <c r="K136" s="247"/>
      <c r="L136" s="439"/>
      <c r="M136" s="439"/>
      <c r="N136" s="439"/>
      <c r="O136" s="439"/>
      <c r="P136" s="530"/>
      <c r="Q136" s="247"/>
      <c r="R136" s="439"/>
      <c r="S136" s="439"/>
      <c r="T136" s="439"/>
      <c r="U136" s="439"/>
      <c r="V136" s="439"/>
      <c r="W136" s="439"/>
      <c r="X136" s="439"/>
      <c r="Y136" s="439"/>
      <c r="Z136" s="439"/>
      <c r="AA136" s="439"/>
      <c r="AB136" s="439"/>
      <c r="AC136" s="439"/>
    </row>
    <row r="137" ht="15.75" customHeight="1">
      <c r="A137" s="439"/>
      <c r="B137" s="439"/>
      <c r="C137" s="439"/>
      <c r="D137" s="530"/>
      <c r="E137" s="247"/>
      <c r="F137" s="439"/>
      <c r="G137" s="439"/>
      <c r="H137" s="439"/>
      <c r="I137" s="439"/>
      <c r="J137" s="530"/>
      <c r="K137" s="247"/>
      <c r="L137" s="439"/>
      <c r="M137" s="439"/>
      <c r="N137" s="439"/>
      <c r="O137" s="439"/>
      <c r="P137" s="530"/>
      <c r="Q137" s="247"/>
      <c r="R137" s="439"/>
      <c r="S137" s="439"/>
      <c r="T137" s="439"/>
      <c r="U137" s="439"/>
      <c r="V137" s="439"/>
      <c r="W137" s="439"/>
      <c r="X137" s="439"/>
      <c r="Y137" s="439"/>
      <c r="Z137" s="439"/>
      <c r="AA137" s="439"/>
      <c r="AB137" s="439"/>
      <c r="AC137" s="439"/>
    </row>
    <row r="138" ht="15.75" customHeight="1">
      <c r="A138" s="439"/>
      <c r="B138" s="439"/>
      <c r="C138" s="439"/>
      <c r="D138" s="530"/>
      <c r="E138" s="247"/>
      <c r="F138" s="439"/>
      <c r="G138" s="439"/>
      <c r="H138" s="439"/>
      <c r="I138" s="439"/>
      <c r="J138" s="530"/>
      <c r="K138" s="247"/>
      <c r="L138" s="439"/>
      <c r="M138" s="439"/>
      <c r="N138" s="439"/>
      <c r="O138" s="439"/>
      <c r="P138" s="530"/>
      <c r="Q138" s="247"/>
      <c r="R138" s="439"/>
      <c r="S138" s="439"/>
      <c r="T138" s="439"/>
      <c r="U138" s="439"/>
      <c r="V138" s="439"/>
      <c r="W138" s="439"/>
      <c r="X138" s="439"/>
      <c r="Y138" s="439"/>
      <c r="Z138" s="439"/>
      <c r="AA138" s="439"/>
      <c r="AB138" s="439"/>
      <c r="AC138" s="439"/>
    </row>
    <row r="139" ht="15.75" customHeight="1">
      <c r="A139" s="439"/>
      <c r="B139" s="439"/>
      <c r="C139" s="439"/>
      <c r="D139" s="530"/>
      <c r="E139" s="247"/>
      <c r="F139" s="439"/>
      <c r="G139" s="439"/>
      <c r="H139" s="439"/>
      <c r="I139" s="439"/>
      <c r="J139" s="530"/>
      <c r="K139" s="247"/>
      <c r="L139" s="439"/>
      <c r="M139" s="439"/>
      <c r="N139" s="439"/>
      <c r="O139" s="439"/>
      <c r="P139" s="530"/>
      <c r="Q139" s="247"/>
      <c r="R139" s="439"/>
      <c r="S139" s="439"/>
      <c r="T139" s="439"/>
      <c r="U139" s="439"/>
      <c r="V139" s="439"/>
      <c r="W139" s="439"/>
      <c r="X139" s="439"/>
      <c r="Y139" s="439"/>
      <c r="Z139" s="439"/>
      <c r="AA139" s="439"/>
      <c r="AB139" s="439"/>
      <c r="AC139" s="439"/>
    </row>
    <row r="140" ht="15.75" customHeight="1">
      <c r="A140" s="439"/>
      <c r="B140" s="439"/>
      <c r="C140" s="439"/>
      <c r="D140" s="530"/>
      <c r="E140" s="247"/>
      <c r="F140" s="439"/>
      <c r="G140" s="439"/>
      <c r="H140" s="439"/>
      <c r="I140" s="439"/>
      <c r="J140" s="530"/>
      <c r="K140" s="247"/>
      <c r="L140" s="439"/>
      <c r="M140" s="439"/>
      <c r="N140" s="439"/>
      <c r="O140" s="439"/>
      <c r="P140" s="530"/>
      <c r="Q140" s="247"/>
      <c r="R140" s="439"/>
      <c r="S140" s="439"/>
      <c r="T140" s="439"/>
      <c r="U140" s="439"/>
      <c r="V140" s="439"/>
      <c r="W140" s="439"/>
      <c r="X140" s="439"/>
      <c r="Y140" s="439"/>
      <c r="Z140" s="439"/>
      <c r="AA140" s="439"/>
      <c r="AB140" s="439"/>
      <c r="AC140" s="439"/>
    </row>
    <row r="141" ht="15.75" customHeight="1">
      <c r="A141" s="439"/>
      <c r="B141" s="439"/>
      <c r="C141" s="439"/>
      <c r="D141" s="530"/>
      <c r="E141" s="247"/>
      <c r="F141" s="439"/>
      <c r="G141" s="439"/>
      <c r="H141" s="439"/>
      <c r="I141" s="439"/>
      <c r="J141" s="530"/>
      <c r="K141" s="247"/>
      <c r="L141" s="439"/>
      <c r="M141" s="439"/>
      <c r="N141" s="439"/>
      <c r="O141" s="439"/>
      <c r="P141" s="530"/>
      <c r="Q141" s="247"/>
      <c r="R141" s="439"/>
      <c r="S141" s="439"/>
      <c r="T141" s="439"/>
      <c r="U141" s="439"/>
      <c r="V141" s="439"/>
      <c r="W141" s="439"/>
      <c r="X141" s="439"/>
      <c r="Y141" s="439"/>
      <c r="Z141" s="439"/>
      <c r="AA141" s="439"/>
      <c r="AB141" s="439"/>
      <c r="AC141" s="439"/>
    </row>
    <row r="142" ht="15.75" customHeight="1">
      <c r="A142" s="439"/>
      <c r="B142" s="439"/>
      <c r="C142" s="439"/>
      <c r="D142" s="530"/>
      <c r="E142" s="247"/>
      <c r="F142" s="439"/>
      <c r="G142" s="439"/>
      <c r="H142" s="439"/>
      <c r="I142" s="439"/>
      <c r="J142" s="530"/>
      <c r="K142" s="247"/>
      <c r="L142" s="439"/>
      <c r="M142" s="439"/>
      <c r="N142" s="439"/>
      <c r="O142" s="439"/>
      <c r="P142" s="530"/>
      <c r="Q142" s="247"/>
      <c r="R142" s="439"/>
      <c r="S142" s="439"/>
      <c r="T142" s="439"/>
      <c r="U142" s="439"/>
      <c r="V142" s="439"/>
      <c r="W142" s="439"/>
      <c r="X142" s="439"/>
      <c r="Y142" s="439"/>
      <c r="Z142" s="439"/>
      <c r="AA142" s="439"/>
      <c r="AB142" s="439"/>
      <c r="AC142" s="439"/>
    </row>
    <row r="143" ht="15.75" customHeight="1">
      <c r="A143" s="439"/>
      <c r="B143" s="439"/>
      <c r="C143" s="439"/>
      <c r="D143" s="530"/>
      <c r="E143" s="247"/>
      <c r="F143" s="439"/>
      <c r="G143" s="439"/>
      <c r="H143" s="439"/>
      <c r="I143" s="439"/>
      <c r="J143" s="530"/>
      <c r="K143" s="247"/>
      <c r="L143" s="439"/>
      <c r="M143" s="439"/>
      <c r="N143" s="439"/>
      <c r="O143" s="439"/>
      <c r="P143" s="530"/>
      <c r="Q143" s="247"/>
      <c r="R143" s="439"/>
      <c r="S143" s="439"/>
      <c r="T143" s="439"/>
      <c r="U143" s="439"/>
      <c r="V143" s="439"/>
      <c r="W143" s="439"/>
      <c r="X143" s="439"/>
      <c r="Y143" s="439"/>
      <c r="Z143" s="439"/>
      <c r="AA143" s="439"/>
      <c r="AB143" s="439"/>
      <c r="AC143" s="439"/>
    </row>
    <row r="144" ht="15.75" customHeight="1">
      <c r="A144" s="439"/>
      <c r="B144" s="439"/>
      <c r="C144" s="439"/>
      <c r="D144" s="530"/>
      <c r="E144" s="247"/>
      <c r="F144" s="439"/>
      <c r="G144" s="439"/>
      <c r="H144" s="439"/>
      <c r="I144" s="439"/>
      <c r="J144" s="530"/>
      <c r="K144" s="247"/>
      <c r="L144" s="439"/>
      <c r="M144" s="439"/>
      <c r="N144" s="439"/>
      <c r="O144" s="439"/>
      <c r="P144" s="530"/>
      <c r="Q144" s="247"/>
      <c r="R144" s="439"/>
      <c r="S144" s="439"/>
      <c r="T144" s="439"/>
      <c r="U144" s="439"/>
      <c r="V144" s="439"/>
      <c r="W144" s="439"/>
      <c r="X144" s="439"/>
      <c r="Y144" s="439"/>
      <c r="Z144" s="439"/>
      <c r="AA144" s="439"/>
      <c r="AB144" s="439"/>
      <c r="AC144" s="439"/>
    </row>
    <row r="145" ht="15.75" customHeight="1">
      <c r="A145" s="439"/>
      <c r="B145" s="439"/>
      <c r="C145" s="439"/>
      <c r="D145" s="530"/>
      <c r="E145" s="247"/>
      <c r="F145" s="439"/>
      <c r="G145" s="439"/>
      <c r="H145" s="439"/>
      <c r="I145" s="439"/>
      <c r="J145" s="530"/>
      <c r="K145" s="247"/>
      <c r="L145" s="439"/>
      <c r="M145" s="439"/>
      <c r="N145" s="439"/>
      <c r="O145" s="439"/>
      <c r="P145" s="530"/>
      <c r="Q145" s="247"/>
      <c r="R145" s="439"/>
      <c r="S145" s="439"/>
      <c r="T145" s="439"/>
      <c r="U145" s="439"/>
      <c r="V145" s="439"/>
      <c r="W145" s="439"/>
      <c r="X145" s="439"/>
      <c r="Y145" s="439"/>
      <c r="Z145" s="439"/>
      <c r="AA145" s="439"/>
      <c r="AB145" s="439"/>
      <c r="AC145" s="439"/>
    </row>
    <row r="146" ht="15.75" customHeight="1">
      <c r="A146" s="439"/>
      <c r="B146" s="439"/>
      <c r="C146" s="439"/>
      <c r="D146" s="530"/>
      <c r="E146" s="247"/>
      <c r="F146" s="439"/>
      <c r="G146" s="439"/>
      <c r="H146" s="439"/>
      <c r="I146" s="439"/>
      <c r="J146" s="530"/>
      <c r="K146" s="247"/>
      <c r="L146" s="439"/>
      <c r="M146" s="439"/>
      <c r="N146" s="439"/>
      <c r="O146" s="439"/>
      <c r="P146" s="530"/>
      <c r="Q146" s="247"/>
      <c r="R146" s="439"/>
      <c r="S146" s="439"/>
      <c r="T146" s="439"/>
      <c r="U146" s="439"/>
      <c r="V146" s="439"/>
      <c r="W146" s="439"/>
      <c r="X146" s="439"/>
      <c r="Y146" s="439"/>
      <c r="Z146" s="439"/>
      <c r="AA146" s="439"/>
      <c r="AB146" s="439"/>
      <c r="AC146" s="439"/>
    </row>
    <row r="147" ht="15.75" customHeight="1">
      <c r="A147" s="439"/>
      <c r="B147" s="439"/>
      <c r="C147" s="439"/>
      <c r="D147" s="530"/>
      <c r="E147" s="247"/>
      <c r="F147" s="439"/>
      <c r="G147" s="439"/>
      <c r="H147" s="439"/>
      <c r="I147" s="439"/>
      <c r="J147" s="530"/>
      <c r="K147" s="247"/>
      <c r="L147" s="439"/>
      <c r="M147" s="439"/>
      <c r="N147" s="439"/>
      <c r="O147" s="439"/>
      <c r="P147" s="530"/>
      <c r="Q147" s="247"/>
      <c r="R147" s="439"/>
      <c r="S147" s="439"/>
      <c r="T147" s="439"/>
      <c r="U147" s="439"/>
      <c r="V147" s="439"/>
      <c r="W147" s="439"/>
      <c r="X147" s="439"/>
      <c r="Y147" s="439"/>
      <c r="Z147" s="439"/>
      <c r="AA147" s="439"/>
      <c r="AB147" s="439"/>
      <c r="AC147" s="439"/>
    </row>
    <row r="148" ht="15.75" customHeight="1">
      <c r="A148" s="439"/>
      <c r="B148" s="439"/>
      <c r="C148" s="439"/>
      <c r="D148" s="530"/>
      <c r="E148" s="247"/>
      <c r="F148" s="439"/>
      <c r="G148" s="439"/>
      <c r="H148" s="439"/>
      <c r="I148" s="439"/>
      <c r="J148" s="530"/>
      <c r="K148" s="247"/>
      <c r="L148" s="439"/>
      <c r="M148" s="439"/>
      <c r="N148" s="439"/>
      <c r="O148" s="439"/>
      <c r="P148" s="530"/>
      <c r="Q148" s="247"/>
      <c r="R148" s="439"/>
      <c r="S148" s="439"/>
      <c r="T148" s="439"/>
      <c r="U148" s="439"/>
      <c r="V148" s="439"/>
      <c r="W148" s="439"/>
      <c r="X148" s="439"/>
      <c r="Y148" s="439"/>
      <c r="Z148" s="439"/>
      <c r="AA148" s="439"/>
      <c r="AB148" s="439"/>
      <c r="AC148" s="439"/>
    </row>
    <row r="149" ht="15.75" customHeight="1">
      <c r="A149" s="439"/>
      <c r="B149" s="439"/>
      <c r="C149" s="439"/>
      <c r="D149" s="530"/>
      <c r="E149" s="247"/>
      <c r="F149" s="439"/>
      <c r="G149" s="439"/>
      <c r="H149" s="439"/>
      <c r="I149" s="439"/>
      <c r="J149" s="530"/>
      <c r="K149" s="247"/>
      <c r="L149" s="439"/>
      <c r="M149" s="439"/>
      <c r="N149" s="439"/>
      <c r="O149" s="439"/>
      <c r="P149" s="530"/>
      <c r="Q149" s="247"/>
      <c r="R149" s="439"/>
      <c r="S149" s="439"/>
      <c r="T149" s="439"/>
      <c r="U149" s="439"/>
      <c r="V149" s="439"/>
      <c r="W149" s="439"/>
      <c r="X149" s="439"/>
      <c r="Y149" s="439"/>
      <c r="Z149" s="439"/>
      <c r="AA149" s="439"/>
      <c r="AB149" s="439"/>
      <c r="AC149" s="439"/>
    </row>
    <row r="150" ht="15.75" customHeight="1">
      <c r="A150" s="439"/>
      <c r="B150" s="439"/>
      <c r="C150" s="439"/>
      <c r="D150" s="530"/>
      <c r="E150" s="247"/>
      <c r="F150" s="439"/>
      <c r="G150" s="439"/>
      <c r="H150" s="439"/>
      <c r="I150" s="439"/>
      <c r="J150" s="530"/>
      <c r="K150" s="247"/>
      <c r="L150" s="439"/>
      <c r="M150" s="439"/>
      <c r="N150" s="439"/>
      <c r="O150" s="439"/>
      <c r="P150" s="530"/>
      <c r="Q150" s="247"/>
      <c r="R150" s="439"/>
      <c r="S150" s="439"/>
      <c r="T150" s="439"/>
      <c r="U150" s="439"/>
      <c r="V150" s="439"/>
      <c r="W150" s="439"/>
      <c r="X150" s="439"/>
      <c r="Y150" s="439"/>
      <c r="Z150" s="439"/>
      <c r="AA150" s="439"/>
      <c r="AB150" s="439"/>
      <c r="AC150" s="439"/>
    </row>
    <row r="151" ht="15.75" customHeight="1">
      <c r="A151" s="439"/>
      <c r="B151" s="439"/>
      <c r="C151" s="439"/>
      <c r="D151" s="530"/>
      <c r="E151" s="247"/>
      <c r="F151" s="439"/>
      <c r="G151" s="439"/>
      <c r="H151" s="439"/>
      <c r="I151" s="439"/>
      <c r="J151" s="530"/>
      <c r="K151" s="247"/>
      <c r="L151" s="439"/>
      <c r="M151" s="439"/>
      <c r="N151" s="439"/>
      <c r="O151" s="439"/>
      <c r="P151" s="530"/>
      <c r="Q151" s="247"/>
      <c r="R151" s="439"/>
      <c r="S151" s="439"/>
      <c r="T151" s="439"/>
      <c r="U151" s="439"/>
      <c r="V151" s="439"/>
      <c r="W151" s="439"/>
      <c r="X151" s="439"/>
      <c r="Y151" s="439"/>
      <c r="Z151" s="439"/>
      <c r="AA151" s="439"/>
      <c r="AB151" s="439"/>
      <c r="AC151" s="439"/>
    </row>
    <row r="152" ht="15.75" customHeight="1">
      <c r="A152" s="439"/>
      <c r="B152" s="439"/>
      <c r="C152" s="439"/>
      <c r="D152" s="530"/>
      <c r="E152" s="247"/>
      <c r="F152" s="439"/>
      <c r="G152" s="439"/>
      <c r="H152" s="439"/>
      <c r="I152" s="439"/>
      <c r="J152" s="530"/>
      <c r="K152" s="247"/>
      <c r="L152" s="439"/>
      <c r="M152" s="439"/>
      <c r="N152" s="439"/>
      <c r="O152" s="439"/>
      <c r="P152" s="530"/>
      <c r="Q152" s="247"/>
      <c r="R152" s="439"/>
      <c r="S152" s="439"/>
      <c r="T152" s="439"/>
      <c r="U152" s="439"/>
      <c r="V152" s="439"/>
      <c r="W152" s="439"/>
      <c r="X152" s="439"/>
      <c r="Y152" s="439"/>
      <c r="Z152" s="439"/>
      <c r="AA152" s="439"/>
      <c r="AB152" s="439"/>
      <c r="AC152" s="439"/>
    </row>
    <row r="153" ht="15.75" customHeight="1">
      <c r="A153" s="439"/>
      <c r="B153" s="439"/>
      <c r="C153" s="439"/>
      <c r="D153" s="530"/>
      <c r="E153" s="247"/>
      <c r="F153" s="439"/>
      <c r="G153" s="439"/>
      <c r="H153" s="439"/>
      <c r="I153" s="439"/>
      <c r="J153" s="530"/>
      <c r="K153" s="247"/>
      <c r="L153" s="439"/>
      <c r="M153" s="439"/>
      <c r="N153" s="439"/>
      <c r="O153" s="439"/>
      <c r="P153" s="530"/>
      <c r="Q153" s="247"/>
      <c r="R153" s="439"/>
      <c r="S153" s="439"/>
      <c r="T153" s="439"/>
      <c r="U153" s="439"/>
      <c r="V153" s="439"/>
      <c r="W153" s="439"/>
      <c r="X153" s="439"/>
      <c r="Y153" s="439"/>
      <c r="Z153" s="439"/>
      <c r="AA153" s="439"/>
      <c r="AB153" s="439"/>
      <c r="AC153" s="439"/>
    </row>
    <row r="154" ht="15.75" customHeight="1">
      <c r="A154" s="439"/>
      <c r="B154" s="439"/>
      <c r="C154" s="439"/>
      <c r="D154" s="530"/>
      <c r="E154" s="247"/>
      <c r="F154" s="439"/>
      <c r="G154" s="439"/>
      <c r="H154" s="439"/>
      <c r="I154" s="439"/>
      <c r="J154" s="530"/>
      <c r="K154" s="247"/>
      <c r="L154" s="439"/>
      <c r="M154" s="439"/>
      <c r="N154" s="439"/>
      <c r="O154" s="439"/>
      <c r="P154" s="530"/>
      <c r="Q154" s="247"/>
      <c r="R154" s="439"/>
      <c r="S154" s="439"/>
      <c r="T154" s="439"/>
      <c r="U154" s="439"/>
      <c r="V154" s="439"/>
      <c r="W154" s="439"/>
      <c r="X154" s="439"/>
      <c r="Y154" s="439"/>
      <c r="Z154" s="439"/>
      <c r="AA154" s="439"/>
      <c r="AB154" s="439"/>
      <c r="AC154" s="439"/>
    </row>
    <row r="155" ht="15.75" customHeight="1">
      <c r="A155" s="439"/>
      <c r="B155" s="439"/>
      <c r="C155" s="439"/>
      <c r="D155" s="530"/>
      <c r="E155" s="247"/>
      <c r="F155" s="439"/>
      <c r="G155" s="439"/>
      <c r="H155" s="439"/>
      <c r="I155" s="439"/>
      <c r="J155" s="530"/>
      <c r="K155" s="247"/>
      <c r="L155" s="439"/>
      <c r="M155" s="439"/>
      <c r="N155" s="439"/>
      <c r="O155" s="439"/>
      <c r="P155" s="530"/>
      <c r="Q155" s="247"/>
      <c r="R155" s="439"/>
      <c r="S155" s="439"/>
      <c r="T155" s="439"/>
      <c r="U155" s="439"/>
      <c r="V155" s="439"/>
      <c r="W155" s="439"/>
      <c r="X155" s="439"/>
      <c r="Y155" s="439"/>
      <c r="Z155" s="439"/>
      <c r="AA155" s="439"/>
      <c r="AB155" s="439"/>
      <c r="AC155" s="439"/>
    </row>
    <row r="156" ht="15.75" customHeight="1">
      <c r="A156" s="439"/>
      <c r="B156" s="439"/>
      <c r="C156" s="439"/>
      <c r="D156" s="530"/>
      <c r="E156" s="247"/>
      <c r="F156" s="439"/>
      <c r="G156" s="439"/>
      <c r="H156" s="439"/>
      <c r="I156" s="439"/>
      <c r="J156" s="530"/>
      <c r="K156" s="247"/>
      <c r="L156" s="439"/>
      <c r="M156" s="439"/>
      <c r="N156" s="439"/>
      <c r="O156" s="439"/>
      <c r="P156" s="530"/>
      <c r="Q156" s="247"/>
      <c r="R156" s="439"/>
      <c r="S156" s="439"/>
      <c r="T156" s="439"/>
      <c r="U156" s="439"/>
      <c r="V156" s="439"/>
      <c r="W156" s="439"/>
      <c r="X156" s="439"/>
      <c r="Y156" s="439"/>
      <c r="Z156" s="439"/>
      <c r="AA156" s="439"/>
      <c r="AB156" s="439"/>
      <c r="AC156" s="439"/>
    </row>
    <row r="157" ht="15.75" customHeight="1">
      <c r="A157" s="439"/>
      <c r="B157" s="439"/>
      <c r="C157" s="439"/>
      <c r="D157" s="530"/>
      <c r="E157" s="247"/>
      <c r="F157" s="439"/>
      <c r="G157" s="439"/>
      <c r="H157" s="439"/>
      <c r="I157" s="439"/>
      <c r="J157" s="530"/>
      <c r="K157" s="247"/>
      <c r="L157" s="439"/>
      <c r="M157" s="439"/>
      <c r="N157" s="439"/>
      <c r="O157" s="439"/>
      <c r="P157" s="530"/>
      <c r="Q157" s="247"/>
      <c r="R157" s="439"/>
      <c r="S157" s="439"/>
      <c r="T157" s="439"/>
      <c r="U157" s="439"/>
      <c r="V157" s="439"/>
      <c r="W157" s="439"/>
      <c r="X157" s="439"/>
      <c r="Y157" s="439"/>
      <c r="Z157" s="439"/>
      <c r="AA157" s="439"/>
      <c r="AB157" s="439"/>
      <c r="AC157" s="439"/>
    </row>
    <row r="158" ht="15.75" customHeight="1">
      <c r="A158" s="439"/>
      <c r="B158" s="439"/>
      <c r="C158" s="439"/>
      <c r="D158" s="530"/>
      <c r="E158" s="247"/>
      <c r="F158" s="439"/>
      <c r="G158" s="439"/>
      <c r="H158" s="439"/>
      <c r="I158" s="439"/>
      <c r="J158" s="530"/>
      <c r="K158" s="247"/>
      <c r="L158" s="439"/>
      <c r="M158" s="439"/>
      <c r="N158" s="439"/>
      <c r="O158" s="439"/>
      <c r="P158" s="530"/>
      <c r="Q158" s="247"/>
      <c r="R158" s="439"/>
      <c r="S158" s="439"/>
      <c r="T158" s="439"/>
      <c r="U158" s="439"/>
      <c r="V158" s="439"/>
      <c r="W158" s="439"/>
      <c r="X158" s="439"/>
      <c r="Y158" s="439"/>
      <c r="Z158" s="439"/>
      <c r="AA158" s="439"/>
      <c r="AB158" s="439"/>
      <c r="AC158" s="439"/>
    </row>
    <row r="159" ht="15.75" customHeight="1">
      <c r="A159" s="439"/>
      <c r="B159" s="439"/>
      <c r="C159" s="439"/>
      <c r="D159" s="530"/>
      <c r="E159" s="247"/>
      <c r="F159" s="439"/>
      <c r="G159" s="439"/>
      <c r="H159" s="439"/>
      <c r="I159" s="439"/>
      <c r="J159" s="530"/>
      <c r="K159" s="247"/>
      <c r="L159" s="439"/>
      <c r="M159" s="439"/>
      <c r="N159" s="439"/>
      <c r="O159" s="439"/>
      <c r="P159" s="530"/>
      <c r="Q159" s="247"/>
      <c r="R159" s="439"/>
      <c r="S159" s="439"/>
      <c r="T159" s="439"/>
      <c r="U159" s="439"/>
      <c r="V159" s="439"/>
      <c r="W159" s="439"/>
      <c r="X159" s="439"/>
      <c r="Y159" s="439"/>
      <c r="Z159" s="439"/>
      <c r="AA159" s="439"/>
      <c r="AB159" s="439"/>
      <c r="AC159" s="439"/>
    </row>
    <row r="160" ht="15.75" customHeight="1">
      <c r="A160" s="439"/>
      <c r="B160" s="439"/>
      <c r="C160" s="439"/>
      <c r="D160" s="530"/>
      <c r="E160" s="247"/>
      <c r="F160" s="439"/>
      <c r="G160" s="439"/>
      <c r="H160" s="439"/>
      <c r="I160" s="439"/>
      <c r="J160" s="530"/>
      <c r="K160" s="247"/>
      <c r="L160" s="439"/>
      <c r="M160" s="439"/>
      <c r="N160" s="439"/>
      <c r="O160" s="439"/>
      <c r="P160" s="530"/>
      <c r="Q160" s="247"/>
      <c r="R160" s="439"/>
      <c r="S160" s="439"/>
      <c r="T160" s="439"/>
      <c r="U160" s="439"/>
      <c r="V160" s="439"/>
      <c r="W160" s="439"/>
      <c r="X160" s="439"/>
      <c r="Y160" s="439"/>
      <c r="Z160" s="439"/>
      <c r="AA160" s="439"/>
      <c r="AB160" s="439"/>
      <c r="AC160" s="439"/>
    </row>
    <row r="161" ht="15.75" customHeight="1">
      <c r="A161" s="439"/>
      <c r="B161" s="439"/>
      <c r="C161" s="439"/>
      <c r="D161" s="530"/>
      <c r="E161" s="247"/>
      <c r="F161" s="439"/>
      <c r="G161" s="439"/>
      <c r="H161" s="439"/>
      <c r="I161" s="439"/>
      <c r="J161" s="530"/>
      <c r="K161" s="247"/>
      <c r="L161" s="439"/>
      <c r="M161" s="439"/>
      <c r="N161" s="439"/>
      <c r="O161" s="439"/>
      <c r="P161" s="530"/>
      <c r="Q161" s="247"/>
      <c r="R161" s="439"/>
      <c r="S161" s="439"/>
      <c r="T161" s="439"/>
      <c r="U161" s="439"/>
      <c r="V161" s="439"/>
      <c r="W161" s="439"/>
      <c r="X161" s="439"/>
      <c r="Y161" s="439"/>
      <c r="Z161" s="439"/>
      <c r="AA161" s="439"/>
      <c r="AB161" s="439"/>
      <c r="AC161" s="439"/>
    </row>
    <row r="162" ht="15.75" customHeight="1">
      <c r="A162" s="439"/>
      <c r="B162" s="439"/>
      <c r="C162" s="439"/>
      <c r="D162" s="530"/>
      <c r="E162" s="247"/>
      <c r="F162" s="439"/>
      <c r="G162" s="439"/>
      <c r="H162" s="439"/>
      <c r="I162" s="439"/>
      <c r="J162" s="530"/>
      <c r="K162" s="247"/>
      <c r="L162" s="439"/>
      <c r="M162" s="439"/>
      <c r="N162" s="439"/>
      <c r="O162" s="439"/>
      <c r="P162" s="530"/>
      <c r="Q162" s="247"/>
      <c r="R162" s="439"/>
      <c r="S162" s="439"/>
      <c r="T162" s="439"/>
      <c r="U162" s="439"/>
      <c r="V162" s="439"/>
      <c r="W162" s="439"/>
      <c r="X162" s="439"/>
      <c r="Y162" s="439"/>
      <c r="Z162" s="439"/>
      <c r="AA162" s="439"/>
      <c r="AB162" s="439"/>
      <c r="AC162" s="439"/>
    </row>
    <row r="163" ht="15.75" customHeight="1">
      <c r="A163" s="439"/>
      <c r="B163" s="439"/>
      <c r="C163" s="439"/>
      <c r="D163" s="530"/>
      <c r="E163" s="247"/>
      <c r="F163" s="439"/>
      <c r="G163" s="439"/>
      <c r="H163" s="439"/>
      <c r="I163" s="439"/>
      <c r="J163" s="530"/>
      <c r="K163" s="247"/>
      <c r="L163" s="439"/>
      <c r="M163" s="439"/>
      <c r="N163" s="439"/>
      <c r="O163" s="439"/>
      <c r="P163" s="530"/>
      <c r="Q163" s="247"/>
      <c r="R163" s="439"/>
      <c r="S163" s="439"/>
      <c r="T163" s="439"/>
      <c r="U163" s="439"/>
      <c r="V163" s="439"/>
      <c r="W163" s="439"/>
      <c r="X163" s="439"/>
      <c r="Y163" s="439"/>
      <c r="Z163" s="439"/>
      <c r="AA163" s="439"/>
      <c r="AB163" s="439"/>
      <c r="AC163" s="439"/>
    </row>
    <row r="164" ht="15.75" customHeight="1">
      <c r="A164" s="439"/>
      <c r="B164" s="439"/>
      <c r="C164" s="439"/>
      <c r="D164" s="530"/>
      <c r="E164" s="247"/>
      <c r="F164" s="439"/>
      <c r="G164" s="439"/>
      <c r="H164" s="439"/>
      <c r="I164" s="439"/>
      <c r="J164" s="530"/>
      <c r="K164" s="247"/>
      <c r="L164" s="439"/>
      <c r="M164" s="439"/>
      <c r="N164" s="439"/>
      <c r="O164" s="439"/>
      <c r="P164" s="530"/>
      <c r="Q164" s="247"/>
      <c r="R164" s="439"/>
      <c r="S164" s="439"/>
      <c r="T164" s="439"/>
      <c r="U164" s="439"/>
      <c r="V164" s="439"/>
      <c r="W164" s="439"/>
      <c r="X164" s="439"/>
      <c r="Y164" s="439"/>
      <c r="Z164" s="439"/>
      <c r="AA164" s="439"/>
      <c r="AB164" s="439"/>
      <c r="AC164" s="439"/>
    </row>
    <row r="165" ht="15.75" customHeight="1">
      <c r="A165" s="439"/>
      <c r="B165" s="439"/>
      <c r="C165" s="439"/>
      <c r="D165" s="530"/>
      <c r="E165" s="247"/>
      <c r="F165" s="439"/>
      <c r="G165" s="439"/>
      <c r="H165" s="439"/>
      <c r="I165" s="439"/>
      <c r="J165" s="530"/>
      <c r="K165" s="247"/>
      <c r="L165" s="439"/>
      <c r="M165" s="439"/>
      <c r="N165" s="439"/>
      <c r="O165" s="439"/>
      <c r="P165" s="530"/>
      <c r="Q165" s="247"/>
      <c r="R165" s="439"/>
      <c r="S165" s="439"/>
      <c r="T165" s="439"/>
      <c r="U165" s="439"/>
      <c r="V165" s="439"/>
      <c r="W165" s="439"/>
      <c r="X165" s="439"/>
      <c r="Y165" s="439"/>
      <c r="Z165" s="439"/>
      <c r="AA165" s="439"/>
      <c r="AB165" s="439"/>
      <c r="AC165" s="439"/>
    </row>
    <row r="166" ht="15.75" customHeight="1">
      <c r="A166" s="439"/>
      <c r="B166" s="439"/>
      <c r="C166" s="439"/>
      <c r="D166" s="530"/>
      <c r="E166" s="247"/>
      <c r="F166" s="439"/>
      <c r="G166" s="439"/>
      <c r="H166" s="439"/>
      <c r="I166" s="439"/>
      <c r="J166" s="530"/>
      <c r="K166" s="247"/>
      <c r="L166" s="439"/>
      <c r="M166" s="439"/>
      <c r="N166" s="439"/>
      <c r="O166" s="439"/>
      <c r="P166" s="530"/>
      <c r="Q166" s="247"/>
      <c r="R166" s="439"/>
      <c r="S166" s="439"/>
      <c r="T166" s="439"/>
      <c r="U166" s="439"/>
      <c r="V166" s="439"/>
      <c r="W166" s="439"/>
      <c r="X166" s="439"/>
      <c r="Y166" s="439"/>
      <c r="Z166" s="439"/>
      <c r="AA166" s="439"/>
      <c r="AB166" s="439"/>
      <c r="AC166" s="439"/>
    </row>
    <row r="167" ht="15.75" customHeight="1">
      <c r="A167" s="439"/>
      <c r="B167" s="439"/>
      <c r="C167" s="439"/>
      <c r="D167" s="530"/>
      <c r="E167" s="247"/>
      <c r="F167" s="439"/>
      <c r="G167" s="439"/>
      <c r="H167" s="439"/>
      <c r="I167" s="439"/>
      <c r="J167" s="530"/>
      <c r="K167" s="247"/>
      <c r="L167" s="439"/>
      <c r="M167" s="439"/>
      <c r="N167" s="439"/>
      <c r="O167" s="439"/>
      <c r="P167" s="530"/>
      <c r="Q167" s="247"/>
      <c r="R167" s="439"/>
      <c r="S167" s="439"/>
      <c r="T167" s="439"/>
      <c r="U167" s="439"/>
      <c r="V167" s="439"/>
      <c r="W167" s="439"/>
      <c r="X167" s="439"/>
      <c r="Y167" s="439"/>
      <c r="Z167" s="439"/>
      <c r="AA167" s="439"/>
      <c r="AB167" s="439"/>
      <c r="AC167" s="439"/>
    </row>
    <row r="168" ht="15.75" customHeight="1">
      <c r="A168" s="439"/>
      <c r="B168" s="439"/>
      <c r="C168" s="439"/>
      <c r="D168" s="530"/>
      <c r="E168" s="247"/>
      <c r="F168" s="439"/>
      <c r="G168" s="439"/>
      <c r="H168" s="439"/>
      <c r="I168" s="439"/>
      <c r="J168" s="530"/>
      <c r="K168" s="247"/>
      <c r="L168" s="439"/>
      <c r="M168" s="439"/>
      <c r="N168" s="439"/>
      <c r="O168" s="439"/>
      <c r="P168" s="530"/>
      <c r="Q168" s="247"/>
      <c r="R168" s="439"/>
      <c r="S168" s="439"/>
      <c r="T168" s="439"/>
      <c r="U168" s="439"/>
      <c r="V168" s="439"/>
      <c r="W168" s="439"/>
      <c r="X168" s="439"/>
      <c r="Y168" s="439"/>
      <c r="Z168" s="439"/>
      <c r="AA168" s="439"/>
      <c r="AB168" s="439"/>
      <c r="AC168" s="439"/>
    </row>
    <row r="169" ht="15.75" customHeight="1">
      <c r="A169" s="439"/>
      <c r="B169" s="439"/>
      <c r="C169" s="439"/>
      <c r="D169" s="530"/>
      <c r="E169" s="247"/>
      <c r="F169" s="439"/>
      <c r="G169" s="439"/>
      <c r="H169" s="439"/>
      <c r="I169" s="439"/>
      <c r="J169" s="530"/>
      <c r="K169" s="247"/>
      <c r="L169" s="439"/>
      <c r="M169" s="439"/>
      <c r="N169" s="439"/>
      <c r="O169" s="439"/>
      <c r="P169" s="530"/>
      <c r="Q169" s="247"/>
      <c r="R169" s="439"/>
      <c r="S169" s="439"/>
      <c r="T169" s="439"/>
      <c r="U169" s="439"/>
      <c r="V169" s="439"/>
      <c r="W169" s="439"/>
      <c r="X169" s="439"/>
      <c r="Y169" s="439"/>
      <c r="Z169" s="439"/>
      <c r="AA169" s="439"/>
      <c r="AB169" s="439"/>
      <c r="AC169" s="439"/>
    </row>
    <row r="170" ht="15.75" customHeight="1">
      <c r="A170" s="439"/>
      <c r="B170" s="439"/>
      <c r="C170" s="439"/>
      <c r="D170" s="530"/>
      <c r="E170" s="247"/>
      <c r="F170" s="439"/>
      <c r="G170" s="439"/>
      <c r="H170" s="439"/>
      <c r="I170" s="439"/>
      <c r="J170" s="530"/>
      <c r="K170" s="247"/>
      <c r="L170" s="439"/>
      <c r="M170" s="439"/>
      <c r="N170" s="439"/>
      <c r="O170" s="439"/>
      <c r="P170" s="530"/>
      <c r="Q170" s="247"/>
      <c r="R170" s="439"/>
      <c r="S170" s="439"/>
      <c r="T170" s="439"/>
      <c r="U170" s="439"/>
      <c r="V170" s="439"/>
      <c r="W170" s="439"/>
      <c r="X170" s="439"/>
      <c r="Y170" s="439"/>
      <c r="Z170" s="439"/>
      <c r="AA170" s="439"/>
      <c r="AB170" s="439"/>
      <c r="AC170" s="439"/>
    </row>
    <row r="171" ht="15.75" customHeight="1">
      <c r="A171" s="439"/>
      <c r="B171" s="439"/>
      <c r="C171" s="439"/>
      <c r="D171" s="530"/>
      <c r="E171" s="247"/>
      <c r="F171" s="439"/>
      <c r="G171" s="439"/>
      <c r="H171" s="439"/>
      <c r="I171" s="439"/>
      <c r="J171" s="530"/>
      <c r="K171" s="247"/>
      <c r="L171" s="439"/>
      <c r="M171" s="439"/>
      <c r="N171" s="439"/>
      <c r="O171" s="439"/>
      <c r="P171" s="530"/>
      <c r="Q171" s="247"/>
      <c r="R171" s="439"/>
      <c r="S171" s="439"/>
      <c r="T171" s="439"/>
      <c r="U171" s="439"/>
      <c r="V171" s="439"/>
      <c r="W171" s="439"/>
      <c r="X171" s="439"/>
      <c r="Y171" s="439"/>
      <c r="Z171" s="439"/>
      <c r="AA171" s="439"/>
      <c r="AB171" s="439"/>
      <c r="AC171" s="439"/>
    </row>
    <row r="172" ht="15.75" customHeight="1">
      <c r="A172" s="439"/>
      <c r="B172" s="439"/>
      <c r="C172" s="439"/>
      <c r="D172" s="530"/>
      <c r="E172" s="247"/>
      <c r="F172" s="439"/>
      <c r="G172" s="439"/>
      <c r="H172" s="439"/>
      <c r="I172" s="439"/>
      <c r="J172" s="530"/>
      <c r="K172" s="247"/>
      <c r="L172" s="439"/>
      <c r="M172" s="439"/>
      <c r="N172" s="439"/>
      <c r="O172" s="439"/>
      <c r="P172" s="530"/>
      <c r="Q172" s="247"/>
      <c r="R172" s="439"/>
      <c r="S172" s="439"/>
      <c r="T172" s="439"/>
      <c r="U172" s="439"/>
      <c r="V172" s="439"/>
      <c r="W172" s="439"/>
      <c r="X172" s="439"/>
      <c r="Y172" s="439"/>
      <c r="Z172" s="439"/>
      <c r="AA172" s="439"/>
      <c r="AB172" s="439"/>
      <c r="AC172" s="439"/>
    </row>
    <row r="173" ht="15.75" customHeight="1">
      <c r="A173" s="439"/>
      <c r="B173" s="439"/>
      <c r="C173" s="439"/>
      <c r="D173" s="530"/>
      <c r="E173" s="247"/>
      <c r="F173" s="439"/>
      <c r="G173" s="439"/>
      <c r="H173" s="439"/>
      <c r="I173" s="439"/>
      <c r="J173" s="530"/>
      <c r="K173" s="247"/>
      <c r="L173" s="439"/>
      <c r="M173" s="439"/>
      <c r="N173" s="439"/>
      <c r="O173" s="439"/>
      <c r="P173" s="530"/>
      <c r="Q173" s="247"/>
      <c r="R173" s="439"/>
      <c r="S173" s="439"/>
      <c r="T173" s="439"/>
      <c r="U173" s="439"/>
      <c r="V173" s="439"/>
      <c r="W173" s="439"/>
      <c r="X173" s="439"/>
      <c r="Y173" s="439"/>
      <c r="Z173" s="439"/>
      <c r="AA173" s="439"/>
      <c r="AB173" s="439"/>
      <c r="AC173" s="439"/>
    </row>
    <row r="174" ht="15.75" customHeight="1">
      <c r="A174" s="439"/>
      <c r="B174" s="439"/>
      <c r="C174" s="439"/>
      <c r="D174" s="530"/>
      <c r="E174" s="247"/>
      <c r="F174" s="439"/>
      <c r="G174" s="439"/>
      <c r="H174" s="439"/>
      <c r="I174" s="439"/>
      <c r="J174" s="530"/>
      <c r="K174" s="247"/>
      <c r="L174" s="439"/>
      <c r="M174" s="439"/>
      <c r="N174" s="439"/>
      <c r="O174" s="439"/>
      <c r="P174" s="530"/>
      <c r="Q174" s="247"/>
      <c r="R174" s="439"/>
      <c r="S174" s="439"/>
      <c r="T174" s="439"/>
      <c r="U174" s="439"/>
      <c r="V174" s="439"/>
      <c r="W174" s="439"/>
      <c r="X174" s="439"/>
      <c r="Y174" s="439"/>
      <c r="Z174" s="439"/>
      <c r="AA174" s="439"/>
      <c r="AB174" s="439"/>
      <c r="AC174" s="439"/>
    </row>
    <row r="175" ht="15.75" customHeight="1">
      <c r="A175" s="439"/>
      <c r="B175" s="439"/>
      <c r="C175" s="439"/>
      <c r="D175" s="530"/>
      <c r="E175" s="247"/>
      <c r="F175" s="439"/>
      <c r="G175" s="439"/>
      <c r="H175" s="439"/>
      <c r="I175" s="439"/>
      <c r="J175" s="530"/>
      <c r="K175" s="247"/>
      <c r="L175" s="439"/>
      <c r="M175" s="439"/>
      <c r="N175" s="439"/>
      <c r="O175" s="439"/>
      <c r="P175" s="530"/>
      <c r="Q175" s="247"/>
      <c r="R175" s="439"/>
      <c r="S175" s="439"/>
      <c r="T175" s="439"/>
      <c r="U175" s="439"/>
      <c r="V175" s="439"/>
      <c r="W175" s="439"/>
      <c r="X175" s="439"/>
      <c r="Y175" s="439"/>
      <c r="Z175" s="439"/>
      <c r="AA175" s="439"/>
      <c r="AB175" s="439"/>
      <c r="AC175" s="439"/>
    </row>
    <row r="176" ht="15.75" customHeight="1">
      <c r="A176" s="439"/>
      <c r="B176" s="439"/>
      <c r="C176" s="439"/>
      <c r="D176" s="530"/>
      <c r="E176" s="247"/>
      <c r="F176" s="439"/>
      <c r="G176" s="439"/>
      <c r="H176" s="439"/>
      <c r="I176" s="439"/>
      <c r="J176" s="530"/>
      <c r="K176" s="247"/>
      <c r="L176" s="439"/>
      <c r="M176" s="439"/>
      <c r="N176" s="439"/>
      <c r="O176" s="439"/>
      <c r="P176" s="530"/>
      <c r="Q176" s="247"/>
      <c r="R176" s="439"/>
      <c r="S176" s="439"/>
      <c r="T176" s="439"/>
      <c r="U176" s="439"/>
      <c r="V176" s="439"/>
      <c r="W176" s="439"/>
      <c r="X176" s="439"/>
      <c r="Y176" s="439"/>
      <c r="Z176" s="439"/>
      <c r="AA176" s="439"/>
      <c r="AB176" s="439"/>
      <c r="AC176" s="439"/>
    </row>
    <row r="177" ht="15.75" customHeight="1">
      <c r="A177" s="439"/>
      <c r="B177" s="439"/>
      <c r="C177" s="439"/>
      <c r="D177" s="530"/>
      <c r="E177" s="247"/>
      <c r="F177" s="439"/>
      <c r="G177" s="439"/>
      <c r="H177" s="439"/>
      <c r="I177" s="439"/>
      <c r="J177" s="530"/>
      <c r="K177" s="247"/>
      <c r="L177" s="439"/>
      <c r="M177" s="439"/>
      <c r="N177" s="439"/>
      <c r="O177" s="439"/>
      <c r="P177" s="530"/>
      <c r="Q177" s="247"/>
      <c r="R177" s="439"/>
      <c r="S177" s="439"/>
      <c r="T177" s="439"/>
      <c r="U177" s="439"/>
      <c r="V177" s="439"/>
      <c r="W177" s="439"/>
      <c r="X177" s="439"/>
      <c r="Y177" s="439"/>
      <c r="Z177" s="439"/>
      <c r="AA177" s="439"/>
      <c r="AB177" s="439"/>
      <c r="AC177" s="439"/>
    </row>
    <row r="178" ht="15.75" customHeight="1">
      <c r="A178" s="439"/>
      <c r="B178" s="439"/>
      <c r="C178" s="439"/>
      <c r="D178" s="530"/>
      <c r="E178" s="247"/>
      <c r="F178" s="439"/>
      <c r="G178" s="439"/>
      <c r="H178" s="439"/>
      <c r="I178" s="439"/>
      <c r="J178" s="530"/>
      <c r="K178" s="247"/>
      <c r="L178" s="439"/>
      <c r="M178" s="439"/>
      <c r="N178" s="439"/>
      <c r="O178" s="439"/>
      <c r="P178" s="530"/>
      <c r="Q178" s="247"/>
      <c r="R178" s="439"/>
      <c r="S178" s="439"/>
      <c r="T178" s="439"/>
      <c r="U178" s="439"/>
      <c r="V178" s="439"/>
      <c r="W178" s="439"/>
      <c r="X178" s="439"/>
      <c r="Y178" s="439"/>
      <c r="Z178" s="439"/>
      <c r="AA178" s="439"/>
      <c r="AB178" s="439"/>
      <c r="AC178" s="439"/>
    </row>
    <row r="179" ht="15.75" customHeight="1">
      <c r="A179" s="439"/>
      <c r="B179" s="439"/>
      <c r="C179" s="439"/>
      <c r="D179" s="530"/>
      <c r="E179" s="247"/>
      <c r="F179" s="439"/>
      <c r="G179" s="439"/>
      <c r="H179" s="439"/>
      <c r="I179" s="439"/>
      <c r="J179" s="530"/>
      <c r="K179" s="247"/>
      <c r="L179" s="439"/>
      <c r="M179" s="439"/>
      <c r="N179" s="439"/>
      <c r="O179" s="439"/>
      <c r="P179" s="530"/>
      <c r="Q179" s="247"/>
      <c r="R179" s="439"/>
      <c r="S179" s="439"/>
      <c r="T179" s="439"/>
      <c r="U179" s="439"/>
      <c r="V179" s="439"/>
      <c r="W179" s="439"/>
      <c r="X179" s="439"/>
      <c r="Y179" s="439"/>
      <c r="Z179" s="439"/>
      <c r="AA179" s="439"/>
      <c r="AB179" s="439"/>
      <c r="AC179" s="439"/>
    </row>
    <row r="180" ht="15.75" customHeight="1">
      <c r="A180" s="439"/>
      <c r="B180" s="439"/>
      <c r="C180" s="439"/>
      <c r="D180" s="530"/>
      <c r="E180" s="247"/>
      <c r="F180" s="439"/>
      <c r="G180" s="439"/>
      <c r="H180" s="439"/>
      <c r="I180" s="439"/>
      <c r="J180" s="530"/>
      <c r="K180" s="247"/>
      <c r="L180" s="439"/>
      <c r="M180" s="439"/>
      <c r="N180" s="439"/>
      <c r="O180" s="439"/>
      <c r="P180" s="530"/>
      <c r="Q180" s="247"/>
      <c r="R180" s="439"/>
      <c r="S180" s="439"/>
      <c r="T180" s="439"/>
      <c r="U180" s="439"/>
      <c r="V180" s="439"/>
      <c r="W180" s="439"/>
      <c r="X180" s="439"/>
      <c r="Y180" s="439"/>
      <c r="Z180" s="439"/>
      <c r="AA180" s="439"/>
      <c r="AB180" s="439"/>
      <c r="AC180" s="439"/>
    </row>
    <row r="181" ht="15.75" customHeight="1">
      <c r="A181" s="439"/>
      <c r="B181" s="439"/>
      <c r="C181" s="439"/>
      <c r="D181" s="530"/>
      <c r="E181" s="247"/>
      <c r="F181" s="439"/>
      <c r="G181" s="439"/>
      <c r="H181" s="439"/>
      <c r="I181" s="439"/>
      <c r="J181" s="530"/>
      <c r="K181" s="247"/>
      <c r="L181" s="439"/>
      <c r="M181" s="439"/>
      <c r="N181" s="439"/>
      <c r="O181" s="439"/>
      <c r="P181" s="530"/>
      <c r="Q181" s="247"/>
      <c r="R181" s="439"/>
      <c r="S181" s="439"/>
      <c r="T181" s="439"/>
      <c r="U181" s="439"/>
      <c r="V181" s="439"/>
      <c r="W181" s="439"/>
      <c r="X181" s="439"/>
      <c r="Y181" s="439"/>
      <c r="Z181" s="439"/>
      <c r="AA181" s="439"/>
      <c r="AB181" s="439"/>
      <c r="AC181" s="439"/>
    </row>
    <row r="182" ht="15.75" customHeight="1">
      <c r="A182" s="439"/>
      <c r="B182" s="439"/>
      <c r="C182" s="439"/>
      <c r="D182" s="530"/>
      <c r="E182" s="247"/>
      <c r="F182" s="439"/>
      <c r="G182" s="439"/>
      <c r="H182" s="439"/>
      <c r="I182" s="439"/>
      <c r="J182" s="530"/>
      <c r="K182" s="247"/>
      <c r="L182" s="439"/>
      <c r="M182" s="439"/>
      <c r="N182" s="439"/>
      <c r="O182" s="439"/>
      <c r="P182" s="530"/>
      <c r="Q182" s="247"/>
      <c r="R182" s="439"/>
      <c r="S182" s="439"/>
      <c r="T182" s="439"/>
      <c r="U182" s="439"/>
      <c r="V182" s="439"/>
      <c r="W182" s="439"/>
      <c r="X182" s="439"/>
      <c r="Y182" s="439"/>
      <c r="Z182" s="439"/>
      <c r="AA182" s="439"/>
      <c r="AB182" s="439"/>
      <c r="AC182" s="439"/>
    </row>
    <row r="183" ht="15.75" customHeight="1">
      <c r="A183" s="439"/>
      <c r="B183" s="439"/>
      <c r="C183" s="439"/>
      <c r="D183" s="530"/>
      <c r="E183" s="247"/>
      <c r="F183" s="439"/>
      <c r="G183" s="439"/>
      <c r="H183" s="439"/>
      <c r="I183" s="439"/>
      <c r="J183" s="530"/>
      <c r="K183" s="247"/>
      <c r="L183" s="439"/>
      <c r="M183" s="439"/>
      <c r="N183" s="439"/>
      <c r="O183" s="439"/>
      <c r="P183" s="530"/>
      <c r="Q183" s="247"/>
      <c r="R183" s="439"/>
      <c r="S183" s="439"/>
      <c r="T183" s="439"/>
      <c r="U183" s="439"/>
      <c r="V183" s="439"/>
      <c r="W183" s="439"/>
      <c r="X183" s="439"/>
      <c r="Y183" s="439"/>
      <c r="Z183" s="439"/>
      <c r="AA183" s="439"/>
      <c r="AB183" s="439"/>
      <c r="AC183" s="439"/>
    </row>
    <row r="184" ht="15.75" customHeight="1">
      <c r="A184" s="439"/>
      <c r="B184" s="439"/>
      <c r="C184" s="439"/>
      <c r="D184" s="530"/>
      <c r="E184" s="247"/>
      <c r="F184" s="439"/>
      <c r="G184" s="439"/>
      <c r="H184" s="439"/>
      <c r="I184" s="439"/>
      <c r="J184" s="530"/>
      <c r="K184" s="247"/>
      <c r="L184" s="439"/>
      <c r="M184" s="439"/>
      <c r="N184" s="439"/>
      <c r="O184" s="439"/>
      <c r="P184" s="530"/>
      <c r="Q184" s="247"/>
      <c r="R184" s="439"/>
      <c r="S184" s="439"/>
      <c r="T184" s="439"/>
      <c r="U184" s="439"/>
      <c r="V184" s="439"/>
      <c r="W184" s="439"/>
      <c r="X184" s="439"/>
      <c r="Y184" s="439"/>
      <c r="Z184" s="439"/>
      <c r="AA184" s="439"/>
      <c r="AB184" s="439"/>
      <c r="AC184" s="439"/>
    </row>
    <row r="185" ht="15.75" customHeight="1">
      <c r="A185" s="439"/>
      <c r="B185" s="439"/>
      <c r="C185" s="439"/>
      <c r="D185" s="530"/>
      <c r="E185" s="247"/>
      <c r="F185" s="439"/>
      <c r="G185" s="439"/>
      <c r="H185" s="439"/>
      <c r="I185" s="439"/>
      <c r="J185" s="530"/>
      <c r="K185" s="247"/>
      <c r="L185" s="439"/>
      <c r="M185" s="439"/>
      <c r="N185" s="439"/>
      <c r="O185" s="439"/>
      <c r="P185" s="530"/>
      <c r="Q185" s="247"/>
      <c r="R185" s="439"/>
      <c r="S185" s="439"/>
      <c r="T185" s="439"/>
      <c r="U185" s="439"/>
      <c r="V185" s="439"/>
      <c r="W185" s="439"/>
      <c r="X185" s="439"/>
      <c r="Y185" s="439"/>
      <c r="Z185" s="439"/>
      <c r="AA185" s="439"/>
      <c r="AB185" s="439"/>
      <c r="AC185" s="439"/>
    </row>
    <row r="186" ht="15.75" customHeight="1">
      <c r="A186" s="439"/>
      <c r="B186" s="439"/>
      <c r="C186" s="439"/>
      <c r="D186" s="530"/>
      <c r="E186" s="247"/>
      <c r="F186" s="439"/>
      <c r="G186" s="439"/>
      <c r="H186" s="439"/>
      <c r="I186" s="439"/>
      <c r="J186" s="530"/>
      <c r="K186" s="247"/>
      <c r="L186" s="439"/>
      <c r="M186" s="439"/>
      <c r="N186" s="439"/>
      <c r="O186" s="439"/>
      <c r="P186" s="530"/>
      <c r="Q186" s="247"/>
      <c r="R186" s="439"/>
      <c r="S186" s="439"/>
      <c r="T186" s="439"/>
      <c r="U186" s="439"/>
      <c r="V186" s="439"/>
      <c r="W186" s="439"/>
      <c r="X186" s="439"/>
      <c r="Y186" s="439"/>
      <c r="Z186" s="439"/>
      <c r="AA186" s="439"/>
      <c r="AB186" s="439"/>
      <c r="AC186" s="439"/>
    </row>
    <row r="187" ht="15.75" customHeight="1">
      <c r="A187" s="439"/>
      <c r="B187" s="439"/>
      <c r="C187" s="439"/>
      <c r="D187" s="530"/>
      <c r="E187" s="247"/>
      <c r="F187" s="439"/>
      <c r="G187" s="439"/>
      <c r="H187" s="439"/>
      <c r="I187" s="439"/>
      <c r="J187" s="530"/>
      <c r="K187" s="247"/>
      <c r="L187" s="439"/>
      <c r="M187" s="439"/>
      <c r="N187" s="439"/>
      <c r="O187" s="439"/>
      <c r="P187" s="530"/>
      <c r="Q187" s="247"/>
      <c r="R187" s="439"/>
      <c r="S187" s="439"/>
      <c r="T187" s="439"/>
      <c r="U187" s="439"/>
      <c r="V187" s="439"/>
      <c r="W187" s="439"/>
      <c r="X187" s="439"/>
      <c r="Y187" s="439"/>
      <c r="Z187" s="439"/>
      <c r="AA187" s="439"/>
      <c r="AB187" s="439"/>
      <c r="AC187" s="439"/>
    </row>
    <row r="188" ht="15.75" customHeight="1">
      <c r="A188" s="439"/>
      <c r="B188" s="439"/>
      <c r="C188" s="439"/>
      <c r="D188" s="530"/>
      <c r="E188" s="247"/>
      <c r="F188" s="439"/>
      <c r="G188" s="439"/>
      <c r="H188" s="439"/>
      <c r="I188" s="439"/>
      <c r="J188" s="530"/>
      <c r="K188" s="247"/>
      <c r="L188" s="439"/>
      <c r="M188" s="439"/>
      <c r="N188" s="439"/>
      <c r="O188" s="439"/>
      <c r="P188" s="530"/>
      <c r="Q188" s="247"/>
      <c r="R188" s="439"/>
      <c r="S188" s="439"/>
      <c r="T188" s="439"/>
      <c r="U188" s="439"/>
      <c r="V188" s="439"/>
      <c r="W188" s="439"/>
      <c r="X188" s="439"/>
      <c r="Y188" s="439"/>
      <c r="Z188" s="439"/>
      <c r="AA188" s="439"/>
      <c r="AB188" s="439"/>
      <c r="AC188" s="439"/>
    </row>
    <row r="189" ht="15.75" customHeight="1">
      <c r="A189" s="439"/>
      <c r="B189" s="439"/>
      <c r="C189" s="439"/>
      <c r="D189" s="530"/>
      <c r="E189" s="247"/>
      <c r="F189" s="439"/>
      <c r="G189" s="439"/>
      <c r="H189" s="439"/>
      <c r="I189" s="439"/>
      <c r="J189" s="530"/>
      <c r="K189" s="247"/>
      <c r="L189" s="439"/>
      <c r="M189" s="439"/>
      <c r="N189" s="439"/>
      <c r="O189" s="439"/>
      <c r="P189" s="530"/>
      <c r="Q189" s="247"/>
      <c r="R189" s="439"/>
      <c r="S189" s="439"/>
      <c r="T189" s="439"/>
      <c r="U189" s="439"/>
      <c r="V189" s="439"/>
      <c r="W189" s="439"/>
      <c r="X189" s="439"/>
      <c r="Y189" s="439"/>
      <c r="Z189" s="439"/>
      <c r="AA189" s="439"/>
      <c r="AB189" s="439"/>
      <c r="AC189" s="439"/>
    </row>
    <row r="190" ht="15.75" customHeight="1">
      <c r="A190" s="439"/>
      <c r="B190" s="439"/>
      <c r="C190" s="439"/>
      <c r="D190" s="530"/>
      <c r="E190" s="247"/>
      <c r="F190" s="439"/>
      <c r="G190" s="439"/>
      <c r="H190" s="439"/>
      <c r="I190" s="439"/>
      <c r="J190" s="530"/>
      <c r="K190" s="247"/>
      <c r="L190" s="439"/>
      <c r="M190" s="439"/>
      <c r="N190" s="439"/>
      <c r="O190" s="439"/>
      <c r="P190" s="530"/>
      <c r="Q190" s="247"/>
      <c r="R190" s="439"/>
      <c r="S190" s="439"/>
      <c r="T190" s="439"/>
      <c r="U190" s="439"/>
      <c r="V190" s="439"/>
      <c r="W190" s="439"/>
      <c r="X190" s="439"/>
      <c r="Y190" s="439"/>
      <c r="Z190" s="439"/>
      <c r="AA190" s="439"/>
      <c r="AB190" s="439"/>
      <c r="AC190" s="439"/>
    </row>
    <row r="191" ht="15.75" customHeight="1">
      <c r="A191" s="439"/>
      <c r="B191" s="439"/>
      <c r="C191" s="439"/>
      <c r="D191" s="530"/>
      <c r="E191" s="247"/>
      <c r="F191" s="439"/>
      <c r="G191" s="439"/>
      <c r="H191" s="439"/>
      <c r="I191" s="439"/>
      <c r="J191" s="530"/>
      <c r="K191" s="247"/>
      <c r="L191" s="439"/>
      <c r="M191" s="439"/>
      <c r="N191" s="439"/>
      <c r="O191" s="439"/>
      <c r="P191" s="530"/>
      <c r="Q191" s="247"/>
      <c r="R191" s="439"/>
      <c r="S191" s="439"/>
      <c r="T191" s="439"/>
      <c r="U191" s="439"/>
      <c r="V191" s="439"/>
      <c r="W191" s="439"/>
      <c r="X191" s="439"/>
      <c r="Y191" s="439"/>
      <c r="Z191" s="439"/>
      <c r="AA191" s="439"/>
      <c r="AB191" s="439"/>
      <c r="AC191" s="439"/>
    </row>
    <row r="192" ht="15.75" customHeight="1">
      <c r="A192" s="439"/>
      <c r="B192" s="439"/>
      <c r="C192" s="439"/>
      <c r="D192" s="530"/>
      <c r="E192" s="247"/>
      <c r="F192" s="439"/>
      <c r="G192" s="439"/>
      <c r="H192" s="439"/>
      <c r="I192" s="439"/>
      <c r="J192" s="530"/>
      <c r="K192" s="247"/>
      <c r="L192" s="439"/>
      <c r="M192" s="439"/>
      <c r="N192" s="439"/>
      <c r="O192" s="439"/>
      <c r="P192" s="530"/>
      <c r="Q192" s="247"/>
      <c r="R192" s="439"/>
      <c r="S192" s="439"/>
      <c r="T192" s="439"/>
      <c r="U192" s="439"/>
      <c r="V192" s="439"/>
      <c r="W192" s="439"/>
      <c r="X192" s="439"/>
      <c r="Y192" s="439"/>
      <c r="Z192" s="439"/>
      <c r="AA192" s="439"/>
      <c r="AB192" s="439"/>
      <c r="AC192" s="439"/>
    </row>
    <row r="193" ht="15.75" customHeight="1">
      <c r="A193" s="439"/>
      <c r="B193" s="439"/>
      <c r="C193" s="439"/>
      <c r="D193" s="530"/>
      <c r="E193" s="247"/>
      <c r="F193" s="439"/>
      <c r="G193" s="439"/>
      <c r="H193" s="439"/>
      <c r="I193" s="439"/>
      <c r="J193" s="530"/>
      <c r="K193" s="247"/>
      <c r="L193" s="439"/>
      <c r="M193" s="439"/>
      <c r="N193" s="439"/>
      <c r="O193" s="439"/>
      <c r="P193" s="530"/>
      <c r="Q193" s="247"/>
      <c r="R193" s="439"/>
      <c r="S193" s="439"/>
      <c r="T193" s="439"/>
      <c r="U193" s="439"/>
      <c r="V193" s="439"/>
      <c r="W193" s="439"/>
      <c r="X193" s="439"/>
      <c r="Y193" s="439"/>
      <c r="Z193" s="439"/>
      <c r="AA193" s="439"/>
      <c r="AB193" s="439"/>
      <c r="AC193" s="439"/>
    </row>
    <row r="194" ht="15.75" customHeight="1">
      <c r="A194" s="439"/>
      <c r="B194" s="439"/>
      <c r="C194" s="439"/>
      <c r="D194" s="530"/>
      <c r="E194" s="247"/>
      <c r="F194" s="439"/>
      <c r="G194" s="439"/>
      <c r="H194" s="439"/>
      <c r="I194" s="439"/>
      <c r="J194" s="530"/>
      <c r="K194" s="247"/>
      <c r="L194" s="439"/>
      <c r="M194" s="439"/>
      <c r="N194" s="439"/>
      <c r="O194" s="439"/>
      <c r="P194" s="530"/>
      <c r="Q194" s="247"/>
      <c r="R194" s="439"/>
      <c r="S194" s="439"/>
      <c r="T194" s="439"/>
      <c r="U194" s="439"/>
      <c r="V194" s="439"/>
      <c r="W194" s="439"/>
      <c r="X194" s="439"/>
      <c r="Y194" s="439"/>
      <c r="Z194" s="439"/>
      <c r="AA194" s="439"/>
      <c r="AB194" s="439"/>
      <c r="AC194" s="439"/>
    </row>
    <row r="195" ht="15.75" customHeight="1">
      <c r="A195" s="439"/>
      <c r="B195" s="439"/>
      <c r="C195" s="439"/>
      <c r="D195" s="530"/>
      <c r="E195" s="247"/>
      <c r="F195" s="439"/>
      <c r="G195" s="439"/>
      <c r="H195" s="439"/>
      <c r="I195" s="439"/>
      <c r="J195" s="530"/>
      <c r="K195" s="247"/>
      <c r="L195" s="439"/>
      <c r="M195" s="439"/>
      <c r="N195" s="439"/>
      <c r="O195" s="439"/>
      <c r="P195" s="530"/>
      <c r="Q195" s="247"/>
      <c r="R195" s="439"/>
      <c r="S195" s="439"/>
      <c r="T195" s="439"/>
      <c r="U195" s="439"/>
      <c r="V195" s="439"/>
      <c r="W195" s="439"/>
      <c r="X195" s="439"/>
      <c r="Y195" s="439"/>
      <c r="Z195" s="439"/>
      <c r="AA195" s="439"/>
      <c r="AB195" s="439"/>
      <c r="AC195" s="439"/>
    </row>
    <row r="196" ht="15.75" customHeight="1">
      <c r="A196" s="439"/>
      <c r="B196" s="439"/>
      <c r="C196" s="439"/>
      <c r="D196" s="530"/>
      <c r="E196" s="247"/>
      <c r="F196" s="439"/>
      <c r="G196" s="439"/>
      <c r="H196" s="439"/>
      <c r="I196" s="439"/>
      <c r="J196" s="530"/>
      <c r="K196" s="247"/>
      <c r="L196" s="439"/>
      <c r="M196" s="439"/>
      <c r="N196" s="439"/>
      <c r="O196" s="439"/>
      <c r="P196" s="530"/>
      <c r="Q196" s="247"/>
      <c r="R196" s="439"/>
      <c r="S196" s="439"/>
      <c r="T196" s="439"/>
      <c r="U196" s="439"/>
      <c r="V196" s="439"/>
      <c r="W196" s="439"/>
      <c r="X196" s="439"/>
      <c r="Y196" s="439"/>
      <c r="Z196" s="439"/>
      <c r="AA196" s="439"/>
      <c r="AB196" s="439"/>
      <c r="AC196" s="439"/>
    </row>
    <row r="197" ht="15.75" customHeight="1">
      <c r="A197" s="439"/>
      <c r="B197" s="439"/>
      <c r="C197" s="439"/>
      <c r="D197" s="530"/>
      <c r="E197" s="247"/>
      <c r="F197" s="439"/>
      <c r="G197" s="439"/>
      <c r="H197" s="439"/>
      <c r="I197" s="439"/>
      <c r="J197" s="530"/>
      <c r="K197" s="247"/>
      <c r="L197" s="439"/>
      <c r="M197" s="439"/>
      <c r="N197" s="439"/>
      <c r="O197" s="439"/>
      <c r="P197" s="530"/>
      <c r="Q197" s="247"/>
      <c r="R197" s="439"/>
      <c r="S197" s="439"/>
      <c r="T197" s="439"/>
      <c r="U197" s="439"/>
      <c r="V197" s="439"/>
      <c r="W197" s="439"/>
      <c r="X197" s="439"/>
      <c r="Y197" s="439"/>
      <c r="Z197" s="439"/>
      <c r="AA197" s="439"/>
      <c r="AB197" s="439"/>
      <c r="AC197" s="439"/>
    </row>
    <row r="198" ht="15.75" customHeight="1">
      <c r="A198" s="439"/>
      <c r="B198" s="439"/>
      <c r="C198" s="439"/>
      <c r="D198" s="530"/>
      <c r="E198" s="247"/>
      <c r="F198" s="439"/>
      <c r="G198" s="439"/>
      <c r="H198" s="439"/>
      <c r="I198" s="439"/>
      <c r="J198" s="530"/>
      <c r="K198" s="247"/>
      <c r="L198" s="439"/>
      <c r="M198" s="439"/>
      <c r="N198" s="439"/>
      <c r="O198" s="439"/>
      <c r="P198" s="530"/>
      <c r="Q198" s="247"/>
      <c r="R198" s="439"/>
      <c r="S198" s="439"/>
      <c r="T198" s="439"/>
      <c r="U198" s="439"/>
      <c r="V198" s="439"/>
      <c r="W198" s="439"/>
      <c r="X198" s="439"/>
      <c r="Y198" s="439"/>
      <c r="Z198" s="439"/>
      <c r="AA198" s="439"/>
      <c r="AB198" s="439"/>
      <c r="AC198" s="439"/>
    </row>
    <row r="199" ht="15.75" customHeight="1">
      <c r="A199" s="439"/>
      <c r="B199" s="439"/>
      <c r="C199" s="439"/>
      <c r="D199" s="530"/>
      <c r="E199" s="247"/>
      <c r="F199" s="439"/>
      <c r="G199" s="439"/>
      <c r="H199" s="439"/>
      <c r="I199" s="439"/>
      <c r="J199" s="530"/>
      <c r="K199" s="247"/>
      <c r="L199" s="439"/>
      <c r="M199" s="439"/>
      <c r="N199" s="439"/>
      <c r="O199" s="439"/>
      <c r="P199" s="530"/>
      <c r="Q199" s="247"/>
      <c r="R199" s="439"/>
      <c r="S199" s="439"/>
      <c r="T199" s="439"/>
      <c r="U199" s="439"/>
      <c r="V199" s="439"/>
      <c r="W199" s="439"/>
      <c r="X199" s="439"/>
      <c r="Y199" s="439"/>
      <c r="Z199" s="439"/>
      <c r="AA199" s="439"/>
      <c r="AB199" s="439"/>
      <c r="AC199" s="439"/>
    </row>
    <row r="200" ht="15.75" customHeight="1">
      <c r="A200" s="439"/>
      <c r="B200" s="439"/>
      <c r="C200" s="439"/>
      <c r="D200" s="530"/>
      <c r="E200" s="247"/>
      <c r="F200" s="439"/>
      <c r="G200" s="439"/>
      <c r="H200" s="439"/>
      <c r="I200" s="439"/>
      <c r="J200" s="530"/>
      <c r="K200" s="247"/>
      <c r="L200" s="439"/>
      <c r="M200" s="439"/>
      <c r="N200" s="439"/>
      <c r="O200" s="439"/>
      <c r="P200" s="530"/>
      <c r="Q200" s="247"/>
      <c r="R200" s="439"/>
      <c r="S200" s="439"/>
      <c r="T200" s="439"/>
      <c r="U200" s="439"/>
      <c r="V200" s="439"/>
      <c r="W200" s="439"/>
      <c r="X200" s="439"/>
      <c r="Y200" s="439"/>
      <c r="Z200" s="439"/>
      <c r="AA200" s="439"/>
      <c r="AB200" s="439"/>
      <c r="AC200" s="439"/>
    </row>
    <row r="201" ht="15.75" customHeight="1">
      <c r="A201" s="439"/>
      <c r="B201" s="439"/>
      <c r="C201" s="439"/>
      <c r="D201" s="530"/>
      <c r="E201" s="247"/>
      <c r="F201" s="439"/>
      <c r="G201" s="439"/>
      <c r="H201" s="439"/>
      <c r="I201" s="439"/>
      <c r="J201" s="530"/>
      <c r="K201" s="247"/>
      <c r="L201" s="439"/>
      <c r="M201" s="439"/>
      <c r="N201" s="439"/>
      <c r="O201" s="439"/>
      <c r="P201" s="530"/>
      <c r="Q201" s="247"/>
      <c r="R201" s="439"/>
      <c r="S201" s="439"/>
      <c r="T201" s="439"/>
      <c r="U201" s="439"/>
      <c r="V201" s="439"/>
      <c r="W201" s="439"/>
      <c r="X201" s="439"/>
      <c r="Y201" s="439"/>
      <c r="Z201" s="439"/>
      <c r="AA201" s="439"/>
      <c r="AB201" s="439"/>
      <c r="AC201" s="439"/>
    </row>
    <row r="202" ht="15.75" customHeight="1">
      <c r="A202" s="439"/>
      <c r="B202" s="439"/>
      <c r="C202" s="439"/>
      <c r="D202" s="530"/>
      <c r="E202" s="247"/>
      <c r="F202" s="439"/>
      <c r="G202" s="439"/>
      <c r="H202" s="439"/>
      <c r="I202" s="439"/>
      <c r="J202" s="530"/>
      <c r="K202" s="247"/>
      <c r="L202" s="439"/>
      <c r="M202" s="439"/>
      <c r="N202" s="439"/>
      <c r="O202" s="439"/>
      <c r="P202" s="530"/>
      <c r="Q202" s="247"/>
      <c r="R202" s="439"/>
      <c r="S202" s="439"/>
      <c r="T202" s="439"/>
      <c r="U202" s="439"/>
      <c r="V202" s="439"/>
      <c r="W202" s="439"/>
      <c r="X202" s="439"/>
      <c r="Y202" s="439"/>
      <c r="Z202" s="439"/>
      <c r="AA202" s="439"/>
      <c r="AB202" s="439"/>
      <c r="AC202" s="439"/>
    </row>
    <row r="203" ht="15.75" customHeight="1">
      <c r="A203" s="439"/>
      <c r="B203" s="439"/>
      <c r="C203" s="439"/>
      <c r="D203" s="530"/>
      <c r="E203" s="247"/>
      <c r="F203" s="439"/>
      <c r="G203" s="439"/>
      <c r="H203" s="439"/>
      <c r="I203" s="439"/>
      <c r="J203" s="530"/>
      <c r="K203" s="247"/>
      <c r="L203" s="439"/>
      <c r="M203" s="439"/>
      <c r="N203" s="439"/>
      <c r="O203" s="439"/>
      <c r="P203" s="530"/>
      <c r="Q203" s="247"/>
      <c r="R203" s="439"/>
      <c r="S203" s="439"/>
      <c r="T203" s="439"/>
      <c r="U203" s="439"/>
      <c r="V203" s="439"/>
      <c r="W203" s="439"/>
      <c r="X203" s="439"/>
      <c r="Y203" s="439"/>
      <c r="Z203" s="439"/>
      <c r="AA203" s="439"/>
      <c r="AB203" s="439"/>
      <c r="AC203" s="439"/>
    </row>
    <row r="204" ht="15.75" customHeight="1">
      <c r="A204" s="439"/>
      <c r="B204" s="439"/>
      <c r="C204" s="439"/>
      <c r="D204" s="530"/>
      <c r="E204" s="247"/>
      <c r="F204" s="439"/>
      <c r="G204" s="439"/>
      <c r="H204" s="439"/>
      <c r="I204" s="439"/>
      <c r="J204" s="530"/>
      <c r="K204" s="247"/>
      <c r="L204" s="439"/>
      <c r="M204" s="439"/>
      <c r="N204" s="439"/>
      <c r="O204" s="439"/>
      <c r="P204" s="530"/>
      <c r="Q204" s="247"/>
      <c r="R204" s="439"/>
      <c r="S204" s="439"/>
      <c r="T204" s="439"/>
      <c r="U204" s="439"/>
      <c r="V204" s="439"/>
      <c r="W204" s="439"/>
      <c r="X204" s="439"/>
      <c r="Y204" s="439"/>
      <c r="Z204" s="439"/>
      <c r="AA204" s="439"/>
      <c r="AB204" s="439"/>
      <c r="AC204" s="439"/>
    </row>
    <row r="205" ht="15.75" customHeight="1">
      <c r="A205" s="439"/>
      <c r="B205" s="439"/>
      <c r="C205" s="439"/>
      <c r="D205" s="530"/>
      <c r="E205" s="247"/>
      <c r="F205" s="439"/>
      <c r="G205" s="439"/>
      <c r="H205" s="439"/>
      <c r="I205" s="439"/>
      <c r="J205" s="530"/>
      <c r="K205" s="247"/>
      <c r="L205" s="439"/>
      <c r="M205" s="439"/>
      <c r="N205" s="439"/>
      <c r="O205" s="439"/>
      <c r="P205" s="530"/>
      <c r="Q205" s="247"/>
      <c r="R205" s="439"/>
      <c r="S205" s="439"/>
      <c r="T205" s="439"/>
      <c r="U205" s="439"/>
      <c r="V205" s="439"/>
      <c r="W205" s="439"/>
      <c r="X205" s="439"/>
      <c r="Y205" s="439"/>
      <c r="Z205" s="439"/>
      <c r="AA205" s="439"/>
      <c r="AB205" s="439"/>
      <c r="AC205" s="439"/>
    </row>
    <row r="206" ht="15.75" customHeight="1">
      <c r="A206" s="439"/>
      <c r="B206" s="439"/>
      <c r="C206" s="439"/>
      <c r="D206" s="530"/>
      <c r="E206" s="247"/>
      <c r="F206" s="439"/>
      <c r="G206" s="439"/>
      <c r="H206" s="439"/>
      <c r="I206" s="439"/>
      <c r="J206" s="530"/>
      <c r="K206" s="247"/>
      <c r="L206" s="439"/>
      <c r="M206" s="439"/>
      <c r="N206" s="439"/>
      <c r="O206" s="439"/>
      <c r="P206" s="530"/>
      <c r="Q206" s="247"/>
      <c r="R206" s="439"/>
      <c r="S206" s="439"/>
      <c r="T206" s="439"/>
      <c r="U206" s="439"/>
      <c r="V206" s="439"/>
      <c r="W206" s="439"/>
      <c r="X206" s="439"/>
      <c r="Y206" s="439"/>
      <c r="Z206" s="439"/>
      <c r="AA206" s="439"/>
      <c r="AB206" s="439"/>
      <c r="AC206" s="439"/>
    </row>
    <row r="207" ht="15.75" customHeight="1">
      <c r="A207" s="439"/>
      <c r="B207" s="439"/>
      <c r="C207" s="439"/>
      <c r="D207" s="530"/>
      <c r="E207" s="247"/>
      <c r="F207" s="439"/>
      <c r="G207" s="439"/>
      <c r="H207" s="439"/>
      <c r="I207" s="439"/>
      <c r="J207" s="530"/>
      <c r="K207" s="247"/>
      <c r="L207" s="439"/>
      <c r="M207" s="439"/>
      <c r="N207" s="439"/>
      <c r="O207" s="439"/>
      <c r="P207" s="530"/>
      <c r="Q207" s="247"/>
      <c r="R207" s="439"/>
      <c r="S207" s="439"/>
      <c r="T207" s="439"/>
      <c r="U207" s="439"/>
      <c r="V207" s="439"/>
      <c r="W207" s="439"/>
      <c r="X207" s="439"/>
      <c r="Y207" s="439"/>
      <c r="Z207" s="439"/>
      <c r="AA207" s="439"/>
      <c r="AB207" s="439"/>
      <c r="AC207" s="439"/>
    </row>
    <row r="208" ht="15.75" customHeight="1">
      <c r="A208" s="439"/>
      <c r="B208" s="439"/>
      <c r="C208" s="439"/>
      <c r="D208" s="530"/>
      <c r="E208" s="247"/>
      <c r="F208" s="439"/>
      <c r="G208" s="439"/>
      <c r="H208" s="439"/>
      <c r="I208" s="439"/>
      <c r="J208" s="530"/>
      <c r="K208" s="247"/>
      <c r="L208" s="439"/>
      <c r="M208" s="439"/>
      <c r="N208" s="439"/>
      <c r="O208" s="439"/>
      <c r="P208" s="530"/>
      <c r="Q208" s="247"/>
      <c r="R208" s="439"/>
      <c r="S208" s="439"/>
      <c r="T208" s="439"/>
      <c r="U208" s="439"/>
      <c r="V208" s="439"/>
      <c r="W208" s="439"/>
      <c r="X208" s="439"/>
      <c r="Y208" s="439"/>
      <c r="Z208" s="439"/>
      <c r="AA208" s="439"/>
      <c r="AB208" s="439"/>
      <c r="AC208" s="439"/>
    </row>
    <row r="209" ht="15.75" customHeight="1">
      <c r="A209" s="439"/>
      <c r="B209" s="439"/>
      <c r="C209" s="439"/>
      <c r="D209" s="530"/>
      <c r="E209" s="247"/>
      <c r="F209" s="439"/>
      <c r="G209" s="439"/>
      <c r="H209" s="439"/>
      <c r="I209" s="439"/>
      <c r="J209" s="530"/>
      <c r="K209" s="247"/>
      <c r="L209" s="439"/>
      <c r="M209" s="439"/>
      <c r="N209" s="439"/>
      <c r="O209" s="439"/>
      <c r="P209" s="530"/>
      <c r="Q209" s="247"/>
      <c r="R209" s="439"/>
      <c r="S209" s="439"/>
      <c r="T209" s="439"/>
      <c r="U209" s="439"/>
      <c r="V209" s="439"/>
      <c r="W209" s="439"/>
      <c r="X209" s="439"/>
      <c r="Y209" s="439"/>
      <c r="Z209" s="439"/>
      <c r="AA209" s="439"/>
      <c r="AB209" s="439"/>
      <c r="AC209" s="439"/>
    </row>
    <row r="210" ht="15.75" customHeight="1">
      <c r="A210" s="439"/>
      <c r="B210" s="439"/>
      <c r="C210" s="439"/>
      <c r="D210" s="530"/>
      <c r="E210" s="247"/>
      <c r="F210" s="439"/>
      <c r="G210" s="439"/>
      <c r="H210" s="439"/>
      <c r="I210" s="439"/>
      <c r="J210" s="530"/>
      <c r="K210" s="247"/>
      <c r="L210" s="439"/>
      <c r="M210" s="439"/>
      <c r="N210" s="439"/>
      <c r="O210" s="439"/>
      <c r="P210" s="530"/>
      <c r="Q210" s="247"/>
      <c r="R210" s="439"/>
      <c r="S210" s="439"/>
      <c r="T210" s="439"/>
      <c r="U210" s="439"/>
      <c r="V210" s="439"/>
      <c r="W210" s="439"/>
      <c r="X210" s="439"/>
      <c r="Y210" s="439"/>
      <c r="Z210" s="439"/>
      <c r="AA210" s="439"/>
      <c r="AB210" s="439"/>
      <c r="AC210" s="439"/>
    </row>
    <row r="211" ht="15.75" customHeight="1">
      <c r="A211" s="439"/>
      <c r="B211" s="439"/>
      <c r="C211" s="439"/>
      <c r="D211" s="530"/>
      <c r="E211" s="247"/>
      <c r="F211" s="439"/>
      <c r="G211" s="439"/>
      <c r="H211" s="439"/>
      <c r="I211" s="439"/>
      <c r="J211" s="530"/>
      <c r="K211" s="247"/>
      <c r="L211" s="439"/>
      <c r="M211" s="439"/>
      <c r="N211" s="439"/>
      <c r="O211" s="439"/>
      <c r="P211" s="530"/>
      <c r="Q211" s="247"/>
      <c r="R211" s="439"/>
      <c r="S211" s="439"/>
      <c r="T211" s="439"/>
      <c r="U211" s="439"/>
      <c r="V211" s="439"/>
      <c r="W211" s="439"/>
      <c r="X211" s="439"/>
      <c r="Y211" s="439"/>
      <c r="Z211" s="439"/>
      <c r="AA211" s="439"/>
      <c r="AB211" s="439"/>
      <c r="AC211" s="439"/>
    </row>
    <row r="212" ht="15.75" customHeight="1">
      <c r="A212" s="439"/>
      <c r="B212" s="439"/>
      <c r="C212" s="439"/>
      <c r="D212" s="530"/>
      <c r="E212" s="247"/>
      <c r="F212" s="439"/>
      <c r="G212" s="439"/>
      <c r="H212" s="439"/>
      <c r="I212" s="439"/>
      <c r="J212" s="530"/>
      <c r="K212" s="247"/>
      <c r="L212" s="439"/>
      <c r="M212" s="439"/>
      <c r="N212" s="439"/>
      <c r="O212" s="439"/>
      <c r="P212" s="530"/>
      <c r="Q212" s="247"/>
      <c r="R212" s="439"/>
      <c r="S212" s="439"/>
      <c r="T212" s="439"/>
      <c r="U212" s="439"/>
      <c r="V212" s="439"/>
      <c r="W212" s="439"/>
      <c r="X212" s="439"/>
      <c r="Y212" s="439"/>
      <c r="Z212" s="439"/>
      <c r="AA212" s="439"/>
      <c r="AB212" s="439"/>
      <c r="AC212" s="439"/>
    </row>
    <row r="213" ht="15.75" customHeight="1">
      <c r="A213" s="439"/>
      <c r="B213" s="439"/>
      <c r="C213" s="439"/>
      <c r="D213" s="530"/>
      <c r="E213" s="247"/>
      <c r="F213" s="439"/>
      <c r="G213" s="439"/>
      <c r="H213" s="439"/>
      <c r="I213" s="439"/>
      <c r="J213" s="530"/>
      <c r="K213" s="247"/>
      <c r="L213" s="439"/>
      <c r="M213" s="439"/>
      <c r="N213" s="439"/>
      <c r="O213" s="439"/>
      <c r="P213" s="530"/>
      <c r="Q213" s="247"/>
      <c r="R213" s="439"/>
      <c r="S213" s="439"/>
      <c r="T213" s="439"/>
      <c r="U213" s="439"/>
      <c r="V213" s="439"/>
      <c r="W213" s="439"/>
      <c r="X213" s="439"/>
      <c r="Y213" s="439"/>
      <c r="Z213" s="439"/>
      <c r="AA213" s="439"/>
      <c r="AB213" s="439"/>
      <c r="AC213" s="439"/>
    </row>
    <row r="214" ht="15.75" customHeight="1">
      <c r="A214" s="439"/>
      <c r="B214" s="439"/>
      <c r="C214" s="439"/>
      <c r="D214" s="530"/>
      <c r="E214" s="247"/>
      <c r="F214" s="439"/>
      <c r="G214" s="439"/>
      <c r="H214" s="439"/>
      <c r="I214" s="439"/>
      <c r="J214" s="530"/>
      <c r="K214" s="247"/>
      <c r="L214" s="439"/>
      <c r="M214" s="439"/>
      <c r="N214" s="439"/>
      <c r="O214" s="439"/>
      <c r="P214" s="530"/>
      <c r="Q214" s="247"/>
      <c r="R214" s="439"/>
      <c r="S214" s="439"/>
      <c r="T214" s="439"/>
      <c r="U214" s="439"/>
      <c r="V214" s="439"/>
      <c r="W214" s="439"/>
      <c r="X214" s="439"/>
      <c r="Y214" s="439"/>
      <c r="Z214" s="439"/>
      <c r="AA214" s="439"/>
      <c r="AB214" s="439"/>
      <c r="AC214" s="439"/>
    </row>
    <row r="215" ht="15.75" customHeight="1">
      <c r="A215" s="439"/>
      <c r="B215" s="439"/>
      <c r="C215" s="439"/>
      <c r="D215" s="530"/>
      <c r="E215" s="247"/>
      <c r="F215" s="439"/>
      <c r="G215" s="439"/>
      <c r="H215" s="439"/>
      <c r="I215" s="439"/>
      <c r="J215" s="530"/>
      <c r="K215" s="247"/>
      <c r="L215" s="439"/>
      <c r="M215" s="439"/>
      <c r="N215" s="439"/>
      <c r="O215" s="439"/>
      <c r="P215" s="530"/>
      <c r="Q215" s="247"/>
      <c r="R215" s="439"/>
      <c r="S215" s="439"/>
      <c r="T215" s="439"/>
      <c r="U215" s="439"/>
      <c r="V215" s="439"/>
      <c r="W215" s="439"/>
      <c r="X215" s="439"/>
      <c r="Y215" s="439"/>
      <c r="Z215" s="439"/>
      <c r="AA215" s="439"/>
      <c r="AB215" s="439"/>
      <c r="AC215" s="439"/>
    </row>
    <row r="216" ht="15.75" customHeight="1">
      <c r="A216" s="439"/>
      <c r="B216" s="439"/>
      <c r="C216" s="439"/>
      <c r="D216" s="530"/>
      <c r="E216" s="247"/>
      <c r="F216" s="439"/>
      <c r="G216" s="439"/>
      <c r="H216" s="439"/>
      <c r="I216" s="439"/>
      <c r="J216" s="530"/>
      <c r="K216" s="247"/>
      <c r="L216" s="439"/>
      <c r="M216" s="439"/>
      <c r="N216" s="439"/>
      <c r="O216" s="439"/>
      <c r="P216" s="530"/>
      <c r="Q216" s="247"/>
      <c r="R216" s="439"/>
      <c r="S216" s="439"/>
      <c r="T216" s="439"/>
      <c r="U216" s="439"/>
      <c r="V216" s="439"/>
      <c r="W216" s="439"/>
      <c r="X216" s="439"/>
      <c r="Y216" s="439"/>
      <c r="Z216" s="439"/>
      <c r="AA216" s="439"/>
      <c r="AB216" s="439"/>
      <c r="AC216" s="439"/>
    </row>
    <row r="217" ht="15.75" customHeight="1">
      <c r="A217" s="439"/>
      <c r="B217" s="439"/>
      <c r="C217" s="439"/>
      <c r="D217" s="530"/>
      <c r="E217" s="247"/>
      <c r="F217" s="439"/>
      <c r="G217" s="439"/>
      <c r="H217" s="439"/>
      <c r="I217" s="439"/>
      <c r="J217" s="530"/>
      <c r="K217" s="247"/>
      <c r="L217" s="439"/>
      <c r="M217" s="439"/>
      <c r="N217" s="439"/>
      <c r="O217" s="439"/>
      <c r="P217" s="530"/>
      <c r="Q217" s="247"/>
      <c r="R217" s="439"/>
      <c r="S217" s="439"/>
      <c r="T217" s="439"/>
      <c r="U217" s="439"/>
      <c r="V217" s="439"/>
      <c r="W217" s="439"/>
      <c r="X217" s="439"/>
      <c r="Y217" s="439"/>
      <c r="Z217" s="439"/>
      <c r="AA217" s="439"/>
      <c r="AB217" s="439"/>
      <c r="AC217" s="439"/>
    </row>
    <row r="218" ht="15.75" customHeight="1">
      <c r="A218" s="439"/>
      <c r="B218" s="439"/>
      <c r="C218" s="439"/>
      <c r="D218" s="530"/>
      <c r="E218" s="247"/>
      <c r="F218" s="439"/>
      <c r="G218" s="439"/>
      <c r="H218" s="439"/>
      <c r="I218" s="439"/>
      <c r="J218" s="530"/>
      <c r="K218" s="247"/>
      <c r="L218" s="439"/>
      <c r="M218" s="439"/>
      <c r="N218" s="439"/>
      <c r="O218" s="439"/>
      <c r="P218" s="530"/>
      <c r="Q218" s="247"/>
      <c r="R218" s="439"/>
      <c r="S218" s="439"/>
      <c r="T218" s="439"/>
      <c r="U218" s="439"/>
      <c r="V218" s="439"/>
      <c r="W218" s="439"/>
      <c r="X218" s="439"/>
      <c r="Y218" s="439"/>
      <c r="Z218" s="439"/>
      <c r="AA218" s="439"/>
      <c r="AB218" s="439"/>
      <c r="AC218" s="439"/>
    </row>
    <row r="219" ht="15.75" customHeight="1">
      <c r="A219" s="439"/>
      <c r="B219" s="439"/>
      <c r="C219" s="439"/>
      <c r="D219" s="530"/>
      <c r="E219" s="247"/>
      <c r="F219" s="439"/>
      <c r="G219" s="439"/>
      <c r="H219" s="439"/>
      <c r="I219" s="439"/>
      <c r="J219" s="530"/>
      <c r="K219" s="247"/>
      <c r="L219" s="439"/>
      <c r="M219" s="439"/>
      <c r="N219" s="439"/>
      <c r="O219" s="439"/>
      <c r="P219" s="530"/>
      <c r="Q219" s="247"/>
      <c r="R219" s="439"/>
      <c r="S219" s="439"/>
      <c r="T219" s="439"/>
      <c r="U219" s="439"/>
      <c r="V219" s="439"/>
      <c r="W219" s="439"/>
      <c r="X219" s="439"/>
      <c r="Y219" s="439"/>
      <c r="Z219" s="439"/>
      <c r="AA219" s="439"/>
      <c r="AB219" s="439"/>
      <c r="AC219" s="439"/>
    </row>
    <row r="220" ht="15.75" customHeight="1">
      <c r="A220" s="439"/>
      <c r="B220" s="439"/>
      <c r="C220" s="439"/>
      <c r="D220" s="530"/>
      <c r="E220" s="247"/>
      <c r="F220" s="439"/>
      <c r="G220" s="439"/>
      <c r="H220" s="439"/>
      <c r="I220" s="439"/>
      <c r="J220" s="530"/>
      <c r="K220" s="247"/>
      <c r="L220" s="439"/>
      <c r="M220" s="439"/>
      <c r="N220" s="439"/>
      <c r="O220" s="439"/>
      <c r="P220" s="530"/>
      <c r="Q220" s="247"/>
      <c r="R220" s="439"/>
      <c r="S220" s="439"/>
      <c r="T220" s="439"/>
      <c r="U220" s="439"/>
      <c r="V220" s="439"/>
      <c r="W220" s="439"/>
      <c r="X220" s="439"/>
      <c r="Y220" s="439"/>
      <c r="Z220" s="439"/>
      <c r="AA220" s="439"/>
      <c r="AB220" s="439"/>
      <c r="AC220" s="439"/>
    </row>
    <row r="221" ht="15.75" customHeight="1">
      <c r="A221" s="439"/>
      <c r="B221" s="439"/>
      <c r="C221" s="439"/>
      <c r="D221" s="530"/>
      <c r="E221" s="247"/>
      <c r="F221" s="439"/>
      <c r="G221" s="439"/>
      <c r="H221" s="439"/>
      <c r="I221" s="439"/>
      <c r="J221" s="530"/>
      <c r="K221" s="247"/>
      <c r="L221" s="439"/>
      <c r="M221" s="439"/>
      <c r="N221" s="439"/>
      <c r="O221" s="439"/>
      <c r="P221" s="530"/>
      <c r="Q221" s="247"/>
      <c r="R221" s="439"/>
      <c r="S221" s="439"/>
      <c r="T221" s="439"/>
      <c r="U221" s="439"/>
      <c r="V221" s="439"/>
      <c r="W221" s="439"/>
      <c r="X221" s="439"/>
      <c r="Y221" s="439"/>
      <c r="Z221" s="439"/>
      <c r="AA221" s="439"/>
      <c r="AB221" s="439"/>
      <c r="AC221" s="439"/>
    </row>
    <row r="222" ht="15.75" customHeight="1">
      <c r="A222" s="439"/>
      <c r="B222" s="439"/>
      <c r="C222" s="439"/>
      <c r="D222" s="530"/>
      <c r="E222" s="247"/>
      <c r="F222" s="439"/>
      <c r="G222" s="439"/>
      <c r="H222" s="439"/>
      <c r="I222" s="439"/>
      <c r="J222" s="530"/>
      <c r="K222" s="247"/>
      <c r="L222" s="439"/>
      <c r="M222" s="439"/>
      <c r="N222" s="439"/>
      <c r="O222" s="439"/>
      <c r="P222" s="530"/>
      <c r="Q222" s="247"/>
      <c r="R222" s="439"/>
      <c r="S222" s="439"/>
      <c r="T222" s="439"/>
      <c r="U222" s="439"/>
      <c r="V222" s="439"/>
      <c r="W222" s="439"/>
      <c r="X222" s="439"/>
      <c r="Y222" s="439"/>
      <c r="Z222" s="439"/>
      <c r="AA222" s="439"/>
      <c r="AB222" s="439"/>
      <c r="AC222" s="439"/>
    </row>
    <row r="223" ht="15.75" customHeight="1">
      <c r="A223" s="439"/>
      <c r="B223" s="439"/>
      <c r="C223" s="439"/>
      <c r="D223" s="530"/>
      <c r="E223" s="247"/>
      <c r="F223" s="439"/>
      <c r="G223" s="439"/>
      <c r="H223" s="439"/>
      <c r="I223" s="439"/>
      <c r="J223" s="530"/>
      <c r="K223" s="247"/>
      <c r="L223" s="439"/>
      <c r="M223" s="439"/>
      <c r="N223" s="439"/>
      <c r="O223" s="439"/>
      <c r="P223" s="530"/>
      <c r="Q223" s="247"/>
      <c r="R223" s="439"/>
      <c r="S223" s="439"/>
      <c r="T223" s="439"/>
      <c r="U223" s="439"/>
      <c r="V223" s="439"/>
      <c r="W223" s="439"/>
      <c r="X223" s="439"/>
      <c r="Y223" s="439"/>
      <c r="Z223" s="439"/>
      <c r="AA223" s="439"/>
      <c r="AB223" s="439"/>
      <c r="AC223" s="439"/>
    </row>
    <row r="224" ht="15.75" customHeight="1">
      <c r="A224" s="439"/>
      <c r="B224" s="439"/>
      <c r="C224" s="439"/>
      <c r="D224" s="530"/>
      <c r="E224" s="247"/>
      <c r="F224" s="439"/>
      <c r="G224" s="439"/>
      <c r="H224" s="439"/>
      <c r="I224" s="439"/>
      <c r="J224" s="530"/>
      <c r="K224" s="247"/>
      <c r="L224" s="439"/>
      <c r="M224" s="439"/>
      <c r="N224" s="439"/>
      <c r="O224" s="439"/>
      <c r="P224" s="530"/>
      <c r="Q224" s="247"/>
      <c r="R224" s="439"/>
      <c r="S224" s="439"/>
      <c r="T224" s="439"/>
      <c r="U224" s="439"/>
      <c r="V224" s="439"/>
      <c r="W224" s="439"/>
      <c r="X224" s="439"/>
      <c r="Y224" s="439"/>
      <c r="Z224" s="439"/>
      <c r="AA224" s="439"/>
      <c r="AB224" s="439"/>
      <c r="AC224" s="439"/>
    </row>
    <row r="225" ht="15.75" customHeight="1">
      <c r="A225" s="439"/>
      <c r="B225" s="439"/>
      <c r="C225" s="439"/>
      <c r="D225" s="530"/>
      <c r="E225" s="247"/>
      <c r="F225" s="439"/>
      <c r="G225" s="439"/>
      <c r="H225" s="439"/>
      <c r="I225" s="439"/>
      <c r="J225" s="530"/>
      <c r="K225" s="247"/>
      <c r="L225" s="439"/>
      <c r="M225" s="439"/>
      <c r="N225" s="439"/>
      <c r="O225" s="439"/>
      <c r="P225" s="530"/>
      <c r="Q225" s="247"/>
      <c r="R225" s="439"/>
      <c r="S225" s="439"/>
      <c r="T225" s="439"/>
      <c r="U225" s="439"/>
      <c r="V225" s="439"/>
      <c r="W225" s="439"/>
      <c r="X225" s="439"/>
      <c r="Y225" s="439"/>
      <c r="Z225" s="439"/>
      <c r="AA225" s="439"/>
      <c r="AB225" s="439"/>
      <c r="AC225" s="439"/>
    </row>
    <row r="226" ht="15.75" customHeight="1">
      <c r="A226" s="439"/>
      <c r="B226" s="439"/>
      <c r="C226" s="439"/>
      <c r="D226" s="530"/>
      <c r="E226" s="247"/>
      <c r="F226" s="439"/>
      <c r="G226" s="439"/>
      <c r="H226" s="439"/>
      <c r="I226" s="439"/>
      <c r="J226" s="530"/>
      <c r="K226" s="247"/>
      <c r="L226" s="439"/>
      <c r="M226" s="439"/>
      <c r="N226" s="439"/>
      <c r="O226" s="439"/>
      <c r="P226" s="530"/>
      <c r="Q226" s="247"/>
      <c r="R226" s="439"/>
      <c r="S226" s="439"/>
      <c r="T226" s="439"/>
      <c r="U226" s="439"/>
      <c r="V226" s="439"/>
      <c r="W226" s="439"/>
      <c r="X226" s="439"/>
      <c r="Y226" s="439"/>
      <c r="Z226" s="439"/>
      <c r="AA226" s="439"/>
      <c r="AB226" s="439"/>
      <c r="AC226" s="439"/>
    </row>
    <row r="227" ht="15.75" customHeight="1">
      <c r="A227" s="439"/>
      <c r="B227" s="439"/>
      <c r="C227" s="439"/>
      <c r="D227" s="530"/>
      <c r="E227" s="247"/>
      <c r="F227" s="439"/>
      <c r="G227" s="439"/>
      <c r="H227" s="439"/>
      <c r="I227" s="439"/>
      <c r="J227" s="530"/>
      <c r="K227" s="247"/>
      <c r="L227" s="439"/>
      <c r="M227" s="439"/>
      <c r="N227" s="439"/>
      <c r="O227" s="439"/>
      <c r="P227" s="530"/>
      <c r="Q227" s="247"/>
      <c r="R227" s="439"/>
      <c r="S227" s="439"/>
      <c r="T227" s="439"/>
      <c r="U227" s="439"/>
      <c r="V227" s="439"/>
      <c r="W227" s="439"/>
      <c r="X227" s="439"/>
      <c r="Y227" s="439"/>
      <c r="Z227" s="439"/>
      <c r="AA227" s="439"/>
      <c r="AB227" s="439"/>
      <c r="AC227" s="439"/>
    </row>
    <row r="228" ht="15.75" customHeight="1">
      <c r="A228" s="439"/>
      <c r="B228" s="439"/>
      <c r="C228" s="439"/>
      <c r="D228" s="530"/>
      <c r="E228" s="247"/>
      <c r="F228" s="439"/>
      <c r="G228" s="439"/>
      <c r="H228" s="439"/>
      <c r="I228" s="439"/>
      <c r="J228" s="530"/>
      <c r="K228" s="247"/>
      <c r="L228" s="439"/>
      <c r="M228" s="439"/>
      <c r="N228" s="439"/>
      <c r="O228" s="439"/>
      <c r="P228" s="530"/>
      <c r="Q228" s="247"/>
      <c r="R228" s="439"/>
      <c r="S228" s="439"/>
      <c r="T228" s="439"/>
      <c r="U228" s="439"/>
      <c r="V228" s="439"/>
      <c r="W228" s="439"/>
      <c r="X228" s="439"/>
      <c r="Y228" s="439"/>
      <c r="Z228" s="439"/>
      <c r="AA228" s="439"/>
      <c r="AB228" s="439"/>
      <c r="AC228" s="439"/>
    </row>
    <row r="229" ht="15.75" customHeight="1">
      <c r="A229" s="439"/>
      <c r="B229" s="439"/>
      <c r="C229" s="439"/>
      <c r="D229" s="530"/>
      <c r="E229" s="247"/>
      <c r="F229" s="439"/>
      <c r="G229" s="439"/>
      <c r="H229" s="439"/>
      <c r="I229" s="439"/>
      <c r="J229" s="530"/>
      <c r="K229" s="247"/>
      <c r="L229" s="439"/>
      <c r="M229" s="439"/>
      <c r="N229" s="439"/>
      <c r="O229" s="439"/>
      <c r="P229" s="530"/>
      <c r="Q229" s="247"/>
      <c r="R229" s="439"/>
      <c r="S229" s="439"/>
      <c r="T229" s="439"/>
      <c r="U229" s="439"/>
      <c r="V229" s="439"/>
      <c r="W229" s="439"/>
      <c r="X229" s="439"/>
      <c r="Y229" s="439"/>
      <c r="Z229" s="439"/>
      <c r="AA229" s="439"/>
      <c r="AB229" s="439"/>
      <c r="AC229" s="439"/>
    </row>
    <row r="230" ht="15.75" customHeight="1">
      <c r="A230" s="439"/>
      <c r="B230" s="439"/>
      <c r="C230" s="439"/>
      <c r="D230" s="530"/>
      <c r="E230" s="247"/>
      <c r="F230" s="439"/>
      <c r="G230" s="439"/>
      <c r="H230" s="439"/>
      <c r="I230" s="439"/>
      <c r="J230" s="530"/>
      <c r="K230" s="247"/>
      <c r="L230" s="439"/>
      <c r="M230" s="439"/>
      <c r="N230" s="439"/>
      <c r="O230" s="439"/>
      <c r="P230" s="530"/>
      <c r="Q230" s="247"/>
      <c r="R230" s="439"/>
      <c r="S230" s="439"/>
      <c r="T230" s="439"/>
      <c r="U230" s="439"/>
      <c r="V230" s="439"/>
      <c r="W230" s="439"/>
      <c r="X230" s="439"/>
      <c r="Y230" s="439"/>
      <c r="Z230" s="439"/>
      <c r="AA230" s="439"/>
      <c r="AB230" s="439"/>
      <c r="AC230" s="439"/>
    </row>
    <row r="231" ht="15.75" customHeight="1">
      <c r="A231" s="439"/>
      <c r="B231" s="439"/>
      <c r="C231" s="439"/>
      <c r="D231" s="530"/>
      <c r="E231" s="247"/>
      <c r="F231" s="439"/>
      <c r="G231" s="439"/>
      <c r="H231" s="439"/>
      <c r="I231" s="439"/>
      <c r="J231" s="530"/>
      <c r="K231" s="247"/>
      <c r="L231" s="439"/>
      <c r="M231" s="439"/>
      <c r="N231" s="439"/>
      <c r="O231" s="439"/>
      <c r="P231" s="530"/>
      <c r="Q231" s="247"/>
      <c r="R231" s="439"/>
      <c r="S231" s="439"/>
      <c r="T231" s="439"/>
      <c r="U231" s="439"/>
      <c r="V231" s="439"/>
      <c r="W231" s="439"/>
      <c r="X231" s="439"/>
      <c r="Y231" s="439"/>
      <c r="Z231" s="439"/>
      <c r="AA231" s="439"/>
      <c r="AB231" s="439"/>
      <c r="AC231" s="439"/>
    </row>
    <row r="232" ht="15.75" customHeight="1">
      <c r="A232" s="439"/>
      <c r="B232" s="439"/>
      <c r="C232" s="439"/>
      <c r="D232" s="530"/>
      <c r="E232" s="247"/>
      <c r="F232" s="439"/>
      <c r="G232" s="439"/>
      <c r="H232" s="439"/>
      <c r="I232" s="439"/>
      <c r="J232" s="530"/>
      <c r="K232" s="247"/>
      <c r="L232" s="439"/>
      <c r="M232" s="439"/>
      <c r="N232" s="439"/>
      <c r="O232" s="439"/>
      <c r="P232" s="530"/>
      <c r="Q232" s="247"/>
      <c r="R232" s="439"/>
      <c r="S232" s="439"/>
      <c r="T232" s="439"/>
      <c r="U232" s="439"/>
      <c r="V232" s="439"/>
      <c r="W232" s="439"/>
      <c r="X232" s="439"/>
      <c r="Y232" s="439"/>
      <c r="Z232" s="439"/>
      <c r="AA232" s="439"/>
      <c r="AB232" s="439"/>
      <c r="AC232" s="439"/>
    </row>
    <row r="233" ht="15.75" customHeight="1">
      <c r="A233" s="439"/>
      <c r="B233" s="439"/>
      <c r="C233" s="439"/>
      <c r="D233" s="530"/>
      <c r="E233" s="247"/>
      <c r="F233" s="439"/>
      <c r="G233" s="439"/>
      <c r="H233" s="439"/>
      <c r="I233" s="439"/>
      <c r="J233" s="530"/>
      <c r="K233" s="247"/>
      <c r="L233" s="439"/>
      <c r="M233" s="439"/>
      <c r="N233" s="439"/>
      <c r="O233" s="439"/>
      <c r="P233" s="530"/>
      <c r="Q233" s="247"/>
      <c r="R233" s="439"/>
      <c r="S233" s="439"/>
      <c r="T233" s="439"/>
      <c r="U233" s="439"/>
      <c r="V233" s="439"/>
      <c r="W233" s="439"/>
      <c r="X233" s="439"/>
      <c r="Y233" s="439"/>
      <c r="Z233" s="439"/>
      <c r="AA233" s="439"/>
      <c r="AB233" s="439"/>
      <c r="AC233" s="439"/>
    </row>
    <row r="234" ht="15.75" customHeight="1">
      <c r="A234" s="439"/>
      <c r="B234" s="439"/>
      <c r="C234" s="439"/>
      <c r="D234" s="530"/>
      <c r="E234" s="247"/>
      <c r="F234" s="439"/>
      <c r="G234" s="439"/>
      <c r="H234" s="439"/>
      <c r="I234" s="439"/>
      <c r="J234" s="530"/>
      <c r="K234" s="247"/>
      <c r="L234" s="439"/>
      <c r="M234" s="439"/>
      <c r="N234" s="439"/>
      <c r="O234" s="439"/>
      <c r="P234" s="530"/>
      <c r="Q234" s="247"/>
      <c r="R234" s="439"/>
      <c r="S234" s="439"/>
      <c r="T234" s="439"/>
      <c r="U234" s="439"/>
      <c r="V234" s="439"/>
      <c r="W234" s="439"/>
      <c r="X234" s="439"/>
      <c r="Y234" s="439"/>
      <c r="Z234" s="439"/>
      <c r="AA234" s="439"/>
      <c r="AB234" s="439"/>
      <c r="AC234" s="439"/>
    </row>
    <row r="235" ht="15.75" customHeight="1">
      <c r="A235" s="439"/>
      <c r="B235" s="439"/>
      <c r="C235" s="439"/>
      <c r="D235" s="530"/>
      <c r="E235" s="247"/>
      <c r="F235" s="439"/>
      <c r="G235" s="439"/>
      <c r="H235" s="439"/>
      <c r="I235" s="439"/>
      <c r="J235" s="530"/>
      <c r="K235" s="247"/>
      <c r="L235" s="439"/>
      <c r="M235" s="439"/>
      <c r="N235" s="439"/>
      <c r="O235" s="439"/>
      <c r="P235" s="530"/>
      <c r="Q235" s="247"/>
      <c r="R235" s="439"/>
      <c r="S235" s="439"/>
      <c r="T235" s="439"/>
      <c r="U235" s="439"/>
      <c r="V235" s="439"/>
      <c r="W235" s="439"/>
      <c r="X235" s="439"/>
      <c r="Y235" s="439"/>
      <c r="Z235" s="439"/>
      <c r="AA235" s="439"/>
      <c r="AB235" s="439"/>
      <c r="AC235" s="439"/>
    </row>
    <row r="236" ht="15.75" customHeight="1">
      <c r="A236" s="439"/>
      <c r="B236" s="439"/>
      <c r="C236" s="439"/>
      <c r="D236" s="530"/>
      <c r="E236" s="247"/>
      <c r="F236" s="439"/>
      <c r="G236" s="439"/>
      <c r="H236" s="439"/>
      <c r="I236" s="439"/>
      <c r="J236" s="530"/>
      <c r="K236" s="247"/>
      <c r="L236" s="439"/>
      <c r="M236" s="439"/>
      <c r="N236" s="439"/>
      <c r="O236" s="439"/>
      <c r="P236" s="530"/>
      <c r="Q236" s="247"/>
      <c r="R236" s="439"/>
      <c r="S236" s="439"/>
      <c r="T236" s="439"/>
      <c r="U236" s="439"/>
      <c r="V236" s="439"/>
      <c r="W236" s="439"/>
      <c r="X236" s="439"/>
      <c r="Y236" s="439"/>
      <c r="Z236" s="439"/>
      <c r="AA236" s="439"/>
      <c r="AB236" s="439"/>
      <c r="AC236" s="439"/>
    </row>
    <row r="237" ht="15.75" customHeight="1">
      <c r="A237" s="439"/>
      <c r="B237" s="439"/>
      <c r="C237" s="439"/>
      <c r="D237" s="530"/>
      <c r="E237" s="247"/>
      <c r="F237" s="439"/>
      <c r="G237" s="439"/>
      <c r="H237" s="439"/>
      <c r="I237" s="439"/>
      <c r="J237" s="530"/>
      <c r="K237" s="247"/>
      <c r="L237" s="439"/>
      <c r="M237" s="439"/>
      <c r="N237" s="439"/>
      <c r="O237" s="439"/>
      <c r="P237" s="530"/>
      <c r="Q237" s="247"/>
      <c r="R237" s="439"/>
      <c r="S237" s="439"/>
      <c r="T237" s="439"/>
      <c r="U237" s="439"/>
      <c r="V237" s="439"/>
      <c r="W237" s="439"/>
      <c r="X237" s="439"/>
      <c r="Y237" s="439"/>
      <c r="Z237" s="439"/>
      <c r="AA237" s="439"/>
      <c r="AB237" s="439"/>
      <c r="AC237" s="439"/>
    </row>
    <row r="238" ht="15.75" customHeight="1">
      <c r="A238" s="439"/>
      <c r="B238" s="439"/>
      <c r="C238" s="439"/>
      <c r="D238" s="530"/>
      <c r="E238" s="247"/>
      <c r="F238" s="439"/>
      <c r="G238" s="439"/>
      <c r="H238" s="439"/>
      <c r="I238" s="439"/>
      <c r="J238" s="530"/>
      <c r="K238" s="247"/>
      <c r="L238" s="439"/>
      <c r="M238" s="439"/>
      <c r="N238" s="439"/>
      <c r="O238" s="439"/>
      <c r="P238" s="530"/>
      <c r="Q238" s="247"/>
      <c r="R238" s="439"/>
      <c r="S238" s="439"/>
      <c r="T238" s="439"/>
      <c r="U238" s="439"/>
      <c r="V238" s="439"/>
      <c r="W238" s="439"/>
      <c r="X238" s="439"/>
      <c r="Y238" s="439"/>
      <c r="Z238" s="439"/>
      <c r="AA238" s="439"/>
      <c r="AB238" s="439"/>
      <c r="AC238" s="439"/>
    </row>
    <row r="239" ht="15.75" customHeight="1">
      <c r="A239" s="439"/>
      <c r="B239" s="439"/>
      <c r="C239" s="439"/>
      <c r="D239" s="530"/>
      <c r="E239" s="247"/>
      <c r="F239" s="439"/>
      <c r="G239" s="439"/>
      <c r="H239" s="439"/>
      <c r="I239" s="439"/>
      <c r="J239" s="530"/>
      <c r="K239" s="247"/>
      <c r="L239" s="439"/>
      <c r="M239" s="439"/>
      <c r="N239" s="439"/>
      <c r="O239" s="439"/>
      <c r="P239" s="530"/>
      <c r="Q239" s="247"/>
      <c r="R239" s="439"/>
      <c r="S239" s="439"/>
      <c r="T239" s="439"/>
      <c r="U239" s="439"/>
      <c r="V239" s="439"/>
      <c r="W239" s="439"/>
      <c r="X239" s="439"/>
      <c r="Y239" s="439"/>
      <c r="Z239" s="439"/>
      <c r="AA239" s="439"/>
      <c r="AB239" s="439"/>
      <c r="AC239" s="439"/>
    </row>
    <row r="240" ht="15.75" customHeight="1">
      <c r="A240" s="439"/>
      <c r="B240" s="439"/>
      <c r="C240" s="439"/>
      <c r="D240" s="530"/>
      <c r="E240" s="247"/>
      <c r="F240" s="439"/>
      <c r="G240" s="439"/>
      <c r="H240" s="439"/>
      <c r="I240" s="439"/>
      <c r="J240" s="530"/>
      <c r="K240" s="247"/>
      <c r="L240" s="439"/>
      <c r="M240" s="439"/>
      <c r="N240" s="439"/>
      <c r="O240" s="439"/>
      <c r="P240" s="530"/>
      <c r="Q240" s="247"/>
      <c r="R240" s="439"/>
      <c r="S240" s="439"/>
      <c r="T240" s="439"/>
      <c r="U240" s="439"/>
      <c r="V240" s="439"/>
      <c r="W240" s="439"/>
      <c r="X240" s="439"/>
      <c r="Y240" s="439"/>
      <c r="Z240" s="439"/>
      <c r="AA240" s="439"/>
      <c r="AB240" s="439"/>
      <c r="AC240" s="439"/>
    </row>
    <row r="241" ht="15.75" customHeight="1">
      <c r="A241" s="439"/>
      <c r="B241" s="439"/>
      <c r="C241" s="439"/>
      <c r="D241" s="530"/>
      <c r="E241" s="247"/>
      <c r="F241" s="439"/>
      <c r="G241" s="439"/>
      <c r="H241" s="439"/>
      <c r="I241" s="439"/>
      <c r="J241" s="530"/>
      <c r="K241" s="247"/>
      <c r="L241" s="439"/>
      <c r="M241" s="439"/>
      <c r="N241" s="439"/>
      <c r="O241" s="439"/>
      <c r="P241" s="530"/>
      <c r="Q241" s="247"/>
      <c r="R241" s="439"/>
      <c r="S241" s="439"/>
      <c r="T241" s="439"/>
      <c r="U241" s="439"/>
      <c r="V241" s="439"/>
      <c r="W241" s="439"/>
      <c r="X241" s="439"/>
      <c r="Y241" s="439"/>
      <c r="Z241" s="439"/>
      <c r="AA241" s="439"/>
      <c r="AB241" s="439"/>
      <c r="AC241" s="439"/>
    </row>
    <row r="242" ht="15.75" customHeight="1">
      <c r="A242" s="439"/>
      <c r="B242" s="439"/>
      <c r="C242" s="439"/>
      <c r="D242" s="530"/>
      <c r="E242" s="247"/>
      <c r="F242" s="439"/>
      <c r="G242" s="439"/>
      <c r="H242" s="439"/>
      <c r="I242" s="439"/>
      <c r="J242" s="530"/>
      <c r="K242" s="247"/>
      <c r="L242" s="439"/>
      <c r="M242" s="439"/>
      <c r="N242" s="439"/>
      <c r="O242" s="439"/>
      <c r="P242" s="530"/>
      <c r="Q242" s="247"/>
      <c r="R242" s="439"/>
      <c r="S242" s="439"/>
      <c r="T242" s="439"/>
      <c r="U242" s="439"/>
      <c r="V242" s="439"/>
      <c r="W242" s="439"/>
      <c r="X242" s="439"/>
      <c r="Y242" s="439"/>
      <c r="Z242" s="439"/>
      <c r="AA242" s="439"/>
      <c r="AB242" s="439"/>
      <c r="AC242" s="439"/>
    </row>
    <row r="243" ht="15.75" customHeight="1">
      <c r="A243" s="439"/>
      <c r="B243" s="439"/>
      <c r="C243" s="439"/>
      <c r="D243" s="530"/>
      <c r="E243" s="247"/>
      <c r="F243" s="439"/>
      <c r="G243" s="439"/>
      <c r="H243" s="439"/>
      <c r="I243" s="439"/>
      <c r="J243" s="530"/>
      <c r="K243" s="247"/>
      <c r="L243" s="439"/>
      <c r="M243" s="439"/>
      <c r="N243" s="439"/>
      <c r="O243" s="439"/>
      <c r="P243" s="530"/>
      <c r="Q243" s="247"/>
      <c r="R243" s="439"/>
      <c r="S243" s="439"/>
      <c r="T243" s="439"/>
      <c r="U243" s="439"/>
      <c r="V243" s="439"/>
      <c r="W243" s="439"/>
      <c r="X243" s="439"/>
      <c r="Y243" s="439"/>
      <c r="Z243" s="439"/>
      <c r="AA243" s="439"/>
      <c r="AB243" s="439"/>
      <c r="AC243" s="439"/>
    </row>
    <row r="244" ht="15.75" customHeight="1">
      <c r="A244" s="439"/>
      <c r="B244" s="439"/>
      <c r="C244" s="439"/>
      <c r="D244" s="530"/>
      <c r="E244" s="247"/>
      <c r="F244" s="439"/>
      <c r="G244" s="439"/>
      <c r="H244" s="439"/>
      <c r="I244" s="439"/>
      <c r="J244" s="530"/>
      <c r="K244" s="247"/>
      <c r="L244" s="439"/>
      <c r="M244" s="439"/>
      <c r="N244" s="439"/>
      <c r="O244" s="439"/>
      <c r="P244" s="530"/>
      <c r="Q244" s="247"/>
      <c r="R244" s="439"/>
      <c r="S244" s="439"/>
      <c r="T244" s="439"/>
      <c r="U244" s="439"/>
      <c r="V244" s="439"/>
      <c r="W244" s="439"/>
      <c r="X244" s="439"/>
      <c r="Y244" s="439"/>
      <c r="Z244" s="439"/>
      <c r="AA244" s="439"/>
      <c r="AB244" s="439"/>
      <c r="AC244" s="439"/>
    </row>
    <row r="245" ht="15.75" customHeight="1">
      <c r="A245" s="439"/>
      <c r="B245" s="439"/>
      <c r="C245" s="439"/>
      <c r="D245" s="530"/>
      <c r="E245" s="247"/>
      <c r="F245" s="439"/>
      <c r="G245" s="439"/>
      <c r="H245" s="439"/>
      <c r="I245" s="439"/>
      <c r="J245" s="530"/>
      <c r="K245" s="247"/>
      <c r="L245" s="439"/>
      <c r="M245" s="439"/>
      <c r="N245" s="439"/>
      <c r="O245" s="439"/>
      <c r="P245" s="530"/>
      <c r="Q245" s="247"/>
      <c r="R245" s="439"/>
      <c r="S245" s="439"/>
      <c r="T245" s="439"/>
      <c r="U245" s="439"/>
      <c r="V245" s="439"/>
      <c r="W245" s="439"/>
      <c r="X245" s="439"/>
      <c r="Y245" s="439"/>
      <c r="Z245" s="439"/>
      <c r="AA245" s="439"/>
      <c r="AB245" s="439"/>
      <c r="AC245" s="439"/>
    </row>
    <row r="246" ht="15.75" customHeight="1">
      <c r="A246" s="439"/>
      <c r="B246" s="439"/>
      <c r="C246" s="439"/>
      <c r="D246" s="530"/>
      <c r="E246" s="247"/>
      <c r="F246" s="439"/>
      <c r="G246" s="439"/>
      <c r="H246" s="439"/>
      <c r="I246" s="439"/>
      <c r="J246" s="530"/>
      <c r="K246" s="247"/>
      <c r="L246" s="439"/>
      <c r="M246" s="439"/>
      <c r="N246" s="439"/>
      <c r="O246" s="439"/>
      <c r="P246" s="530"/>
      <c r="Q246" s="247"/>
      <c r="R246" s="439"/>
      <c r="S246" s="439"/>
      <c r="T246" s="439"/>
      <c r="U246" s="439"/>
      <c r="V246" s="439"/>
      <c r="W246" s="439"/>
      <c r="X246" s="439"/>
      <c r="Y246" s="439"/>
      <c r="Z246" s="439"/>
      <c r="AA246" s="439"/>
      <c r="AB246" s="439"/>
      <c r="AC246" s="439"/>
    </row>
    <row r="247" ht="15.75" customHeight="1">
      <c r="A247" s="439"/>
      <c r="B247" s="439"/>
      <c r="C247" s="439"/>
      <c r="D247" s="530"/>
      <c r="E247" s="247"/>
      <c r="F247" s="439"/>
      <c r="G247" s="439"/>
      <c r="H247" s="439"/>
      <c r="I247" s="439"/>
      <c r="J247" s="530"/>
      <c r="K247" s="247"/>
      <c r="L247" s="439"/>
      <c r="M247" s="439"/>
      <c r="N247" s="439"/>
      <c r="O247" s="439"/>
      <c r="P247" s="530"/>
      <c r="Q247" s="247"/>
      <c r="R247" s="439"/>
      <c r="S247" s="439"/>
      <c r="T247" s="439"/>
      <c r="U247" s="439"/>
      <c r="V247" s="439"/>
      <c r="W247" s="439"/>
      <c r="X247" s="439"/>
      <c r="Y247" s="439"/>
      <c r="Z247" s="439"/>
      <c r="AA247" s="439"/>
      <c r="AB247" s="439"/>
      <c r="AC247" s="439"/>
    </row>
    <row r="248" ht="15.75" customHeight="1">
      <c r="A248" s="439"/>
      <c r="B248" s="439"/>
      <c r="C248" s="439"/>
      <c r="D248" s="530"/>
      <c r="E248" s="247"/>
      <c r="F248" s="439"/>
      <c r="G248" s="439"/>
      <c r="H248" s="439"/>
      <c r="I248" s="439"/>
      <c r="J248" s="530"/>
      <c r="K248" s="247"/>
      <c r="L248" s="439"/>
      <c r="M248" s="439"/>
      <c r="N248" s="439"/>
      <c r="O248" s="439"/>
      <c r="P248" s="530"/>
      <c r="Q248" s="247"/>
      <c r="R248" s="439"/>
      <c r="S248" s="439"/>
      <c r="T248" s="439"/>
      <c r="U248" s="439"/>
      <c r="V248" s="439"/>
      <c r="W248" s="439"/>
      <c r="X248" s="439"/>
      <c r="Y248" s="439"/>
      <c r="Z248" s="439"/>
      <c r="AA248" s="439"/>
      <c r="AB248" s="439"/>
      <c r="AC248" s="439"/>
    </row>
    <row r="249" ht="15.75" customHeight="1">
      <c r="A249" s="439"/>
      <c r="B249" s="439"/>
      <c r="C249" s="439"/>
      <c r="D249" s="530"/>
      <c r="E249" s="247"/>
      <c r="F249" s="439"/>
      <c r="G249" s="439"/>
      <c r="H249" s="439"/>
      <c r="I249" s="439"/>
      <c r="J249" s="530"/>
      <c r="K249" s="247"/>
      <c r="L249" s="439"/>
      <c r="M249" s="439"/>
      <c r="N249" s="439"/>
      <c r="O249" s="439"/>
      <c r="P249" s="530"/>
      <c r="Q249" s="247"/>
      <c r="R249" s="439"/>
      <c r="S249" s="439"/>
      <c r="T249" s="439"/>
      <c r="U249" s="439"/>
      <c r="V249" s="439"/>
      <c r="W249" s="439"/>
      <c r="X249" s="439"/>
      <c r="Y249" s="439"/>
      <c r="Z249" s="439"/>
      <c r="AA249" s="439"/>
      <c r="AB249" s="439"/>
      <c r="AC249" s="439"/>
    </row>
    <row r="250" ht="15.75" customHeight="1">
      <c r="A250" s="439"/>
      <c r="B250" s="439"/>
      <c r="C250" s="439"/>
      <c r="D250" s="530"/>
      <c r="E250" s="247"/>
      <c r="F250" s="439"/>
      <c r="G250" s="439"/>
      <c r="H250" s="439"/>
      <c r="I250" s="439"/>
      <c r="J250" s="530"/>
      <c r="K250" s="247"/>
      <c r="L250" s="439"/>
      <c r="M250" s="439"/>
      <c r="N250" s="439"/>
      <c r="O250" s="439"/>
      <c r="P250" s="530"/>
      <c r="Q250" s="247"/>
      <c r="R250" s="439"/>
      <c r="S250" s="439"/>
      <c r="T250" s="439"/>
      <c r="U250" s="439"/>
      <c r="V250" s="439"/>
      <c r="W250" s="439"/>
      <c r="X250" s="439"/>
      <c r="Y250" s="439"/>
      <c r="Z250" s="439"/>
      <c r="AA250" s="439"/>
      <c r="AB250" s="439"/>
      <c r="AC250" s="439"/>
    </row>
    <row r="251" ht="15.75" customHeight="1">
      <c r="A251" s="439"/>
      <c r="B251" s="439"/>
      <c r="C251" s="439"/>
      <c r="D251" s="530"/>
      <c r="E251" s="247"/>
      <c r="F251" s="439"/>
      <c r="G251" s="439"/>
      <c r="H251" s="439"/>
      <c r="I251" s="439"/>
      <c r="J251" s="530"/>
      <c r="K251" s="247"/>
      <c r="L251" s="439"/>
      <c r="M251" s="439"/>
      <c r="N251" s="439"/>
      <c r="O251" s="439"/>
      <c r="P251" s="530"/>
      <c r="Q251" s="247"/>
      <c r="R251" s="439"/>
      <c r="S251" s="439"/>
      <c r="T251" s="439"/>
      <c r="U251" s="439"/>
      <c r="V251" s="439"/>
      <c r="W251" s="439"/>
      <c r="X251" s="439"/>
      <c r="Y251" s="439"/>
      <c r="Z251" s="439"/>
      <c r="AA251" s="439"/>
      <c r="AB251" s="439"/>
      <c r="AC251" s="439"/>
    </row>
    <row r="252" ht="15.75" customHeight="1">
      <c r="A252" s="439"/>
      <c r="B252" s="439"/>
      <c r="C252" s="439"/>
      <c r="D252" s="530"/>
      <c r="E252" s="247"/>
      <c r="F252" s="439"/>
      <c r="G252" s="439"/>
      <c r="H252" s="439"/>
      <c r="I252" s="439"/>
      <c r="J252" s="530"/>
      <c r="K252" s="247"/>
      <c r="L252" s="439"/>
      <c r="M252" s="439"/>
      <c r="N252" s="439"/>
      <c r="O252" s="439"/>
      <c r="P252" s="530"/>
      <c r="Q252" s="247"/>
      <c r="R252" s="439"/>
      <c r="S252" s="439"/>
      <c r="T252" s="439"/>
      <c r="U252" s="439"/>
      <c r="V252" s="439"/>
      <c r="W252" s="439"/>
      <c r="X252" s="439"/>
      <c r="Y252" s="439"/>
      <c r="Z252" s="439"/>
      <c r="AA252" s="439"/>
      <c r="AB252" s="439"/>
      <c r="AC252" s="439"/>
    </row>
    <row r="253" ht="15.75" customHeight="1">
      <c r="A253" s="439"/>
      <c r="B253" s="439"/>
      <c r="C253" s="439"/>
      <c r="D253" s="530"/>
      <c r="E253" s="247"/>
      <c r="F253" s="439"/>
      <c r="G253" s="439"/>
      <c r="H253" s="439"/>
      <c r="I253" s="439"/>
      <c r="J253" s="530"/>
      <c r="K253" s="247"/>
      <c r="L253" s="439"/>
      <c r="M253" s="439"/>
      <c r="N253" s="439"/>
      <c r="O253" s="439"/>
      <c r="P253" s="530"/>
      <c r="Q253" s="247"/>
      <c r="R253" s="439"/>
      <c r="S253" s="439"/>
      <c r="T253" s="439"/>
      <c r="U253" s="439"/>
      <c r="V253" s="439"/>
      <c r="W253" s="439"/>
      <c r="X253" s="439"/>
      <c r="Y253" s="439"/>
      <c r="Z253" s="439"/>
      <c r="AA253" s="439"/>
      <c r="AB253" s="439"/>
      <c r="AC253" s="439"/>
    </row>
    <row r="254" ht="15.75" customHeight="1">
      <c r="A254" s="439"/>
      <c r="B254" s="439"/>
      <c r="C254" s="439"/>
      <c r="D254" s="530"/>
      <c r="E254" s="247"/>
      <c r="F254" s="439"/>
      <c r="G254" s="439"/>
      <c r="H254" s="439"/>
      <c r="I254" s="439"/>
      <c r="J254" s="530"/>
      <c r="K254" s="247"/>
      <c r="L254" s="439"/>
      <c r="M254" s="439"/>
      <c r="N254" s="439"/>
      <c r="O254" s="439"/>
      <c r="P254" s="530"/>
      <c r="Q254" s="247"/>
      <c r="R254" s="439"/>
      <c r="S254" s="439"/>
      <c r="T254" s="439"/>
      <c r="U254" s="439"/>
      <c r="V254" s="439"/>
      <c r="W254" s="439"/>
      <c r="X254" s="439"/>
      <c r="Y254" s="439"/>
      <c r="Z254" s="439"/>
      <c r="AA254" s="439"/>
      <c r="AB254" s="439"/>
      <c r="AC254" s="439"/>
    </row>
    <row r="255" ht="15.75" customHeight="1">
      <c r="A255" s="439"/>
      <c r="B255" s="439"/>
      <c r="C255" s="439"/>
      <c r="D255" s="530"/>
      <c r="E255" s="247"/>
      <c r="F255" s="439"/>
      <c r="G255" s="439"/>
      <c r="H255" s="439"/>
      <c r="I255" s="439"/>
      <c r="J255" s="530"/>
      <c r="K255" s="247"/>
      <c r="L255" s="439"/>
      <c r="M255" s="439"/>
      <c r="N255" s="439"/>
      <c r="O255" s="439"/>
      <c r="P255" s="530"/>
      <c r="Q255" s="247"/>
      <c r="R255" s="439"/>
      <c r="S255" s="439"/>
      <c r="T255" s="439"/>
      <c r="U255" s="439"/>
      <c r="V255" s="439"/>
      <c r="W255" s="439"/>
      <c r="X255" s="439"/>
      <c r="Y255" s="439"/>
      <c r="Z255" s="439"/>
      <c r="AA255" s="439"/>
      <c r="AB255" s="439"/>
      <c r="AC255" s="439"/>
    </row>
    <row r="256" ht="15.75" customHeight="1">
      <c r="A256" s="439"/>
      <c r="B256" s="439"/>
      <c r="C256" s="439"/>
      <c r="D256" s="530"/>
      <c r="E256" s="247"/>
      <c r="F256" s="439"/>
      <c r="G256" s="439"/>
      <c r="H256" s="439"/>
      <c r="I256" s="439"/>
      <c r="J256" s="530"/>
      <c r="K256" s="247"/>
      <c r="L256" s="439"/>
      <c r="M256" s="439"/>
      <c r="N256" s="439"/>
      <c r="O256" s="439"/>
      <c r="P256" s="530"/>
      <c r="Q256" s="247"/>
      <c r="R256" s="439"/>
      <c r="S256" s="439"/>
      <c r="T256" s="439"/>
      <c r="U256" s="439"/>
      <c r="V256" s="439"/>
      <c r="W256" s="439"/>
      <c r="X256" s="439"/>
      <c r="Y256" s="439"/>
      <c r="Z256" s="439"/>
      <c r="AA256" s="439"/>
      <c r="AB256" s="439"/>
      <c r="AC256" s="439"/>
    </row>
    <row r="257" ht="15.75" customHeight="1">
      <c r="A257" s="439"/>
      <c r="B257" s="439"/>
      <c r="C257" s="439"/>
      <c r="D257" s="530"/>
      <c r="E257" s="247"/>
      <c r="F257" s="439"/>
      <c r="G257" s="439"/>
      <c r="H257" s="439"/>
      <c r="I257" s="439"/>
      <c r="J257" s="530"/>
      <c r="K257" s="247"/>
      <c r="L257" s="439"/>
      <c r="M257" s="439"/>
      <c r="N257" s="439"/>
      <c r="O257" s="439"/>
      <c r="P257" s="530"/>
      <c r="Q257" s="247"/>
      <c r="R257" s="439"/>
      <c r="S257" s="439"/>
      <c r="T257" s="439"/>
      <c r="U257" s="439"/>
      <c r="V257" s="439"/>
      <c r="W257" s="439"/>
      <c r="X257" s="439"/>
      <c r="Y257" s="439"/>
      <c r="Z257" s="439"/>
      <c r="AA257" s="439"/>
      <c r="AB257" s="439"/>
      <c r="AC257" s="439"/>
    </row>
    <row r="258" ht="15.75" customHeight="1">
      <c r="A258" s="439"/>
      <c r="B258" s="439"/>
      <c r="C258" s="439"/>
      <c r="D258" s="530"/>
      <c r="E258" s="247"/>
      <c r="F258" s="439"/>
      <c r="G258" s="439"/>
      <c r="H258" s="439"/>
      <c r="I258" s="439"/>
      <c r="J258" s="530"/>
      <c r="K258" s="247"/>
      <c r="L258" s="439"/>
      <c r="M258" s="439"/>
      <c r="N258" s="439"/>
      <c r="O258" s="439"/>
      <c r="P258" s="530"/>
      <c r="Q258" s="247"/>
      <c r="R258" s="439"/>
      <c r="S258" s="439"/>
      <c r="T258" s="439"/>
      <c r="U258" s="439"/>
      <c r="V258" s="439"/>
      <c r="W258" s="439"/>
      <c r="X258" s="439"/>
      <c r="Y258" s="439"/>
      <c r="Z258" s="439"/>
      <c r="AA258" s="439"/>
      <c r="AB258" s="439"/>
      <c r="AC258" s="439"/>
    </row>
    <row r="259" ht="15.75" customHeight="1">
      <c r="A259" s="439"/>
      <c r="B259" s="439"/>
      <c r="C259" s="439"/>
      <c r="D259" s="530"/>
      <c r="E259" s="247"/>
      <c r="F259" s="439"/>
      <c r="G259" s="439"/>
      <c r="H259" s="439"/>
      <c r="I259" s="439"/>
      <c r="J259" s="530"/>
      <c r="K259" s="247"/>
      <c r="L259" s="439"/>
      <c r="M259" s="439"/>
      <c r="N259" s="439"/>
      <c r="O259" s="439"/>
      <c r="P259" s="530"/>
      <c r="Q259" s="247"/>
      <c r="R259" s="439"/>
      <c r="S259" s="439"/>
      <c r="T259" s="439"/>
      <c r="U259" s="439"/>
      <c r="V259" s="439"/>
      <c r="W259" s="439"/>
      <c r="X259" s="439"/>
      <c r="Y259" s="439"/>
      <c r="Z259" s="439"/>
      <c r="AA259" s="439"/>
      <c r="AB259" s="439"/>
      <c r="AC259" s="439"/>
    </row>
    <row r="260" ht="15.75" customHeight="1">
      <c r="A260" s="439"/>
      <c r="B260" s="439"/>
      <c r="C260" s="439"/>
      <c r="D260" s="530"/>
      <c r="E260" s="247"/>
      <c r="F260" s="439"/>
      <c r="G260" s="439"/>
      <c r="H260" s="439"/>
      <c r="I260" s="439"/>
      <c r="J260" s="530"/>
      <c r="K260" s="247"/>
      <c r="L260" s="439"/>
      <c r="M260" s="439"/>
      <c r="N260" s="439"/>
      <c r="O260" s="439"/>
      <c r="P260" s="530"/>
      <c r="Q260" s="247"/>
      <c r="R260" s="439"/>
      <c r="S260" s="439"/>
      <c r="T260" s="439"/>
      <c r="U260" s="439"/>
      <c r="V260" s="439"/>
      <c r="W260" s="439"/>
      <c r="X260" s="439"/>
      <c r="Y260" s="439"/>
      <c r="Z260" s="439"/>
      <c r="AA260" s="439"/>
      <c r="AB260" s="439"/>
      <c r="AC260" s="439"/>
    </row>
    <row r="261" ht="15.75" customHeight="1">
      <c r="A261" s="439"/>
      <c r="B261" s="439"/>
      <c r="C261" s="439"/>
      <c r="D261" s="530"/>
      <c r="E261" s="247"/>
      <c r="F261" s="439"/>
      <c r="G261" s="439"/>
      <c r="H261" s="439"/>
      <c r="I261" s="439"/>
      <c r="J261" s="530"/>
      <c r="K261" s="247"/>
      <c r="L261" s="439"/>
      <c r="M261" s="439"/>
      <c r="N261" s="439"/>
      <c r="O261" s="439"/>
      <c r="P261" s="530"/>
      <c r="Q261" s="247"/>
      <c r="R261" s="439"/>
      <c r="S261" s="439"/>
      <c r="T261" s="439"/>
      <c r="U261" s="439"/>
      <c r="V261" s="439"/>
      <c r="W261" s="439"/>
      <c r="X261" s="439"/>
      <c r="Y261" s="439"/>
      <c r="Z261" s="439"/>
      <c r="AA261" s="439"/>
      <c r="AB261" s="439"/>
      <c r="AC261" s="439"/>
    </row>
    <row r="262" ht="15.75" customHeight="1">
      <c r="A262" s="439"/>
      <c r="B262" s="439"/>
      <c r="C262" s="439"/>
      <c r="D262" s="530"/>
      <c r="E262" s="247"/>
      <c r="F262" s="439"/>
      <c r="G262" s="439"/>
      <c r="H262" s="439"/>
      <c r="I262" s="439"/>
      <c r="J262" s="530"/>
      <c r="K262" s="247"/>
      <c r="L262" s="439"/>
      <c r="M262" s="439"/>
      <c r="N262" s="439"/>
      <c r="O262" s="439"/>
      <c r="P262" s="530"/>
      <c r="Q262" s="247"/>
      <c r="R262" s="439"/>
      <c r="S262" s="439"/>
      <c r="T262" s="439"/>
      <c r="U262" s="439"/>
      <c r="V262" s="439"/>
      <c r="W262" s="439"/>
      <c r="X262" s="439"/>
      <c r="Y262" s="439"/>
      <c r="Z262" s="439"/>
      <c r="AA262" s="439"/>
      <c r="AB262" s="439"/>
      <c r="AC262" s="439"/>
    </row>
    <row r="263" ht="15.75" customHeight="1">
      <c r="A263" s="439"/>
      <c r="B263" s="439"/>
      <c r="C263" s="439"/>
      <c r="D263" s="530"/>
      <c r="E263" s="247"/>
      <c r="F263" s="439"/>
      <c r="G263" s="439"/>
      <c r="H263" s="439"/>
      <c r="I263" s="439"/>
      <c r="J263" s="530"/>
      <c r="K263" s="247"/>
      <c r="L263" s="439"/>
      <c r="M263" s="439"/>
      <c r="N263" s="439"/>
      <c r="O263" s="439"/>
      <c r="P263" s="530"/>
      <c r="Q263" s="247"/>
      <c r="R263" s="439"/>
      <c r="S263" s="439"/>
      <c r="T263" s="439"/>
      <c r="U263" s="439"/>
      <c r="V263" s="439"/>
      <c r="W263" s="439"/>
      <c r="X263" s="439"/>
      <c r="Y263" s="439"/>
      <c r="Z263" s="439"/>
      <c r="AA263" s="439"/>
      <c r="AB263" s="439"/>
      <c r="AC263" s="439"/>
    </row>
    <row r="264" ht="15.75" customHeight="1">
      <c r="A264" s="439"/>
      <c r="B264" s="439"/>
      <c r="C264" s="439"/>
      <c r="D264" s="530"/>
      <c r="E264" s="247"/>
      <c r="F264" s="439"/>
      <c r="G264" s="439"/>
      <c r="H264" s="439"/>
      <c r="I264" s="439"/>
      <c r="J264" s="530"/>
      <c r="K264" s="247"/>
      <c r="L264" s="439"/>
      <c r="M264" s="439"/>
      <c r="N264" s="439"/>
      <c r="O264" s="439"/>
      <c r="P264" s="530"/>
      <c r="Q264" s="247"/>
      <c r="R264" s="439"/>
      <c r="S264" s="439"/>
      <c r="T264" s="439"/>
      <c r="U264" s="439"/>
      <c r="V264" s="439"/>
      <c r="W264" s="439"/>
      <c r="X264" s="439"/>
      <c r="Y264" s="439"/>
      <c r="Z264" s="439"/>
      <c r="AA264" s="439"/>
      <c r="AB264" s="439"/>
      <c r="AC264" s="439"/>
    </row>
    <row r="265" ht="15.75" customHeight="1">
      <c r="A265" s="439"/>
      <c r="B265" s="439"/>
      <c r="C265" s="439"/>
      <c r="D265" s="530"/>
      <c r="E265" s="247"/>
      <c r="F265" s="439"/>
      <c r="G265" s="439"/>
      <c r="H265" s="439"/>
      <c r="I265" s="439"/>
      <c r="J265" s="530"/>
      <c r="K265" s="247"/>
      <c r="L265" s="439"/>
      <c r="M265" s="439"/>
      <c r="N265" s="439"/>
      <c r="O265" s="439"/>
      <c r="P265" s="530"/>
      <c r="Q265" s="247"/>
      <c r="R265" s="439"/>
      <c r="S265" s="439"/>
      <c r="T265" s="439"/>
      <c r="U265" s="439"/>
      <c r="V265" s="439"/>
      <c r="W265" s="439"/>
      <c r="X265" s="439"/>
      <c r="Y265" s="439"/>
      <c r="Z265" s="439"/>
      <c r="AA265" s="439"/>
      <c r="AB265" s="439"/>
      <c r="AC265" s="439"/>
    </row>
    <row r="266" ht="15.75" customHeight="1">
      <c r="A266" s="439"/>
      <c r="B266" s="439"/>
      <c r="C266" s="439"/>
      <c r="D266" s="530"/>
      <c r="E266" s="247"/>
      <c r="F266" s="439"/>
      <c r="G266" s="439"/>
      <c r="H266" s="439"/>
      <c r="I266" s="439"/>
      <c r="J266" s="530"/>
      <c r="K266" s="247"/>
      <c r="L266" s="439"/>
      <c r="M266" s="439"/>
      <c r="N266" s="439"/>
      <c r="O266" s="439"/>
      <c r="P266" s="530"/>
      <c r="Q266" s="247"/>
      <c r="R266" s="439"/>
      <c r="S266" s="439"/>
      <c r="T266" s="439"/>
      <c r="U266" s="439"/>
      <c r="V266" s="439"/>
      <c r="W266" s="439"/>
      <c r="X266" s="439"/>
      <c r="Y266" s="439"/>
      <c r="Z266" s="439"/>
      <c r="AA266" s="439"/>
      <c r="AB266" s="439"/>
      <c r="AC266" s="439"/>
    </row>
    <row r="267" ht="15.75" customHeight="1">
      <c r="A267" s="439"/>
      <c r="B267" s="439"/>
      <c r="C267" s="439"/>
      <c r="D267" s="530"/>
      <c r="E267" s="247"/>
      <c r="F267" s="439"/>
      <c r="G267" s="439"/>
      <c r="H267" s="439"/>
      <c r="I267" s="439"/>
      <c r="J267" s="530"/>
      <c r="K267" s="247"/>
      <c r="L267" s="439"/>
      <c r="M267" s="439"/>
      <c r="N267" s="439"/>
      <c r="O267" s="439"/>
      <c r="P267" s="530"/>
      <c r="Q267" s="247"/>
      <c r="R267" s="439"/>
      <c r="S267" s="439"/>
      <c r="T267" s="439"/>
      <c r="U267" s="439"/>
      <c r="V267" s="439"/>
      <c r="W267" s="439"/>
      <c r="X267" s="439"/>
      <c r="Y267" s="439"/>
      <c r="Z267" s="439"/>
      <c r="AA267" s="439"/>
      <c r="AB267" s="439"/>
      <c r="AC267" s="439"/>
    </row>
    <row r="268" ht="15.75" customHeight="1">
      <c r="A268" s="439"/>
      <c r="B268" s="439"/>
      <c r="C268" s="439"/>
      <c r="D268" s="530"/>
      <c r="E268" s="247"/>
      <c r="F268" s="439"/>
      <c r="G268" s="439"/>
      <c r="H268" s="439"/>
      <c r="I268" s="439"/>
      <c r="J268" s="530"/>
      <c r="K268" s="247"/>
      <c r="L268" s="439"/>
      <c r="M268" s="439"/>
      <c r="N268" s="439"/>
      <c r="O268" s="439"/>
      <c r="P268" s="530"/>
      <c r="Q268" s="247"/>
      <c r="R268" s="439"/>
      <c r="S268" s="439"/>
      <c r="T268" s="439"/>
      <c r="U268" s="439"/>
      <c r="V268" s="439"/>
      <c r="W268" s="439"/>
      <c r="X268" s="439"/>
      <c r="Y268" s="439"/>
      <c r="Z268" s="439"/>
      <c r="AA268" s="439"/>
      <c r="AB268" s="439"/>
      <c r="AC268" s="439"/>
    </row>
    <row r="269" ht="15.75" customHeight="1">
      <c r="A269" s="439"/>
      <c r="B269" s="439"/>
      <c r="C269" s="439"/>
      <c r="D269" s="530"/>
      <c r="E269" s="247"/>
      <c r="F269" s="439"/>
      <c r="G269" s="439"/>
      <c r="H269" s="439"/>
      <c r="I269" s="439"/>
      <c r="J269" s="530"/>
      <c r="K269" s="247"/>
      <c r="L269" s="439"/>
      <c r="M269" s="439"/>
      <c r="N269" s="439"/>
      <c r="O269" s="439"/>
      <c r="P269" s="530"/>
      <c r="Q269" s="247"/>
      <c r="R269" s="439"/>
      <c r="S269" s="439"/>
      <c r="T269" s="439"/>
      <c r="U269" s="439"/>
      <c r="V269" s="439"/>
      <c r="W269" s="439"/>
      <c r="X269" s="439"/>
      <c r="Y269" s="439"/>
      <c r="Z269" s="439"/>
      <c r="AA269" s="439"/>
      <c r="AB269" s="439"/>
      <c r="AC269" s="439"/>
    </row>
    <row r="270" ht="15.75" customHeight="1">
      <c r="A270" s="439"/>
      <c r="B270" s="439"/>
      <c r="C270" s="439"/>
      <c r="D270" s="530"/>
      <c r="E270" s="247"/>
      <c r="F270" s="439"/>
      <c r="G270" s="439"/>
      <c r="H270" s="439"/>
      <c r="I270" s="439"/>
      <c r="J270" s="530"/>
      <c r="K270" s="247"/>
      <c r="L270" s="439"/>
      <c r="M270" s="439"/>
      <c r="N270" s="439"/>
      <c r="O270" s="439"/>
      <c r="P270" s="530"/>
      <c r="Q270" s="247"/>
      <c r="R270" s="439"/>
      <c r="S270" s="439"/>
      <c r="T270" s="439"/>
      <c r="U270" s="439"/>
      <c r="V270" s="439"/>
      <c r="W270" s="439"/>
      <c r="X270" s="439"/>
      <c r="Y270" s="439"/>
      <c r="Z270" s="439"/>
      <c r="AA270" s="439"/>
      <c r="AB270" s="439"/>
      <c r="AC270" s="439"/>
    </row>
    <row r="271" ht="15.75" customHeight="1">
      <c r="A271" s="439"/>
      <c r="B271" s="439"/>
      <c r="C271" s="439"/>
      <c r="D271" s="530"/>
      <c r="E271" s="247"/>
      <c r="F271" s="439"/>
      <c r="G271" s="439"/>
      <c r="H271" s="439"/>
      <c r="I271" s="439"/>
      <c r="J271" s="530"/>
      <c r="K271" s="247"/>
      <c r="L271" s="439"/>
      <c r="M271" s="439"/>
      <c r="N271" s="439"/>
      <c r="O271" s="439"/>
      <c r="P271" s="530"/>
      <c r="Q271" s="247"/>
      <c r="R271" s="439"/>
      <c r="S271" s="439"/>
      <c r="T271" s="439"/>
      <c r="U271" s="439"/>
      <c r="V271" s="439"/>
      <c r="W271" s="439"/>
      <c r="X271" s="439"/>
      <c r="Y271" s="439"/>
      <c r="Z271" s="439"/>
      <c r="AA271" s="439"/>
      <c r="AB271" s="439"/>
      <c r="AC271" s="439"/>
    </row>
    <row r="272" ht="15.75" customHeight="1">
      <c r="A272" s="439"/>
      <c r="B272" s="439"/>
      <c r="C272" s="439"/>
      <c r="D272" s="530"/>
      <c r="E272" s="247"/>
      <c r="F272" s="439"/>
      <c r="G272" s="439"/>
      <c r="H272" s="439"/>
      <c r="I272" s="439"/>
      <c r="J272" s="530"/>
      <c r="K272" s="247"/>
      <c r="L272" s="439"/>
      <c r="M272" s="439"/>
      <c r="N272" s="439"/>
      <c r="O272" s="439"/>
      <c r="P272" s="530"/>
      <c r="Q272" s="247"/>
      <c r="R272" s="439"/>
      <c r="S272" s="439"/>
      <c r="T272" s="439"/>
      <c r="U272" s="439"/>
      <c r="V272" s="439"/>
      <c r="W272" s="439"/>
      <c r="X272" s="439"/>
      <c r="Y272" s="439"/>
      <c r="Z272" s="439"/>
      <c r="AA272" s="439"/>
      <c r="AB272" s="439"/>
      <c r="AC272" s="439"/>
    </row>
    <row r="273" ht="15.75" customHeight="1">
      <c r="A273" s="439"/>
      <c r="B273" s="439"/>
      <c r="C273" s="439"/>
      <c r="D273" s="530"/>
      <c r="E273" s="247"/>
      <c r="F273" s="439"/>
      <c r="G273" s="439"/>
      <c r="H273" s="439"/>
      <c r="I273" s="439"/>
      <c r="J273" s="530"/>
      <c r="K273" s="247"/>
      <c r="L273" s="439"/>
      <c r="M273" s="439"/>
      <c r="N273" s="439"/>
      <c r="O273" s="439"/>
      <c r="P273" s="530"/>
      <c r="Q273" s="247"/>
      <c r="R273" s="439"/>
      <c r="S273" s="439"/>
      <c r="T273" s="439"/>
      <c r="U273" s="439"/>
      <c r="V273" s="439"/>
      <c r="W273" s="439"/>
      <c r="X273" s="439"/>
      <c r="Y273" s="439"/>
      <c r="Z273" s="439"/>
      <c r="AA273" s="439"/>
      <c r="AB273" s="439"/>
      <c r="AC273" s="439"/>
    </row>
    <row r="274" ht="15.75" customHeight="1">
      <c r="A274" s="439"/>
      <c r="B274" s="439"/>
      <c r="C274" s="439"/>
      <c r="D274" s="530"/>
      <c r="E274" s="247"/>
      <c r="F274" s="439"/>
      <c r="G274" s="439"/>
      <c r="H274" s="439"/>
      <c r="I274" s="439"/>
      <c r="J274" s="530"/>
      <c r="K274" s="247"/>
      <c r="L274" s="439"/>
      <c r="M274" s="439"/>
      <c r="N274" s="439"/>
      <c r="O274" s="439"/>
      <c r="P274" s="530"/>
      <c r="Q274" s="247"/>
      <c r="R274" s="439"/>
      <c r="S274" s="439"/>
      <c r="T274" s="439"/>
      <c r="U274" s="439"/>
      <c r="V274" s="439"/>
      <c r="W274" s="439"/>
      <c r="X274" s="439"/>
      <c r="Y274" s="439"/>
      <c r="Z274" s="439"/>
      <c r="AA274" s="439"/>
      <c r="AB274" s="439"/>
      <c r="AC274" s="439"/>
    </row>
    <row r="275" ht="15.75" customHeight="1">
      <c r="A275" s="439"/>
      <c r="B275" s="439"/>
      <c r="C275" s="439"/>
      <c r="D275" s="530"/>
      <c r="E275" s="247"/>
      <c r="F275" s="439"/>
      <c r="G275" s="439"/>
      <c r="H275" s="439"/>
      <c r="I275" s="439"/>
      <c r="J275" s="530"/>
      <c r="K275" s="247"/>
      <c r="L275" s="439"/>
      <c r="M275" s="439"/>
      <c r="N275" s="439"/>
      <c r="O275" s="439"/>
      <c r="P275" s="530"/>
      <c r="Q275" s="247"/>
      <c r="R275" s="439"/>
      <c r="S275" s="439"/>
      <c r="T275" s="439"/>
      <c r="U275" s="439"/>
      <c r="V275" s="439"/>
      <c r="W275" s="439"/>
      <c r="X275" s="439"/>
      <c r="Y275" s="439"/>
      <c r="Z275" s="439"/>
      <c r="AA275" s="439"/>
      <c r="AB275" s="439"/>
      <c r="AC275" s="439"/>
    </row>
    <row r="276" ht="15.75" customHeight="1">
      <c r="A276" s="439"/>
      <c r="B276" s="439"/>
      <c r="C276" s="439"/>
      <c r="D276" s="530"/>
      <c r="E276" s="247"/>
      <c r="F276" s="439"/>
      <c r="G276" s="439"/>
      <c r="H276" s="439"/>
      <c r="I276" s="439"/>
      <c r="J276" s="530"/>
      <c r="K276" s="247"/>
      <c r="L276" s="439"/>
      <c r="M276" s="439"/>
      <c r="N276" s="439"/>
      <c r="O276" s="439"/>
      <c r="P276" s="530"/>
      <c r="Q276" s="247"/>
      <c r="R276" s="439"/>
      <c r="S276" s="439"/>
      <c r="T276" s="439"/>
      <c r="U276" s="439"/>
      <c r="V276" s="439"/>
      <c r="W276" s="439"/>
      <c r="X276" s="439"/>
      <c r="Y276" s="439"/>
      <c r="Z276" s="439"/>
      <c r="AA276" s="439"/>
      <c r="AB276" s="439"/>
      <c r="AC276" s="439"/>
    </row>
    <row r="277" ht="15.75" customHeight="1">
      <c r="A277" s="439"/>
      <c r="B277" s="439"/>
      <c r="C277" s="439"/>
      <c r="D277" s="530"/>
      <c r="E277" s="247"/>
      <c r="F277" s="439"/>
      <c r="G277" s="439"/>
      <c r="H277" s="439"/>
      <c r="I277" s="439"/>
      <c r="J277" s="530"/>
      <c r="K277" s="247"/>
      <c r="L277" s="439"/>
      <c r="M277" s="439"/>
      <c r="N277" s="439"/>
      <c r="O277" s="439"/>
      <c r="P277" s="530"/>
      <c r="Q277" s="247"/>
      <c r="R277" s="439"/>
      <c r="S277" s="439"/>
      <c r="T277" s="439"/>
      <c r="U277" s="439"/>
      <c r="V277" s="439"/>
      <c r="W277" s="439"/>
      <c r="X277" s="439"/>
      <c r="Y277" s="439"/>
      <c r="Z277" s="439"/>
      <c r="AA277" s="439"/>
      <c r="AB277" s="439"/>
      <c r="AC277" s="439"/>
    </row>
    <row r="278" ht="15.75" customHeight="1">
      <c r="A278" s="439"/>
      <c r="B278" s="439"/>
      <c r="C278" s="439"/>
      <c r="D278" s="530"/>
      <c r="E278" s="247"/>
      <c r="F278" s="439"/>
      <c r="G278" s="439"/>
      <c r="H278" s="439"/>
      <c r="I278" s="439"/>
      <c r="J278" s="530"/>
      <c r="K278" s="247"/>
      <c r="L278" s="439"/>
      <c r="M278" s="439"/>
      <c r="N278" s="439"/>
      <c r="O278" s="439"/>
      <c r="P278" s="530"/>
      <c r="Q278" s="247"/>
      <c r="R278" s="439"/>
      <c r="S278" s="439"/>
      <c r="T278" s="439"/>
      <c r="U278" s="439"/>
      <c r="V278" s="439"/>
      <c r="W278" s="439"/>
      <c r="X278" s="439"/>
      <c r="Y278" s="439"/>
      <c r="Z278" s="439"/>
      <c r="AA278" s="439"/>
      <c r="AB278" s="439"/>
      <c r="AC278" s="439"/>
    </row>
    <row r="279" ht="15.75" customHeight="1">
      <c r="A279" s="439"/>
      <c r="B279" s="439"/>
      <c r="C279" s="439"/>
      <c r="D279" s="530"/>
      <c r="E279" s="247"/>
      <c r="F279" s="439"/>
      <c r="G279" s="439"/>
      <c r="H279" s="439"/>
      <c r="I279" s="439"/>
      <c r="J279" s="530"/>
      <c r="K279" s="247"/>
      <c r="L279" s="439"/>
      <c r="M279" s="439"/>
      <c r="N279" s="439"/>
      <c r="O279" s="439"/>
      <c r="P279" s="530"/>
      <c r="Q279" s="247"/>
      <c r="R279" s="439"/>
      <c r="S279" s="439"/>
      <c r="T279" s="439"/>
      <c r="U279" s="439"/>
      <c r="V279" s="439"/>
      <c r="W279" s="439"/>
      <c r="X279" s="439"/>
      <c r="Y279" s="439"/>
      <c r="Z279" s="439"/>
      <c r="AA279" s="439"/>
      <c r="AB279" s="439"/>
      <c r="AC279" s="439"/>
    </row>
    <row r="280" ht="15.75" customHeight="1">
      <c r="A280" s="439"/>
      <c r="B280" s="439"/>
      <c r="C280" s="439"/>
      <c r="D280" s="530"/>
      <c r="E280" s="247"/>
      <c r="F280" s="439"/>
      <c r="G280" s="439"/>
      <c r="H280" s="439"/>
      <c r="I280" s="439"/>
      <c r="J280" s="530"/>
      <c r="K280" s="247"/>
      <c r="L280" s="439"/>
      <c r="M280" s="439"/>
      <c r="N280" s="439"/>
      <c r="O280" s="439"/>
      <c r="P280" s="530"/>
      <c r="Q280" s="247"/>
      <c r="R280" s="439"/>
      <c r="S280" s="439"/>
      <c r="T280" s="439"/>
      <c r="U280" s="439"/>
      <c r="V280" s="439"/>
      <c r="W280" s="439"/>
      <c r="X280" s="439"/>
      <c r="Y280" s="439"/>
      <c r="Z280" s="439"/>
      <c r="AA280" s="439"/>
      <c r="AB280" s="439"/>
      <c r="AC280" s="439"/>
    </row>
    <row r="281" ht="15.75" customHeight="1">
      <c r="A281" s="439"/>
      <c r="B281" s="439"/>
      <c r="C281" s="439"/>
      <c r="D281" s="530"/>
      <c r="E281" s="247"/>
      <c r="F281" s="439"/>
      <c r="G281" s="439"/>
      <c r="H281" s="439"/>
      <c r="I281" s="439"/>
      <c r="J281" s="530"/>
      <c r="K281" s="247"/>
      <c r="L281" s="439"/>
      <c r="M281" s="439"/>
      <c r="N281" s="439"/>
      <c r="O281" s="439"/>
      <c r="P281" s="530"/>
      <c r="Q281" s="247"/>
      <c r="R281" s="439"/>
      <c r="S281" s="439"/>
      <c r="T281" s="439"/>
      <c r="U281" s="439"/>
      <c r="V281" s="439"/>
      <c r="W281" s="439"/>
      <c r="X281" s="439"/>
      <c r="Y281" s="439"/>
      <c r="Z281" s="439"/>
      <c r="AA281" s="439"/>
      <c r="AB281" s="439"/>
      <c r="AC281" s="439"/>
    </row>
    <row r="282" ht="15.75" customHeight="1">
      <c r="A282" s="439"/>
      <c r="B282" s="439"/>
      <c r="C282" s="439"/>
      <c r="D282" s="530"/>
      <c r="E282" s="247"/>
      <c r="F282" s="439"/>
      <c r="G282" s="439"/>
      <c r="H282" s="439"/>
      <c r="I282" s="439"/>
      <c r="J282" s="530"/>
      <c r="K282" s="247"/>
      <c r="L282" s="439"/>
      <c r="M282" s="439"/>
      <c r="N282" s="439"/>
      <c r="O282" s="439"/>
      <c r="P282" s="530"/>
      <c r="Q282" s="247"/>
      <c r="R282" s="439"/>
      <c r="S282" s="439"/>
      <c r="T282" s="439"/>
      <c r="U282" s="439"/>
      <c r="V282" s="439"/>
      <c r="W282" s="439"/>
      <c r="X282" s="439"/>
      <c r="Y282" s="439"/>
      <c r="Z282" s="439"/>
      <c r="AA282" s="439"/>
      <c r="AB282" s="439"/>
      <c r="AC282" s="439"/>
    </row>
    <row r="283" ht="15.75" customHeight="1">
      <c r="A283" s="439"/>
      <c r="B283" s="439"/>
      <c r="C283" s="439"/>
      <c r="D283" s="530"/>
      <c r="E283" s="247"/>
      <c r="F283" s="439"/>
      <c r="G283" s="439"/>
      <c r="H283" s="439"/>
      <c r="I283" s="439"/>
      <c r="J283" s="530"/>
      <c r="K283" s="247"/>
      <c r="L283" s="439"/>
      <c r="M283" s="439"/>
      <c r="N283" s="439"/>
      <c r="O283" s="439"/>
      <c r="P283" s="530"/>
      <c r="Q283" s="247"/>
      <c r="R283" s="439"/>
      <c r="S283" s="439"/>
      <c r="T283" s="439"/>
      <c r="U283" s="439"/>
      <c r="V283" s="439"/>
      <c r="W283" s="439"/>
      <c r="X283" s="439"/>
      <c r="Y283" s="439"/>
      <c r="Z283" s="439"/>
      <c r="AA283" s="439"/>
      <c r="AB283" s="439"/>
      <c r="AC283" s="439"/>
    </row>
    <row r="284" ht="15.75" customHeight="1">
      <c r="A284" s="439"/>
      <c r="B284" s="439"/>
      <c r="C284" s="439"/>
      <c r="D284" s="530"/>
      <c r="E284" s="247"/>
      <c r="F284" s="439"/>
      <c r="G284" s="439"/>
      <c r="H284" s="439"/>
      <c r="I284" s="439"/>
      <c r="J284" s="530"/>
      <c r="K284" s="247"/>
      <c r="L284" s="439"/>
      <c r="M284" s="439"/>
      <c r="N284" s="439"/>
      <c r="O284" s="439"/>
      <c r="P284" s="530"/>
      <c r="Q284" s="247"/>
      <c r="R284" s="439"/>
      <c r="S284" s="439"/>
      <c r="T284" s="439"/>
      <c r="U284" s="439"/>
      <c r="V284" s="439"/>
      <c r="W284" s="439"/>
      <c r="X284" s="439"/>
      <c r="Y284" s="439"/>
      <c r="Z284" s="439"/>
      <c r="AA284" s="439"/>
      <c r="AB284" s="439"/>
      <c r="AC284" s="439"/>
    </row>
    <row r="285" ht="15.75" customHeight="1">
      <c r="A285" s="439"/>
      <c r="B285" s="439"/>
      <c r="C285" s="439"/>
      <c r="D285" s="530"/>
      <c r="E285" s="247"/>
      <c r="F285" s="439"/>
      <c r="G285" s="439"/>
      <c r="H285" s="439"/>
      <c r="I285" s="439"/>
      <c r="J285" s="530"/>
      <c r="K285" s="247"/>
      <c r="L285" s="439"/>
      <c r="M285" s="439"/>
      <c r="N285" s="439"/>
      <c r="O285" s="439"/>
      <c r="P285" s="530"/>
      <c r="Q285" s="247"/>
      <c r="R285" s="439"/>
      <c r="S285" s="439"/>
      <c r="T285" s="439"/>
      <c r="U285" s="439"/>
      <c r="V285" s="439"/>
      <c r="W285" s="439"/>
      <c r="X285" s="439"/>
      <c r="Y285" s="439"/>
      <c r="Z285" s="439"/>
      <c r="AA285" s="439"/>
      <c r="AB285" s="439"/>
      <c r="AC285" s="439"/>
    </row>
    <row r="286" ht="15.75" customHeight="1">
      <c r="A286" s="439"/>
      <c r="B286" s="439"/>
      <c r="C286" s="439"/>
      <c r="D286" s="530"/>
      <c r="E286" s="247"/>
      <c r="F286" s="439"/>
      <c r="G286" s="439"/>
      <c r="H286" s="439"/>
      <c r="I286" s="439"/>
      <c r="J286" s="530"/>
      <c r="K286" s="247"/>
      <c r="L286" s="439"/>
      <c r="M286" s="439"/>
      <c r="N286" s="439"/>
      <c r="O286" s="439"/>
      <c r="P286" s="530"/>
      <c r="Q286" s="247"/>
      <c r="R286" s="439"/>
      <c r="S286" s="439"/>
      <c r="T286" s="439"/>
      <c r="U286" s="439"/>
      <c r="V286" s="439"/>
      <c r="W286" s="439"/>
      <c r="X286" s="439"/>
      <c r="Y286" s="439"/>
      <c r="Z286" s="439"/>
      <c r="AA286" s="439"/>
      <c r="AB286" s="439"/>
      <c r="AC286" s="439"/>
    </row>
    <row r="287" ht="15.75" customHeight="1">
      <c r="A287" s="439"/>
      <c r="B287" s="439"/>
      <c r="C287" s="439"/>
      <c r="D287" s="530"/>
      <c r="E287" s="247"/>
      <c r="F287" s="439"/>
      <c r="G287" s="439"/>
      <c r="H287" s="439"/>
      <c r="I287" s="439"/>
      <c r="J287" s="530"/>
      <c r="K287" s="247"/>
      <c r="L287" s="439"/>
      <c r="M287" s="439"/>
      <c r="N287" s="439"/>
      <c r="O287" s="439"/>
      <c r="P287" s="530"/>
      <c r="Q287" s="247"/>
      <c r="R287" s="439"/>
      <c r="S287" s="439"/>
      <c r="T287" s="439"/>
      <c r="U287" s="439"/>
      <c r="V287" s="439"/>
      <c r="W287" s="439"/>
      <c r="X287" s="439"/>
      <c r="Y287" s="439"/>
      <c r="Z287" s="439"/>
      <c r="AA287" s="439"/>
      <c r="AB287" s="439"/>
      <c r="AC287" s="439"/>
    </row>
    <row r="288" ht="15.75" customHeight="1">
      <c r="A288" s="439"/>
      <c r="B288" s="439"/>
      <c r="C288" s="439"/>
      <c r="D288" s="530"/>
      <c r="E288" s="247"/>
      <c r="F288" s="439"/>
      <c r="G288" s="439"/>
      <c r="H288" s="439"/>
      <c r="I288" s="439"/>
      <c r="J288" s="530"/>
      <c r="K288" s="247"/>
      <c r="L288" s="439"/>
      <c r="M288" s="439"/>
      <c r="N288" s="439"/>
      <c r="O288" s="439"/>
      <c r="P288" s="530"/>
      <c r="Q288" s="247"/>
      <c r="R288" s="439"/>
      <c r="S288" s="439"/>
      <c r="T288" s="439"/>
      <c r="U288" s="439"/>
      <c r="V288" s="439"/>
      <c r="W288" s="439"/>
      <c r="X288" s="439"/>
      <c r="Y288" s="439"/>
      <c r="Z288" s="439"/>
      <c r="AA288" s="439"/>
      <c r="AB288" s="439"/>
      <c r="AC288" s="439"/>
    </row>
    <row r="289" ht="15.75" customHeight="1">
      <c r="A289" s="439"/>
      <c r="B289" s="439"/>
      <c r="C289" s="439"/>
      <c r="D289" s="530"/>
      <c r="E289" s="247"/>
      <c r="F289" s="439"/>
      <c r="G289" s="439"/>
      <c r="H289" s="439"/>
      <c r="I289" s="439"/>
      <c r="J289" s="530"/>
      <c r="K289" s="247"/>
      <c r="L289" s="439"/>
      <c r="M289" s="439"/>
      <c r="N289" s="439"/>
      <c r="O289" s="439"/>
      <c r="P289" s="530"/>
      <c r="Q289" s="247"/>
      <c r="R289" s="439"/>
      <c r="S289" s="439"/>
      <c r="T289" s="439"/>
      <c r="U289" s="439"/>
      <c r="V289" s="439"/>
      <c r="W289" s="439"/>
      <c r="X289" s="439"/>
      <c r="Y289" s="439"/>
      <c r="Z289" s="439"/>
      <c r="AA289" s="439"/>
      <c r="AB289" s="439"/>
      <c r="AC289" s="439"/>
    </row>
    <row r="290" ht="15.75" customHeight="1">
      <c r="A290" s="439"/>
      <c r="B290" s="439"/>
      <c r="C290" s="439"/>
      <c r="D290" s="530"/>
      <c r="E290" s="247"/>
      <c r="F290" s="439"/>
      <c r="G290" s="439"/>
      <c r="H290" s="439"/>
      <c r="I290" s="439"/>
      <c r="J290" s="530"/>
      <c r="K290" s="247"/>
      <c r="L290" s="439"/>
      <c r="M290" s="439"/>
      <c r="N290" s="439"/>
      <c r="O290" s="439"/>
      <c r="P290" s="530"/>
      <c r="Q290" s="247"/>
      <c r="R290" s="439"/>
      <c r="S290" s="439"/>
      <c r="T290" s="439"/>
      <c r="U290" s="439"/>
      <c r="V290" s="439"/>
      <c r="W290" s="439"/>
      <c r="X290" s="439"/>
      <c r="Y290" s="439"/>
      <c r="Z290" s="439"/>
      <c r="AA290" s="439"/>
      <c r="AB290" s="439"/>
      <c r="AC290" s="439"/>
    </row>
    <row r="291" ht="15.75" customHeight="1">
      <c r="A291" s="439"/>
      <c r="B291" s="439"/>
      <c r="C291" s="439"/>
      <c r="D291" s="530"/>
      <c r="E291" s="247"/>
      <c r="F291" s="439"/>
      <c r="G291" s="439"/>
      <c r="H291" s="439"/>
      <c r="I291" s="439"/>
      <c r="J291" s="530"/>
      <c r="K291" s="247"/>
      <c r="L291" s="439"/>
      <c r="M291" s="439"/>
      <c r="N291" s="439"/>
      <c r="O291" s="439"/>
      <c r="P291" s="530"/>
      <c r="Q291" s="247"/>
      <c r="R291" s="439"/>
      <c r="S291" s="439"/>
      <c r="T291" s="439"/>
      <c r="U291" s="439"/>
      <c r="V291" s="439"/>
      <c r="W291" s="439"/>
      <c r="X291" s="439"/>
      <c r="Y291" s="439"/>
      <c r="Z291" s="439"/>
      <c r="AA291" s="439"/>
      <c r="AB291" s="439"/>
      <c r="AC291" s="439"/>
    </row>
    <row r="292" ht="15.75" customHeight="1">
      <c r="A292" s="439"/>
      <c r="B292" s="439"/>
      <c r="C292" s="439"/>
      <c r="D292" s="530"/>
      <c r="E292" s="247"/>
      <c r="F292" s="439"/>
      <c r="G292" s="439"/>
      <c r="H292" s="439"/>
      <c r="I292" s="439"/>
      <c r="J292" s="530"/>
      <c r="K292" s="247"/>
      <c r="L292" s="439"/>
      <c r="M292" s="439"/>
      <c r="N292" s="439"/>
      <c r="O292" s="439"/>
      <c r="P292" s="530"/>
      <c r="Q292" s="247"/>
      <c r="R292" s="439"/>
      <c r="S292" s="439"/>
      <c r="T292" s="439"/>
      <c r="U292" s="439"/>
      <c r="V292" s="439"/>
      <c r="W292" s="439"/>
      <c r="X292" s="439"/>
      <c r="Y292" s="439"/>
      <c r="Z292" s="439"/>
      <c r="AA292" s="439"/>
      <c r="AB292" s="439"/>
      <c r="AC292" s="439"/>
    </row>
    <row r="293" ht="15.75" customHeight="1">
      <c r="A293" s="439"/>
      <c r="B293" s="439"/>
      <c r="C293" s="439"/>
      <c r="D293" s="530"/>
      <c r="E293" s="247"/>
      <c r="F293" s="439"/>
      <c r="G293" s="439"/>
      <c r="H293" s="439"/>
      <c r="I293" s="439"/>
      <c r="J293" s="530"/>
      <c r="K293" s="247"/>
      <c r="L293" s="439"/>
      <c r="M293" s="439"/>
      <c r="N293" s="439"/>
      <c r="O293" s="439"/>
      <c r="P293" s="530"/>
      <c r="Q293" s="247"/>
      <c r="R293" s="439"/>
      <c r="S293" s="439"/>
      <c r="T293" s="439"/>
      <c r="U293" s="439"/>
      <c r="V293" s="439"/>
      <c r="W293" s="439"/>
      <c r="X293" s="439"/>
      <c r="Y293" s="439"/>
      <c r="Z293" s="439"/>
      <c r="AA293" s="439"/>
      <c r="AB293" s="439"/>
      <c r="AC293" s="439"/>
    </row>
    <row r="294" ht="15.75" customHeight="1">
      <c r="A294" s="439"/>
      <c r="B294" s="439"/>
      <c r="C294" s="439"/>
      <c r="D294" s="530"/>
      <c r="E294" s="247"/>
      <c r="F294" s="439"/>
      <c r="G294" s="439"/>
      <c r="H294" s="439"/>
      <c r="I294" s="439"/>
      <c r="J294" s="530"/>
      <c r="K294" s="247"/>
      <c r="L294" s="439"/>
      <c r="M294" s="439"/>
      <c r="N294" s="439"/>
      <c r="O294" s="439"/>
      <c r="P294" s="530"/>
      <c r="Q294" s="247"/>
      <c r="R294" s="439"/>
      <c r="S294" s="439"/>
      <c r="T294" s="439"/>
      <c r="U294" s="439"/>
      <c r="V294" s="439"/>
      <c r="W294" s="439"/>
      <c r="X294" s="439"/>
      <c r="Y294" s="439"/>
      <c r="Z294" s="439"/>
      <c r="AA294" s="439"/>
      <c r="AB294" s="439"/>
      <c r="AC294" s="439"/>
    </row>
    <row r="295" ht="15.75" customHeight="1">
      <c r="A295" s="439"/>
      <c r="B295" s="439"/>
      <c r="C295" s="439"/>
      <c r="D295" s="530"/>
      <c r="E295" s="247"/>
      <c r="F295" s="439"/>
      <c r="G295" s="439"/>
      <c r="H295" s="439"/>
      <c r="I295" s="439"/>
      <c r="J295" s="530"/>
      <c r="K295" s="247"/>
      <c r="L295" s="439"/>
      <c r="M295" s="439"/>
      <c r="N295" s="439"/>
      <c r="O295" s="439"/>
      <c r="P295" s="530"/>
      <c r="Q295" s="247"/>
      <c r="R295" s="439"/>
      <c r="S295" s="439"/>
      <c r="T295" s="439"/>
      <c r="U295" s="439"/>
      <c r="V295" s="439"/>
      <c r="W295" s="439"/>
      <c r="X295" s="439"/>
      <c r="Y295" s="439"/>
      <c r="Z295" s="439"/>
      <c r="AA295" s="439"/>
      <c r="AB295" s="439"/>
      <c r="AC295" s="439"/>
    </row>
    <row r="296" ht="15.75" customHeight="1">
      <c r="A296" s="439"/>
      <c r="B296" s="439"/>
      <c r="C296" s="439"/>
      <c r="D296" s="530"/>
      <c r="E296" s="247"/>
      <c r="F296" s="439"/>
      <c r="G296" s="439"/>
      <c r="H296" s="439"/>
      <c r="I296" s="439"/>
      <c r="J296" s="530"/>
      <c r="K296" s="247"/>
      <c r="L296" s="439"/>
      <c r="M296" s="439"/>
      <c r="N296" s="439"/>
      <c r="O296" s="439"/>
      <c r="P296" s="530"/>
      <c r="Q296" s="247"/>
      <c r="R296" s="439"/>
      <c r="S296" s="439"/>
      <c r="T296" s="439"/>
      <c r="U296" s="439"/>
      <c r="V296" s="439"/>
      <c r="W296" s="439"/>
      <c r="X296" s="439"/>
      <c r="Y296" s="439"/>
      <c r="Z296" s="439"/>
      <c r="AA296" s="439"/>
      <c r="AB296" s="439"/>
      <c r="AC296" s="439"/>
    </row>
    <row r="297" ht="15.75" customHeight="1">
      <c r="A297" s="439"/>
      <c r="B297" s="439"/>
      <c r="C297" s="439"/>
      <c r="D297" s="530"/>
      <c r="E297" s="247"/>
      <c r="F297" s="439"/>
      <c r="G297" s="439"/>
      <c r="H297" s="439"/>
      <c r="I297" s="439"/>
      <c r="J297" s="530"/>
      <c r="K297" s="247"/>
      <c r="L297" s="439"/>
      <c r="M297" s="439"/>
      <c r="N297" s="439"/>
      <c r="O297" s="439"/>
      <c r="P297" s="530"/>
      <c r="Q297" s="247"/>
      <c r="R297" s="439"/>
      <c r="S297" s="439"/>
      <c r="T297" s="439"/>
      <c r="U297" s="439"/>
      <c r="V297" s="439"/>
      <c r="W297" s="439"/>
      <c r="X297" s="439"/>
      <c r="Y297" s="439"/>
      <c r="Z297" s="439"/>
      <c r="AA297" s="439"/>
      <c r="AB297" s="439"/>
      <c r="AC297" s="439"/>
    </row>
    <row r="298" ht="15.75" customHeight="1">
      <c r="A298" s="439"/>
      <c r="B298" s="439"/>
      <c r="C298" s="439"/>
      <c r="D298" s="530"/>
      <c r="E298" s="247"/>
      <c r="F298" s="439"/>
      <c r="G298" s="439"/>
      <c r="H298" s="439"/>
      <c r="I298" s="439"/>
      <c r="J298" s="530"/>
      <c r="K298" s="247"/>
      <c r="L298" s="439"/>
      <c r="M298" s="439"/>
      <c r="N298" s="439"/>
      <c r="O298" s="439"/>
      <c r="P298" s="530"/>
      <c r="Q298" s="247"/>
      <c r="R298" s="439"/>
      <c r="S298" s="439"/>
      <c r="T298" s="439"/>
      <c r="U298" s="439"/>
      <c r="V298" s="439"/>
      <c r="W298" s="439"/>
      <c r="X298" s="439"/>
      <c r="Y298" s="439"/>
      <c r="Z298" s="439"/>
      <c r="AA298" s="439"/>
      <c r="AB298" s="439"/>
      <c r="AC298" s="439"/>
    </row>
    <row r="299" ht="15.75" customHeight="1">
      <c r="A299" s="439"/>
      <c r="B299" s="439"/>
      <c r="C299" s="439"/>
      <c r="D299" s="530"/>
      <c r="E299" s="247"/>
      <c r="F299" s="439"/>
      <c r="G299" s="439"/>
      <c r="H299" s="439"/>
      <c r="I299" s="439"/>
      <c r="J299" s="530"/>
      <c r="K299" s="247"/>
      <c r="L299" s="439"/>
      <c r="M299" s="439"/>
      <c r="N299" s="439"/>
      <c r="O299" s="439"/>
      <c r="P299" s="530"/>
      <c r="Q299" s="247"/>
      <c r="R299" s="439"/>
      <c r="S299" s="439"/>
      <c r="T299" s="439"/>
      <c r="U299" s="439"/>
      <c r="V299" s="439"/>
      <c r="W299" s="439"/>
      <c r="X299" s="439"/>
      <c r="Y299" s="439"/>
      <c r="Z299" s="439"/>
      <c r="AA299" s="439"/>
      <c r="AB299" s="439"/>
      <c r="AC299" s="439"/>
    </row>
    <row r="300" ht="15.75" customHeight="1">
      <c r="A300" s="439"/>
      <c r="B300" s="439"/>
      <c r="C300" s="439"/>
      <c r="D300" s="530"/>
      <c r="E300" s="247"/>
      <c r="F300" s="439"/>
      <c r="G300" s="439"/>
      <c r="H300" s="439"/>
      <c r="I300" s="439"/>
      <c r="J300" s="530"/>
      <c r="K300" s="247"/>
      <c r="L300" s="439"/>
      <c r="M300" s="439"/>
      <c r="N300" s="439"/>
      <c r="O300" s="439"/>
      <c r="P300" s="530"/>
      <c r="Q300" s="247"/>
      <c r="R300" s="439"/>
      <c r="S300" s="439"/>
      <c r="T300" s="439"/>
      <c r="U300" s="439"/>
      <c r="V300" s="439"/>
      <c r="W300" s="439"/>
      <c r="X300" s="439"/>
      <c r="Y300" s="439"/>
      <c r="Z300" s="439"/>
      <c r="AA300" s="439"/>
      <c r="AB300" s="439"/>
      <c r="AC300" s="439"/>
    </row>
    <row r="301" ht="15.75" customHeight="1">
      <c r="A301" s="439"/>
      <c r="B301" s="439"/>
      <c r="C301" s="439"/>
      <c r="D301" s="530"/>
      <c r="E301" s="247"/>
      <c r="F301" s="439"/>
      <c r="G301" s="439"/>
      <c r="H301" s="439"/>
      <c r="I301" s="439"/>
      <c r="J301" s="530"/>
      <c r="K301" s="247"/>
      <c r="L301" s="439"/>
      <c r="M301" s="439"/>
      <c r="N301" s="439"/>
      <c r="O301" s="439"/>
      <c r="P301" s="530"/>
      <c r="Q301" s="247"/>
      <c r="R301" s="439"/>
      <c r="S301" s="439"/>
      <c r="T301" s="439"/>
      <c r="U301" s="439"/>
      <c r="V301" s="439"/>
      <c r="W301" s="439"/>
      <c r="X301" s="439"/>
      <c r="Y301" s="439"/>
      <c r="Z301" s="439"/>
      <c r="AA301" s="439"/>
      <c r="AB301" s="439"/>
      <c r="AC301" s="439"/>
    </row>
    <row r="302" ht="15.75" customHeight="1">
      <c r="A302" s="439"/>
      <c r="B302" s="439"/>
      <c r="C302" s="439"/>
      <c r="D302" s="530"/>
      <c r="E302" s="247"/>
      <c r="F302" s="439"/>
      <c r="G302" s="439"/>
      <c r="H302" s="439"/>
      <c r="I302" s="439"/>
      <c r="J302" s="530"/>
      <c r="K302" s="247"/>
      <c r="L302" s="439"/>
      <c r="M302" s="439"/>
      <c r="N302" s="439"/>
      <c r="O302" s="439"/>
      <c r="P302" s="530"/>
      <c r="Q302" s="247"/>
      <c r="R302" s="439"/>
      <c r="S302" s="439"/>
      <c r="T302" s="439"/>
      <c r="U302" s="439"/>
      <c r="V302" s="439"/>
      <c r="W302" s="439"/>
      <c r="X302" s="439"/>
      <c r="Y302" s="439"/>
      <c r="Z302" s="439"/>
      <c r="AA302" s="439"/>
      <c r="AB302" s="439"/>
      <c r="AC302" s="439"/>
    </row>
    <row r="303" ht="15.75" customHeight="1">
      <c r="A303" s="439"/>
      <c r="B303" s="439"/>
      <c r="C303" s="439"/>
      <c r="D303" s="530"/>
      <c r="E303" s="247"/>
      <c r="F303" s="439"/>
      <c r="G303" s="439"/>
      <c r="H303" s="439"/>
      <c r="I303" s="439"/>
      <c r="J303" s="530"/>
      <c r="K303" s="247"/>
      <c r="L303" s="439"/>
      <c r="M303" s="439"/>
      <c r="N303" s="439"/>
      <c r="O303" s="439"/>
      <c r="P303" s="530"/>
      <c r="Q303" s="247"/>
      <c r="R303" s="439"/>
      <c r="S303" s="439"/>
      <c r="T303" s="439"/>
      <c r="U303" s="439"/>
      <c r="V303" s="439"/>
      <c r="W303" s="439"/>
      <c r="X303" s="439"/>
      <c r="Y303" s="439"/>
      <c r="Z303" s="439"/>
      <c r="AA303" s="439"/>
      <c r="AB303" s="439"/>
      <c r="AC303" s="439"/>
    </row>
    <row r="304" ht="15.75" customHeight="1">
      <c r="A304" s="439"/>
      <c r="B304" s="439"/>
      <c r="C304" s="439"/>
      <c r="D304" s="530"/>
      <c r="E304" s="247"/>
      <c r="F304" s="439"/>
      <c r="G304" s="439"/>
      <c r="H304" s="439"/>
      <c r="I304" s="439"/>
      <c r="J304" s="530"/>
      <c r="K304" s="247"/>
      <c r="L304" s="439"/>
      <c r="M304" s="439"/>
      <c r="N304" s="439"/>
      <c r="O304" s="439"/>
      <c r="P304" s="530"/>
      <c r="Q304" s="247"/>
      <c r="R304" s="439"/>
      <c r="S304" s="439"/>
      <c r="T304" s="439"/>
      <c r="U304" s="439"/>
      <c r="V304" s="439"/>
      <c r="W304" s="439"/>
      <c r="X304" s="439"/>
      <c r="Y304" s="439"/>
      <c r="Z304" s="439"/>
      <c r="AA304" s="439"/>
      <c r="AB304" s="439"/>
      <c r="AC304" s="439"/>
    </row>
    <row r="305" ht="15.75" customHeight="1">
      <c r="A305" s="439"/>
      <c r="B305" s="439"/>
      <c r="C305" s="439"/>
      <c r="D305" s="530"/>
      <c r="E305" s="247"/>
      <c r="F305" s="439"/>
      <c r="G305" s="439"/>
      <c r="H305" s="439"/>
      <c r="I305" s="439"/>
      <c r="J305" s="530"/>
      <c r="K305" s="247"/>
      <c r="L305" s="439"/>
      <c r="M305" s="439"/>
      <c r="N305" s="439"/>
      <c r="O305" s="439"/>
      <c r="P305" s="530"/>
      <c r="Q305" s="247"/>
      <c r="R305" s="439"/>
      <c r="S305" s="439"/>
      <c r="T305" s="439"/>
      <c r="U305" s="439"/>
      <c r="V305" s="439"/>
      <c r="W305" s="439"/>
      <c r="X305" s="439"/>
      <c r="Y305" s="439"/>
      <c r="Z305" s="439"/>
      <c r="AA305" s="439"/>
      <c r="AB305" s="439"/>
      <c r="AC305" s="439"/>
    </row>
    <row r="306" ht="15.75" customHeight="1">
      <c r="A306" s="439"/>
      <c r="B306" s="439"/>
      <c r="C306" s="439"/>
      <c r="D306" s="530"/>
      <c r="E306" s="247"/>
      <c r="F306" s="439"/>
      <c r="G306" s="439"/>
      <c r="H306" s="439"/>
      <c r="I306" s="439"/>
      <c r="J306" s="530"/>
      <c r="K306" s="247"/>
      <c r="L306" s="439"/>
      <c r="M306" s="439"/>
      <c r="N306" s="439"/>
      <c r="O306" s="439"/>
      <c r="P306" s="530"/>
      <c r="Q306" s="247"/>
      <c r="R306" s="439"/>
      <c r="S306" s="439"/>
      <c r="T306" s="439"/>
      <c r="U306" s="439"/>
      <c r="V306" s="439"/>
      <c r="W306" s="439"/>
      <c r="X306" s="439"/>
      <c r="Y306" s="439"/>
      <c r="Z306" s="439"/>
      <c r="AA306" s="439"/>
      <c r="AB306" s="439"/>
      <c r="AC306" s="439"/>
    </row>
    <row r="307" ht="15.75" customHeight="1">
      <c r="A307" s="439"/>
      <c r="B307" s="439"/>
      <c r="C307" s="439"/>
      <c r="D307" s="530"/>
      <c r="E307" s="247"/>
      <c r="F307" s="439"/>
      <c r="G307" s="439"/>
      <c r="H307" s="439"/>
      <c r="I307" s="439"/>
      <c r="J307" s="530"/>
      <c r="K307" s="247"/>
      <c r="L307" s="439"/>
      <c r="M307" s="439"/>
      <c r="N307" s="439"/>
      <c r="O307" s="439"/>
      <c r="P307" s="530"/>
      <c r="Q307" s="247"/>
      <c r="R307" s="439"/>
      <c r="S307" s="439"/>
      <c r="T307" s="439"/>
      <c r="U307" s="439"/>
      <c r="V307" s="439"/>
      <c r="W307" s="439"/>
      <c r="X307" s="439"/>
      <c r="Y307" s="439"/>
      <c r="Z307" s="439"/>
      <c r="AA307" s="439"/>
      <c r="AB307" s="439"/>
      <c r="AC307" s="439"/>
    </row>
    <row r="308" ht="15.75" customHeight="1">
      <c r="A308" s="439"/>
      <c r="B308" s="439"/>
      <c r="C308" s="439"/>
      <c r="D308" s="530"/>
      <c r="E308" s="247"/>
      <c r="F308" s="439"/>
      <c r="G308" s="439"/>
      <c r="H308" s="439"/>
      <c r="I308" s="439"/>
      <c r="J308" s="530"/>
      <c r="K308" s="247"/>
      <c r="L308" s="439"/>
      <c r="M308" s="439"/>
      <c r="N308" s="439"/>
      <c r="O308" s="439"/>
      <c r="P308" s="530"/>
      <c r="Q308" s="247"/>
      <c r="R308" s="439"/>
      <c r="S308" s="439"/>
      <c r="T308" s="439"/>
      <c r="U308" s="439"/>
      <c r="V308" s="439"/>
      <c r="W308" s="439"/>
      <c r="X308" s="439"/>
      <c r="Y308" s="439"/>
      <c r="Z308" s="439"/>
      <c r="AA308" s="439"/>
      <c r="AB308" s="439"/>
      <c r="AC308" s="439"/>
    </row>
    <row r="309" ht="15.75" customHeight="1">
      <c r="A309" s="439"/>
      <c r="B309" s="439"/>
      <c r="C309" s="439"/>
      <c r="D309" s="530"/>
      <c r="E309" s="247"/>
      <c r="F309" s="439"/>
      <c r="G309" s="439"/>
      <c r="H309" s="439"/>
      <c r="I309" s="439"/>
      <c r="J309" s="530"/>
      <c r="K309" s="247"/>
      <c r="L309" s="439"/>
      <c r="M309" s="439"/>
      <c r="N309" s="439"/>
      <c r="O309" s="439"/>
      <c r="P309" s="530"/>
      <c r="Q309" s="247"/>
      <c r="R309" s="439"/>
      <c r="S309" s="439"/>
      <c r="T309" s="439"/>
      <c r="U309" s="439"/>
      <c r="V309" s="439"/>
      <c r="W309" s="439"/>
      <c r="X309" s="439"/>
      <c r="Y309" s="439"/>
      <c r="Z309" s="439"/>
      <c r="AA309" s="439"/>
      <c r="AB309" s="439"/>
      <c r="AC309" s="439"/>
    </row>
    <row r="310" ht="15.75" customHeight="1">
      <c r="A310" s="439"/>
      <c r="B310" s="439"/>
      <c r="C310" s="439"/>
      <c r="D310" s="530"/>
      <c r="E310" s="247"/>
      <c r="F310" s="439"/>
      <c r="G310" s="439"/>
      <c r="H310" s="439"/>
      <c r="I310" s="439"/>
      <c r="J310" s="530"/>
      <c r="K310" s="247"/>
      <c r="L310" s="439"/>
      <c r="M310" s="439"/>
      <c r="N310" s="439"/>
      <c r="O310" s="439"/>
      <c r="P310" s="530"/>
      <c r="Q310" s="247"/>
      <c r="R310" s="439"/>
      <c r="S310" s="439"/>
      <c r="T310" s="439"/>
      <c r="U310" s="439"/>
      <c r="V310" s="439"/>
      <c r="W310" s="439"/>
      <c r="X310" s="439"/>
      <c r="Y310" s="439"/>
      <c r="Z310" s="439"/>
      <c r="AA310" s="439"/>
      <c r="AB310" s="439"/>
      <c r="AC310" s="439"/>
    </row>
    <row r="311" ht="15.75" customHeight="1">
      <c r="D311" s="148"/>
      <c r="J311" s="148"/>
      <c r="P311" s="148"/>
    </row>
    <row r="312" ht="15.75" customHeight="1">
      <c r="D312" s="148"/>
      <c r="J312" s="148"/>
      <c r="P312" s="148"/>
    </row>
    <row r="313" ht="15.75" customHeight="1">
      <c r="D313" s="148"/>
      <c r="J313" s="148"/>
      <c r="P313" s="148"/>
    </row>
    <row r="314" ht="15.75" customHeight="1">
      <c r="D314" s="148"/>
      <c r="J314" s="148"/>
      <c r="P314" s="148"/>
    </row>
    <row r="315" ht="15.75" customHeight="1">
      <c r="D315" s="148"/>
      <c r="J315" s="148"/>
      <c r="P315" s="148"/>
    </row>
    <row r="316" ht="15.75" customHeight="1">
      <c r="D316" s="148"/>
      <c r="J316" s="148"/>
      <c r="P316" s="148"/>
    </row>
    <row r="317" ht="15.75" customHeight="1">
      <c r="D317" s="148"/>
      <c r="J317" s="148"/>
      <c r="P317" s="148"/>
    </row>
    <row r="318" ht="15.75" customHeight="1">
      <c r="D318" s="148"/>
      <c r="J318" s="148"/>
      <c r="P318" s="148"/>
    </row>
    <row r="319" ht="15.75" customHeight="1">
      <c r="D319" s="148"/>
      <c r="J319" s="148"/>
      <c r="P319" s="148"/>
    </row>
    <row r="320" ht="15.75" customHeight="1">
      <c r="D320" s="148"/>
      <c r="J320" s="148"/>
      <c r="P320" s="148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">
    <mergeCell ref="B4:B5"/>
    <mergeCell ref="C4:C5"/>
    <mergeCell ref="D4:I4"/>
    <mergeCell ref="J4:O4"/>
    <mergeCell ref="P4:U4"/>
    <mergeCell ref="B53:C53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38"/>
    <col customWidth="1" min="3" max="5" width="12.63"/>
    <col customWidth="1" min="6" max="6" width="10.13"/>
    <col customWidth="1" min="8" max="14" width="13.75"/>
  </cols>
  <sheetData>
    <row r="1" ht="15.75" customHeight="1">
      <c r="A1" s="272" t="s">
        <v>382</v>
      </c>
    </row>
    <row r="2" ht="15.75" customHeight="1"/>
    <row r="3" ht="15.75" customHeight="1"/>
    <row r="4" ht="15.75" customHeight="1">
      <c r="B4" s="354"/>
      <c r="C4" s="1245" t="s">
        <v>383</v>
      </c>
      <c r="D4" s="1245" t="s">
        <v>384</v>
      </c>
      <c r="E4" s="1245" t="s">
        <v>385</v>
      </c>
      <c r="F4" s="1245" t="s">
        <v>386</v>
      </c>
      <c r="G4" s="1245" t="s">
        <v>387</v>
      </c>
      <c r="H4" s="1245" t="s">
        <v>388</v>
      </c>
      <c r="I4" s="1246" t="s">
        <v>389</v>
      </c>
      <c r="J4" s="1246" t="s">
        <v>390</v>
      </c>
      <c r="K4" s="1246" t="s">
        <v>391</v>
      </c>
      <c r="L4" s="1246" t="s">
        <v>392</v>
      </c>
      <c r="M4" s="1246" t="s">
        <v>393</v>
      </c>
      <c r="N4" s="1246" t="s">
        <v>394</v>
      </c>
      <c r="O4" s="1247" t="s">
        <v>329</v>
      </c>
    </row>
    <row r="5" ht="15.75" customHeight="1">
      <c r="B5" s="401" t="s">
        <v>21</v>
      </c>
      <c r="C5" s="287"/>
      <c r="D5" s="287"/>
      <c r="E5" s="287"/>
      <c r="F5" s="287"/>
      <c r="G5" s="287"/>
      <c r="H5" s="287"/>
      <c r="I5" s="1248"/>
      <c r="J5" s="1248"/>
      <c r="K5" s="1248"/>
      <c r="L5" s="1248"/>
      <c r="M5" s="1248"/>
      <c r="N5" s="1248"/>
      <c r="O5" s="1249"/>
    </row>
    <row r="6" ht="15.75" customHeight="1">
      <c r="B6" s="404" t="s">
        <v>22</v>
      </c>
      <c r="C6" s="258"/>
      <c r="D6" s="258"/>
      <c r="E6" s="258"/>
      <c r="F6" s="258"/>
      <c r="G6" s="258"/>
      <c r="H6" s="258"/>
      <c r="I6" s="1250"/>
      <c r="J6" s="1250"/>
      <c r="K6" s="1250"/>
      <c r="L6" s="1250"/>
      <c r="M6" s="1250"/>
      <c r="N6" s="1250"/>
      <c r="O6" s="1251"/>
    </row>
    <row r="7" ht="15.75" customHeight="1">
      <c r="B7" s="404" t="s">
        <v>23</v>
      </c>
      <c r="C7" s="258">
        <f>MSBC!D29</f>
        <v>510529.82</v>
      </c>
      <c r="D7" s="258">
        <f>MSBC!J29</f>
        <v>460464</v>
      </c>
      <c r="E7" s="258">
        <f>MSBC!P29</f>
        <v>326383</v>
      </c>
      <c r="F7" s="258">
        <f>MSBC!V29</f>
        <v>0</v>
      </c>
      <c r="G7" s="258">
        <f>MSBC!AB29</f>
        <v>0</v>
      </c>
      <c r="H7" s="258">
        <f>MSBC!AH29</f>
        <v>0</v>
      </c>
      <c r="I7" s="258">
        <f>MSBC!AN29</f>
        <v>0</v>
      </c>
      <c r="J7" s="258">
        <f>MSBC!AT29</f>
        <v>0</v>
      </c>
      <c r="K7" s="258">
        <f>MSBC!AZ29</f>
        <v>0</v>
      </c>
      <c r="L7" s="258">
        <f>MSBC!BF29</f>
        <v>0</v>
      </c>
      <c r="M7" s="258">
        <f>MSBC!BL29</f>
        <v>0</v>
      </c>
      <c r="N7" s="258">
        <f>MSBC!BR29</f>
        <v>0</v>
      </c>
      <c r="O7" s="1251">
        <f>SUM(C7:N7)</f>
        <v>1297376.82</v>
      </c>
    </row>
    <row r="8" ht="15.75" customHeight="1">
      <c r="B8" s="1252" t="s">
        <v>24</v>
      </c>
      <c r="C8" s="312"/>
      <c r="D8" s="312"/>
      <c r="E8" s="312"/>
      <c r="F8" s="312"/>
      <c r="G8" s="312"/>
      <c r="H8" s="312"/>
      <c r="I8" s="315"/>
      <c r="J8" s="315"/>
      <c r="K8" s="315"/>
      <c r="L8" s="315"/>
      <c r="M8" s="315"/>
      <c r="N8" s="315"/>
      <c r="O8" s="313"/>
    </row>
    <row r="9" ht="15.75" customHeight="1">
      <c r="B9" s="410" t="s">
        <v>26</v>
      </c>
      <c r="C9" s="187">
        <f t="shared" ref="C9:N9" si="1">SUM(C5:C8)</f>
        <v>510529.82</v>
      </c>
      <c r="D9" s="187">
        <f t="shared" si="1"/>
        <v>460464</v>
      </c>
      <c r="E9" s="187">
        <f t="shared" si="1"/>
        <v>326383</v>
      </c>
      <c r="F9" s="187">
        <f t="shared" si="1"/>
        <v>0</v>
      </c>
      <c r="G9" s="187">
        <f t="shared" si="1"/>
        <v>0</v>
      </c>
      <c r="H9" s="187">
        <f t="shared" si="1"/>
        <v>0</v>
      </c>
      <c r="I9" s="187">
        <f t="shared" si="1"/>
        <v>0</v>
      </c>
      <c r="J9" s="187">
        <f t="shared" si="1"/>
        <v>0</v>
      </c>
      <c r="K9" s="187">
        <f t="shared" si="1"/>
        <v>0</v>
      </c>
      <c r="L9" s="187">
        <f t="shared" si="1"/>
        <v>0</v>
      </c>
      <c r="M9" s="187">
        <f t="shared" si="1"/>
        <v>0</v>
      </c>
      <c r="N9" s="187">
        <f t="shared" si="1"/>
        <v>0</v>
      </c>
      <c r="O9" s="365">
        <f>SUM(C9:H9)</f>
        <v>1297376.82</v>
      </c>
    </row>
    <row r="10" ht="15.75" customHeight="1">
      <c r="B10" s="401"/>
      <c r="C10" s="287"/>
      <c r="D10" s="287"/>
      <c r="E10" s="287"/>
      <c r="F10" s="287"/>
      <c r="G10" s="287"/>
      <c r="H10" s="287"/>
      <c r="I10" s="1248"/>
      <c r="J10" s="1248"/>
      <c r="K10" s="1248"/>
      <c r="L10" s="1248"/>
      <c r="M10" s="1248"/>
      <c r="N10" s="1248"/>
      <c r="O10" s="1249"/>
    </row>
    <row r="11" ht="15.75" customHeight="1">
      <c r="B11" s="404" t="s">
        <v>28</v>
      </c>
      <c r="C11" s="258">
        <f>MSBC!D49</f>
        <v>954798.4289</v>
      </c>
      <c r="D11" s="258">
        <f>MSBC!J49</f>
        <v>1027280.541</v>
      </c>
      <c r="E11" s="258">
        <f>MSBC!P49</f>
        <v>353110.2678</v>
      </c>
      <c r="F11" s="258">
        <f>MSBC!V49</f>
        <v>0</v>
      </c>
      <c r="G11" s="258">
        <f>MSBC!AB49</f>
        <v>0</v>
      </c>
      <c r="H11" s="258">
        <f>MSBC!AH49</f>
        <v>0</v>
      </c>
      <c r="I11" s="258">
        <f>MSBC!AN49</f>
        <v>0</v>
      </c>
      <c r="J11" s="258">
        <f>MSBC!AT49</f>
        <v>0</v>
      </c>
      <c r="K11" s="258">
        <f>MSBC!AZ49</f>
        <v>0</v>
      </c>
      <c r="L11" s="258">
        <f>MSBC!BF49</f>
        <v>0</v>
      </c>
      <c r="M11" s="258">
        <f>MSBC!BL49</f>
        <v>0</v>
      </c>
      <c r="N11" s="258">
        <f>MSBC!BR49</f>
        <v>0</v>
      </c>
      <c r="O11" s="1251">
        <f t="shared" ref="O11:O13" si="2">SUM(C11:H11)</f>
        <v>2335189.237</v>
      </c>
    </row>
    <row r="12" ht="15.75" customHeight="1">
      <c r="B12" s="404" t="s">
        <v>29</v>
      </c>
      <c r="C12" s="258">
        <f>MSBC!D48</f>
        <v>93423.5</v>
      </c>
      <c r="D12" s="258">
        <f>MSBC!J48</f>
        <v>109653</v>
      </c>
      <c r="E12" s="258">
        <f>MSBC!P48</f>
        <v>102488</v>
      </c>
      <c r="F12" s="258" t="str">
        <f>MSBC!V48</f>
        <v/>
      </c>
      <c r="G12" s="258" t="str">
        <f>MSBC!AB48</f>
        <v/>
      </c>
      <c r="H12" s="258" t="str">
        <f>MSBC!AH48</f>
        <v/>
      </c>
      <c r="I12" s="258" t="str">
        <f>MSBC!AN48</f>
        <v/>
      </c>
      <c r="J12" s="258" t="str">
        <f>MSBC!AT48</f>
        <v/>
      </c>
      <c r="K12" s="258" t="str">
        <f>MSBC!AZ48</f>
        <v/>
      </c>
      <c r="L12" s="258" t="str">
        <f>MSBC!BF48</f>
        <v/>
      </c>
      <c r="M12" s="258" t="str">
        <f>MSBC!BL48</f>
        <v/>
      </c>
      <c r="N12" s="258" t="str">
        <f>MSBC!BR48</f>
        <v/>
      </c>
      <c r="O12" s="1251">
        <f t="shared" si="2"/>
        <v>305564.5</v>
      </c>
    </row>
    <row r="13" ht="15.75" customHeight="1">
      <c r="B13" s="1252" t="s">
        <v>395</v>
      </c>
      <c r="C13" s="312"/>
      <c r="D13" s="312"/>
      <c r="E13" s="312"/>
      <c r="F13" s="312"/>
      <c r="G13" s="312"/>
      <c r="H13" s="312"/>
      <c r="I13" s="315"/>
      <c r="J13" s="315"/>
      <c r="K13" s="315"/>
      <c r="L13" s="315"/>
      <c r="M13" s="315"/>
      <c r="N13" s="315"/>
      <c r="O13" s="313">
        <f t="shared" si="2"/>
        <v>0</v>
      </c>
    </row>
    <row r="14" ht="15.75" customHeight="1">
      <c r="B14" s="410" t="s">
        <v>30</v>
      </c>
      <c r="C14" s="187">
        <f t="shared" ref="C14:O14" si="3">SUM(C11:C13)</f>
        <v>1048221.929</v>
      </c>
      <c r="D14" s="187">
        <f t="shared" si="3"/>
        <v>1136933.541</v>
      </c>
      <c r="E14" s="187">
        <f t="shared" si="3"/>
        <v>455598.2678</v>
      </c>
      <c r="F14" s="187">
        <f t="shared" si="3"/>
        <v>0</v>
      </c>
      <c r="G14" s="187">
        <f t="shared" si="3"/>
        <v>0</v>
      </c>
      <c r="H14" s="187">
        <f t="shared" si="3"/>
        <v>0</v>
      </c>
      <c r="I14" s="187">
        <f t="shared" si="3"/>
        <v>0</v>
      </c>
      <c r="J14" s="187">
        <f t="shared" si="3"/>
        <v>0</v>
      </c>
      <c r="K14" s="187">
        <f t="shared" si="3"/>
        <v>0</v>
      </c>
      <c r="L14" s="187">
        <f t="shared" si="3"/>
        <v>0</v>
      </c>
      <c r="M14" s="187">
        <f t="shared" si="3"/>
        <v>0</v>
      </c>
      <c r="N14" s="187">
        <f t="shared" si="3"/>
        <v>0</v>
      </c>
      <c r="O14" s="365">
        <f t="shared" si="3"/>
        <v>2640753.737</v>
      </c>
    </row>
    <row r="15" ht="15.75" customHeight="1">
      <c r="B15" s="1253"/>
      <c r="C15" s="328"/>
      <c r="D15" s="328"/>
      <c r="E15" s="328"/>
      <c r="F15" s="328"/>
      <c r="G15" s="328"/>
      <c r="H15" s="328"/>
      <c r="I15" s="333"/>
      <c r="J15" s="333"/>
      <c r="K15" s="333"/>
      <c r="L15" s="333"/>
      <c r="M15" s="333"/>
      <c r="N15" s="333"/>
      <c r="O15" s="330"/>
    </row>
    <row r="16" ht="15.75" customHeight="1">
      <c r="B16" s="410" t="s">
        <v>32</v>
      </c>
      <c r="C16" s="187">
        <f t="shared" ref="C16:O16" si="4">C9-C14</f>
        <v>-537692.1089</v>
      </c>
      <c r="D16" s="187">
        <f t="shared" si="4"/>
        <v>-676469.5406</v>
      </c>
      <c r="E16" s="187">
        <f t="shared" si="4"/>
        <v>-129215.2678</v>
      </c>
      <c r="F16" s="187">
        <f t="shared" si="4"/>
        <v>0</v>
      </c>
      <c r="G16" s="187">
        <f t="shared" si="4"/>
        <v>0</v>
      </c>
      <c r="H16" s="187">
        <f t="shared" si="4"/>
        <v>0</v>
      </c>
      <c r="I16" s="187">
        <f t="shared" si="4"/>
        <v>0</v>
      </c>
      <c r="J16" s="187">
        <f t="shared" si="4"/>
        <v>0</v>
      </c>
      <c r="K16" s="187">
        <f t="shared" si="4"/>
        <v>0</v>
      </c>
      <c r="L16" s="187">
        <f t="shared" si="4"/>
        <v>0</v>
      </c>
      <c r="M16" s="187">
        <f t="shared" si="4"/>
        <v>0</v>
      </c>
      <c r="N16" s="187">
        <f t="shared" si="4"/>
        <v>0</v>
      </c>
      <c r="O16" s="365">
        <f t="shared" si="4"/>
        <v>-1343376.917</v>
      </c>
    </row>
    <row r="17" ht="15.75" customHeight="1">
      <c r="B17" s="410" t="s">
        <v>396</v>
      </c>
      <c r="C17" s="359">
        <f t="shared" ref="C17:O17" si="5">C16/C9</f>
        <v>-1.053204118</v>
      </c>
      <c r="D17" s="359">
        <f t="shared" si="5"/>
        <v>-1.469104079</v>
      </c>
      <c r="E17" s="359">
        <f t="shared" si="5"/>
        <v>-0.3959007294</v>
      </c>
      <c r="F17" s="359" t="str">
        <f t="shared" si="5"/>
        <v>#DIV/0!</v>
      </c>
      <c r="G17" s="359" t="str">
        <f t="shared" si="5"/>
        <v>#DIV/0!</v>
      </c>
      <c r="H17" s="359" t="str">
        <f t="shared" si="5"/>
        <v>#DIV/0!</v>
      </c>
      <c r="I17" s="359" t="str">
        <f t="shared" si="5"/>
        <v>#DIV/0!</v>
      </c>
      <c r="J17" s="359" t="str">
        <f t="shared" si="5"/>
        <v>#DIV/0!</v>
      </c>
      <c r="K17" s="359" t="str">
        <f t="shared" si="5"/>
        <v>#DIV/0!</v>
      </c>
      <c r="L17" s="359" t="str">
        <f t="shared" si="5"/>
        <v>#DIV/0!</v>
      </c>
      <c r="M17" s="359" t="str">
        <f t="shared" si="5"/>
        <v>#DIV/0!</v>
      </c>
      <c r="N17" s="359" t="str">
        <f t="shared" si="5"/>
        <v>#DIV/0!</v>
      </c>
      <c r="O17" s="360">
        <f t="shared" si="5"/>
        <v>-1.035456235</v>
      </c>
    </row>
    <row r="18" ht="15.75" customHeight="1">
      <c r="B18" s="401"/>
      <c r="C18" s="281"/>
      <c r="D18" s="281"/>
      <c r="E18" s="281"/>
      <c r="F18" s="281"/>
      <c r="G18" s="281"/>
      <c r="H18" s="281"/>
      <c r="I18" s="380"/>
      <c r="J18" s="380"/>
      <c r="K18" s="380"/>
      <c r="L18" s="380"/>
      <c r="M18" s="380"/>
      <c r="N18" s="380"/>
      <c r="O18" s="283"/>
    </row>
    <row r="19" ht="15.75" customHeight="1">
      <c r="B19" s="404" t="s">
        <v>33</v>
      </c>
      <c r="C19" s="258">
        <f>MSBC!D59</f>
        <v>28683.86</v>
      </c>
      <c r="D19" s="258">
        <f>MSBC!J59</f>
        <v>42515</v>
      </c>
      <c r="E19" s="258">
        <f>MSBC!P59</f>
        <v>39407</v>
      </c>
      <c r="F19" s="258">
        <f>MSBC!V59</f>
        <v>0</v>
      </c>
      <c r="G19" s="258">
        <f>MSBC!AB59</f>
        <v>0</v>
      </c>
      <c r="H19" s="258">
        <f>MSBC!AH59</f>
        <v>0</v>
      </c>
      <c r="I19" s="258">
        <f>MSBC!AN59</f>
        <v>0</v>
      </c>
      <c r="J19" s="258">
        <f>MSBC!AT59</f>
        <v>0</v>
      </c>
      <c r="K19" s="258">
        <f>MSBC!AZ59</f>
        <v>0</v>
      </c>
      <c r="L19" s="258">
        <f>MSBC!BF59</f>
        <v>0</v>
      </c>
      <c r="M19" s="258">
        <f>MSBC!BL59</f>
        <v>0</v>
      </c>
      <c r="N19" s="258">
        <f>MSBC!BR59</f>
        <v>0</v>
      </c>
      <c r="O19" s="1251">
        <f t="shared" ref="O19:O29" si="6">SUM(C19:H19)</f>
        <v>110605.86</v>
      </c>
    </row>
    <row r="20" ht="15.75" customHeight="1">
      <c r="B20" s="404" t="s">
        <v>34</v>
      </c>
      <c r="C20" s="258">
        <f>MSBC!D61</f>
        <v>77809.78</v>
      </c>
      <c r="D20" s="258" t="str">
        <f>MSBC!J60</f>
        <v/>
      </c>
      <c r="E20" s="258" t="str">
        <f>MSBC!P60</f>
        <v/>
      </c>
      <c r="F20" s="258" t="str">
        <f>MSBC!V60</f>
        <v/>
      </c>
      <c r="G20" s="258" t="str">
        <f>MSBC!AB60</f>
        <v/>
      </c>
      <c r="H20" s="258" t="str">
        <f>MSBC!AH60</f>
        <v/>
      </c>
      <c r="I20" s="258" t="str">
        <f>MSBC!AN60</f>
        <v/>
      </c>
      <c r="J20" s="258" t="str">
        <f>MSBC!AT60</f>
        <v/>
      </c>
      <c r="K20" s="258" t="str">
        <f>MSBC!AZ60</f>
        <v/>
      </c>
      <c r="L20" s="258" t="str">
        <f>MSBC!BF60</f>
        <v/>
      </c>
      <c r="M20" s="258" t="str">
        <f>MSBC!BL60</f>
        <v/>
      </c>
      <c r="N20" s="258" t="str">
        <f>MSBC!BR60</f>
        <v/>
      </c>
      <c r="O20" s="1251">
        <f t="shared" si="6"/>
        <v>77809.78</v>
      </c>
    </row>
    <row r="21" ht="15.75" customHeight="1">
      <c r="B21" s="404" t="s">
        <v>35</v>
      </c>
      <c r="C21" s="258">
        <f>MSBC!D69</f>
        <v>39923.37</v>
      </c>
      <c r="D21" s="258">
        <f>MSBC!J61</f>
        <v>48603</v>
      </c>
      <c r="E21" s="258">
        <f>MSBC!P61</f>
        <v>42165</v>
      </c>
      <c r="F21" s="258">
        <f>MSBC!V61</f>
        <v>0</v>
      </c>
      <c r="G21" s="258">
        <f>MSBC!AB61</f>
        <v>0</v>
      </c>
      <c r="H21" s="258">
        <f>MSBC!AH61</f>
        <v>0</v>
      </c>
      <c r="I21" s="258">
        <f>MSBC!AN61</f>
        <v>0</v>
      </c>
      <c r="J21" s="258">
        <f>MSBC!AT61</f>
        <v>0</v>
      </c>
      <c r="K21" s="258">
        <f>MSBC!AZ61</f>
        <v>0</v>
      </c>
      <c r="L21" s="258">
        <f>MSBC!BF61</f>
        <v>0</v>
      </c>
      <c r="M21" s="258">
        <f>MSBC!BL61</f>
        <v>0</v>
      </c>
      <c r="N21" s="258">
        <f>MSBC!BR61</f>
        <v>0</v>
      </c>
      <c r="O21" s="1251">
        <f t="shared" si="6"/>
        <v>130691.37</v>
      </c>
    </row>
    <row r="22" ht="15.75" customHeight="1">
      <c r="B22" s="404" t="s">
        <v>36</v>
      </c>
      <c r="C22" s="258">
        <f>MSBC!D75</f>
        <v>253151</v>
      </c>
      <c r="D22" s="258">
        <f>MSBC!J62</f>
        <v>0</v>
      </c>
      <c r="E22" s="258">
        <f>MSBC!P62</f>
        <v>0</v>
      </c>
      <c r="F22" s="258" t="str">
        <f>MSBC!V62</f>
        <v/>
      </c>
      <c r="G22" s="258" t="str">
        <f>MSBC!AB62</f>
        <v/>
      </c>
      <c r="H22" s="258" t="str">
        <f>MSBC!AH62</f>
        <v/>
      </c>
      <c r="I22" s="258" t="str">
        <f>MSBC!AN62</f>
        <v/>
      </c>
      <c r="J22" s="258" t="str">
        <f>MSBC!AT62</f>
        <v/>
      </c>
      <c r="K22" s="258" t="str">
        <f>MSBC!AZ62</f>
        <v/>
      </c>
      <c r="L22" s="258" t="str">
        <f>MSBC!BF62</f>
        <v/>
      </c>
      <c r="M22" s="258" t="str">
        <f>MSBC!BL62</f>
        <v/>
      </c>
      <c r="N22" s="258" t="str">
        <f>MSBC!BR62</f>
        <v/>
      </c>
      <c r="O22" s="1251">
        <f t="shared" si="6"/>
        <v>253151</v>
      </c>
    </row>
    <row r="23" ht="15.75" customHeight="1">
      <c r="B23" s="404" t="s">
        <v>37</v>
      </c>
      <c r="C23" s="258">
        <f>MSBC!D81</f>
        <v>1480962.86</v>
      </c>
      <c r="D23" s="258">
        <f>MSBC!J63</f>
        <v>22622</v>
      </c>
      <c r="E23" s="258">
        <f>MSBC!P63</f>
        <v>13536</v>
      </c>
      <c r="F23" s="258" t="str">
        <f>MSBC!V63</f>
        <v/>
      </c>
      <c r="G23" s="258" t="str">
        <f>MSBC!AB63</f>
        <v/>
      </c>
      <c r="H23" s="258" t="str">
        <f>MSBC!AH63</f>
        <v/>
      </c>
      <c r="I23" s="258" t="str">
        <f>MSBC!AN63</f>
        <v/>
      </c>
      <c r="J23" s="258" t="str">
        <f>MSBC!AT63</f>
        <v/>
      </c>
      <c r="K23" s="258" t="str">
        <f>MSBC!AZ63</f>
        <v/>
      </c>
      <c r="L23" s="258" t="str">
        <f>MSBC!BF63</f>
        <v/>
      </c>
      <c r="M23" s="258" t="str">
        <f>MSBC!BL63</f>
        <v/>
      </c>
      <c r="N23" s="258" t="str">
        <f>MSBC!BR63</f>
        <v/>
      </c>
      <c r="O23" s="1251">
        <f t="shared" si="6"/>
        <v>1517120.86</v>
      </c>
    </row>
    <row r="24" ht="15.75" customHeight="1">
      <c r="B24" s="404" t="s">
        <v>38</v>
      </c>
      <c r="C24" s="258">
        <f>MSBC!D92</f>
        <v>6930</v>
      </c>
      <c r="D24" s="258">
        <f>MSBC!J64</f>
        <v>0</v>
      </c>
      <c r="E24" s="258">
        <f>MSBC!P64</f>
        <v>0</v>
      </c>
      <c r="F24" s="258" t="str">
        <f>MSBC!V64</f>
        <v/>
      </c>
      <c r="G24" s="258" t="str">
        <f>MSBC!AB64</f>
        <v/>
      </c>
      <c r="H24" s="258" t="str">
        <f>MSBC!AH64</f>
        <v/>
      </c>
      <c r="I24" s="258" t="str">
        <f>MSBC!AN64</f>
        <v/>
      </c>
      <c r="J24" s="258" t="str">
        <f>MSBC!AT64</f>
        <v/>
      </c>
      <c r="K24" s="258" t="str">
        <f>MSBC!AZ64</f>
        <v/>
      </c>
      <c r="L24" s="258" t="str">
        <f>MSBC!BF64</f>
        <v/>
      </c>
      <c r="M24" s="258" t="str">
        <f>MSBC!BL64</f>
        <v/>
      </c>
      <c r="N24" s="258" t="str">
        <f>MSBC!BR64</f>
        <v/>
      </c>
      <c r="O24" s="1251">
        <f t="shared" si="6"/>
        <v>6930</v>
      </c>
    </row>
    <row r="25" ht="15.75" customHeight="1">
      <c r="B25" s="404" t="s">
        <v>39</v>
      </c>
      <c r="C25" s="258">
        <f>MSBC!D95</f>
        <v>36280.33333</v>
      </c>
      <c r="D25" s="258">
        <f>MSBC!J65</f>
        <v>0</v>
      </c>
      <c r="E25" s="258">
        <f>MSBC!P65</f>
        <v>0</v>
      </c>
      <c r="F25" s="258" t="str">
        <f>MSBC!V65</f>
        <v/>
      </c>
      <c r="G25" s="258" t="str">
        <f>MSBC!AB65</f>
        <v/>
      </c>
      <c r="H25" s="258" t="str">
        <f>MSBC!AH65</f>
        <v/>
      </c>
      <c r="I25" s="258" t="str">
        <f>MSBC!AN65</f>
        <v/>
      </c>
      <c r="J25" s="258" t="str">
        <f>MSBC!AT65</f>
        <v/>
      </c>
      <c r="K25" s="258" t="str">
        <f>MSBC!AZ65</f>
        <v/>
      </c>
      <c r="L25" s="258" t="str">
        <f>MSBC!BF65</f>
        <v/>
      </c>
      <c r="M25" s="258" t="str">
        <f>MSBC!BL65</f>
        <v/>
      </c>
      <c r="N25" s="258" t="str">
        <f>MSBC!BR65</f>
        <v/>
      </c>
      <c r="O25" s="1251">
        <f t="shared" si="6"/>
        <v>36280.33333</v>
      </c>
    </row>
    <row r="26" ht="15.75" customHeight="1">
      <c r="B26" s="404" t="s">
        <v>40</v>
      </c>
      <c r="C26" s="258">
        <f>MSBC!D99</f>
        <v>170174.93</v>
      </c>
      <c r="D26" s="258">
        <f>MSBC!J66</f>
        <v>0</v>
      </c>
      <c r="E26" s="258">
        <f>MSBC!P66</f>
        <v>0</v>
      </c>
      <c r="F26" s="258" t="str">
        <f>MSBC!V66</f>
        <v/>
      </c>
      <c r="G26" s="258" t="str">
        <f>MSBC!AB66</f>
        <v/>
      </c>
      <c r="H26" s="258" t="str">
        <f>MSBC!AH66</f>
        <v/>
      </c>
      <c r="I26" s="258" t="str">
        <f>MSBC!AN66</f>
        <v/>
      </c>
      <c r="J26" s="258" t="str">
        <f>MSBC!AT66</f>
        <v/>
      </c>
      <c r="K26" s="258" t="str">
        <f>MSBC!AZ66</f>
        <v/>
      </c>
      <c r="L26" s="258" t="str">
        <f>MSBC!BF66</f>
        <v/>
      </c>
      <c r="M26" s="258" t="str">
        <f>MSBC!BL66</f>
        <v/>
      </c>
      <c r="N26" s="258" t="str">
        <f>MSBC!BR66</f>
        <v/>
      </c>
      <c r="O26" s="1251">
        <f t="shared" si="6"/>
        <v>170174.93</v>
      </c>
    </row>
    <row r="27" ht="15.75" customHeight="1">
      <c r="B27" s="404" t="s">
        <v>41</v>
      </c>
      <c r="C27" s="258">
        <f>MSBC!D115</f>
        <v>0</v>
      </c>
      <c r="D27" s="258">
        <f>MSBC!J67</f>
        <v>25981</v>
      </c>
      <c r="E27" s="258">
        <f>MSBC!P67</f>
        <v>28629</v>
      </c>
      <c r="F27" s="258" t="str">
        <f>MSBC!V67</f>
        <v/>
      </c>
      <c r="G27" s="258" t="str">
        <f>MSBC!AB67</f>
        <v/>
      </c>
      <c r="H27" s="258" t="str">
        <f>MSBC!AH67</f>
        <v/>
      </c>
      <c r="I27" s="258" t="str">
        <f>MSBC!AN67</f>
        <v/>
      </c>
      <c r="J27" s="258" t="str">
        <f>MSBC!AT67</f>
        <v/>
      </c>
      <c r="K27" s="258" t="str">
        <f>MSBC!AZ67</f>
        <v/>
      </c>
      <c r="L27" s="258" t="str">
        <f>MSBC!BF67</f>
        <v/>
      </c>
      <c r="M27" s="258" t="str">
        <f>MSBC!BL67</f>
        <v/>
      </c>
      <c r="N27" s="258" t="str">
        <f>MSBC!BR67</f>
        <v/>
      </c>
      <c r="O27" s="1251">
        <f t="shared" si="6"/>
        <v>54610</v>
      </c>
    </row>
    <row r="28" ht="15.75" customHeight="1">
      <c r="B28" s="1252" t="s">
        <v>42</v>
      </c>
      <c r="C28" s="312">
        <f>MSBC!D119</f>
        <v>-2093916</v>
      </c>
      <c r="D28" s="312" t="str">
        <f>MSBC!J68</f>
        <v/>
      </c>
      <c r="E28" s="258" t="str">
        <f>MSBC!P68</f>
        <v/>
      </c>
      <c r="F28" s="258" t="str">
        <f>MSBC!V68</f>
        <v/>
      </c>
      <c r="G28" s="258" t="str">
        <f>MSBC!AB68</f>
        <v/>
      </c>
      <c r="H28" s="258" t="str">
        <f>MSBC!AH68</f>
        <v/>
      </c>
      <c r="I28" s="258" t="str">
        <f>MSBC!AN68</f>
        <v/>
      </c>
      <c r="J28" s="258" t="str">
        <f>MSBC!AT68</f>
        <v/>
      </c>
      <c r="K28" s="258" t="str">
        <f>MSBC!AZ68</f>
        <v/>
      </c>
      <c r="L28" s="258" t="str">
        <f>MSBC!BF68</f>
        <v/>
      </c>
      <c r="M28" s="258" t="str">
        <f>MSBC!BL68</f>
        <v/>
      </c>
      <c r="N28" s="258" t="str">
        <f>MSBC!BR68</f>
        <v/>
      </c>
      <c r="O28" s="313">
        <f t="shared" si="6"/>
        <v>-2093916</v>
      </c>
    </row>
    <row r="29" ht="15.75" customHeight="1">
      <c r="B29" s="410" t="s">
        <v>43</v>
      </c>
      <c r="C29" s="187">
        <f t="shared" ref="C29:N29" si="7">SUM(C19:C28)</f>
        <v>0.1333333333</v>
      </c>
      <c r="D29" s="187">
        <f t="shared" si="7"/>
        <v>139721</v>
      </c>
      <c r="E29" s="187">
        <f t="shared" si="7"/>
        <v>123737</v>
      </c>
      <c r="F29" s="187">
        <f t="shared" si="7"/>
        <v>0</v>
      </c>
      <c r="G29" s="187">
        <f t="shared" si="7"/>
        <v>0</v>
      </c>
      <c r="H29" s="187">
        <f t="shared" si="7"/>
        <v>0</v>
      </c>
      <c r="I29" s="187">
        <f t="shared" si="7"/>
        <v>0</v>
      </c>
      <c r="J29" s="187">
        <f t="shared" si="7"/>
        <v>0</v>
      </c>
      <c r="K29" s="187">
        <f t="shared" si="7"/>
        <v>0</v>
      </c>
      <c r="L29" s="187">
        <f t="shared" si="7"/>
        <v>0</v>
      </c>
      <c r="M29" s="187">
        <f t="shared" si="7"/>
        <v>0</v>
      </c>
      <c r="N29" s="187">
        <f t="shared" si="7"/>
        <v>0</v>
      </c>
      <c r="O29" s="365">
        <f t="shared" si="6"/>
        <v>263458.1333</v>
      </c>
    </row>
    <row r="30" ht="15.75" customHeight="1">
      <c r="B30" s="1253"/>
      <c r="C30" s="328"/>
      <c r="D30" s="328"/>
      <c r="E30" s="328"/>
      <c r="F30" s="328"/>
      <c r="G30" s="328"/>
      <c r="H30" s="328"/>
      <c r="I30" s="333"/>
      <c r="J30" s="333"/>
      <c r="K30" s="333"/>
      <c r="L30" s="333"/>
      <c r="M30" s="333"/>
      <c r="N30" s="333"/>
      <c r="O30" s="330"/>
    </row>
    <row r="31" ht="15.75" customHeight="1">
      <c r="B31" s="410" t="s">
        <v>44</v>
      </c>
      <c r="C31" s="187">
        <f t="shared" ref="C31:N31" si="8">C16-C29</f>
        <v>-537692.2423</v>
      </c>
      <c r="D31" s="187">
        <f t="shared" si="8"/>
        <v>-816190.5406</v>
      </c>
      <c r="E31" s="187">
        <f t="shared" si="8"/>
        <v>-252952.2678</v>
      </c>
      <c r="F31" s="187">
        <f t="shared" si="8"/>
        <v>0</v>
      </c>
      <c r="G31" s="187">
        <f t="shared" si="8"/>
        <v>0</v>
      </c>
      <c r="H31" s="187">
        <f t="shared" si="8"/>
        <v>0</v>
      </c>
      <c r="I31" s="187">
        <f t="shared" si="8"/>
        <v>0</v>
      </c>
      <c r="J31" s="187">
        <f t="shared" si="8"/>
        <v>0</v>
      </c>
      <c r="K31" s="187">
        <f t="shared" si="8"/>
        <v>0</v>
      </c>
      <c r="L31" s="187">
        <f t="shared" si="8"/>
        <v>0</v>
      </c>
      <c r="M31" s="187">
        <f t="shared" si="8"/>
        <v>0</v>
      </c>
      <c r="N31" s="187">
        <f t="shared" si="8"/>
        <v>0</v>
      </c>
      <c r="O31" s="365">
        <f>SUM(C31:H31)</f>
        <v>-1606835.051</v>
      </c>
    </row>
    <row r="32" ht="15.75" customHeight="1">
      <c r="B32" s="410" t="s">
        <v>397</v>
      </c>
      <c r="C32" s="359">
        <f t="shared" ref="C32:O32" si="9">C31/C9</f>
        <v>-1.053204379</v>
      </c>
      <c r="D32" s="359">
        <f t="shared" si="9"/>
        <v>-1.772539309</v>
      </c>
      <c r="E32" s="359">
        <f t="shared" si="9"/>
        <v>-0.775016676</v>
      </c>
      <c r="F32" s="359" t="str">
        <f t="shared" si="9"/>
        <v>#DIV/0!</v>
      </c>
      <c r="G32" s="359" t="str">
        <f t="shared" si="9"/>
        <v>#DIV/0!</v>
      </c>
      <c r="H32" s="359" t="str">
        <f t="shared" si="9"/>
        <v>#DIV/0!</v>
      </c>
      <c r="I32" s="359" t="str">
        <f t="shared" si="9"/>
        <v>#DIV/0!</v>
      </c>
      <c r="J32" s="359" t="str">
        <f t="shared" si="9"/>
        <v>#DIV/0!</v>
      </c>
      <c r="K32" s="359" t="str">
        <f t="shared" si="9"/>
        <v>#DIV/0!</v>
      </c>
      <c r="L32" s="359" t="str">
        <f t="shared" si="9"/>
        <v>#DIV/0!</v>
      </c>
      <c r="M32" s="359" t="str">
        <f t="shared" si="9"/>
        <v>#DIV/0!</v>
      </c>
      <c r="N32" s="359" t="str">
        <f t="shared" si="9"/>
        <v>#DIV/0!</v>
      </c>
      <c r="O32" s="360">
        <f t="shared" si="9"/>
        <v>-1.238526098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6" width="12.63"/>
  </cols>
  <sheetData>
    <row r="1" ht="15.75" customHeight="1">
      <c r="A1" s="272" t="s">
        <v>398</v>
      </c>
    </row>
    <row r="2" ht="15.75" customHeight="1"/>
    <row r="3" ht="15.75" customHeight="1">
      <c r="B3" s="1254">
        <v>45931.0</v>
      </c>
      <c r="C3" s="1254">
        <v>45962.0</v>
      </c>
      <c r="D3" s="1254">
        <v>45992.0</v>
      </c>
    </row>
    <row r="4" ht="15.75" customHeight="1">
      <c r="A4" s="151" t="s">
        <v>399</v>
      </c>
      <c r="B4" s="150" t="str">
        <f>'The Table'!#REF!</f>
        <v>#ERROR!</v>
      </c>
      <c r="C4" s="150" t="str">
        <f>'The Table'!#REF!</f>
        <v>#ERROR!</v>
      </c>
      <c r="D4" s="150" t="str">
        <f>'The Table'!#REF!</f>
        <v>#ERROR!</v>
      </c>
      <c r="F4" s="150" t="str">
        <f>SUM(B4:D4)</f>
        <v>#ERROR!</v>
      </c>
    </row>
    <row r="5" ht="15.75" customHeight="1">
      <c r="A5" s="151" t="s">
        <v>400</v>
      </c>
      <c r="B5" s="150" t="str">
        <f>'The Table'!#REF!</f>
        <v>#ERROR!</v>
      </c>
      <c r="C5" s="150" t="str">
        <f>'The Table'!#REF!</f>
        <v>#ERROR!</v>
      </c>
      <c r="D5" s="150" t="str">
        <f>'The Table'!#REF!</f>
        <v>#ERROR!</v>
      </c>
    </row>
    <row r="6" ht="15.75" customHeight="1">
      <c r="A6" s="151" t="s">
        <v>401</v>
      </c>
      <c r="B6" s="150" t="str">
        <f t="shared" ref="B6:D6" si="1">B4-B5</f>
        <v>#ERROR!</v>
      </c>
      <c r="C6" s="150" t="str">
        <f t="shared" si="1"/>
        <v>#ERROR!</v>
      </c>
      <c r="D6" s="150" t="str">
        <f t="shared" si="1"/>
        <v>#ERROR!</v>
      </c>
    </row>
    <row r="7" ht="15.75" customHeight="1">
      <c r="B7" s="150"/>
      <c r="C7" s="150"/>
      <c r="D7" s="150"/>
      <c r="F7" s="151" t="s">
        <v>402</v>
      </c>
    </row>
    <row r="8" ht="15.75" customHeight="1">
      <c r="A8" s="151" t="s">
        <v>403</v>
      </c>
      <c r="B8" s="150">
        <v>1.95E7</v>
      </c>
      <c r="C8" s="150" t="str">
        <f t="shared" ref="C8:D8" si="2">C4</f>
        <v>#ERROR!</v>
      </c>
      <c r="D8" s="150" t="str">
        <f t="shared" si="2"/>
        <v>#ERROR!</v>
      </c>
      <c r="F8" s="150" t="str">
        <f>SUM(B8:D8)</f>
        <v>#ERROR!</v>
      </c>
    </row>
    <row r="9" ht="15.75" customHeight="1">
      <c r="A9" s="151" t="s">
        <v>404</v>
      </c>
      <c r="B9" s="150">
        <v>31.0</v>
      </c>
      <c r="C9" s="150">
        <v>30.0</v>
      </c>
      <c r="D9" s="150">
        <v>31.0</v>
      </c>
    </row>
    <row r="10" ht="15.75" customHeight="1">
      <c r="A10" s="151" t="s">
        <v>405</v>
      </c>
      <c r="B10" s="150">
        <f t="shared" ref="B10:D10" si="3">B8/B9</f>
        <v>629032.2581</v>
      </c>
      <c r="C10" s="150" t="str">
        <f t="shared" si="3"/>
        <v>#ERROR!</v>
      </c>
      <c r="D10" s="150" t="str">
        <f t="shared" si="3"/>
        <v>#ERROR!</v>
      </c>
      <c r="G10" s="399" t="str">
        <f>(F8-F4)/F4</f>
        <v>#ERROR!</v>
      </c>
      <c r="H10" s="150" t="str">
        <f>F8-F4</f>
        <v>#ERROR!</v>
      </c>
    </row>
    <row r="11" ht="15.75" customHeight="1"/>
    <row r="12" ht="15.75" customHeight="1">
      <c r="B12" s="150" t="str">
        <f>B8-B6</f>
        <v>#ERROR!</v>
      </c>
    </row>
    <row r="13" ht="15.75" customHeight="1">
      <c r="J13" s="151" t="s">
        <v>406</v>
      </c>
      <c r="K13" s="151" t="s">
        <v>407</v>
      </c>
    </row>
    <row r="14" ht="15.75" customHeight="1">
      <c r="A14" s="151" t="s">
        <v>9</v>
      </c>
      <c r="I14" s="151" t="s">
        <v>408</v>
      </c>
      <c r="J14" s="150" t="str">
        <f>F8</f>
        <v>#ERROR!</v>
      </c>
    </row>
    <row r="15" ht="15.75" customHeight="1">
      <c r="B15" s="1254">
        <v>45931.0</v>
      </c>
      <c r="C15" s="1254">
        <v>45962.0</v>
      </c>
      <c r="D15" s="1254">
        <v>45992.0</v>
      </c>
      <c r="F15" s="151" t="s">
        <v>406</v>
      </c>
      <c r="I15" s="151" t="s">
        <v>9</v>
      </c>
      <c r="J15" s="150" t="str">
        <f>F16</f>
        <v>#ERROR!</v>
      </c>
    </row>
    <row r="16" ht="15.75" customHeight="1">
      <c r="A16" s="151" t="s">
        <v>409</v>
      </c>
      <c r="B16" s="150" t="str">
        <f>'Mg St Bandra'!#REF!</f>
        <v>#ERROR!</v>
      </c>
      <c r="C16" s="150" t="str">
        <f>'Mg St Bandra'!#REF!</f>
        <v>#ERROR!</v>
      </c>
      <c r="D16" s="150" t="str">
        <f>'Mg St Bandra'!#REF!</f>
        <v>#ERROR!</v>
      </c>
      <c r="F16" s="150" t="str">
        <f>SUM(B16:D16)</f>
        <v>#ERROR!</v>
      </c>
      <c r="I16" s="151" t="s">
        <v>7</v>
      </c>
      <c r="J16" s="150" t="str">
        <f>F22</f>
        <v>#ERROR!</v>
      </c>
    </row>
    <row r="17" ht="15.75" customHeight="1">
      <c r="A17" s="151" t="s">
        <v>404</v>
      </c>
      <c r="B17" s="151">
        <v>31.0</v>
      </c>
      <c r="C17" s="151">
        <v>30.0</v>
      </c>
      <c r="D17" s="151">
        <v>31.0</v>
      </c>
      <c r="I17" s="151" t="s">
        <v>410</v>
      </c>
      <c r="J17" s="150">
        <f>F27</f>
        <v>25985880.94</v>
      </c>
    </row>
    <row r="18" ht="15.75" customHeight="1">
      <c r="A18" s="151" t="s">
        <v>411</v>
      </c>
      <c r="B18" s="150" t="str">
        <f t="shared" ref="B18:D18" si="4">B16/B17</f>
        <v>#ERROR!</v>
      </c>
      <c r="C18" s="150" t="str">
        <f t="shared" si="4"/>
        <v>#ERROR!</v>
      </c>
      <c r="D18" s="150" t="str">
        <f t="shared" si="4"/>
        <v>#ERROR!</v>
      </c>
      <c r="J18" s="1255" t="str">
        <f>SUM(J14:J17)</f>
        <v>#ERROR!</v>
      </c>
    </row>
    <row r="19" ht="15.75" customHeight="1"/>
    <row r="20" ht="15.75" customHeight="1"/>
    <row r="21" ht="15.75" customHeight="1">
      <c r="A21" s="151" t="s">
        <v>7</v>
      </c>
      <c r="B21" s="1254">
        <v>45931.0</v>
      </c>
      <c r="C21" s="1254">
        <v>45962.0</v>
      </c>
      <c r="D21" s="1254">
        <v>45992.0</v>
      </c>
      <c r="F21" s="151" t="s">
        <v>406</v>
      </c>
      <c r="I21" s="1256">
        <v>45954.0</v>
      </c>
      <c r="J21" s="1256">
        <v>45985.0</v>
      </c>
      <c r="K21" s="1256">
        <v>46015.0</v>
      </c>
    </row>
    <row r="22" ht="15.75" customHeight="1">
      <c r="A22" s="151" t="s">
        <v>412</v>
      </c>
      <c r="B22" s="150" t="str">
        <f>'Mg St Colaba'!#REF!</f>
        <v>#ERROR!</v>
      </c>
      <c r="C22" s="150" t="str">
        <f>'Mg St Colaba'!#REF!</f>
        <v>#ERROR!</v>
      </c>
      <c r="D22" s="150" t="str">
        <f>'Mg St Colaba'!#REF!</f>
        <v>#ERROR!</v>
      </c>
      <c r="F22" s="150" t="str">
        <f>SUM(B22:D22)</f>
        <v>#ERROR!</v>
      </c>
      <c r="H22" s="151" t="s">
        <v>413</v>
      </c>
      <c r="I22" s="150">
        <v>8231983.0</v>
      </c>
      <c r="J22" s="150">
        <v>7928011.0</v>
      </c>
      <c r="K22" s="150">
        <v>8427932.0</v>
      </c>
      <c r="L22" s="150">
        <f>SUM(I22:K22)</f>
        <v>24587926</v>
      </c>
    </row>
    <row r="23" ht="15.75" customHeight="1">
      <c r="A23" s="151" t="s">
        <v>404</v>
      </c>
      <c r="B23" s="151">
        <v>31.0</v>
      </c>
      <c r="C23" s="151">
        <v>30.0</v>
      </c>
      <c r="D23" s="151">
        <v>31.0</v>
      </c>
      <c r="L23" s="150">
        <f>AVERAGE(I22:K22)</f>
        <v>8195975.333</v>
      </c>
    </row>
    <row r="24" ht="15.75" customHeight="1">
      <c r="A24" s="151" t="s">
        <v>411</v>
      </c>
      <c r="B24" s="150" t="str">
        <f t="shared" ref="B24:D24" si="5">B22/B23</f>
        <v>#ERROR!</v>
      </c>
      <c r="C24" s="150" t="str">
        <f t="shared" si="5"/>
        <v>#ERROR!</v>
      </c>
      <c r="D24" s="150" t="str">
        <f t="shared" si="5"/>
        <v>#ERROR!</v>
      </c>
    </row>
    <row r="25" ht="15.75" customHeight="1"/>
    <row r="26" ht="15.75" customHeight="1">
      <c r="A26" s="1257" t="s">
        <v>410</v>
      </c>
      <c r="B26" s="1258">
        <v>45931.0</v>
      </c>
      <c r="C26" s="1258">
        <v>45962.0</v>
      </c>
      <c r="D26" s="1258">
        <v>45992.0</v>
      </c>
      <c r="F26" s="151" t="s">
        <v>406</v>
      </c>
    </row>
    <row r="27" ht="15.75" customHeight="1">
      <c r="A27" s="1257" t="s">
        <v>414</v>
      </c>
      <c r="B27" s="1259">
        <f t="shared" ref="B27:C27" si="6">I22*1.05</f>
        <v>8643582.15</v>
      </c>
      <c r="C27" s="1259">
        <f t="shared" si="6"/>
        <v>8324411.55</v>
      </c>
      <c r="D27" s="1259">
        <f>K22*1.07</f>
        <v>9017887.24</v>
      </c>
      <c r="F27" s="150">
        <f>SUM(B27:D27)</f>
        <v>25985880.94</v>
      </c>
      <c r="G27" s="150">
        <f>F27/3</f>
        <v>8661960.313</v>
      </c>
    </row>
    <row r="28" ht="15.75" customHeight="1">
      <c r="A28" s="1257" t="s">
        <v>404</v>
      </c>
      <c r="B28" s="1259">
        <v>31.0</v>
      </c>
      <c r="C28" s="1259">
        <v>30.0</v>
      </c>
      <c r="D28" s="1259">
        <v>31.0</v>
      </c>
    </row>
    <row r="29" ht="15.75" customHeight="1">
      <c r="A29" s="1257" t="s">
        <v>411</v>
      </c>
      <c r="B29" s="1259">
        <f t="shared" ref="B29:D29" si="7">B27/B28</f>
        <v>278825.2306</v>
      </c>
      <c r="C29" s="1259">
        <f t="shared" si="7"/>
        <v>277480.385</v>
      </c>
      <c r="D29" s="1259">
        <f t="shared" si="7"/>
        <v>290899.5884</v>
      </c>
    </row>
    <row r="30" ht="15.75" customHeight="1"/>
    <row r="31" ht="15.75" customHeight="1">
      <c r="B31" s="151" t="s">
        <v>415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13"/>
    <col customWidth="1" min="3" max="6" width="12.63"/>
  </cols>
  <sheetData>
    <row r="1" ht="15.75" customHeight="1">
      <c r="A1" s="272" t="s">
        <v>416</v>
      </c>
    </row>
    <row r="2" ht="15.75" customHeight="1"/>
    <row r="3" ht="15.75" customHeight="1">
      <c r="B3" s="1260"/>
      <c r="C3" s="1261" t="s">
        <v>417</v>
      </c>
      <c r="D3" s="1261" t="s">
        <v>418</v>
      </c>
      <c r="E3" s="1262" t="s">
        <v>419</v>
      </c>
      <c r="F3" s="1262" t="s">
        <v>420</v>
      </c>
      <c r="G3" s="1262" t="s">
        <v>421</v>
      </c>
      <c r="H3" s="1262" t="s">
        <v>422</v>
      </c>
      <c r="I3" s="1262" t="s">
        <v>423</v>
      </c>
      <c r="J3" s="1262" t="s">
        <v>424</v>
      </c>
      <c r="K3" s="1262" t="s">
        <v>425</v>
      </c>
      <c r="L3" s="1262" t="s">
        <v>426</v>
      </c>
      <c r="M3" s="1262" t="s">
        <v>427</v>
      </c>
      <c r="N3" s="1262" t="s">
        <v>428</v>
      </c>
    </row>
    <row r="4" ht="15.75" customHeight="1">
      <c r="B4" s="1263" t="s">
        <v>429</v>
      </c>
      <c r="C4" s="1264">
        <f>142444.62+827518</f>
        <v>969962.62</v>
      </c>
      <c r="D4" s="1265">
        <v>963591.0</v>
      </c>
      <c r="E4" s="1266">
        <v>1058453.39</v>
      </c>
      <c r="F4" s="1264"/>
      <c r="G4" s="1264"/>
      <c r="H4" s="1264"/>
      <c r="I4" s="1264"/>
      <c r="J4" s="1264"/>
      <c r="K4" s="1264"/>
      <c r="L4" s="1264"/>
      <c r="M4" s="1264"/>
      <c r="N4" s="1264"/>
    </row>
    <row r="5" ht="15.75" customHeight="1">
      <c r="B5" s="1267"/>
      <c r="C5" s="1268"/>
      <c r="D5" s="1269"/>
      <c r="E5" s="1270"/>
      <c r="F5" s="1270"/>
      <c r="G5" s="1270"/>
      <c r="H5" s="1270"/>
      <c r="I5" s="1270"/>
      <c r="J5" s="1270"/>
      <c r="K5" s="1270"/>
      <c r="L5" s="1270"/>
      <c r="M5" s="1270"/>
      <c r="N5" s="1270"/>
    </row>
    <row r="6" ht="15.75" customHeight="1">
      <c r="B6" s="1267" t="s">
        <v>430</v>
      </c>
      <c r="C6" s="1268"/>
      <c r="D6" s="1269"/>
      <c r="E6" s="1270"/>
      <c r="F6" s="1270"/>
      <c r="G6" s="1270"/>
      <c r="H6" s="1270"/>
      <c r="I6" s="1270"/>
      <c r="J6" s="1270"/>
      <c r="K6" s="1270"/>
      <c r="L6" s="1270"/>
      <c r="M6" s="1270"/>
      <c r="N6" s="1270"/>
    </row>
    <row r="7" ht="15.75" customHeight="1">
      <c r="B7" s="1267" t="s">
        <v>408</v>
      </c>
      <c r="C7" s="1268">
        <f>SUM('The Table'!D35:D37)</f>
        <v>6543195.82</v>
      </c>
      <c r="D7" s="1269">
        <f>SUM('The Table'!J35:J37)</f>
        <v>6690889</v>
      </c>
      <c r="E7" s="1271">
        <f>SUM('The Table'!P35:P37)</f>
        <v>6427085</v>
      </c>
      <c r="F7" s="1270"/>
      <c r="G7" s="1270"/>
      <c r="H7" s="1270"/>
      <c r="I7" s="1270"/>
      <c r="J7" s="1270"/>
      <c r="K7" s="1270"/>
      <c r="L7" s="1270"/>
      <c r="M7" s="1270"/>
      <c r="N7" s="1270"/>
    </row>
    <row r="8" ht="15.75" customHeight="1">
      <c r="B8" s="1267" t="s">
        <v>6</v>
      </c>
      <c r="C8" s="1268">
        <f>Iktara!D36</f>
        <v>274708.3645</v>
      </c>
      <c r="D8" s="1269">
        <f>Iktara!J36</f>
        <v>273496</v>
      </c>
      <c r="E8" s="1271">
        <f>Iktara!P36</f>
        <v>252984</v>
      </c>
      <c r="F8" s="1270"/>
      <c r="G8" s="1270"/>
      <c r="H8" s="1270"/>
      <c r="I8" s="1270"/>
      <c r="J8" s="1270"/>
      <c r="K8" s="1270"/>
      <c r="L8" s="1270"/>
      <c r="M8" s="1270"/>
      <c r="N8" s="1270"/>
    </row>
    <row r="9" ht="15.75" customHeight="1">
      <c r="B9" s="1267" t="s">
        <v>7</v>
      </c>
      <c r="C9" s="1268">
        <f>SUM('Mg St Colaba'!D43:D45)</f>
        <v>4007828.393</v>
      </c>
      <c r="D9" s="1269">
        <f>SUM('Mg St Colaba'!J43:J45)</f>
        <v>4039973.04</v>
      </c>
      <c r="E9" s="1271">
        <f>SUM('Mg St Colaba'!P43:P45)</f>
        <v>3931460</v>
      </c>
      <c r="F9" s="1270"/>
      <c r="G9" s="1270"/>
      <c r="H9" s="1270"/>
      <c r="I9" s="1270"/>
      <c r="J9" s="1270"/>
      <c r="K9" s="1270"/>
      <c r="L9" s="1270"/>
      <c r="M9" s="1270"/>
      <c r="N9" s="1270"/>
    </row>
    <row r="10" ht="15.75" customHeight="1">
      <c r="B10" s="1267" t="s">
        <v>8</v>
      </c>
      <c r="C10" s="1268">
        <f>SUM('Mg St LP'!D45:D46)</f>
        <v>2476227.85</v>
      </c>
      <c r="D10" s="1269">
        <f>SUM('Mg St LP'!J45:J46)</f>
        <v>2767919.27</v>
      </c>
      <c r="E10" s="1271">
        <f>SUM('Mg St LP'!P45:P46)</f>
        <v>2490447.82</v>
      </c>
      <c r="F10" s="1270"/>
      <c r="G10" s="1270"/>
      <c r="H10" s="1270"/>
      <c r="I10" s="1270"/>
      <c r="J10" s="1270"/>
      <c r="K10" s="1270"/>
      <c r="L10" s="1270"/>
      <c r="M10" s="1270"/>
      <c r="N10" s="1270"/>
    </row>
    <row r="11" ht="15.75" customHeight="1">
      <c r="B11" s="1267" t="s">
        <v>9</v>
      </c>
      <c r="C11" s="1268">
        <f>SUM('Mg St Bandra'!D43:D45)</f>
        <v>4653342.176</v>
      </c>
      <c r="D11" s="1269">
        <f>SUM('Mg St Bandra'!J43:J45)</f>
        <v>4815622</v>
      </c>
      <c r="E11" s="1271">
        <f>SUM('Mg St Bandra'!P43:P45)</f>
        <v>4631129</v>
      </c>
      <c r="F11" s="1270"/>
      <c r="G11" s="1270"/>
      <c r="H11" s="1270"/>
      <c r="I11" s="1270"/>
      <c r="J11" s="1270"/>
      <c r="K11" s="1270"/>
      <c r="L11" s="1270"/>
      <c r="M11" s="1270"/>
      <c r="N11" s="1270"/>
    </row>
    <row r="12" ht="15.75" customHeight="1">
      <c r="B12" s="1267" t="s">
        <v>12</v>
      </c>
      <c r="C12" s="1268">
        <f>Kaspers!D43+Kaspers!D44+Kaspers!D45</f>
        <v>4269103.836</v>
      </c>
      <c r="D12" s="1269">
        <f>sum(Kaspers!J43:J45)</f>
        <v>4312067.607</v>
      </c>
      <c r="E12" s="1271">
        <f>sum(Kaspers!P43:P45)</f>
        <v>2899751</v>
      </c>
      <c r="F12" s="1270"/>
      <c r="G12" s="1270"/>
      <c r="H12" s="1270"/>
      <c r="I12" s="1270"/>
      <c r="J12" s="1270"/>
      <c r="K12" s="1270"/>
      <c r="L12" s="1270"/>
      <c r="M12" s="1270"/>
      <c r="N12" s="1270"/>
    </row>
    <row r="13" ht="15.75" customHeight="1">
      <c r="B13" s="1267" t="s">
        <v>11</v>
      </c>
      <c r="C13" s="1268">
        <f>MSBC!D42</f>
        <v>578775.5399</v>
      </c>
      <c r="D13" s="1269">
        <f>MSBC!J43</f>
        <v>255013.45</v>
      </c>
      <c r="E13" s="1271">
        <f>MSBC!P43+MSBC!P42</f>
        <v>238568.2525</v>
      </c>
      <c r="F13" s="1270"/>
      <c r="G13" s="1270"/>
      <c r="H13" s="1270"/>
      <c r="I13" s="1270"/>
      <c r="J13" s="1270"/>
      <c r="K13" s="1270"/>
      <c r="L13" s="1270"/>
      <c r="M13" s="1270"/>
      <c r="N13" s="1270"/>
    </row>
    <row r="14" ht="15.75" customHeight="1">
      <c r="B14" s="1267" t="s">
        <v>13</v>
      </c>
      <c r="C14" s="1268">
        <f>'MSBC Andheri'!D43</f>
        <v>121445.2917</v>
      </c>
      <c r="D14" s="1269">
        <f>'MSBC Andheri'!J43</f>
        <v>99085.77</v>
      </c>
      <c r="E14" s="1271">
        <f>'MSBC Andheri'!P43</f>
        <v>77061.46</v>
      </c>
      <c r="F14" s="1270"/>
      <c r="G14" s="1270"/>
      <c r="H14" s="1270"/>
      <c r="I14" s="1270"/>
      <c r="J14" s="1270"/>
      <c r="K14" s="1270"/>
      <c r="L14" s="1270"/>
      <c r="M14" s="1270"/>
      <c r="N14" s="1270"/>
    </row>
    <row r="15" ht="15.75" customHeight="1">
      <c r="B15" s="1267" t="s">
        <v>14</v>
      </c>
      <c r="C15" s="1268">
        <f>'MSBC Dahisar'!D41</f>
        <v>64451.7832</v>
      </c>
      <c r="D15" s="1269">
        <f>'MSBC Dahisar'!J41</f>
        <v>58135.18</v>
      </c>
      <c r="E15" s="1271">
        <f>'MSBC Dahisar'!P41</f>
        <v>0</v>
      </c>
      <c r="F15" s="1270"/>
      <c r="G15" s="1270"/>
      <c r="H15" s="1270"/>
      <c r="I15" s="1270"/>
      <c r="J15" s="1270"/>
      <c r="K15" s="1270"/>
      <c r="L15" s="1270"/>
      <c r="M15" s="1270"/>
      <c r="N15" s="1270"/>
    </row>
    <row r="16" ht="15.75" customHeight="1">
      <c r="B16" s="1267" t="s">
        <v>15</v>
      </c>
      <c r="C16" s="1268">
        <f>'MSBC Juhu  Goregoan'!D33</f>
        <v>101593.5476</v>
      </c>
      <c r="D16" s="1269">
        <f>'MSBC Juhu  Goregoan'!J33</f>
        <v>71757</v>
      </c>
      <c r="E16" s="1271" t="str">
        <f>'MSBC Juhu  Goregoan'!P33</f>
        <v/>
      </c>
      <c r="F16" s="1270"/>
      <c r="G16" s="1270"/>
      <c r="H16" s="1270"/>
      <c r="I16" s="1270"/>
      <c r="J16" s="1270"/>
      <c r="K16" s="1270"/>
      <c r="L16" s="1270"/>
      <c r="M16" s="1270"/>
      <c r="N16" s="1270"/>
    </row>
    <row r="17" ht="15.75" customHeight="1">
      <c r="B17" s="1272"/>
      <c r="C17" s="1273"/>
      <c r="D17" s="1274"/>
      <c r="E17" s="1275"/>
      <c r="F17" s="1275"/>
      <c r="G17" s="1275"/>
      <c r="H17" s="1275"/>
      <c r="I17" s="1275"/>
      <c r="J17" s="1275"/>
      <c r="K17" s="1275"/>
      <c r="L17" s="1275"/>
      <c r="M17" s="1275"/>
      <c r="N17" s="1275"/>
    </row>
    <row r="18" ht="15.75" customHeight="1">
      <c r="B18" s="1276" t="s">
        <v>431</v>
      </c>
      <c r="C18" s="1277">
        <f t="shared" ref="C18:N18" si="1">SUM(C7:C16)</f>
        <v>23090672.6</v>
      </c>
      <c r="D18" s="1278">
        <f t="shared" si="1"/>
        <v>23383958.32</v>
      </c>
      <c r="E18" s="1277">
        <f t="shared" si="1"/>
        <v>20948486.53</v>
      </c>
      <c r="F18" s="1277">
        <f t="shared" si="1"/>
        <v>0</v>
      </c>
      <c r="G18" s="1277">
        <f t="shared" si="1"/>
        <v>0</v>
      </c>
      <c r="H18" s="1277">
        <f t="shared" si="1"/>
        <v>0</v>
      </c>
      <c r="I18" s="1277">
        <f t="shared" si="1"/>
        <v>0</v>
      </c>
      <c r="J18" s="1277">
        <f t="shared" si="1"/>
        <v>0</v>
      </c>
      <c r="K18" s="1277">
        <f t="shared" si="1"/>
        <v>0</v>
      </c>
      <c r="L18" s="1277">
        <f t="shared" si="1"/>
        <v>0</v>
      </c>
      <c r="M18" s="1277">
        <f t="shared" si="1"/>
        <v>0</v>
      </c>
      <c r="N18" s="1277">
        <f t="shared" si="1"/>
        <v>0</v>
      </c>
    </row>
    <row r="19" ht="15.75" customHeight="1">
      <c r="B19" s="1263"/>
      <c r="C19" s="1279"/>
      <c r="D19" s="1280"/>
      <c r="E19" s="1281"/>
      <c r="F19" s="1281"/>
      <c r="G19" s="1281"/>
      <c r="H19" s="1281"/>
      <c r="I19" s="1281"/>
      <c r="J19" s="1281"/>
      <c r="K19" s="1281"/>
      <c r="L19" s="1281"/>
      <c r="M19" s="1281"/>
      <c r="N19" s="1281"/>
    </row>
    <row r="20" ht="15.75" customHeight="1">
      <c r="B20" s="1267" t="s">
        <v>432</v>
      </c>
      <c r="C20" s="1268"/>
      <c r="D20" s="1269"/>
      <c r="E20" s="1270"/>
      <c r="F20" s="1270"/>
      <c r="G20" s="1270"/>
      <c r="H20" s="1270"/>
      <c r="I20" s="1270"/>
      <c r="J20" s="1270"/>
      <c r="K20" s="1270"/>
      <c r="L20" s="1270"/>
      <c r="M20" s="1270"/>
      <c r="N20" s="1270"/>
    </row>
    <row r="21" ht="15.75" customHeight="1">
      <c r="B21" s="1267" t="s">
        <v>408</v>
      </c>
      <c r="C21" s="1268">
        <f t="shared" ref="C21:N21" si="2">(C7/C$18)*C$4</f>
        <v>274857.9684</v>
      </c>
      <c r="D21" s="1269">
        <f t="shared" si="2"/>
        <v>275713.8178</v>
      </c>
      <c r="E21" s="1268">
        <f t="shared" si="2"/>
        <v>324738.0137</v>
      </c>
      <c r="F21" s="1268" t="str">
        <f t="shared" si="2"/>
        <v>#DIV/0!</v>
      </c>
      <c r="G21" s="1268" t="str">
        <f t="shared" si="2"/>
        <v>#DIV/0!</v>
      </c>
      <c r="H21" s="1268" t="str">
        <f t="shared" si="2"/>
        <v>#DIV/0!</v>
      </c>
      <c r="I21" s="1268" t="str">
        <f t="shared" si="2"/>
        <v>#DIV/0!</v>
      </c>
      <c r="J21" s="1268" t="str">
        <f t="shared" si="2"/>
        <v>#DIV/0!</v>
      </c>
      <c r="K21" s="1268" t="str">
        <f t="shared" si="2"/>
        <v>#DIV/0!</v>
      </c>
      <c r="L21" s="1268" t="str">
        <f t="shared" si="2"/>
        <v>#DIV/0!</v>
      </c>
      <c r="M21" s="1268" t="str">
        <f t="shared" si="2"/>
        <v>#DIV/0!</v>
      </c>
      <c r="N21" s="1268" t="str">
        <f t="shared" si="2"/>
        <v>#DIV/0!</v>
      </c>
    </row>
    <row r="22" ht="15.75" customHeight="1">
      <c r="B22" s="1267" t="s">
        <v>6</v>
      </c>
      <c r="C22" s="1268">
        <f t="shared" ref="C22:N22" si="3">(C8/C$18)*C$4</f>
        <v>11539.58785</v>
      </c>
      <c r="D22" s="1269">
        <f t="shared" si="3"/>
        <v>11270.04593</v>
      </c>
      <c r="E22" s="1268">
        <f t="shared" si="3"/>
        <v>12782.39227</v>
      </c>
      <c r="F22" s="1268" t="str">
        <f t="shared" si="3"/>
        <v>#DIV/0!</v>
      </c>
      <c r="G22" s="1268" t="str">
        <f t="shared" si="3"/>
        <v>#DIV/0!</v>
      </c>
      <c r="H22" s="1268" t="str">
        <f t="shared" si="3"/>
        <v>#DIV/0!</v>
      </c>
      <c r="I22" s="1268" t="str">
        <f t="shared" si="3"/>
        <v>#DIV/0!</v>
      </c>
      <c r="J22" s="1268" t="str">
        <f t="shared" si="3"/>
        <v>#DIV/0!</v>
      </c>
      <c r="K22" s="1268" t="str">
        <f t="shared" si="3"/>
        <v>#DIV/0!</v>
      </c>
      <c r="L22" s="1268" t="str">
        <f t="shared" si="3"/>
        <v>#DIV/0!</v>
      </c>
      <c r="M22" s="1268" t="str">
        <f t="shared" si="3"/>
        <v>#DIV/0!</v>
      </c>
      <c r="N22" s="1268" t="str">
        <f t="shared" si="3"/>
        <v>#DIV/0!</v>
      </c>
    </row>
    <row r="23" ht="15.75" customHeight="1">
      <c r="B23" s="1267" t="s">
        <v>7</v>
      </c>
      <c r="C23" s="1268">
        <f t="shared" ref="C23:N23" si="4">(C9/C$18)*C$4</f>
        <v>168355.5865</v>
      </c>
      <c r="D23" s="1269">
        <f t="shared" si="4"/>
        <v>166476.5909</v>
      </c>
      <c r="E23" s="1268">
        <f t="shared" si="4"/>
        <v>198642.8546</v>
      </c>
      <c r="F23" s="1268" t="str">
        <f t="shared" si="4"/>
        <v>#DIV/0!</v>
      </c>
      <c r="G23" s="1268" t="str">
        <f t="shared" si="4"/>
        <v>#DIV/0!</v>
      </c>
      <c r="H23" s="1268" t="str">
        <f t="shared" si="4"/>
        <v>#DIV/0!</v>
      </c>
      <c r="I23" s="1268" t="str">
        <f t="shared" si="4"/>
        <v>#DIV/0!</v>
      </c>
      <c r="J23" s="1268" t="str">
        <f t="shared" si="4"/>
        <v>#DIV/0!</v>
      </c>
      <c r="K23" s="1268" t="str">
        <f t="shared" si="4"/>
        <v>#DIV/0!</v>
      </c>
      <c r="L23" s="1268" t="str">
        <f t="shared" si="4"/>
        <v>#DIV/0!</v>
      </c>
      <c r="M23" s="1268" t="str">
        <f t="shared" si="4"/>
        <v>#DIV/0!</v>
      </c>
      <c r="N23" s="1268" t="str">
        <f t="shared" si="4"/>
        <v>#DIV/0!</v>
      </c>
    </row>
    <row r="24" ht="15.75" customHeight="1">
      <c r="B24" s="1267" t="s">
        <v>8</v>
      </c>
      <c r="C24" s="1268">
        <f t="shared" ref="C24:N24" si="5">(C10/C$18)*C$4</f>
        <v>104018.1243</v>
      </c>
      <c r="D24" s="1269">
        <f t="shared" si="5"/>
        <v>114058.6235</v>
      </c>
      <c r="E24" s="1268">
        <f t="shared" si="5"/>
        <v>125833.5744</v>
      </c>
      <c r="F24" s="1268" t="str">
        <f t="shared" si="5"/>
        <v>#DIV/0!</v>
      </c>
      <c r="G24" s="1268" t="str">
        <f t="shared" si="5"/>
        <v>#DIV/0!</v>
      </c>
      <c r="H24" s="1268" t="str">
        <f t="shared" si="5"/>
        <v>#DIV/0!</v>
      </c>
      <c r="I24" s="1268" t="str">
        <f t="shared" si="5"/>
        <v>#DIV/0!</v>
      </c>
      <c r="J24" s="1268" t="str">
        <f t="shared" si="5"/>
        <v>#DIV/0!</v>
      </c>
      <c r="K24" s="1268" t="str">
        <f t="shared" si="5"/>
        <v>#DIV/0!</v>
      </c>
      <c r="L24" s="1268" t="str">
        <f t="shared" si="5"/>
        <v>#DIV/0!</v>
      </c>
      <c r="M24" s="1268" t="str">
        <f t="shared" si="5"/>
        <v>#DIV/0!</v>
      </c>
      <c r="N24" s="1268" t="str">
        <f t="shared" si="5"/>
        <v>#DIV/0!</v>
      </c>
    </row>
    <row r="25" ht="15.75" customHeight="1">
      <c r="B25" s="1267" t="s">
        <v>9</v>
      </c>
      <c r="C25" s="1268">
        <f t="shared" ref="C25:N25" si="6">(C11/C$18)*C$4</f>
        <v>195471.4809</v>
      </c>
      <c r="D25" s="1269">
        <f t="shared" si="6"/>
        <v>198439.0305</v>
      </c>
      <c r="E25" s="1268">
        <f t="shared" si="6"/>
        <v>233994.6698</v>
      </c>
      <c r="F25" s="1268" t="str">
        <f t="shared" si="6"/>
        <v>#DIV/0!</v>
      </c>
      <c r="G25" s="1268" t="str">
        <f t="shared" si="6"/>
        <v>#DIV/0!</v>
      </c>
      <c r="H25" s="1268" t="str">
        <f t="shared" si="6"/>
        <v>#DIV/0!</v>
      </c>
      <c r="I25" s="1268" t="str">
        <f t="shared" si="6"/>
        <v>#DIV/0!</v>
      </c>
      <c r="J25" s="1268" t="str">
        <f t="shared" si="6"/>
        <v>#DIV/0!</v>
      </c>
      <c r="K25" s="1268" t="str">
        <f t="shared" si="6"/>
        <v>#DIV/0!</v>
      </c>
      <c r="L25" s="1268" t="str">
        <f t="shared" si="6"/>
        <v>#DIV/0!</v>
      </c>
      <c r="M25" s="1268" t="str">
        <f t="shared" si="6"/>
        <v>#DIV/0!</v>
      </c>
      <c r="N25" s="1268" t="str">
        <f t="shared" si="6"/>
        <v>#DIV/0!</v>
      </c>
    </row>
    <row r="26" ht="15.75" customHeight="1">
      <c r="B26" s="1267" t="s">
        <v>12</v>
      </c>
      <c r="C26" s="1268">
        <f t="shared" ref="C26:N26" si="7">(C12/C$18)*C$4</f>
        <v>179330.9019</v>
      </c>
      <c r="D26" s="1269">
        <f t="shared" si="7"/>
        <v>177688.8874</v>
      </c>
      <c r="E26" s="1268">
        <f t="shared" si="7"/>
        <v>146514.2253</v>
      </c>
      <c r="F26" s="1268" t="str">
        <f t="shared" si="7"/>
        <v>#DIV/0!</v>
      </c>
      <c r="G26" s="1268" t="str">
        <f t="shared" si="7"/>
        <v>#DIV/0!</v>
      </c>
      <c r="H26" s="1268" t="str">
        <f t="shared" si="7"/>
        <v>#DIV/0!</v>
      </c>
      <c r="I26" s="1268" t="str">
        <f t="shared" si="7"/>
        <v>#DIV/0!</v>
      </c>
      <c r="J26" s="1268" t="str">
        <f t="shared" si="7"/>
        <v>#DIV/0!</v>
      </c>
      <c r="K26" s="1268" t="str">
        <f t="shared" si="7"/>
        <v>#DIV/0!</v>
      </c>
      <c r="L26" s="1268" t="str">
        <f t="shared" si="7"/>
        <v>#DIV/0!</v>
      </c>
      <c r="M26" s="1268" t="str">
        <f t="shared" si="7"/>
        <v>#DIV/0!</v>
      </c>
      <c r="N26" s="1268" t="str">
        <f t="shared" si="7"/>
        <v>#DIV/0!</v>
      </c>
    </row>
    <row r="27" ht="15.75" customHeight="1">
      <c r="B27" s="1267" t="s">
        <v>11</v>
      </c>
      <c r="C27" s="1268">
        <f t="shared" ref="C27:N27" si="8">(C13/C$18)*C$4</f>
        <v>24312.44203</v>
      </c>
      <c r="D27" s="1269">
        <f t="shared" si="8"/>
        <v>10508.42898</v>
      </c>
      <c r="E27" s="1268">
        <f t="shared" si="8"/>
        <v>12054.01523</v>
      </c>
      <c r="F27" s="1268" t="str">
        <f t="shared" si="8"/>
        <v>#DIV/0!</v>
      </c>
      <c r="G27" s="1268" t="str">
        <f t="shared" si="8"/>
        <v>#DIV/0!</v>
      </c>
      <c r="H27" s="1268" t="str">
        <f t="shared" si="8"/>
        <v>#DIV/0!</v>
      </c>
      <c r="I27" s="1268" t="str">
        <f t="shared" si="8"/>
        <v>#DIV/0!</v>
      </c>
      <c r="J27" s="1268" t="str">
        <f t="shared" si="8"/>
        <v>#DIV/0!</v>
      </c>
      <c r="K27" s="1268" t="str">
        <f t="shared" si="8"/>
        <v>#DIV/0!</v>
      </c>
      <c r="L27" s="1268" t="str">
        <f t="shared" si="8"/>
        <v>#DIV/0!</v>
      </c>
      <c r="M27" s="1268" t="str">
        <f t="shared" si="8"/>
        <v>#DIV/0!</v>
      </c>
      <c r="N27" s="1268" t="str">
        <f t="shared" si="8"/>
        <v>#DIV/0!</v>
      </c>
    </row>
    <row r="28" ht="15.75" customHeight="1">
      <c r="B28" s="1267" t="s">
        <v>13</v>
      </c>
      <c r="C28" s="1268">
        <f t="shared" ref="C28:N28" si="9">(C14/C$18)*C$4</f>
        <v>5101.514163</v>
      </c>
      <c r="D28" s="1269">
        <f t="shared" si="9"/>
        <v>4083.062196</v>
      </c>
      <c r="E28" s="1268">
        <f t="shared" si="9"/>
        <v>3893.644701</v>
      </c>
      <c r="F28" s="1268" t="str">
        <f t="shared" si="9"/>
        <v>#DIV/0!</v>
      </c>
      <c r="G28" s="1268" t="str">
        <f t="shared" si="9"/>
        <v>#DIV/0!</v>
      </c>
      <c r="H28" s="1268" t="str">
        <f t="shared" si="9"/>
        <v>#DIV/0!</v>
      </c>
      <c r="I28" s="1268" t="str">
        <f t="shared" si="9"/>
        <v>#DIV/0!</v>
      </c>
      <c r="J28" s="1268" t="str">
        <f t="shared" si="9"/>
        <v>#DIV/0!</v>
      </c>
      <c r="K28" s="1268" t="str">
        <f t="shared" si="9"/>
        <v>#DIV/0!</v>
      </c>
      <c r="L28" s="1268" t="str">
        <f t="shared" si="9"/>
        <v>#DIV/0!</v>
      </c>
      <c r="M28" s="1268" t="str">
        <f t="shared" si="9"/>
        <v>#DIV/0!</v>
      </c>
      <c r="N28" s="1268" t="str">
        <f t="shared" si="9"/>
        <v>#DIV/0!</v>
      </c>
    </row>
    <row r="29" ht="15.75" customHeight="1">
      <c r="B29" s="1267" t="s">
        <v>433</v>
      </c>
      <c r="C29" s="1268">
        <f t="shared" ref="C29:N29" si="10">(C15/C$18)*C$4</f>
        <v>2707.405781</v>
      </c>
      <c r="D29" s="1269">
        <f t="shared" si="10"/>
        <v>2395.596822</v>
      </c>
      <c r="E29" s="1268">
        <f t="shared" si="10"/>
        <v>0</v>
      </c>
      <c r="F29" s="1268" t="str">
        <f t="shared" si="10"/>
        <v>#DIV/0!</v>
      </c>
      <c r="G29" s="1268" t="str">
        <f t="shared" si="10"/>
        <v>#DIV/0!</v>
      </c>
      <c r="H29" s="1268" t="str">
        <f t="shared" si="10"/>
        <v>#DIV/0!</v>
      </c>
      <c r="I29" s="1268" t="str">
        <f t="shared" si="10"/>
        <v>#DIV/0!</v>
      </c>
      <c r="J29" s="1268" t="str">
        <f t="shared" si="10"/>
        <v>#DIV/0!</v>
      </c>
      <c r="K29" s="1268" t="str">
        <f t="shared" si="10"/>
        <v>#DIV/0!</v>
      </c>
      <c r="L29" s="1268" t="str">
        <f t="shared" si="10"/>
        <v>#DIV/0!</v>
      </c>
      <c r="M29" s="1268" t="str">
        <f t="shared" si="10"/>
        <v>#DIV/0!</v>
      </c>
      <c r="N29" s="1268" t="str">
        <f t="shared" si="10"/>
        <v>#DIV/0!</v>
      </c>
    </row>
    <row r="30" ht="15.75" customHeight="1">
      <c r="B30" s="1282" t="s">
        <v>434</v>
      </c>
      <c r="C30" s="1283">
        <f t="shared" ref="C30:N30" si="11">(C16/C$18)*C$4</f>
        <v>4267.608193</v>
      </c>
      <c r="D30" s="1284">
        <f t="shared" si="11"/>
        <v>2956.915953</v>
      </c>
      <c r="E30" s="1283">
        <f t="shared" si="11"/>
        <v>0</v>
      </c>
      <c r="F30" s="1283" t="str">
        <f t="shared" si="11"/>
        <v>#DIV/0!</v>
      </c>
      <c r="G30" s="1283" t="str">
        <f t="shared" si="11"/>
        <v>#DIV/0!</v>
      </c>
      <c r="H30" s="1283" t="str">
        <f t="shared" si="11"/>
        <v>#DIV/0!</v>
      </c>
      <c r="I30" s="1283" t="str">
        <f t="shared" si="11"/>
        <v>#DIV/0!</v>
      </c>
      <c r="J30" s="1283" t="str">
        <f t="shared" si="11"/>
        <v>#DIV/0!</v>
      </c>
      <c r="K30" s="1283" t="str">
        <f t="shared" si="11"/>
        <v>#DIV/0!</v>
      </c>
      <c r="L30" s="1283" t="str">
        <f t="shared" si="11"/>
        <v>#DIV/0!</v>
      </c>
      <c r="M30" s="1283" t="str">
        <f t="shared" si="11"/>
        <v>#DIV/0!</v>
      </c>
      <c r="N30" s="1283" t="str">
        <f t="shared" si="11"/>
        <v>#DIV/0!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3" width="10.88"/>
    <col customWidth="1" min="4" max="4" width="11.63"/>
    <col customWidth="1" min="5" max="5" width="12.63"/>
  </cols>
  <sheetData>
    <row r="1" ht="15.75" customHeight="1">
      <c r="A1" s="1" t="s">
        <v>435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.75" customHeight="1">
      <c r="A4" s="856" t="s">
        <v>436</v>
      </c>
      <c r="B4" s="856" t="s">
        <v>417</v>
      </c>
      <c r="C4" s="856" t="s">
        <v>418</v>
      </c>
      <c r="D4" s="1285" t="s">
        <v>437</v>
      </c>
      <c r="E4" s="1286" t="s">
        <v>420</v>
      </c>
      <c r="F4" s="1286" t="s">
        <v>421</v>
      </c>
      <c r="G4" s="1286" t="s">
        <v>422</v>
      </c>
      <c r="H4" s="1286" t="s">
        <v>423</v>
      </c>
      <c r="I4" s="1286" t="s">
        <v>424</v>
      </c>
      <c r="J4" s="1286" t="s">
        <v>425</v>
      </c>
      <c r="K4" s="1286" t="s">
        <v>426</v>
      </c>
      <c r="L4" s="1286" t="s">
        <v>438</v>
      </c>
      <c r="M4" s="1286" t="s">
        <v>428</v>
      </c>
    </row>
    <row r="5" ht="15.75" customHeight="1">
      <c r="A5" s="908" t="s">
        <v>408</v>
      </c>
      <c r="B5" s="1287">
        <v>112745.04039736118</v>
      </c>
      <c r="C5" s="1288">
        <v>110689.42</v>
      </c>
      <c r="D5" s="1289">
        <v>101717.35</v>
      </c>
      <c r="E5" s="1290"/>
      <c r="F5" s="1290"/>
      <c r="G5" s="1290"/>
      <c r="H5" s="1290"/>
      <c r="I5" s="1290"/>
      <c r="J5" s="1290"/>
      <c r="K5" s="1290"/>
      <c r="L5" s="1290"/>
      <c r="M5" s="1290"/>
    </row>
    <row r="6" ht="15.75" customHeight="1">
      <c r="A6" s="850" t="s">
        <v>12</v>
      </c>
      <c r="B6" s="1291">
        <v>126596.2944467789</v>
      </c>
      <c r="C6" s="1292">
        <v>121517.0</v>
      </c>
      <c r="D6" s="1292">
        <v>84268.92</v>
      </c>
      <c r="E6" s="1293"/>
      <c r="F6" s="1293"/>
      <c r="G6" s="1293"/>
      <c r="H6" s="1293"/>
      <c r="I6" s="1293"/>
      <c r="J6" s="1293"/>
      <c r="K6" s="1293"/>
      <c r="L6" s="1293"/>
      <c r="M6" s="1293"/>
    </row>
    <row r="7" ht="15.75" customHeight="1">
      <c r="A7" s="850" t="s">
        <v>7</v>
      </c>
      <c r="B7" s="1294">
        <f>(7290)+305743.017859186</f>
        <v>313033.0179</v>
      </c>
      <c r="C7" s="1295">
        <f>((6276)+74969.6947790911)+304847.567642879</f>
        <v>386093.2624</v>
      </c>
      <c r="D7" s="1295">
        <f>50645.33+255870.96 </f>
        <v>306516.29</v>
      </c>
      <c r="E7" s="1293"/>
      <c r="F7" s="1293"/>
      <c r="G7" s="1293"/>
      <c r="H7" s="1293"/>
      <c r="I7" s="1293"/>
      <c r="J7" s="1293"/>
      <c r="K7" s="1293"/>
      <c r="L7" s="1293"/>
      <c r="M7" s="1293"/>
    </row>
    <row r="8" ht="15.75" customHeight="1">
      <c r="A8" s="850" t="s">
        <v>8</v>
      </c>
      <c r="B8" s="1291">
        <f>((7290)+54720.5175702739)+275217.254276391</f>
        <v>337227.7718</v>
      </c>
      <c r="C8" s="1288">
        <f>((6276)+54929.7680482741)+288241.929830362</f>
        <v>349447.6979</v>
      </c>
      <c r="D8" s="1288">
        <f>  6276+33342.89 +  235002.76 </f>
        <v>274621.65</v>
      </c>
      <c r="E8" s="1293"/>
      <c r="F8" s="1293"/>
      <c r="G8" s="1293"/>
      <c r="H8" s="1293"/>
      <c r="I8" s="1293"/>
      <c r="J8" s="1293"/>
      <c r="K8" s="1293"/>
      <c r="L8" s="1293"/>
      <c r="M8" s="1293"/>
    </row>
    <row r="9" ht="15.75" customHeight="1">
      <c r="A9" s="850" t="s">
        <v>9</v>
      </c>
      <c r="B9" s="1291">
        <f>(95081.1201399921)+228127.759644587</f>
        <v>323208.8798</v>
      </c>
      <c r="C9" s="1292">
        <f>((6276)+106785.648918126)+251963.5</f>
        <v>365025.1489</v>
      </c>
      <c r="D9" s="1292">
        <f>6276+89467.34+199847.51 </f>
        <v>295590.85</v>
      </c>
      <c r="E9" s="1293"/>
      <c r="F9" s="1293"/>
      <c r="G9" s="1293"/>
      <c r="H9" s="1293"/>
      <c r="I9" s="1293"/>
      <c r="J9" s="1293"/>
      <c r="K9" s="1293"/>
      <c r="L9" s="1293"/>
      <c r="M9" s="1293"/>
    </row>
    <row r="10" ht="15.75" customHeight="1">
      <c r="A10" s="850" t="s">
        <v>11</v>
      </c>
      <c r="B10" s="1291">
        <v>258286.94697961808</v>
      </c>
      <c r="C10" s="1292">
        <v>298073.0502368286</v>
      </c>
      <c r="D10" s="1296">
        <v>65632.66</v>
      </c>
      <c r="E10" s="1293"/>
      <c r="F10" s="1293"/>
      <c r="G10" s="1293"/>
      <c r="H10" s="1293"/>
      <c r="I10" s="1293"/>
      <c r="J10" s="1293"/>
      <c r="K10" s="1293"/>
      <c r="L10" s="1293"/>
      <c r="M10" s="1293"/>
    </row>
    <row r="11" ht="15.75" customHeight="1">
      <c r="A11" s="850" t="s">
        <v>13</v>
      </c>
      <c r="B11" s="1291">
        <v>97972.46017158036</v>
      </c>
      <c r="C11" s="1292">
        <v>98596.48984086713</v>
      </c>
      <c r="D11" s="1296">
        <v>77061.46</v>
      </c>
      <c r="E11" s="1293"/>
      <c r="F11" s="1293"/>
      <c r="G11" s="1293"/>
      <c r="H11" s="1293"/>
      <c r="I11" s="1293"/>
      <c r="J11" s="1293"/>
      <c r="K11" s="1293"/>
      <c r="L11" s="1293"/>
      <c r="M11" s="1293"/>
    </row>
    <row r="12" ht="15.75" customHeight="1">
      <c r="A12" s="850" t="s">
        <v>14</v>
      </c>
      <c r="B12" s="1291">
        <v>41252.67485097938</v>
      </c>
      <c r="C12" s="1292">
        <v>58326.838989338736</v>
      </c>
      <c r="D12" s="1297">
        <v>0.0</v>
      </c>
      <c r="E12" s="1293"/>
      <c r="F12" s="1293"/>
      <c r="G12" s="1293"/>
      <c r="H12" s="1293"/>
      <c r="I12" s="1293"/>
      <c r="J12" s="1293"/>
      <c r="K12" s="1293"/>
      <c r="L12" s="1293"/>
      <c r="M12" s="1293"/>
    </row>
    <row r="13" ht="15.75" customHeight="1">
      <c r="A13" s="926" t="s">
        <v>434</v>
      </c>
      <c r="B13" s="1298">
        <v>77197.72654724475</v>
      </c>
      <c r="C13" s="1299">
        <v>70369.40271750466</v>
      </c>
      <c r="D13" s="1300">
        <v>0.0</v>
      </c>
      <c r="E13" s="1301"/>
      <c r="F13" s="1301"/>
      <c r="G13" s="1301"/>
      <c r="H13" s="1301"/>
      <c r="I13" s="1301"/>
      <c r="J13" s="1301"/>
      <c r="K13" s="1301"/>
      <c r="L13" s="1301"/>
      <c r="M13" s="1301"/>
    </row>
    <row r="14" ht="15.75" customHeight="1">
      <c r="A14" s="927" t="s">
        <v>329</v>
      </c>
      <c r="B14" s="1302">
        <f t="shared" ref="B14:M14" si="1">SUM(B5:B13)</f>
        <v>1687520.813</v>
      </c>
      <c r="C14" s="904">
        <f t="shared" si="1"/>
        <v>1858138.311</v>
      </c>
      <c r="D14" s="1303">
        <f t="shared" si="1"/>
        <v>1205409.18</v>
      </c>
      <c r="E14" s="1304">
        <f t="shared" si="1"/>
        <v>0</v>
      </c>
      <c r="F14" s="1304">
        <f t="shared" si="1"/>
        <v>0</v>
      </c>
      <c r="G14" s="1304">
        <f t="shared" si="1"/>
        <v>0</v>
      </c>
      <c r="H14" s="1304">
        <f t="shared" si="1"/>
        <v>0</v>
      </c>
      <c r="I14" s="1304">
        <f t="shared" si="1"/>
        <v>0</v>
      </c>
      <c r="J14" s="1304">
        <f t="shared" si="1"/>
        <v>0</v>
      </c>
      <c r="K14" s="1304">
        <f t="shared" si="1"/>
        <v>0</v>
      </c>
      <c r="L14" s="1304">
        <f t="shared" si="1"/>
        <v>0</v>
      </c>
      <c r="M14" s="1304">
        <f t="shared" si="1"/>
        <v>0</v>
      </c>
    </row>
    <row r="15" ht="15.75" customHeight="1">
      <c r="A15" s="118"/>
      <c r="B15" s="1045"/>
      <c r="C15" s="1305"/>
      <c r="D15" s="1306"/>
      <c r="E15" s="1307"/>
      <c r="F15" s="1307"/>
      <c r="G15" s="1307"/>
      <c r="H15" s="1307"/>
      <c r="I15" s="1307"/>
      <c r="J15" s="1307"/>
      <c r="K15" s="1307"/>
      <c r="L15" s="1307"/>
      <c r="M15" s="1307"/>
    </row>
    <row r="16" ht="15.75" customHeight="1">
      <c r="A16" s="927" t="s">
        <v>439</v>
      </c>
      <c r="B16" s="1302">
        <f>-MSBC!D119</f>
        <v>2093916</v>
      </c>
      <c r="C16" s="904">
        <f>-MSBC!J119</f>
        <v>2206981</v>
      </c>
      <c r="D16" s="1303">
        <f>-MSBC!P119</f>
        <v>1970719</v>
      </c>
      <c r="E16" s="1304">
        <f>-MSBC!V119</f>
        <v>0</v>
      </c>
      <c r="F16" s="1304">
        <f>-MSBC!AB119</f>
        <v>0</v>
      </c>
      <c r="G16" s="1304">
        <f>-MSBC!AH119</f>
        <v>0</v>
      </c>
      <c r="H16" s="1304">
        <f>-MSBC!AN119</f>
        <v>0</v>
      </c>
      <c r="I16" s="1304">
        <f>-MSBC!AT119</f>
        <v>0</v>
      </c>
      <c r="J16" s="1304">
        <f>-MSBC!AZ119</f>
        <v>0</v>
      </c>
      <c r="K16" s="1304">
        <f>-MSBC!BF119</f>
        <v>0</v>
      </c>
      <c r="L16" s="1304">
        <f>-MSBC!BL119</f>
        <v>0</v>
      </c>
      <c r="M16" s="1304">
        <f>-MSBC!BR119</f>
        <v>0</v>
      </c>
    </row>
    <row r="17" ht="15.75" customHeight="1">
      <c r="A17" s="908"/>
      <c r="B17" s="29"/>
      <c r="C17" s="839"/>
      <c r="D17" s="1308"/>
      <c r="E17" s="1290"/>
      <c r="F17" s="1290"/>
      <c r="G17" s="1290"/>
      <c r="H17" s="1290"/>
      <c r="I17" s="1290"/>
      <c r="J17" s="1290"/>
      <c r="K17" s="1290"/>
      <c r="L17" s="1290"/>
      <c r="M17" s="1290"/>
    </row>
    <row r="18" ht="15.75" customHeight="1">
      <c r="A18" s="850" t="s">
        <v>440</v>
      </c>
      <c r="B18" s="46"/>
      <c r="C18" s="845"/>
      <c r="D18" s="1309"/>
      <c r="E18" s="1293"/>
      <c r="F18" s="1293"/>
      <c r="G18" s="1293"/>
      <c r="H18" s="1293"/>
      <c r="I18" s="1293"/>
      <c r="J18" s="1293"/>
      <c r="K18" s="1293"/>
      <c r="L18" s="1293"/>
      <c r="M18" s="1293"/>
    </row>
    <row r="19" ht="15.75" customHeight="1">
      <c r="A19" s="850" t="s">
        <v>408</v>
      </c>
      <c r="B19" s="1291">
        <f t="shared" ref="B19:M19" si="2">(B5/B$14)*B$16</f>
        <v>139896.7303</v>
      </c>
      <c r="C19" s="1292">
        <f t="shared" si="2"/>
        <v>131470.0017</v>
      </c>
      <c r="D19" s="1292">
        <f t="shared" si="2"/>
        <v>166297.3185</v>
      </c>
      <c r="E19" s="1292" t="str">
        <f t="shared" si="2"/>
        <v>#DIV/0!</v>
      </c>
      <c r="F19" s="1292" t="str">
        <f t="shared" si="2"/>
        <v>#DIV/0!</v>
      </c>
      <c r="G19" s="1292" t="str">
        <f t="shared" si="2"/>
        <v>#DIV/0!</v>
      </c>
      <c r="H19" s="1292" t="str">
        <f t="shared" si="2"/>
        <v>#DIV/0!</v>
      </c>
      <c r="I19" s="1292" t="str">
        <f t="shared" si="2"/>
        <v>#DIV/0!</v>
      </c>
      <c r="J19" s="1292" t="str">
        <f t="shared" si="2"/>
        <v>#DIV/0!</v>
      </c>
      <c r="K19" s="1292" t="str">
        <f t="shared" si="2"/>
        <v>#DIV/0!</v>
      </c>
      <c r="L19" s="1292" t="str">
        <f t="shared" si="2"/>
        <v>#DIV/0!</v>
      </c>
      <c r="M19" s="1292" t="str">
        <f t="shared" si="2"/>
        <v>#DIV/0!</v>
      </c>
    </row>
    <row r="20" ht="15.75" customHeight="1">
      <c r="A20" s="850" t="s">
        <v>12</v>
      </c>
      <c r="B20" s="1291">
        <f t="shared" ref="B20:M20" si="3">(B6/B$14)*B$16</f>
        <v>157083.6961</v>
      </c>
      <c r="C20" s="1292">
        <f t="shared" si="3"/>
        <v>144330.3271</v>
      </c>
      <c r="D20" s="1292">
        <f t="shared" si="3"/>
        <v>137770.9449</v>
      </c>
      <c r="E20" s="1292" t="str">
        <f t="shared" si="3"/>
        <v>#DIV/0!</v>
      </c>
      <c r="F20" s="1292" t="str">
        <f t="shared" si="3"/>
        <v>#DIV/0!</v>
      </c>
      <c r="G20" s="1292" t="str">
        <f t="shared" si="3"/>
        <v>#DIV/0!</v>
      </c>
      <c r="H20" s="1292" t="str">
        <f t="shared" si="3"/>
        <v>#DIV/0!</v>
      </c>
      <c r="I20" s="1292" t="str">
        <f t="shared" si="3"/>
        <v>#DIV/0!</v>
      </c>
      <c r="J20" s="1292" t="str">
        <f t="shared" si="3"/>
        <v>#DIV/0!</v>
      </c>
      <c r="K20" s="1292" t="str">
        <f t="shared" si="3"/>
        <v>#DIV/0!</v>
      </c>
      <c r="L20" s="1292" t="str">
        <f t="shared" si="3"/>
        <v>#DIV/0!</v>
      </c>
      <c r="M20" s="1292" t="str">
        <f t="shared" si="3"/>
        <v>#DIV/0!</v>
      </c>
    </row>
    <row r="21" ht="15.75" customHeight="1">
      <c r="A21" s="850" t="s">
        <v>7</v>
      </c>
      <c r="B21" s="1291">
        <f t="shared" ref="B21:M21" si="4">(B7/B$14)*B$16</f>
        <v>388418.821</v>
      </c>
      <c r="C21" s="1292">
        <f t="shared" si="4"/>
        <v>458577.5393</v>
      </c>
      <c r="D21" s="1292">
        <f t="shared" si="4"/>
        <v>501122.3463</v>
      </c>
      <c r="E21" s="1292" t="str">
        <f t="shared" si="4"/>
        <v>#DIV/0!</v>
      </c>
      <c r="F21" s="1292" t="str">
        <f t="shared" si="4"/>
        <v>#DIV/0!</v>
      </c>
      <c r="G21" s="1292" t="str">
        <f t="shared" si="4"/>
        <v>#DIV/0!</v>
      </c>
      <c r="H21" s="1292" t="str">
        <f t="shared" si="4"/>
        <v>#DIV/0!</v>
      </c>
      <c r="I21" s="1292" t="str">
        <f t="shared" si="4"/>
        <v>#DIV/0!</v>
      </c>
      <c r="J21" s="1292" t="str">
        <f t="shared" si="4"/>
        <v>#DIV/0!</v>
      </c>
      <c r="K21" s="1292" t="str">
        <f t="shared" si="4"/>
        <v>#DIV/0!</v>
      </c>
      <c r="L21" s="1292" t="str">
        <f t="shared" si="4"/>
        <v>#DIV/0!</v>
      </c>
      <c r="M21" s="1292" t="str">
        <f t="shared" si="4"/>
        <v>#DIV/0!</v>
      </c>
    </row>
    <row r="22" ht="15.75" customHeight="1">
      <c r="A22" s="850" t="s">
        <v>8</v>
      </c>
      <c r="B22" s="1291">
        <f t="shared" ref="B22:M22" si="5">(B8/B$14)*B$16</f>
        <v>418440.2478</v>
      </c>
      <c r="C22" s="1292">
        <f t="shared" si="5"/>
        <v>415052.2193</v>
      </c>
      <c r="D22" s="1292">
        <f t="shared" si="5"/>
        <v>448977.9176</v>
      </c>
      <c r="E22" s="1292" t="str">
        <f t="shared" si="5"/>
        <v>#DIV/0!</v>
      </c>
      <c r="F22" s="1292" t="str">
        <f t="shared" si="5"/>
        <v>#DIV/0!</v>
      </c>
      <c r="G22" s="1292" t="str">
        <f t="shared" si="5"/>
        <v>#DIV/0!</v>
      </c>
      <c r="H22" s="1292" t="str">
        <f t="shared" si="5"/>
        <v>#DIV/0!</v>
      </c>
      <c r="I22" s="1292" t="str">
        <f t="shared" si="5"/>
        <v>#DIV/0!</v>
      </c>
      <c r="J22" s="1292" t="str">
        <f t="shared" si="5"/>
        <v>#DIV/0!</v>
      </c>
      <c r="K22" s="1292" t="str">
        <f t="shared" si="5"/>
        <v>#DIV/0!</v>
      </c>
      <c r="L22" s="1292" t="str">
        <f t="shared" si="5"/>
        <v>#DIV/0!</v>
      </c>
      <c r="M22" s="1292" t="str">
        <f t="shared" si="5"/>
        <v>#DIV/0!</v>
      </c>
    </row>
    <row r="23" ht="15.75" customHeight="1">
      <c r="A23" s="850" t="s">
        <v>9</v>
      </c>
      <c r="B23" s="1291">
        <f t="shared" ref="B23:M23" si="6">(B9/B$14)*B$16</f>
        <v>401045.2728</v>
      </c>
      <c r="C23" s="1292">
        <f t="shared" si="6"/>
        <v>433554.1458</v>
      </c>
      <c r="D23" s="1292">
        <f t="shared" si="6"/>
        <v>483260.3849</v>
      </c>
      <c r="E23" s="1292" t="str">
        <f t="shared" si="6"/>
        <v>#DIV/0!</v>
      </c>
      <c r="F23" s="1292" t="str">
        <f t="shared" si="6"/>
        <v>#DIV/0!</v>
      </c>
      <c r="G23" s="1292" t="str">
        <f t="shared" si="6"/>
        <v>#DIV/0!</v>
      </c>
      <c r="H23" s="1292" t="str">
        <f t="shared" si="6"/>
        <v>#DIV/0!</v>
      </c>
      <c r="I23" s="1292" t="str">
        <f t="shared" si="6"/>
        <v>#DIV/0!</v>
      </c>
      <c r="J23" s="1292" t="str">
        <f t="shared" si="6"/>
        <v>#DIV/0!</v>
      </c>
      <c r="K23" s="1292" t="str">
        <f t="shared" si="6"/>
        <v>#DIV/0!</v>
      </c>
      <c r="L23" s="1292" t="str">
        <f t="shared" si="6"/>
        <v>#DIV/0!</v>
      </c>
      <c r="M23" s="1292" t="str">
        <f t="shared" si="6"/>
        <v>#DIV/0!</v>
      </c>
    </row>
    <row r="24" ht="15.75" customHeight="1">
      <c r="A24" s="850" t="s">
        <v>11</v>
      </c>
      <c r="B24" s="1291">
        <f t="shared" ref="B24:M24" si="7">(B10/B$14)*B$16</f>
        <v>320488.5929</v>
      </c>
      <c r="C24" s="1292">
        <f t="shared" si="7"/>
        <v>354032.6113</v>
      </c>
      <c r="D24" s="1292">
        <f t="shared" si="7"/>
        <v>107302.5925</v>
      </c>
      <c r="E24" s="1292" t="str">
        <f t="shared" si="7"/>
        <v>#DIV/0!</v>
      </c>
      <c r="F24" s="1292" t="str">
        <f t="shared" si="7"/>
        <v>#DIV/0!</v>
      </c>
      <c r="G24" s="1292" t="str">
        <f t="shared" si="7"/>
        <v>#DIV/0!</v>
      </c>
      <c r="H24" s="1292" t="str">
        <f t="shared" si="7"/>
        <v>#DIV/0!</v>
      </c>
      <c r="I24" s="1292" t="str">
        <f t="shared" si="7"/>
        <v>#DIV/0!</v>
      </c>
      <c r="J24" s="1292" t="str">
        <f t="shared" si="7"/>
        <v>#DIV/0!</v>
      </c>
      <c r="K24" s="1292" t="str">
        <f t="shared" si="7"/>
        <v>#DIV/0!</v>
      </c>
      <c r="L24" s="1292" t="str">
        <f t="shared" si="7"/>
        <v>#DIV/0!</v>
      </c>
      <c r="M24" s="1292" t="str">
        <f t="shared" si="7"/>
        <v>#DIV/0!</v>
      </c>
    </row>
    <row r="25" ht="15.75" customHeight="1">
      <c r="A25" s="850" t="s">
        <v>13</v>
      </c>
      <c r="B25" s="1291">
        <f t="shared" ref="B25:M25" si="8">(B11/B$14)*B$16</f>
        <v>121566.561</v>
      </c>
      <c r="C25" s="1292">
        <f t="shared" si="8"/>
        <v>117106.7721</v>
      </c>
      <c r="D25" s="1292">
        <f t="shared" si="8"/>
        <v>125987.4953</v>
      </c>
      <c r="E25" s="1292" t="str">
        <f t="shared" si="8"/>
        <v>#DIV/0!</v>
      </c>
      <c r="F25" s="1292" t="str">
        <f t="shared" si="8"/>
        <v>#DIV/0!</v>
      </c>
      <c r="G25" s="1292" t="str">
        <f t="shared" si="8"/>
        <v>#DIV/0!</v>
      </c>
      <c r="H25" s="1292" t="str">
        <f t="shared" si="8"/>
        <v>#DIV/0!</v>
      </c>
      <c r="I25" s="1292" t="str">
        <f t="shared" si="8"/>
        <v>#DIV/0!</v>
      </c>
      <c r="J25" s="1292" t="str">
        <f t="shared" si="8"/>
        <v>#DIV/0!</v>
      </c>
      <c r="K25" s="1292" t="str">
        <f t="shared" si="8"/>
        <v>#DIV/0!</v>
      </c>
      <c r="L25" s="1292" t="str">
        <f t="shared" si="8"/>
        <v>#DIV/0!</v>
      </c>
      <c r="M25" s="1292" t="str">
        <f t="shared" si="8"/>
        <v>#DIV/0!</v>
      </c>
    </row>
    <row r="26" ht="15.75" customHeight="1">
      <c r="A26" s="850" t="s">
        <v>14</v>
      </c>
      <c r="B26" s="1291">
        <f t="shared" ref="B26:M26" si="9">(B12/B$14)*B$16</f>
        <v>51187.30107</v>
      </c>
      <c r="C26" s="1292">
        <f t="shared" si="9"/>
        <v>69276.98798</v>
      </c>
      <c r="D26" s="1292">
        <f t="shared" si="9"/>
        <v>0</v>
      </c>
      <c r="E26" s="1292" t="str">
        <f t="shared" si="9"/>
        <v>#DIV/0!</v>
      </c>
      <c r="F26" s="1292" t="str">
        <f t="shared" si="9"/>
        <v>#DIV/0!</v>
      </c>
      <c r="G26" s="1292" t="str">
        <f t="shared" si="9"/>
        <v>#DIV/0!</v>
      </c>
      <c r="H26" s="1292" t="str">
        <f t="shared" si="9"/>
        <v>#DIV/0!</v>
      </c>
      <c r="I26" s="1292" t="str">
        <f t="shared" si="9"/>
        <v>#DIV/0!</v>
      </c>
      <c r="J26" s="1292" t="str">
        <f t="shared" si="9"/>
        <v>#DIV/0!</v>
      </c>
      <c r="K26" s="1292" t="str">
        <f t="shared" si="9"/>
        <v>#DIV/0!</v>
      </c>
      <c r="L26" s="1292" t="str">
        <f t="shared" si="9"/>
        <v>#DIV/0!</v>
      </c>
      <c r="M26" s="1292" t="str">
        <f t="shared" si="9"/>
        <v>#DIV/0!</v>
      </c>
    </row>
    <row r="27" ht="15.75" customHeight="1">
      <c r="A27" s="926" t="s">
        <v>15</v>
      </c>
      <c r="B27" s="1298">
        <f t="shared" ref="B27:M27" si="10">(B13/B$14)*B$16</f>
        <v>95788.77697</v>
      </c>
      <c r="C27" s="1299">
        <f t="shared" si="10"/>
        <v>83580.39542</v>
      </c>
      <c r="D27" s="1299">
        <f t="shared" si="10"/>
        <v>0</v>
      </c>
      <c r="E27" s="1299" t="str">
        <f t="shared" si="10"/>
        <v>#DIV/0!</v>
      </c>
      <c r="F27" s="1299" t="str">
        <f t="shared" si="10"/>
        <v>#DIV/0!</v>
      </c>
      <c r="G27" s="1299" t="str">
        <f t="shared" si="10"/>
        <v>#DIV/0!</v>
      </c>
      <c r="H27" s="1299" t="str">
        <f t="shared" si="10"/>
        <v>#DIV/0!</v>
      </c>
      <c r="I27" s="1299" t="str">
        <f t="shared" si="10"/>
        <v>#DIV/0!</v>
      </c>
      <c r="J27" s="1299" t="str">
        <f t="shared" si="10"/>
        <v>#DIV/0!</v>
      </c>
      <c r="K27" s="1299" t="str">
        <f t="shared" si="10"/>
        <v>#DIV/0!</v>
      </c>
      <c r="L27" s="1299" t="str">
        <f t="shared" si="10"/>
        <v>#DIV/0!</v>
      </c>
      <c r="M27" s="1299" t="str">
        <f t="shared" si="10"/>
        <v>#DIV/0!</v>
      </c>
    </row>
    <row r="28" ht="15.75" customHeight="1">
      <c r="A28" s="921"/>
      <c r="B28" s="1302">
        <f t="shared" ref="B28:M28" si="11">SUM(B19:B27)</f>
        <v>2093916</v>
      </c>
      <c r="C28" s="904">
        <f t="shared" si="11"/>
        <v>2206981</v>
      </c>
      <c r="D28" s="1303">
        <f t="shared" si="11"/>
        <v>1970719</v>
      </c>
      <c r="E28" s="1304" t="str">
        <f t="shared" si="11"/>
        <v>#DIV/0!</v>
      </c>
      <c r="F28" s="1304" t="str">
        <f t="shared" si="11"/>
        <v>#DIV/0!</v>
      </c>
      <c r="G28" s="1304" t="str">
        <f t="shared" si="11"/>
        <v>#DIV/0!</v>
      </c>
      <c r="H28" s="1304" t="str">
        <f t="shared" si="11"/>
        <v>#DIV/0!</v>
      </c>
      <c r="I28" s="1304" t="str">
        <f t="shared" si="11"/>
        <v>#DIV/0!</v>
      </c>
      <c r="J28" s="1304" t="str">
        <f t="shared" si="11"/>
        <v>#DIV/0!</v>
      </c>
      <c r="K28" s="1304" t="str">
        <f t="shared" si="11"/>
        <v>#DIV/0!</v>
      </c>
      <c r="L28" s="1304" t="str">
        <f t="shared" si="11"/>
        <v>#DIV/0!</v>
      </c>
      <c r="M28" s="1304" t="str">
        <f t="shared" si="11"/>
        <v>#DIV/0!</v>
      </c>
    </row>
    <row r="29" ht="15.75" customHeight="1">
      <c r="A29" s="908" t="s">
        <v>441</v>
      </c>
      <c r="B29" s="29"/>
      <c r="C29" s="839"/>
      <c r="D29" s="1308"/>
      <c r="E29" s="1290"/>
      <c r="F29" s="1290"/>
      <c r="G29" s="1290"/>
      <c r="H29" s="1290"/>
      <c r="I29" s="1290"/>
      <c r="J29" s="1290"/>
      <c r="K29" s="1290"/>
      <c r="L29" s="1290"/>
      <c r="M29" s="1290"/>
    </row>
    <row r="30" ht="15.75" customHeight="1">
      <c r="A30" s="850" t="s">
        <v>408</v>
      </c>
      <c r="B30" s="1291">
        <f t="shared" ref="B30:M30" si="12">B19+B5</f>
        <v>252641.7707</v>
      </c>
      <c r="C30" s="1292">
        <f t="shared" si="12"/>
        <v>242159.4217</v>
      </c>
      <c r="D30" s="1292">
        <f t="shared" si="12"/>
        <v>268014.6685</v>
      </c>
      <c r="E30" s="1292" t="str">
        <f t="shared" si="12"/>
        <v>#DIV/0!</v>
      </c>
      <c r="F30" s="1292" t="str">
        <f t="shared" si="12"/>
        <v>#DIV/0!</v>
      </c>
      <c r="G30" s="1292" t="str">
        <f t="shared" si="12"/>
        <v>#DIV/0!</v>
      </c>
      <c r="H30" s="1292" t="str">
        <f t="shared" si="12"/>
        <v>#DIV/0!</v>
      </c>
      <c r="I30" s="1292" t="str">
        <f t="shared" si="12"/>
        <v>#DIV/0!</v>
      </c>
      <c r="J30" s="1292" t="str">
        <f t="shared" si="12"/>
        <v>#DIV/0!</v>
      </c>
      <c r="K30" s="1292" t="str">
        <f t="shared" si="12"/>
        <v>#DIV/0!</v>
      </c>
      <c r="L30" s="1292" t="str">
        <f t="shared" si="12"/>
        <v>#DIV/0!</v>
      </c>
      <c r="M30" s="1292" t="str">
        <f t="shared" si="12"/>
        <v>#DIV/0!</v>
      </c>
    </row>
    <row r="31" ht="15.75" customHeight="1">
      <c r="A31" s="850" t="s">
        <v>12</v>
      </c>
      <c r="B31" s="1291">
        <f t="shared" ref="B31:M31" si="13">B20+B6</f>
        <v>283679.9905</v>
      </c>
      <c r="C31" s="1292">
        <f t="shared" si="13"/>
        <v>265847.3271</v>
      </c>
      <c r="D31" s="1292">
        <f t="shared" si="13"/>
        <v>222039.8649</v>
      </c>
      <c r="E31" s="1292" t="str">
        <f t="shared" si="13"/>
        <v>#DIV/0!</v>
      </c>
      <c r="F31" s="1292" t="str">
        <f t="shared" si="13"/>
        <v>#DIV/0!</v>
      </c>
      <c r="G31" s="1292" t="str">
        <f t="shared" si="13"/>
        <v>#DIV/0!</v>
      </c>
      <c r="H31" s="1292" t="str">
        <f t="shared" si="13"/>
        <v>#DIV/0!</v>
      </c>
      <c r="I31" s="1292" t="str">
        <f t="shared" si="13"/>
        <v>#DIV/0!</v>
      </c>
      <c r="J31" s="1292" t="str">
        <f t="shared" si="13"/>
        <v>#DIV/0!</v>
      </c>
      <c r="K31" s="1292" t="str">
        <f t="shared" si="13"/>
        <v>#DIV/0!</v>
      </c>
      <c r="L31" s="1292" t="str">
        <f t="shared" si="13"/>
        <v>#DIV/0!</v>
      </c>
      <c r="M31" s="1292" t="str">
        <f t="shared" si="13"/>
        <v>#DIV/0!</v>
      </c>
    </row>
    <row r="32" ht="15.75" customHeight="1">
      <c r="A32" s="850" t="s">
        <v>7</v>
      </c>
      <c r="B32" s="1291">
        <f t="shared" ref="B32:M32" si="14">B21+B7</f>
        <v>701451.8389</v>
      </c>
      <c r="C32" s="1292">
        <f t="shared" si="14"/>
        <v>844670.8018</v>
      </c>
      <c r="D32" s="1292">
        <f t="shared" si="14"/>
        <v>807638.6363</v>
      </c>
      <c r="E32" s="1292" t="str">
        <f t="shared" si="14"/>
        <v>#DIV/0!</v>
      </c>
      <c r="F32" s="1292" t="str">
        <f t="shared" si="14"/>
        <v>#DIV/0!</v>
      </c>
      <c r="G32" s="1292" t="str">
        <f t="shared" si="14"/>
        <v>#DIV/0!</v>
      </c>
      <c r="H32" s="1292" t="str">
        <f t="shared" si="14"/>
        <v>#DIV/0!</v>
      </c>
      <c r="I32" s="1292" t="str">
        <f t="shared" si="14"/>
        <v>#DIV/0!</v>
      </c>
      <c r="J32" s="1292" t="str">
        <f t="shared" si="14"/>
        <v>#DIV/0!</v>
      </c>
      <c r="K32" s="1292" t="str">
        <f t="shared" si="14"/>
        <v>#DIV/0!</v>
      </c>
      <c r="L32" s="1292" t="str">
        <f t="shared" si="14"/>
        <v>#DIV/0!</v>
      </c>
      <c r="M32" s="1292" t="str">
        <f t="shared" si="14"/>
        <v>#DIV/0!</v>
      </c>
    </row>
    <row r="33" ht="15.75" customHeight="1">
      <c r="A33" s="850" t="s">
        <v>8</v>
      </c>
      <c r="B33" s="1291">
        <f t="shared" ref="B33:M33" si="15">B22+B8</f>
        <v>755668.0196</v>
      </c>
      <c r="C33" s="1292">
        <f t="shared" si="15"/>
        <v>764499.9172</v>
      </c>
      <c r="D33" s="1292">
        <f t="shared" si="15"/>
        <v>723599.5676</v>
      </c>
      <c r="E33" s="1292" t="str">
        <f t="shared" si="15"/>
        <v>#DIV/0!</v>
      </c>
      <c r="F33" s="1292" t="str">
        <f t="shared" si="15"/>
        <v>#DIV/0!</v>
      </c>
      <c r="G33" s="1292" t="str">
        <f t="shared" si="15"/>
        <v>#DIV/0!</v>
      </c>
      <c r="H33" s="1292" t="str">
        <f t="shared" si="15"/>
        <v>#DIV/0!</v>
      </c>
      <c r="I33" s="1292" t="str">
        <f t="shared" si="15"/>
        <v>#DIV/0!</v>
      </c>
      <c r="J33" s="1292" t="str">
        <f t="shared" si="15"/>
        <v>#DIV/0!</v>
      </c>
      <c r="K33" s="1292" t="str">
        <f t="shared" si="15"/>
        <v>#DIV/0!</v>
      </c>
      <c r="L33" s="1292" t="str">
        <f t="shared" si="15"/>
        <v>#DIV/0!</v>
      </c>
      <c r="M33" s="1292" t="str">
        <f t="shared" si="15"/>
        <v>#DIV/0!</v>
      </c>
    </row>
    <row r="34" ht="15.75" customHeight="1">
      <c r="A34" s="850" t="s">
        <v>9</v>
      </c>
      <c r="B34" s="1291">
        <f t="shared" ref="B34:M34" si="16">B23+B9</f>
        <v>724254.1526</v>
      </c>
      <c r="C34" s="1292">
        <f t="shared" si="16"/>
        <v>798579.2947</v>
      </c>
      <c r="D34" s="1292">
        <f t="shared" si="16"/>
        <v>778851.2349</v>
      </c>
      <c r="E34" s="1292" t="str">
        <f t="shared" si="16"/>
        <v>#DIV/0!</v>
      </c>
      <c r="F34" s="1292" t="str">
        <f t="shared" si="16"/>
        <v>#DIV/0!</v>
      </c>
      <c r="G34" s="1292" t="str">
        <f t="shared" si="16"/>
        <v>#DIV/0!</v>
      </c>
      <c r="H34" s="1292" t="str">
        <f t="shared" si="16"/>
        <v>#DIV/0!</v>
      </c>
      <c r="I34" s="1292" t="str">
        <f t="shared" si="16"/>
        <v>#DIV/0!</v>
      </c>
      <c r="J34" s="1292" t="str">
        <f t="shared" si="16"/>
        <v>#DIV/0!</v>
      </c>
      <c r="K34" s="1292" t="str">
        <f t="shared" si="16"/>
        <v>#DIV/0!</v>
      </c>
      <c r="L34" s="1292" t="str">
        <f t="shared" si="16"/>
        <v>#DIV/0!</v>
      </c>
      <c r="M34" s="1292" t="str">
        <f t="shared" si="16"/>
        <v>#DIV/0!</v>
      </c>
    </row>
    <row r="35" ht="15.75" customHeight="1">
      <c r="A35" s="850" t="s">
        <v>11</v>
      </c>
      <c r="B35" s="1291">
        <f t="shared" ref="B35:M35" si="17">B24+B10</f>
        <v>578775.5399</v>
      </c>
      <c r="C35" s="1292">
        <f t="shared" si="17"/>
        <v>652105.6616</v>
      </c>
      <c r="D35" s="1292">
        <f t="shared" si="17"/>
        <v>172935.2525</v>
      </c>
      <c r="E35" s="1292" t="str">
        <f t="shared" si="17"/>
        <v>#DIV/0!</v>
      </c>
      <c r="F35" s="1292" t="str">
        <f t="shared" si="17"/>
        <v>#DIV/0!</v>
      </c>
      <c r="G35" s="1292" t="str">
        <f t="shared" si="17"/>
        <v>#DIV/0!</v>
      </c>
      <c r="H35" s="1292" t="str">
        <f t="shared" si="17"/>
        <v>#DIV/0!</v>
      </c>
      <c r="I35" s="1292" t="str">
        <f t="shared" si="17"/>
        <v>#DIV/0!</v>
      </c>
      <c r="J35" s="1292" t="str">
        <f t="shared" si="17"/>
        <v>#DIV/0!</v>
      </c>
      <c r="K35" s="1292" t="str">
        <f t="shared" si="17"/>
        <v>#DIV/0!</v>
      </c>
      <c r="L35" s="1292" t="str">
        <f t="shared" si="17"/>
        <v>#DIV/0!</v>
      </c>
      <c r="M35" s="1292" t="str">
        <f t="shared" si="17"/>
        <v>#DIV/0!</v>
      </c>
    </row>
    <row r="36" ht="15.75" customHeight="1">
      <c r="A36" s="850" t="s">
        <v>13</v>
      </c>
      <c r="B36" s="1291">
        <f t="shared" ref="B36:M36" si="18">B25+B11</f>
        <v>219539.0212</v>
      </c>
      <c r="C36" s="1292">
        <f t="shared" si="18"/>
        <v>215703.262</v>
      </c>
      <c r="D36" s="1292">
        <f t="shared" si="18"/>
        <v>203048.9553</v>
      </c>
      <c r="E36" s="1292" t="str">
        <f t="shared" si="18"/>
        <v>#DIV/0!</v>
      </c>
      <c r="F36" s="1292" t="str">
        <f t="shared" si="18"/>
        <v>#DIV/0!</v>
      </c>
      <c r="G36" s="1292" t="str">
        <f t="shared" si="18"/>
        <v>#DIV/0!</v>
      </c>
      <c r="H36" s="1292" t="str">
        <f t="shared" si="18"/>
        <v>#DIV/0!</v>
      </c>
      <c r="I36" s="1292" t="str">
        <f t="shared" si="18"/>
        <v>#DIV/0!</v>
      </c>
      <c r="J36" s="1292" t="str">
        <f t="shared" si="18"/>
        <v>#DIV/0!</v>
      </c>
      <c r="K36" s="1292" t="str">
        <f t="shared" si="18"/>
        <v>#DIV/0!</v>
      </c>
      <c r="L36" s="1292" t="str">
        <f t="shared" si="18"/>
        <v>#DIV/0!</v>
      </c>
      <c r="M36" s="1292" t="str">
        <f t="shared" si="18"/>
        <v>#DIV/0!</v>
      </c>
    </row>
    <row r="37" ht="15.75" customHeight="1">
      <c r="A37" s="850" t="s">
        <v>14</v>
      </c>
      <c r="B37" s="1291">
        <f t="shared" ref="B37:M37" si="19">B26+B12</f>
        <v>92439.97592</v>
      </c>
      <c r="C37" s="1292">
        <f t="shared" si="19"/>
        <v>127603.827</v>
      </c>
      <c r="D37" s="1292">
        <f t="shared" si="19"/>
        <v>0</v>
      </c>
      <c r="E37" s="1292" t="str">
        <f t="shared" si="19"/>
        <v>#DIV/0!</v>
      </c>
      <c r="F37" s="1292" t="str">
        <f t="shared" si="19"/>
        <v>#DIV/0!</v>
      </c>
      <c r="G37" s="1292" t="str">
        <f t="shared" si="19"/>
        <v>#DIV/0!</v>
      </c>
      <c r="H37" s="1292" t="str">
        <f t="shared" si="19"/>
        <v>#DIV/0!</v>
      </c>
      <c r="I37" s="1292" t="str">
        <f t="shared" si="19"/>
        <v>#DIV/0!</v>
      </c>
      <c r="J37" s="1292" t="str">
        <f t="shared" si="19"/>
        <v>#DIV/0!</v>
      </c>
      <c r="K37" s="1292" t="str">
        <f t="shared" si="19"/>
        <v>#DIV/0!</v>
      </c>
      <c r="L37" s="1292" t="str">
        <f t="shared" si="19"/>
        <v>#DIV/0!</v>
      </c>
      <c r="M37" s="1292" t="str">
        <f t="shared" si="19"/>
        <v>#DIV/0!</v>
      </c>
    </row>
    <row r="38" ht="15.75" customHeight="1">
      <c r="A38" s="850" t="s">
        <v>434</v>
      </c>
      <c r="B38" s="1291">
        <f t="shared" ref="B38:M38" si="20">B27+B13</f>
        <v>172986.5035</v>
      </c>
      <c r="C38" s="1292">
        <f t="shared" si="20"/>
        <v>153949.7981</v>
      </c>
      <c r="D38" s="1292">
        <f t="shared" si="20"/>
        <v>0</v>
      </c>
      <c r="E38" s="1292" t="str">
        <f t="shared" si="20"/>
        <v>#DIV/0!</v>
      </c>
      <c r="F38" s="1292" t="str">
        <f t="shared" si="20"/>
        <v>#DIV/0!</v>
      </c>
      <c r="G38" s="1292" t="str">
        <f t="shared" si="20"/>
        <v>#DIV/0!</v>
      </c>
      <c r="H38" s="1292" t="str">
        <f t="shared" si="20"/>
        <v>#DIV/0!</v>
      </c>
      <c r="I38" s="1292" t="str">
        <f t="shared" si="20"/>
        <v>#DIV/0!</v>
      </c>
      <c r="J38" s="1292" t="str">
        <f t="shared" si="20"/>
        <v>#DIV/0!</v>
      </c>
      <c r="K38" s="1292" t="str">
        <f t="shared" si="20"/>
        <v>#DIV/0!</v>
      </c>
      <c r="L38" s="1292" t="str">
        <f t="shared" si="20"/>
        <v>#DIV/0!</v>
      </c>
      <c r="M38" s="1292" t="str">
        <f t="shared" si="20"/>
        <v>#DIV/0!</v>
      </c>
    </row>
    <row r="39" ht="15.75" customHeight="1">
      <c r="A39" s="926"/>
      <c r="B39" s="1298"/>
      <c r="C39" s="1299"/>
      <c r="D39" s="1310"/>
      <c r="E39" s="1310"/>
      <c r="F39" s="1310"/>
      <c r="G39" s="1310"/>
      <c r="H39" s="1310"/>
      <c r="I39" s="1310"/>
      <c r="J39" s="1310"/>
      <c r="K39" s="1310"/>
      <c r="L39" s="1310"/>
      <c r="M39" s="1310"/>
    </row>
    <row r="40" ht="15.75" customHeight="1">
      <c r="A40" s="927" t="s">
        <v>442</v>
      </c>
      <c r="B40" s="1302">
        <f t="shared" ref="B40:M40" si="21">SUM(B30:B38)</f>
        <v>3781436.813</v>
      </c>
      <c r="C40" s="904">
        <f t="shared" si="21"/>
        <v>4065119.311</v>
      </c>
      <c r="D40" s="1303">
        <f t="shared" si="21"/>
        <v>3176128.18</v>
      </c>
      <c r="E40" s="1304" t="str">
        <f t="shared" si="21"/>
        <v>#DIV/0!</v>
      </c>
      <c r="F40" s="1304" t="str">
        <f t="shared" si="21"/>
        <v>#DIV/0!</v>
      </c>
      <c r="G40" s="1304" t="str">
        <f t="shared" si="21"/>
        <v>#DIV/0!</v>
      </c>
      <c r="H40" s="1304" t="str">
        <f t="shared" si="21"/>
        <v>#DIV/0!</v>
      </c>
      <c r="I40" s="1304" t="str">
        <f t="shared" si="21"/>
        <v>#DIV/0!</v>
      </c>
      <c r="J40" s="1304" t="str">
        <f t="shared" si="21"/>
        <v>#DIV/0!</v>
      </c>
      <c r="K40" s="1304" t="str">
        <f t="shared" si="21"/>
        <v>#DIV/0!</v>
      </c>
      <c r="L40" s="1304" t="str">
        <f t="shared" si="21"/>
        <v>#DIV/0!</v>
      </c>
      <c r="M40" s="1304" t="str">
        <f t="shared" si="21"/>
        <v>#DIV/0!</v>
      </c>
    </row>
    <row r="41" ht="15.75" customHeight="1">
      <c r="A41" s="1311"/>
      <c r="B41" s="1312"/>
      <c r="C41" s="1313"/>
      <c r="D41" s="1314"/>
      <c r="E41" s="1315"/>
      <c r="F41" s="1315"/>
      <c r="G41" s="1315"/>
      <c r="H41" s="1315"/>
      <c r="I41" s="1315"/>
      <c r="J41" s="1315"/>
      <c r="K41" s="1315"/>
      <c r="L41" s="1315"/>
      <c r="M41" s="1315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22.38"/>
    <col customWidth="1" min="3" max="3" width="10.13"/>
    <col customWidth="1" min="4" max="5" width="8.38"/>
    <col customWidth="1" min="6" max="6" width="10.38"/>
    <col customWidth="1" min="7" max="7" width="10.0"/>
    <col customWidth="1" min="8" max="9" width="10.38"/>
    <col customWidth="1" min="10" max="10" width="10.13"/>
    <col customWidth="1" min="11" max="12" width="10.38"/>
    <col customWidth="1" min="13" max="14" width="10.13"/>
  </cols>
  <sheetData>
    <row r="1" ht="15.75" customHeight="1">
      <c r="A1" s="272" t="s">
        <v>443</v>
      </c>
    </row>
    <row r="2" ht="10.5" customHeight="1">
      <c r="C2" s="1316"/>
      <c r="D2" s="1316"/>
      <c r="E2" s="1316"/>
      <c r="F2" s="1316"/>
    </row>
    <row r="3" ht="15.75" customHeight="1">
      <c r="B3" s="1267"/>
      <c r="C3" s="1317" t="s">
        <v>383</v>
      </c>
      <c r="D3" s="1317" t="s">
        <v>384</v>
      </c>
      <c r="E3" s="1317" t="s">
        <v>444</v>
      </c>
      <c r="F3" s="1317" t="s">
        <v>386</v>
      </c>
      <c r="G3" s="1317" t="s">
        <v>387</v>
      </c>
      <c r="H3" s="1317" t="s">
        <v>388</v>
      </c>
      <c r="I3" s="1317" t="s">
        <v>389</v>
      </c>
      <c r="J3" s="1317" t="s">
        <v>390</v>
      </c>
      <c r="K3" s="1317" t="s">
        <v>445</v>
      </c>
      <c r="L3" s="1317" t="s">
        <v>392</v>
      </c>
      <c r="M3" s="1317" t="s">
        <v>393</v>
      </c>
      <c r="N3" s="1317" t="s">
        <v>394</v>
      </c>
      <c r="O3" s="1318"/>
      <c r="P3" s="1319" t="s">
        <v>446</v>
      </c>
      <c r="Q3" s="1320" t="str">
        <f>AVERAGE(B8:N8)</f>
        <v>#REF!</v>
      </c>
    </row>
    <row r="4" ht="15.75" customHeight="1">
      <c r="B4" s="404" t="s">
        <v>21</v>
      </c>
      <c r="C4" s="1321">
        <f>'Summary Sheet - April 2026'!AE5</f>
        <v>1555917.5</v>
      </c>
      <c r="D4" s="1321">
        <f>'Summary Sheet - May 2026'!AE5</f>
        <v>1681871</v>
      </c>
      <c r="E4" s="1321">
        <f>'Summary Sheet - June 2026'!AE5</f>
        <v>1556928</v>
      </c>
      <c r="F4" s="1321">
        <f>'Summary Sheet - July 2026'!AE5</f>
        <v>1556928</v>
      </c>
      <c r="G4" s="1321" t="str">
        <f t="shared" ref="G4:G7" si="1">'Summary Sheet - Aug 2026'!AE5</f>
        <v>#REF!</v>
      </c>
      <c r="H4" s="1321" t="str">
        <f t="shared" ref="H4:H7" si="2">'Summary Sheet - Sep 2026'!AE5</f>
        <v>#REF!</v>
      </c>
      <c r="I4" s="1321" t="str">
        <f t="shared" ref="I4:I7" si="3">'Summary Sheet - Oct 2026'!AE5</f>
        <v>#REF!</v>
      </c>
      <c r="J4" s="1321" t="str">
        <f t="shared" ref="J4:J7" si="4">'Summary Sheet - Nov 2026'!AE5</f>
        <v>#REF!</v>
      </c>
      <c r="K4" s="1321" t="str">
        <f t="shared" ref="K4:K7" si="5">'Summary Sheet - Dec 2026'!AE5</f>
        <v>#REF!</v>
      </c>
      <c r="L4" s="1321" t="str">
        <f t="shared" ref="L4:L7" si="6">'Summary Sheet - Jan 2026'!AE5</f>
        <v>#REF!</v>
      </c>
      <c r="M4" s="1321" t="str">
        <f t="shared" ref="M4:M7" si="7">'Summary Sheet - Feb 2026'!AE5</f>
        <v>#REF!</v>
      </c>
      <c r="N4" s="1322" t="str">
        <f t="shared" ref="N4:N7" si="8">'Summary Sheet - Mar 2026'!AE5</f>
        <v>#REF!</v>
      </c>
      <c r="P4" s="1319" t="s">
        <v>447</v>
      </c>
      <c r="Q4" s="1320" t="str">
        <f>AVERAGE(B30:N30)</f>
        <v>#REF!</v>
      </c>
    </row>
    <row r="5" ht="15.75" customHeight="1">
      <c r="B5" s="404" t="s">
        <v>22</v>
      </c>
      <c r="C5" s="1323">
        <f>'Summary Sheet - April 2026'!AE6</f>
        <v>2119471.5</v>
      </c>
      <c r="D5" s="1323">
        <f>'Summary Sheet - May 2026'!AE6</f>
        <v>2074971</v>
      </c>
      <c r="E5" s="1323">
        <f>'Summary Sheet - June 2026'!AE6</f>
        <v>1862183</v>
      </c>
      <c r="F5" s="1323">
        <f>'Summary Sheet - July 2026'!AE6</f>
        <v>1862183</v>
      </c>
      <c r="G5" s="1323" t="str">
        <f t="shared" si="1"/>
        <v>#REF!</v>
      </c>
      <c r="H5" s="1323" t="str">
        <f t="shared" si="2"/>
        <v>#REF!</v>
      </c>
      <c r="I5" s="1323" t="str">
        <f t="shared" si="3"/>
        <v>#REF!</v>
      </c>
      <c r="J5" s="1323" t="str">
        <f t="shared" si="4"/>
        <v>#REF!</v>
      </c>
      <c r="K5" s="1323" t="str">
        <f t="shared" si="5"/>
        <v>#REF!</v>
      </c>
      <c r="L5" s="1323" t="str">
        <f t="shared" si="6"/>
        <v>#REF!</v>
      </c>
      <c r="M5" s="1323" t="str">
        <f t="shared" si="7"/>
        <v>#REF!</v>
      </c>
      <c r="N5" s="1324" t="str">
        <f t="shared" si="8"/>
        <v>#REF!</v>
      </c>
      <c r="P5" s="1319" t="s">
        <v>448</v>
      </c>
      <c r="Q5" s="1325" t="str">
        <f>Q4/Q3</f>
        <v>#REF!</v>
      </c>
    </row>
    <row r="6" ht="15.75" customHeight="1">
      <c r="B6" s="404" t="s">
        <v>23</v>
      </c>
      <c r="C6" s="1323">
        <f>'Summary Sheet - April 2026'!AE7</f>
        <v>12642063.25</v>
      </c>
      <c r="D6" s="1323">
        <f>'Summary Sheet - May 2026'!AE7</f>
        <v>13408656</v>
      </c>
      <c r="E6" s="1323">
        <f>'Summary Sheet - June 2026'!AE7</f>
        <v>12355766</v>
      </c>
      <c r="F6" s="1323">
        <f>'Summary Sheet - July 2026'!AE7</f>
        <v>12355766</v>
      </c>
      <c r="G6" s="1323" t="str">
        <f t="shared" si="1"/>
        <v>#REF!</v>
      </c>
      <c r="H6" s="1323" t="str">
        <f t="shared" si="2"/>
        <v>#REF!</v>
      </c>
      <c r="I6" s="1323" t="str">
        <f t="shared" si="3"/>
        <v>#REF!</v>
      </c>
      <c r="J6" s="1323" t="str">
        <f t="shared" si="4"/>
        <v>#REF!</v>
      </c>
      <c r="K6" s="1323" t="str">
        <f t="shared" si="5"/>
        <v>#REF!</v>
      </c>
      <c r="L6" s="1323" t="str">
        <f t="shared" si="6"/>
        <v>#REF!</v>
      </c>
      <c r="M6" s="1323" t="str">
        <f t="shared" si="7"/>
        <v>#REF!</v>
      </c>
      <c r="N6" s="1324" t="str">
        <f t="shared" si="8"/>
        <v>#REF!</v>
      </c>
    </row>
    <row r="7" ht="15.75" customHeight="1">
      <c r="B7" s="1252" t="s">
        <v>24</v>
      </c>
      <c r="C7" s="1326">
        <f>'Summary Sheet - April 2026'!AE8</f>
        <v>1028709</v>
      </c>
      <c r="D7" s="1326">
        <f>'Summary Sheet - May 2026'!AE8</f>
        <v>1101150</v>
      </c>
      <c r="E7" s="1326">
        <f>'Summary Sheet - June 2026'!AE8</f>
        <v>997431</v>
      </c>
      <c r="F7" s="1326">
        <f>'Summary Sheet - July 2026'!AE8</f>
        <v>997431</v>
      </c>
      <c r="G7" s="1326" t="str">
        <f t="shared" si="1"/>
        <v>#REF!</v>
      </c>
      <c r="H7" s="1326" t="str">
        <f t="shared" si="2"/>
        <v>#REF!</v>
      </c>
      <c r="I7" s="1326" t="str">
        <f t="shared" si="3"/>
        <v>#REF!</v>
      </c>
      <c r="J7" s="1326" t="str">
        <f t="shared" si="4"/>
        <v>#REF!</v>
      </c>
      <c r="K7" s="1326" t="str">
        <f t="shared" si="5"/>
        <v>#REF!</v>
      </c>
      <c r="L7" s="1326" t="str">
        <f t="shared" si="6"/>
        <v>#REF!</v>
      </c>
      <c r="M7" s="1326" t="str">
        <f t="shared" si="7"/>
        <v>#REF!</v>
      </c>
      <c r="N7" s="1327" t="str">
        <f t="shared" si="8"/>
        <v>#REF!</v>
      </c>
    </row>
    <row r="8" ht="15.75" customHeight="1">
      <c r="B8" s="410" t="s">
        <v>26</v>
      </c>
      <c r="C8" s="1328">
        <f t="shared" ref="C8:N8" si="9">SUM(C4:C7)</f>
        <v>17346161.25</v>
      </c>
      <c r="D8" s="1328">
        <f t="shared" si="9"/>
        <v>18266648</v>
      </c>
      <c r="E8" s="1328">
        <f t="shared" si="9"/>
        <v>16772308</v>
      </c>
      <c r="F8" s="1328">
        <f t="shared" si="9"/>
        <v>16772308</v>
      </c>
      <c r="G8" s="1328" t="str">
        <f t="shared" si="9"/>
        <v>#REF!</v>
      </c>
      <c r="H8" s="1328" t="str">
        <f t="shared" si="9"/>
        <v>#REF!</v>
      </c>
      <c r="I8" s="1328" t="str">
        <f t="shared" si="9"/>
        <v>#REF!</v>
      </c>
      <c r="J8" s="1328" t="str">
        <f t="shared" si="9"/>
        <v>#REF!</v>
      </c>
      <c r="K8" s="1329" t="str">
        <f t="shared" si="9"/>
        <v>#REF!</v>
      </c>
      <c r="L8" s="1329" t="str">
        <f t="shared" si="9"/>
        <v>#REF!</v>
      </c>
      <c r="M8" s="1329" t="str">
        <f t="shared" si="9"/>
        <v>#REF!</v>
      </c>
      <c r="N8" s="1330" t="str">
        <f t="shared" si="9"/>
        <v>#REF!</v>
      </c>
    </row>
    <row r="9" ht="15.75" customHeight="1">
      <c r="B9" s="401"/>
      <c r="C9" s="1331" t="str">
        <f>'Summary Sheet - April 2026'!O11</f>
        <v/>
      </c>
      <c r="D9" s="1331"/>
      <c r="E9" s="1331"/>
      <c r="F9" s="1331"/>
      <c r="G9" s="1331"/>
      <c r="H9" s="1331"/>
      <c r="I9" s="1332"/>
      <c r="J9" s="1332"/>
      <c r="K9" s="1333"/>
      <c r="L9" s="1332"/>
      <c r="M9" s="1332"/>
      <c r="N9" s="1334"/>
    </row>
    <row r="10" ht="15.75" customHeight="1">
      <c r="B10" s="404" t="s">
        <v>28</v>
      </c>
      <c r="C10" s="1323">
        <f>'Summary Sheet - April 2026'!AE12</f>
        <v>5573067.809</v>
      </c>
      <c r="D10" s="1323">
        <f>'Summary Sheet - May 2026'!AE12</f>
        <v>5812640.325</v>
      </c>
      <c r="E10" s="1323">
        <f>'Summary Sheet - June 2026'!AE12</f>
        <v>5643974.905</v>
      </c>
      <c r="F10" s="1323">
        <f>'Summary Sheet - July 2026'!AE12</f>
        <v>5643974.905</v>
      </c>
      <c r="G10" s="1323" t="str">
        <f t="shared" ref="G10:G12" si="10">'Summary Sheet - Aug 2026'!AE12</f>
        <v>#REF!</v>
      </c>
      <c r="H10" s="1323" t="str">
        <f t="shared" ref="H10:H12" si="11">'Summary Sheet - Sep 2026'!AE12</f>
        <v>#REF!</v>
      </c>
      <c r="I10" s="1323" t="str">
        <f t="shared" ref="I10:I12" si="12">'Summary Sheet - Oct 2026'!AE12</f>
        <v>#REF!</v>
      </c>
      <c r="J10" s="1323" t="str">
        <f t="shared" ref="J10:J12" si="13">'Summary Sheet - Nov 2026'!AE12</f>
        <v>#REF!</v>
      </c>
      <c r="K10" s="1323" t="str">
        <f t="shared" ref="K10:K12" si="14">'Summary Sheet - Dec 2026'!AE12</f>
        <v>#REF!</v>
      </c>
      <c r="L10" s="1323" t="str">
        <f t="shared" ref="L10:L12" si="15">'Summary Sheet - Jan 2026'!AE12</f>
        <v>#REF!</v>
      </c>
      <c r="M10" s="1323" t="str">
        <f t="shared" ref="M10:M12" si="16">'Summary Sheet - Feb 2026'!AE12</f>
        <v>#REF!</v>
      </c>
      <c r="N10" s="1324" t="str">
        <f t="shared" ref="N10:N12" si="17">'Summary Sheet - Mar 2026'!AE12</f>
        <v>#REF!</v>
      </c>
    </row>
    <row r="11" ht="15.75" customHeight="1">
      <c r="B11" s="404" t="s">
        <v>29</v>
      </c>
      <c r="C11" s="1323">
        <f>'Summary Sheet - April 2026'!AE13</f>
        <v>203136</v>
      </c>
      <c r="D11" s="1323">
        <f>'Summary Sheet - May 2026'!AE13</f>
        <v>296470</v>
      </c>
      <c r="E11" s="1323">
        <f>'Summary Sheet - June 2026'!AE13</f>
        <v>178583</v>
      </c>
      <c r="F11" s="1323">
        <f>'Summary Sheet - July 2026'!AE13</f>
        <v>178583</v>
      </c>
      <c r="G11" s="1323" t="str">
        <f t="shared" si="10"/>
        <v>#REF!</v>
      </c>
      <c r="H11" s="1323" t="str">
        <f t="shared" si="11"/>
        <v>#REF!</v>
      </c>
      <c r="I11" s="1323" t="str">
        <f t="shared" si="12"/>
        <v>#REF!</v>
      </c>
      <c r="J11" s="1323" t="str">
        <f t="shared" si="13"/>
        <v>#REF!</v>
      </c>
      <c r="K11" s="1323" t="str">
        <f t="shared" si="14"/>
        <v>#REF!</v>
      </c>
      <c r="L11" s="1323" t="str">
        <f t="shared" si="15"/>
        <v>#REF!</v>
      </c>
      <c r="M11" s="1323" t="str">
        <f t="shared" si="16"/>
        <v>#REF!</v>
      </c>
      <c r="N11" s="1324" t="str">
        <f t="shared" si="17"/>
        <v>#REF!</v>
      </c>
    </row>
    <row r="12" ht="15.75" customHeight="1">
      <c r="B12" s="1252" t="s">
        <v>449</v>
      </c>
      <c r="C12" s="1326" t="str">
        <f>'Summary Sheet - April 2026'!AE14</f>
        <v/>
      </c>
      <c r="D12" s="1326" t="str">
        <f>'Summary Sheet - May 2026'!AE14</f>
        <v/>
      </c>
      <c r="E12" s="1326" t="str">
        <f>'Summary Sheet - June 2026'!AE14</f>
        <v/>
      </c>
      <c r="F12" s="1326" t="str">
        <f>'Summary Sheet - July 2026'!AE14</f>
        <v/>
      </c>
      <c r="G12" s="1326" t="str">
        <f t="shared" si="10"/>
        <v>#REF!</v>
      </c>
      <c r="H12" s="1326" t="str">
        <f t="shared" si="11"/>
        <v>#REF!</v>
      </c>
      <c r="I12" s="1326" t="str">
        <f t="shared" si="12"/>
        <v>#REF!</v>
      </c>
      <c r="J12" s="1326" t="str">
        <f t="shared" si="13"/>
        <v>#REF!</v>
      </c>
      <c r="K12" s="1326" t="str">
        <f t="shared" si="14"/>
        <v>#REF!</v>
      </c>
      <c r="L12" s="1326" t="str">
        <f t="shared" si="15"/>
        <v>#REF!</v>
      </c>
      <c r="M12" s="1326" t="str">
        <f t="shared" si="16"/>
        <v>#REF!</v>
      </c>
      <c r="N12" s="1327" t="str">
        <f t="shared" si="17"/>
        <v>#REF!</v>
      </c>
    </row>
    <row r="13" ht="15.75" customHeight="1">
      <c r="B13" s="410" t="s">
        <v>30</v>
      </c>
      <c r="C13" s="1328">
        <f t="shared" ref="C13:N13" si="18">C10+C11</f>
        <v>5776203.809</v>
      </c>
      <c r="D13" s="1328">
        <f t="shared" si="18"/>
        <v>6109110.325</v>
      </c>
      <c r="E13" s="1328">
        <f t="shared" si="18"/>
        <v>5822557.905</v>
      </c>
      <c r="F13" s="1328">
        <f t="shared" si="18"/>
        <v>5822557.905</v>
      </c>
      <c r="G13" s="1328" t="str">
        <f t="shared" si="18"/>
        <v>#REF!</v>
      </c>
      <c r="H13" s="1328" t="str">
        <f t="shared" si="18"/>
        <v>#REF!</v>
      </c>
      <c r="I13" s="1328" t="str">
        <f t="shared" si="18"/>
        <v>#REF!</v>
      </c>
      <c r="J13" s="1328" t="str">
        <f t="shared" si="18"/>
        <v>#REF!</v>
      </c>
      <c r="K13" s="1329" t="str">
        <f t="shared" si="18"/>
        <v>#REF!</v>
      </c>
      <c r="L13" s="1329" t="str">
        <f t="shared" si="18"/>
        <v>#REF!</v>
      </c>
      <c r="M13" s="1329" t="str">
        <f t="shared" si="18"/>
        <v>#REF!</v>
      </c>
      <c r="N13" s="1330" t="str">
        <f t="shared" si="18"/>
        <v>#REF!</v>
      </c>
    </row>
    <row r="14" ht="15.75" customHeight="1">
      <c r="B14" s="1253"/>
      <c r="C14" s="1335"/>
      <c r="D14" s="1335"/>
      <c r="E14" s="1335"/>
      <c r="F14" s="1335"/>
      <c r="G14" s="1335"/>
      <c r="H14" s="1335"/>
      <c r="I14" s="1336"/>
      <c r="J14" s="1336"/>
      <c r="K14" s="1337"/>
      <c r="L14" s="1336"/>
      <c r="M14" s="1336"/>
      <c r="N14" s="1338"/>
    </row>
    <row r="15" ht="15.75" customHeight="1">
      <c r="B15" s="410" t="s">
        <v>32</v>
      </c>
      <c r="C15" s="1328">
        <f t="shared" ref="C15:H15" si="19">C8-C13</f>
        <v>11569957.44</v>
      </c>
      <c r="D15" s="1328">
        <f t="shared" si="19"/>
        <v>12157537.67</v>
      </c>
      <c r="E15" s="1328">
        <f t="shared" si="19"/>
        <v>10949750.1</v>
      </c>
      <c r="F15" s="1328">
        <f t="shared" si="19"/>
        <v>10949750.1</v>
      </c>
      <c r="G15" s="1328" t="str">
        <f t="shared" si="19"/>
        <v>#REF!</v>
      </c>
      <c r="H15" s="1328" t="str">
        <f t="shared" si="19"/>
        <v>#REF!</v>
      </c>
      <c r="I15" s="1328" t="str">
        <f t="shared" ref="I15:N15" si="20">I12+I13</f>
        <v>#REF!</v>
      </c>
      <c r="J15" s="1328" t="str">
        <f t="shared" si="20"/>
        <v>#REF!</v>
      </c>
      <c r="K15" s="1329" t="str">
        <f t="shared" si="20"/>
        <v>#REF!</v>
      </c>
      <c r="L15" s="1329" t="str">
        <f t="shared" si="20"/>
        <v>#REF!</v>
      </c>
      <c r="M15" s="1329" t="str">
        <f t="shared" si="20"/>
        <v>#REF!</v>
      </c>
      <c r="N15" s="1330" t="str">
        <f t="shared" si="20"/>
        <v>#REF!</v>
      </c>
    </row>
    <row r="16" ht="15.75" customHeight="1">
      <c r="B16" s="410" t="s">
        <v>396</v>
      </c>
      <c r="C16" s="1339">
        <f t="shared" ref="C16:H16" si="21">C15/C8</f>
        <v>0.6670039137</v>
      </c>
      <c r="D16" s="1339">
        <f t="shared" si="21"/>
        <v>0.665559312</v>
      </c>
      <c r="E16" s="1339">
        <f t="shared" si="21"/>
        <v>0.6528469484</v>
      </c>
      <c r="F16" s="1339">
        <f t="shared" si="21"/>
        <v>0.6528469484</v>
      </c>
      <c r="G16" s="1339" t="str">
        <f t="shared" si="21"/>
        <v>#REF!</v>
      </c>
      <c r="H16" s="1339" t="str">
        <f t="shared" si="21"/>
        <v>#REF!</v>
      </c>
      <c r="I16" s="1328" t="str">
        <f t="shared" ref="I16:N16" si="22">I13+I14</f>
        <v>#REF!</v>
      </c>
      <c r="J16" s="1328" t="str">
        <f t="shared" si="22"/>
        <v>#REF!</v>
      </c>
      <c r="K16" s="1329" t="str">
        <f t="shared" si="22"/>
        <v>#REF!</v>
      </c>
      <c r="L16" s="1329" t="str">
        <f t="shared" si="22"/>
        <v>#REF!</v>
      </c>
      <c r="M16" s="1329" t="str">
        <f t="shared" si="22"/>
        <v>#REF!</v>
      </c>
      <c r="N16" s="1330" t="str">
        <f t="shared" si="22"/>
        <v>#REF!</v>
      </c>
    </row>
    <row r="17" ht="15.75" customHeight="1">
      <c r="B17" s="401"/>
      <c r="C17" s="1331" t="str">
        <f>'Summary Sheet - April 2026'!O16</f>
        <v/>
      </c>
      <c r="D17" s="1331"/>
      <c r="E17" s="1331"/>
      <c r="F17" s="1331"/>
      <c r="G17" s="1331"/>
      <c r="H17" s="1331"/>
      <c r="I17" s="1332"/>
      <c r="J17" s="1332"/>
      <c r="K17" s="1333"/>
      <c r="L17" s="1332"/>
      <c r="M17" s="1332"/>
      <c r="N17" s="1334"/>
    </row>
    <row r="18" ht="15.75" customHeight="1">
      <c r="B18" s="404" t="s">
        <v>33</v>
      </c>
      <c r="C18" s="1323">
        <f>'Summary Sheet - April 2026'!AE19</f>
        <v>439199.4533</v>
      </c>
      <c r="D18" s="1323">
        <f>'Summary Sheet - May 2026'!AE19</f>
        <v>545089</v>
      </c>
      <c r="E18" s="1323">
        <f>'Summary Sheet - June 2026'!AE19</f>
        <v>344770</v>
      </c>
      <c r="F18" s="1323">
        <f>'Summary Sheet - July 2026'!AE19</f>
        <v>344770</v>
      </c>
      <c r="G18" s="1323" t="str">
        <f t="shared" ref="G18:G27" si="23">'Summary Sheet - Aug 2026'!AE19</f>
        <v>#REF!</v>
      </c>
      <c r="H18" s="1323" t="str">
        <f t="shared" ref="H18:H27" si="24">'Summary Sheet - Sep 2026'!AE19</f>
        <v>#REF!</v>
      </c>
      <c r="I18" s="1323" t="str">
        <f t="shared" ref="I18:I27" si="25">'Summary Sheet - Oct 2026'!AE19</f>
        <v>#REF!</v>
      </c>
      <c r="J18" s="1323" t="str">
        <f t="shared" ref="J18:J27" si="26">'Summary Sheet - Nov 2026'!AE19</f>
        <v>#REF!</v>
      </c>
      <c r="K18" s="1323" t="str">
        <f t="shared" ref="K18:K27" si="27">'Summary Sheet - Dec 2026'!AE19</f>
        <v>#REF!</v>
      </c>
      <c r="L18" s="1323" t="str">
        <f t="shared" ref="L18:L27" si="28">'Summary Sheet - Jan 2026'!AE19</f>
        <v>#REF!</v>
      </c>
      <c r="M18" s="1323" t="str">
        <f t="shared" ref="M18:M27" si="29">'Summary Sheet - Feb 2026'!AE19</f>
        <v>#REF!</v>
      </c>
      <c r="N18" s="1324" t="str">
        <f t="shared" ref="N18:N27" si="30">'Summary Sheet - Mar 2026'!AE19</f>
        <v>#REF!</v>
      </c>
    </row>
    <row r="19" ht="15.75" customHeight="1">
      <c r="B19" s="404" t="s">
        <v>34</v>
      </c>
      <c r="C19" s="1323">
        <f>'Summary Sheet - April 2026'!AE20</f>
        <v>86882</v>
      </c>
      <c r="D19" s="1323">
        <f>'Summary Sheet - May 2026'!AE20</f>
        <v>100602</v>
      </c>
      <c r="E19" s="1323">
        <f>'Summary Sheet - June 2026'!AE20</f>
        <v>103111</v>
      </c>
      <c r="F19" s="1323">
        <f>'Summary Sheet - July 2026'!AE20</f>
        <v>103111</v>
      </c>
      <c r="G19" s="1323" t="str">
        <f t="shared" si="23"/>
        <v>#REF!</v>
      </c>
      <c r="H19" s="1323" t="str">
        <f t="shared" si="24"/>
        <v>#REF!</v>
      </c>
      <c r="I19" s="1323" t="str">
        <f t="shared" si="25"/>
        <v>#REF!</v>
      </c>
      <c r="J19" s="1323" t="str">
        <f t="shared" si="26"/>
        <v>#REF!</v>
      </c>
      <c r="K19" s="1323" t="str">
        <f t="shared" si="27"/>
        <v>#REF!</v>
      </c>
      <c r="L19" s="1323" t="str">
        <f t="shared" si="28"/>
        <v>#REF!</v>
      </c>
      <c r="M19" s="1323" t="str">
        <f t="shared" si="29"/>
        <v>#REF!</v>
      </c>
      <c r="N19" s="1324" t="str">
        <f t="shared" si="30"/>
        <v>#REF!</v>
      </c>
    </row>
    <row r="20" ht="15.75" customHeight="1">
      <c r="B20" s="404" t="s">
        <v>35</v>
      </c>
      <c r="C20" s="1323">
        <f>'Summary Sheet - April 2026'!AE21</f>
        <v>628442</v>
      </c>
      <c r="D20" s="1323">
        <f>'Summary Sheet - May 2026'!AE21</f>
        <v>679501</v>
      </c>
      <c r="E20" s="1323">
        <f>'Summary Sheet - June 2026'!AE21</f>
        <v>573147</v>
      </c>
      <c r="F20" s="1323">
        <f>'Summary Sheet - July 2026'!AE21</f>
        <v>573147</v>
      </c>
      <c r="G20" s="1323" t="str">
        <f t="shared" si="23"/>
        <v>#REF!</v>
      </c>
      <c r="H20" s="1323" t="str">
        <f t="shared" si="24"/>
        <v>#REF!</v>
      </c>
      <c r="I20" s="1323" t="str">
        <f t="shared" si="25"/>
        <v>#REF!</v>
      </c>
      <c r="J20" s="1323" t="str">
        <f t="shared" si="26"/>
        <v>#REF!</v>
      </c>
      <c r="K20" s="1323" t="str">
        <f t="shared" si="27"/>
        <v>#REF!</v>
      </c>
      <c r="L20" s="1323" t="str">
        <f t="shared" si="28"/>
        <v>#REF!</v>
      </c>
      <c r="M20" s="1323" t="str">
        <f t="shared" si="29"/>
        <v>#REF!</v>
      </c>
      <c r="N20" s="1324" t="str">
        <f t="shared" si="30"/>
        <v>#REF!</v>
      </c>
    </row>
    <row r="21" ht="15.75" customHeight="1">
      <c r="B21" s="404" t="s">
        <v>36</v>
      </c>
      <c r="C21" s="1323">
        <f>'Summary Sheet - April 2026'!AE22</f>
        <v>1542823</v>
      </c>
      <c r="D21" s="1323">
        <f>'Summary Sheet - May 2026'!AE22</f>
        <v>1181980</v>
      </c>
      <c r="E21" s="1323">
        <f>'Summary Sheet - June 2026'!AE22</f>
        <v>1737153</v>
      </c>
      <c r="F21" s="1323">
        <f>'Summary Sheet - July 2026'!AE22</f>
        <v>1737153</v>
      </c>
      <c r="G21" s="1323" t="str">
        <f t="shared" si="23"/>
        <v>#REF!</v>
      </c>
      <c r="H21" s="1323" t="str">
        <f t="shared" si="24"/>
        <v>#REF!</v>
      </c>
      <c r="I21" s="1323" t="str">
        <f t="shared" si="25"/>
        <v>#REF!</v>
      </c>
      <c r="J21" s="1323" t="str">
        <f t="shared" si="26"/>
        <v>#REF!</v>
      </c>
      <c r="K21" s="1323" t="str">
        <f t="shared" si="27"/>
        <v>#REF!</v>
      </c>
      <c r="L21" s="1323" t="str">
        <f t="shared" si="28"/>
        <v>#REF!</v>
      </c>
      <c r="M21" s="1323" t="str">
        <f t="shared" si="29"/>
        <v>#REF!</v>
      </c>
      <c r="N21" s="1324" t="str">
        <f t="shared" si="30"/>
        <v>#REF!</v>
      </c>
    </row>
    <row r="22" ht="15.75" customHeight="1">
      <c r="B22" s="404" t="s">
        <v>37</v>
      </c>
      <c r="C22" s="1323">
        <f>'Summary Sheet - April 2026'!AE23</f>
        <v>3711761.087</v>
      </c>
      <c r="D22" s="1323">
        <f>'Summary Sheet - May 2026'!AE23</f>
        <v>3798707.917</v>
      </c>
      <c r="E22" s="1323">
        <f>'Summary Sheet - June 2026'!AE23</f>
        <v>3735702</v>
      </c>
      <c r="F22" s="1323">
        <f>'Summary Sheet - July 2026'!AE23</f>
        <v>3735702</v>
      </c>
      <c r="G22" s="1323" t="str">
        <f t="shared" si="23"/>
        <v>#REF!</v>
      </c>
      <c r="H22" s="1323" t="str">
        <f t="shared" si="24"/>
        <v>#REF!</v>
      </c>
      <c r="I22" s="1323" t="str">
        <f t="shared" si="25"/>
        <v>#REF!</v>
      </c>
      <c r="J22" s="1323" t="str">
        <f t="shared" si="26"/>
        <v>#REF!</v>
      </c>
      <c r="K22" s="1323" t="str">
        <f t="shared" si="27"/>
        <v>#REF!</v>
      </c>
      <c r="L22" s="1323" t="str">
        <f t="shared" si="28"/>
        <v>#REF!</v>
      </c>
      <c r="M22" s="1323" t="str">
        <f t="shared" si="29"/>
        <v>#REF!</v>
      </c>
      <c r="N22" s="1324" t="str">
        <f t="shared" si="30"/>
        <v>#REF!</v>
      </c>
    </row>
    <row r="23" ht="15.75" customHeight="1">
      <c r="B23" s="404" t="s">
        <v>38</v>
      </c>
      <c r="C23" s="1323">
        <f>'Summary Sheet - April 2026'!AE24</f>
        <v>24094</v>
      </c>
      <c r="D23" s="1323">
        <f>'Summary Sheet - May 2026'!AE24</f>
        <v>19862</v>
      </c>
      <c r="E23" s="1323">
        <f>'Summary Sheet - June 2026'!AE24</f>
        <v>20647</v>
      </c>
      <c r="F23" s="1323">
        <f>'Summary Sheet - July 2026'!AE24</f>
        <v>20647</v>
      </c>
      <c r="G23" s="1323" t="str">
        <f t="shared" si="23"/>
        <v>#REF!</v>
      </c>
      <c r="H23" s="1323" t="str">
        <f t="shared" si="24"/>
        <v>#REF!</v>
      </c>
      <c r="I23" s="1323" t="str">
        <f t="shared" si="25"/>
        <v>#REF!</v>
      </c>
      <c r="J23" s="1323" t="str">
        <f t="shared" si="26"/>
        <v>#REF!</v>
      </c>
      <c r="K23" s="1323" t="str">
        <f t="shared" si="27"/>
        <v>#REF!</v>
      </c>
      <c r="L23" s="1323" t="str">
        <f t="shared" si="28"/>
        <v>#REF!</v>
      </c>
      <c r="M23" s="1323" t="str">
        <f t="shared" si="29"/>
        <v>#REF!</v>
      </c>
      <c r="N23" s="1324" t="str">
        <f t="shared" si="30"/>
        <v>#REF!</v>
      </c>
    </row>
    <row r="24" ht="15.75" customHeight="1">
      <c r="B24" s="404" t="s">
        <v>39</v>
      </c>
      <c r="C24" s="1323">
        <f>'Summary Sheet - April 2026'!AE25</f>
        <v>77845.33333</v>
      </c>
      <c r="D24" s="1323">
        <f>'Summary Sheet - May 2026'!AE25</f>
        <v>77845.33333</v>
      </c>
      <c r="E24" s="1323">
        <f>'Summary Sheet - June 2026'!AE25</f>
        <v>66430</v>
      </c>
      <c r="F24" s="1323">
        <f>'Summary Sheet - July 2026'!AE25</f>
        <v>66430</v>
      </c>
      <c r="G24" s="1323" t="str">
        <f t="shared" si="23"/>
        <v>#REF!</v>
      </c>
      <c r="H24" s="1323" t="str">
        <f t="shared" si="24"/>
        <v>#REF!</v>
      </c>
      <c r="I24" s="1323" t="str">
        <f t="shared" si="25"/>
        <v>#REF!</v>
      </c>
      <c r="J24" s="1323" t="str">
        <f t="shared" si="26"/>
        <v>#REF!</v>
      </c>
      <c r="K24" s="1323" t="str">
        <f t="shared" si="27"/>
        <v>#REF!</v>
      </c>
      <c r="L24" s="1323" t="str">
        <f t="shared" si="28"/>
        <v>#REF!</v>
      </c>
      <c r="M24" s="1323" t="str">
        <f t="shared" si="29"/>
        <v>#REF!</v>
      </c>
      <c r="N24" s="1324" t="str">
        <f t="shared" si="30"/>
        <v>#REF!</v>
      </c>
    </row>
    <row r="25" ht="15.75" customHeight="1">
      <c r="B25" s="404" t="s">
        <v>40</v>
      </c>
      <c r="C25" s="1323">
        <f>'Summary Sheet - April 2026'!AE26</f>
        <v>697156.76</v>
      </c>
      <c r="D25" s="1323">
        <f>'Summary Sheet - May 2026'!AE26</f>
        <v>373758</v>
      </c>
      <c r="E25" s="1323">
        <f>'Summary Sheet - June 2026'!AE26</f>
        <v>446195</v>
      </c>
      <c r="F25" s="1323">
        <f>'Summary Sheet - July 2026'!AE26</f>
        <v>446195</v>
      </c>
      <c r="G25" s="1323" t="str">
        <f t="shared" si="23"/>
        <v>#REF!</v>
      </c>
      <c r="H25" s="1323" t="str">
        <f t="shared" si="24"/>
        <v>#REF!</v>
      </c>
      <c r="I25" s="1323" t="str">
        <f t="shared" si="25"/>
        <v>#REF!</v>
      </c>
      <c r="J25" s="1323" t="str">
        <f t="shared" si="26"/>
        <v>#REF!</v>
      </c>
      <c r="K25" s="1323" t="str">
        <f t="shared" si="27"/>
        <v>#REF!</v>
      </c>
      <c r="L25" s="1323" t="str">
        <f t="shared" si="28"/>
        <v>#REF!</v>
      </c>
      <c r="M25" s="1323" t="str">
        <f t="shared" si="29"/>
        <v>#REF!</v>
      </c>
      <c r="N25" s="1324" t="str">
        <f t="shared" si="30"/>
        <v>#REF!</v>
      </c>
    </row>
    <row r="26" ht="15.75" customHeight="1">
      <c r="B26" s="404" t="s">
        <v>41</v>
      </c>
      <c r="C26" s="1323">
        <f>'Summary Sheet - April 2026'!AE27</f>
        <v>10325</v>
      </c>
      <c r="D26" s="1323">
        <f>'Summary Sheet - May 2026'!AE27</f>
        <v>10325</v>
      </c>
      <c r="E26" s="1323">
        <f>'Summary Sheet - June 2026'!AE27</f>
        <v>10325</v>
      </c>
      <c r="F26" s="1323">
        <f>'Summary Sheet - July 2026'!AE27</f>
        <v>10325</v>
      </c>
      <c r="G26" s="1323" t="str">
        <f t="shared" si="23"/>
        <v>#REF!</v>
      </c>
      <c r="H26" s="1323" t="str">
        <f t="shared" si="24"/>
        <v>#REF!</v>
      </c>
      <c r="I26" s="1323" t="str">
        <f t="shared" si="25"/>
        <v>#REF!</v>
      </c>
      <c r="J26" s="1323" t="str">
        <f t="shared" si="26"/>
        <v>#REF!</v>
      </c>
      <c r="K26" s="1323" t="str">
        <f t="shared" si="27"/>
        <v>#REF!</v>
      </c>
      <c r="L26" s="1323" t="str">
        <f t="shared" si="28"/>
        <v>#REF!</v>
      </c>
      <c r="M26" s="1323" t="str">
        <f t="shared" si="29"/>
        <v>#REF!</v>
      </c>
      <c r="N26" s="1324" t="str">
        <f t="shared" si="30"/>
        <v>#REF!</v>
      </c>
    </row>
    <row r="27" ht="15.75" customHeight="1">
      <c r="B27" s="1252" t="s">
        <v>42</v>
      </c>
      <c r="C27" s="1326">
        <f>'Summary Sheet - April 2026'!AE28</f>
        <v>0</v>
      </c>
      <c r="D27" s="1326">
        <f>'Summary Sheet - May 2026'!AE28</f>
        <v>0</v>
      </c>
      <c r="E27" s="1326">
        <f>'Summary Sheet - June 2026'!AE28</f>
        <v>0</v>
      </c>
      <c r="F27" s="1326">
        <f>'Summary Sheet - July 2026'!AE28</f>
        <v>0</v>
      </c>
      <c r="G27" s="1326" t="str">
        <f t="shared" si="23"/>
        <v>#REF!</v>
      </c>
      <c r="H27" s="1326" t="str">
        <f t="shared" si="24"/>
        <v>#REF!</v>
      </c>
      <c r="I27" s="1326" t="str">
        <f t="shared" si="25"/>
        <v>#REF!</v>
      </c>
      <c r="J27" s="1326" t="str">
        <f t="shared" si="26"/>
        <v>#REF!</v>
      </c>
      <c r="K27" s="1326" t="str">
        <f t="shared" si="27"/>
        <v>#REF!</v>
      </c>
      <c r="L27" s="1326" t="str">
        <f t="shared" si="28"/>
        <v>#REF!</v>
      </c>
      <c r="M27" s="1326" t="str">
        <f t="shared" si="29"/>
        <v>#REF!</v>
      </c>
      <c r="N27" s="1327" t="str">
        <f t="shared" si="30"/>
        <v>#REF!</v>
      </c>
    </row>
    <row r="28" ht="15.75" customHeight="1">
      <c r="B28" s="410" t="s">
        <v>43</v>
      </c>
      <c r="C28" s="1328">
        <f t="shared" ref="C28:H28" si="31">SUM(C18:C27)</f>
        <v>7218528.633</v>
      </c>
      <c r="D28" s="1328">
        <f t="shared" si="31"/>
        <v>6787670.25</v>
      </c>
      <c r="E28" s="1328">
        <f t="shared" si="31"/>
        <v>7037480</v>
      </c>
      <c r="F28" s="1328">
        <f t="shared" si="31"/>
        <v>7037480</v>
      </c>
      <c r="G28" s="1328" t="str">
        <f t="shared" si="31"/>
        <v>#REF!</v>
      </c>
      <c r="H28" s="1328" t="str">
        <f t="shared" si="31"/>
        <v>#REF!</v>
      </c>
      <c r="I28" s="1328" t="str">
        <f t="shared" ref="I28:N28" si="32">I25+I26</f>
        <v>#REF!</v>
      </c>
      <c r="J28" s="1328" t="str">
        <f t="shared" si="32"/>
        <v>#REF!</v>
      </c>
      <c r="K28" s="1329" t="str">
        <f t="shared" si="32"/>
        <v>#REF!</v>
      </c>
      <c r="L28" s="1329" t="str">
        <f t="shared" si="32"/>
        <v>#REF!</v>
      </c>
      <c r="M28" s="1329" t="str">
        <f t="shared" si="32"/>
        <v>#REF!</v>
      </c>
      <c r="N28" s="1330" t="str">
        <f t="shared" si="32"/>
        <v>#REF!</v>
      </c>
    </row>
    <row r="29" ht="15.75" customHeight="1">
      <c r="B29" s="1253"/>
      <c r="C29" s="1335"/>
      <c r="D29" s="1335"/>
      <c r="E29" s="1335"/>
      <c r="F29" s="1335"/>
      <c r="G29" s="1335"/>
      <c r="H29" s="1335"/>
      <c r="I29" s="1336"/>
      <c r="J29" s="1336"/>
      <c r="K29" s="1337"/>
      <c r="L29" s="1336"/>
      <c r="M29" s="1336"/>
      <c r="N29" s="1338"/>
    </row>
    <row r="30" ht="15.75" customHeight="1">
      <c r="B30" s="1340" t="s">
        <v>44</v>
      </c>
      <c r="C30" s="1341">
        <f t="shared" ref="C30:H30" si="33">C15-C28</f>
        <v>4351428.808</v>
      </c>
      <c r="D30" s="1341">
        <f t="shared" si="33"/>
        <v>5369867.425</v>
      </c>
      <c r="E30" s="1341">
        <f t="shared" si="33"/>
        <v>3912270.095</v>
      </c>
      <c r="F30" s="1341">
        <f t="shared" si="33"/>
        <v>3912270.095</v>
      </c>
      <c r="G30" s="1341" t="str">
        <f t="shared" si="33"/>
        <v>#REF!</v>
      </c>
      <c r="H30" s="1341" t="str">
        <f t="shared" si="33"/>
        <v>#REF!</v>
      </c>
      <c r="I30" s="1341" t="str">
        <f t="shared" ref="I30:N30" si="34">I27+I28</f>
        <v>#REF!</v>
      </c>
      <c r="J30" s="1341" t="str">
        <f t="shared" si="34"/>
        <v>#REF!</v>
      </c>
      <c r="K30" s="1342" t="str">
        <f t="shared" si="34"/>
        <v>#REF!</v>
      </c>
      <c r="L30" s="1342" t="str">
        <f t="shared" si="34"/>
        <v>#REF!</v>
      </c>
      <c r="M30" s="1342" t="str">
        <f t="shared" si="34"/>
        <v>#REF!</v>
      </c>
      <c r="N30" s="1343" t="str">
        <f t="shared" si="34"/>
        <v>#REF!</v>
      </c>
    </row>
    <row r="31" ht="15.75" customHeight="1">
      <c r="B31" s="410" t="s">
        <v>397</v>
      </c>
      <c r="C31" s="1339">
        <f t="shared" ref="C31:H31" si="35">C30/C8</f>
        <v>0.2508583164</v>
      </c>
      <c r="D31" s="1339">
        <f t="shared" si="35"/>
        <v>0.2939711448</v>
      </c>
      <c r="E31" s="1339">
        <f t="shared" si="35"/>
        <v>0.2332577064</v>
      </c>
      <c r="F31" s="1339">
        <f t="shared" si="35"/>
        <v>0.2332577064</v>
      </c>
      <c r="G31" s="1339" t="str">
        <f t="shared" si="35"/>
        <v>#REF!</v>
      </c>
      <c r="H31" s="1339" t="str">
        <f t="shared" si="35"/>
        <v>#REF!</v>
      </c>
      <c r="I31" s="1328" t="str">
        <f t="shared" ref="I31:N31" si="36">I28+I29</f>
        <v>#REF!</v>
      </c>
      <c r="J31" s="1328" t="str">
        <f t="shared" si="36"/>
        <v>#REF!</v>
      </c>
      <c r="K31" s="1329" t="str">
        <f t="shared" si="36"/>
        <v>#REF!</v>
      </c>
      <c r="L31" s="1329" t="str">
        <f t="shared" si="36"/>
        <v>#REF!</v>
      </c>
      <c r="M31" s="1329" t="str">
        <f t="shared" si="36"/>
        <v>#REF!</v>
      </c>
      <c r="N31" s="1330" t="str">
        <f t="shared" si="36"/>
        <v>#REF!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2.38"/>
    <col customWidth="1" min="3" max="3" width="9.0"/>
    <col customWidth="1" min="4" max="4" width="8.38"/>
    <col customWidth="1" min="5" max="5" width="9.0"/>
    <col customWidth="1" min="6" max="10" width="8.38"/>
    <col customWidth="1" min="11" max="11" width="9.38"/>
    <col customWidth="1" min="12" max="12" width="9.25"/>
    <col customWidth="1" min="13" max="13" width="10.63"/>
    <col customWidth="1" min="14" max="14" width="10.25"/>
  </cols>
  <sheetData>
    <row r="1" ht="15.75" customHeight="1">
      <c r="A1" s="272" t="s">
        <v>450</v>
      </c>
    </row>
    <row r="2" ht="15.75" customHeight="1">
      <c r="C2" s="1316"/>
      <c r="D2" s="1316"/>
      <c r="E2" s="1316"/>
      <c r="F2" s="1316"/>
    </row>
    <row r="3" ht="15.75" customHeight="1">
      <c r="B3" s="257"/>
      <c r="C3" s="1344" t="s">
        <v>383</v>
      </c>
      <c r="D3" s="1344" t="s">
        <v>384</v>
      </c>
      <c r="E3" s="1344" t="s">
        <v>444</v>
      </c>
      <c r="F3" s="1344" t="s">
        <v>386</v>
      </c>
      <c r="G3" s="1344" t="s">
        <v>387</v>
      </c>
      <c r="H3" s="1344" t="s">
        <v>388</v>
      </c>
      <c r="I3" s="1344" t="s">
        <v>389</v>
      </c>
      <c r="J3" s="1344" t="s">
        <v>390</v>
      </c>
      <c r="K3" s="1344" t="s">
        <v>391</v>
      </c>
      <c r="L3" s="1344" t="s">
        <v>392</v>
      </c>
      <c r="M3" s="1344" t="s">
        <v>393</v>
      </c>
      <c r="N3" s="1344" t="s">
        <v>394</v>
      </c>
      <c r="P3" s="1319" t="s">
        <v>446</v>
      </c>
      <c r="Q3" s="1320" t="str">
        <f>AVERAGE(C8:N8)</f>
        <v>#REF!</v>
      </c>
    </row>
    <row r="4" ht="15.75" customHeight="1">
      <c r="B4" s="250" t="s">
        <v>21</v>
      </c>
      <c r="C4" s="258">
        <f>'Summary Sheet - April 2026'!AA5</f>
        <v>1273758.75</v>
      </c>
      <c r="D4" s="258">
        <f>'Summary Sheet - May 2026'!AA5</f>
        <v>1116341</v>
      </c>
      <c r="E4" s="258">
        <f>'Summary Sheet - June 2026'!AA5</f>
        <v>1307976</v>
      </c>
      <c r="F4" s="258">
        <f>'Summary Sheet - July 2026'!AA5</f>
        <v>1307976</v>
      </c>
      <c r="G4" s="258" t="str">
        <f t="shared" ref="G4:G7" si="1">'Summary Sheet - Aug 2026'!AA5</f>
        <v>#REF!</v>
      </c>
      <c r="H4" s="258" t="str">
        <f t="shared" ref="H4:H7" si="2">'Summary Sheet - Sep 2026'!AA5</f>
        <v>#REF!</v>
      </c>
      <c r="I4" s="258" t="str">
        <f t="shared" ref="I4:I7" si="3">'Summary Sheet - Oct 2026'!AA5</f>
        <v>#REF!</v>
      </c>
      <c r="J4" s="258" t="str">
        <f t="shared" ref="J4:J7" si="4">'Summary Sheet - Nov 2026'!AA5</f>
        <v>#REF!</v>
      </c>
      <c r="K4" s="258" t="str">
        <f t="shared" ref="K4:K7" si="5">'Summary Sheet - Dec 2026'!AA5</f>
        <v>#REF!</v>
      </c>
      <c r="L4" s="258" t="str">
        <f t="shared" ref="L4:L7" si="6">'Summary Sheet - Jan 2026'!AA5</f>
        <v>#REF!</v>
      </c>
      <c r="M4" s="258" t="str">
        <f t="shared" ref="M4:M7" si="7">'Summary Sheet - Feb 2026'!AA5</f>
        <v>#REF!</v>
      </c>
      <c r="N4" s="258" t="str">
        <f t="shared" ref="N4:N7" si="8">'Summary Sheet - Mar 2026'!AA5</f>
        <v>#REF!</v>
      </c>
      <c r="P4" s="1319" t="s">
        <v>447</v>
      </c>
      <c r="Q4" s="1320" t="str">
        <f>AVERAGE(C29:N29)</f>
        <v>#REF!</v>
      </c>
    </row>
    <row r="5" ht="15.75" customHeight="1">
      <c r="B5" s="250" t="s">
        <v>22</v>
      </c>
      <c r="C5" s="258">
        <f>'Summary Sheet - April 2026'!AA6</f>
        <v>0</v>
      </c>
      <c r="D5" s="258">
        <f>'Summary Sheet - May 2026'!AA6</f>
        <v>0</v>
      </c>
      <c r="E5" s="258">
        <f>'Summary Sheet - June 2026'!AA6</f>
        <v>0</v>
      </c>
      <c r="F5" s="258">
        <f>'Summary Sheet - July 2026'!AA6</f>
        <v>0</v>
      </c>
      <c r="G5" s="258" t="str">
        <f t="shared" si="1"/>
        <v>#REF!</v>
      </c>
      <c r="H5" s="258" t="str">
        <f t="shared" si="2"/>
        <v>#REF!</v>
      </c>
      <c r="I5" s="258" t="str">
        <f t="shared" si="3"/>
        <v>#REF!</v>
      </c>
      <c r="J5" s="258" t="str">
        <f t="shared" si="4"/>
        <v>#REF!</v>
      </c>
      <c r="K5" s="258" t="str">
        <f t="shared" si="5"/>
        <v>#REF!</v>
      </c>
      <c r="L5" s="258" t="str">
        <f t="shared" si="6"/>
        <v>#REF!</v>
      </c>
      <c r="M5" s="258" t="str">
        <f t="shared" si="7"/>
        <v>#REF!</v>
      </c>
      <c r="N5" s="258" t="str">
        <f t="shared" si="8"/>
        <v>#REF!</v>
      </c>
      <c r="P5" s="1319" t="s">
        <v>448</v>
      </c>
      <c r="Q5" s="1325" t="str">
        <f>Q4/Q3</f>
        <v>#REF!</v>
      </c>
    </row>
    <row r="6" ht="15.75" customHeight="1">
      <c r="B6" s="250" t="s">
        <v>23</v>
      </c>
      <c r="C6" s="258">
        <f>'Summary Sheet - April 2026'!AA7</f>
        <v>8773903.15</v>
      </c>
      <c r="D6" s="258">
        <f>'Summary Sheet - May 2026'!AA7</f>
        <v>8669774</v>
      </c>
      <c r="E6" s="258">
        <f>'Summary Sheet - June 2026'!AA7</f>
        <v>7193571</v>
      </c>
      <c r="F6" s="258">
        <f>'Summary Sheet - July 2026'!AA7</f>
        <v>7193571</v>
      </c>
      <c r="G6" s="258" t="str">
        <f t="shared" si="1"/>
        <v>#REF!</v>
      </c>
      <c r="H6" s="258" t="str">
        <f t="shared" si="2"/>
        <v>#REF!</v>
      </c>
      <c r="I6" s="258" t="str">
        <f t="shared" si="3"/>
        <v>#REF!</v>
      </c>
      <c r="J6" s="258" t="str">
        <f t="shared" si="4"/>
        <v>#REF!</v>
      </c>
      <c r="K6" s="258" t="str">
        <f t="shared" si="5"/>
        <v>#REF!</v>
      </c>
      <c r="L6" s="258" t="str">
        <f t="shared" si="6"/>
        <v>#REF!</v>
      </c>
      <c r="M6" s="258" t="str">
        <f t="shared" si="7"/>
        <v>#REF!</v>
      </c>
      <c r="N6" s="258" t="str">
        <f t="shared" si="8"/>
        <v>#REF!</v>
      </c>
    </row>
    <row r="7" ht="15.75" customHeight="1">
      <c r="B7" s="250" t="s">
        <v>24</v>
      </c>
      <c r="C7" s="258">
        <f>'Summary Sheet - April 2026'!AA8</f>
        <v>356972.05</v>
      </c>
      <c r="D7" s="258">
        <f>'Summary Sheet - May 2026'!AA8</f>
        <v>375190</v>
      </c>
      <c r="E7" s="258">
        <f>'Summary Sheet - June 2026'!AA8</f>
        <v>344513</v>
      </c>
      <c r="F7" s="258">
        <f>'Summary Sheet - July 2026'!AA8</f>
        <v>344513</v>
      </c>
      <c r="G7" s="258" t="str">
        <f t="shared" si="1"/>
        <v>#REF!</v>
      </c>
      <c r="H7" s="258" t="str">
        <f t="shared" si="2"/>
        <v>#REF!</v>
      </c>
      <c r="I7" s="258" t="str">
        <f t="shared" si="3"/>
        <v>#REF!</v>
      </c>
      <c r="J7" s="258" t="str">
        <f t="shared" si="4"/>
        <v>#REF!</v>
      </c>
      <c r="K7" s="258" t="str">
        <f t="shared" si="5"/>
        <v>#REF!</v>
      </c>
      <c r="L7" s="258" t="str">
        <f t="shared" si="6"/>
        <v>#REF!</v>
      </c>
      <c r="M7" s="258" t="str">
        <f t="shared" si="7"/>
        <v>#REF!</v>
      </c>
      <c r="N7" s="258" t="str">
        <f t="shared" si="8"/>
        <v>#REF!</v>
      </c>
    </row>
    <row r="8" ht="15.75" customHeight="1">
      <c r="B8" s="250" t="s">
        <v>26</v>
      </c>
      <c r="C8" s="1345">
        <f t="shared" ref="C8:N8" si="9">SUM(C4:C7)</f>
        <v>10404633.95</v>
      </c>
      <c r="D8" s="1345">
        <f t="shared" si="9"/>
        <v>10161305</v>
      </c>
      <c r="E8" s="1345">
        <f t="shared" si="9"/>
        <v>8846060</v>
      </c>
      <c r="F8" s="1345">
        <f t="shared" si="9"/>
        <v>8846060</v>
      </c>
      <c r="G8" s="1345" t="str">
        <f t="shared" si="9"/>
        <v>#REF!</v>
      </c>
      <c r="H8" s="1345" t="str">
        <f t="shared" si="9"/>
        <v>#REF!</v>
      </c>
      <c r="I8" s="1345" t="str">
        <f t="shared" si="9"/>
        <v>#REF!</v>
      </c>
      <c r="J8" s="1345" t="str">
        <f t="shared" si="9"/>
        <v>#REF!</v>
      </c>
      <c r="K8" s="1345" t="str">
        <f t="shared" si="9"/>
        <v>#REF!</v>
      </c>
      <c r="L8" s="1346" t="str">
        <f t="shared" si="9"/>
        <v>#REF!</v>
      </c>
      <c r="M8" s="1346" t="str">
        <f t="shared" si="9"/>
        <v>#REF!</v>
      </c>
      <c r="N8" s="1346" t="str">
        <f t="shared" si="9"/>
        <v>#REF!</v>
      </c>
    </row>
    <row r="9" ht="15.75" customHeight="1">
      <c r="B9" s="250"/>
      <c r="C9" s="257"/>
      <c r="D9" s="257"/>
      <c r="E9" s="257"/>
      <c r="F9" s="257"/>
      <c r="G9" s="257"/>
      <c r="H9" s="257"/>
      <c r="I9" s="257"/>
      <c r="J9" s="257"/>
      <c r="K9" s="257"/>
      <c r="L9" s="1347"/>
      <c r="M9" s="1347"/>
      <c r="N9" s="1347"/>
    </row>
    <row r="10" ht="15.75" customHeight="1">
      <c r="B10" s="250" t="s">
        <v>28</v>
      </c>
      <c r="C10" s="258">
        <f>'Summary Sheet - April 2026'!AA12</f>
        <v>3335913.994</v>
      </c>
      <c r="D10" s="258">
        <f>'Summary Sheet - May 2026'!AA12</f>
        <v>3646477.811</v>
      </c>
      <c r="E10" s="258">
        <f>'Summary Sheet - June 2026'!AA12</f>
        <v>3339880.962</v>
      </c>
      <c r="F10" s="258">
        <f>'Summary Sheet - July 2026'!AA12</f>
        <v>3339880.962</v>
      </c>
      <c r="G10" s="258" t="str">
        <f t="shared" ref="G10:G11" si="10">'Summary Sheet - Aug 2026'!AA12</f>
        <v>#REF!</v>
      </c>
      <c r="H10" s="258" t="str">
        <f t="shared" ref="H10:H11" si="11">'Summary Sheet - Sep 2026'!AA12</f>
        <v>#REF!</v>
      </c>
      <c r="I10" s="258" t="str">
        <f t="shared" ref="I10:I11" si="12">'Summary Sheet - Oct 2026'!AA12</f>
        <v>#REF!</v>
      </c>
      <c r="J10" s="258" t="str">
        <f t="shared" ref="J10:J11" si="13">'Summary Sheet - Nov 2026'!AA12</f>
        <v>#REF!</v>
      </c>
      <c r="K10" s="258" t="str">
        <f t="shared" ref="K10:K11" si="14">'Summary Sheet - Dec 2026'!AA12</f>
        <v>#REF!</v>
      </c>
      <c r="L10" s="258" t="str">
        <f t="shared" ref="L10:L11" si="15">'Summary Sheet - Jan 2026'!AA12</f>
        <v>#REF!</v>
      </c>
      <c r="M10" s="258" t="str">
        <f t="shared" ref="M10:M11" si="16">'Summary Sheet - Feb 2026'!AA12</f>
        <v>#REF!</v>
      </c>
      <c r="N10" s="258" t="str">
        <f t="shared" ref="N10:N11" si="17">'Summary Sheet - Mar 2026'!AA12</f>
        <v>#REF!</v>
      </c>
    </row>
    <row r="11" ht="15.75" customHeight="1">
      <c r="B11" s="250" t="s">
        <v>29</v>
      </c>
      <c r="C11" s="258">
        <f>'Summary Sheet - April 2026'!AA13</f>
        <v>213063</v>
      </c>
      <c r="D11" s="258">
        <f>'Summary Sheet - May 2026'!AA13</f>
        <v>229061</v>
      </c>
      <c r="E11" s="258">
        <f>'Summary Sheet - June 2026'!AA13</f>
        <v>199075</v>
      </c>
      <c r="F11" s="258">
        <f>'Summary Sheet - July 2026'!AA13</f>
        <v>199075</v>
      </c>
      <c r="G11" s="258" t="str">
        <f t="shared" si="10"/>
        <v>#REF!</v>
      </c>
      <c r="H11" s="258" t="str">
        <f t="shared" si="11"/>
        <v>#REF!</v>
      </c>
      <c r="I11" s="258" t="str">
        <f t="shared" si="12"/>
        <v>#REF!</v>
      </c>
      <c r="J11" s="258" t="str">
        <f t="shared" si="13"/>
        <v>#REF!</v>
      </c>
      <c r="K11" s="258" t="str">
        <f t="shared" si="14"/>
        <v>#REF!</v>
      </c>
      <c r="L11" s="258" t="str">
        <f t="shared" si="15"/>
        <v>#REF!</v>
      </c>
      <c r="M11" s="258" t="str">
        <f t="shared" si="16"/>
        <v>#REF!</v>
      </c>
      <c r="N11" s="258" t="str">
        <f t="shared" si="17"/>
        <v>#REF!</v>
      </c>
    </row>
    <row r="12" ht="15.75" customHeight="1">
      <c r="B12" s="250" t="s">
        <v>30</v>
      </c>
      <c r="C12" s="1345">
        <f t="shared" ref="C12:N12" si="18">C10+C11</f>
        <v>3548976.994</v>
      </c>
      <c r="D12" s="1345">
        <f t="shared" si="18"/>
        <v>3875538.811</v>
      </c>
      <c r="E12" s="1345">
        <f t="shared" si="18"/>
        <v>3538955.962</v>
      </c>
      <c r="F12" s="1345">
        <f t="shared" si="18"/>
        <v>3538955.962</v>
      </c>
      <c r="G12" s="1345" t="str">
        <f t="shared" si="18"/>
        <v>#REF!</v>
      </c>
      <c r="H12" s="1345" t="str">
        <f t="shared" si="18"/>
        <v>#REF!</v>
      </c>
      <c r="I12" s="1345" t="str">
        <f t="shared" si="18"/>
        <v>#REF!</v>
      </c>
      <c r="J12" s="1345" t="str">
        <f t="shared" si="18"/>
        <v>#REF!</v>
      </c>
      <c r="K12" s="1345" t="str">
        <f t="shared" si="18"/>
        <v>#REF!</v>
      </c>
      <c r="L12" s="1345" t="str">
        <f t="shared" si="18"/>
        <v>#REF!</v>
      </c>
      <c r="M12" s="1345" t="str">
        <f t="shared" si="18"/>
        <v>#REF!</v>
      </c>
      <c r="N12" s="1345" t="str">
        <f t="shared" si="18"/>
        <v>#REF!</v>
      </c>
    </row>
    <row r="13" ht="15.75" customHeight="1">
      <c r="B13" s="250" t="s">
        <v>31</v>
      </c>
      <c r="C13" s="258"/>
      <c r="D13" s="258"/>
      <c r="E13" s="258"/>
      <c r="F13" s="258"/>
      <c r="G13" s="258"/>
      <c r="H13" s="258"/>
      <c r="I13" s="258"/>
      <c r="J13" s="258"/>
      <c r="K13" s="258"/>
      <c r="L13" s="1347"/>
      <c r="M13" s="1347"/>
      <c r="N13" s="1347"/>
    </row>
    <row r="14" ht="15.75" customHeight="1">
      <c r="B14" s="250" t="s">
        <v>32</v>
      </c>
      <c r="C14" s="1345">
        <f t="shared" ref="C14:N14" si="19">C8-C12-C13</f>
        <v>6855656.956</v>
      </c>
      <c r="D14" s="1345">
        <f t="shared" si="19"/>
        <v>6285766.189</v>
      </c>
      <c r="E14" s="1345">
        <f t="shared" si="19"/>
        <v>5307104.038</v>
      </c>
      <c r="F14" s="1345">
        <f t="shared" si="19"/>
        <v>5307104.038</v>
      </c>
      <c r="G14" s="1345" t="str">
        <f t="shared" si="19"/>
        <v>#REF!</v>
      </c>
      <c r="H14" s="1345" t="str">
        <f t="shared" si="19"/>
        <v>#REF!</v>
      </c>
      <c r="I14" s="1345" t="str">
        <f t="shared" si="19"/>
        <v>#REF!</v>
      </c>
      <c r="J14" s="1345" t="str">
        <f t="shared" si="19"/>
        <v>#REF!</v>
      </c>
      <c r="K14" s="1345" t="str">
        <f t="shared" si="19"/>
        <v>#REF!</v>
      </c>
      <c r="L14" s="1345" t="str">
        <f t="shared" si="19"/>
        <v>#REF!</v>
      </c>
      <c r="M14" s="1345" t="str">
        <f t="shared" si="19"/>
        <v>#REF!</v>
      </c>
      <c r="N14" s="1345" t="str">
        <f t="shared" si="19"/>
        <v>#REF!</v>
      </c>
    </row>
    <row r="15" ht="15.75" customHeight="1">
      <c r="B15" s="250" t="s">
        <v>396</v>
      </c>
      <c r="C15" s="1348">
        <f t="shared" ref="C15:N15" si="20">C14/C8</f>
        <v>0.6589041949</v>
      </c>
      <c r="D15" s="1348">
        <f t="shared" si="20"/>
        <v>0.6185983188</v>
      </c>
      <c r="E15" s="1348">
        <f t="shared" si="20"/>
        <v>0.5999398645</v>
      </c>
      <c r="F15" s="1348">
        <f t="shared" si="20"/>
        <v>0.5999398645</v>
      </c>
      <c r="G15" s="1348" t="str">
        <f t="shared" si="20"/>
        <v>#REF!</v>
      </c>
      <c r="H15" s="1348" t="str">
        <f t="shared" si="20"/>
        <v>#REF!</v>
      </c>
      <c r="I15" s="1348" t="str">
        <f t="shared" si="20"/>
        <v>#REF!</v>
      </c>
      <c r="J15" s="1348" t="str">
        <f t="shared" si="20"/>
        <v>#REF!</v>
      </c>
      <c r="K15" s="1348" t="str">
        <f t="shared" si="20"/>
        <v>#REF!</v>
      </c>
      <c r="L15" s="1348" t="str">
        <f t="shared" si="20"/>
        <v>#REF!</v>
      </c>
      <c r="M15" s="1348" t="str">
        <f t="shared" si="20"/>
        <v>#REF!</v>
      </c>
      <c r="N15" s="1348" t="str">
        <f t="shared" si="20"/>
        <v>#REF!</v>
      </c>
    </row>
    <row r="16" ht="15.75" customHeight="1">
      <c r="B16" s="250"/>
      <c r="C16" s="257" t="str">
        <f>'Summary Sheet - April 2026'!O16</f>
        <v/>
      </c>
      <c r="D16" s="257"/>
      <c r="E16" s="257"/>
      <c r="F16" s="257"/>
      <c r="G16" s="257"/>
      <c r="H16" s="257"/>
      <c r="I16" s="257"/>
      <c r="J16" s="257"/>
      <c r="K16" s="257"/>
      <c r="L16" s="1347"/>
      <c r="M16" s="1347"/>
      <c r="N16" s="1347"/>
    </row>
    <row r="17" ht="15.75" customHeight="1">
      <c r="B17" s="250" t="s">
        <v>33</v>
      </c>
      <c r="C17" s="258">
        <f>'Summary Sheet - April 2026'!AA19</f>
        <v>229487.8233</v>
      </c>
      <c r="D17" s="258">
        <f>'Summary Sheet - May 2026'!AA19</f>
        <v>253717</v>
      </c>
      <c r="E17" s="258">
        <f>'Summary Sheet - June 2026'!AA19</f>
        <v>269833</v>
      </c>
      <c r="F17" s="258">
        <f>'Summary Sheet - July 2026'!AA19</f>
        <v>269833</v>
      </c>
      <c r="G17" s="258" t="str">
        <f t="shared" ref="G17:G26" si="21">'Summary Sheet - Aug 2026'!AA19</f>
        <v>#REF!</v>
      </c>
      <c r="H17" s="258" t="str">
        <f t="shared" ref="H17:H26" si="22">'Summary Sheet - Sep 2026'!AA19</f>
        <v>#REF!</v>
      </c>
      <c r="I17" s="258" t="str">
        <f t="shared" ref="I17:I26" si="23">'Summary Sheet - Oct 2026'!AA19</f>
        <v>#REF!</v>
      </c>
      <c r="J17" s="1349" t="str">
        <f t="shared" ref="J17:J26" si="24">'Summary Sheet - Nov 2026'!AA19</f>
        <v>#REF!</v>
      </c>
      <c r="K17" s="1349" t="str">
        <f t="shared" ref="K17:K26" si="25">'Summary Sheet - Dec 2026'!AA19</f>
        <v>#REF!</v>
      </c>
      <c r="L17" s="1349" t="str">
        <f t="shared" ref="L17:L26" si="26">'Summary Sheet - Jan 2026'!AA19</f>
        <v>#REF!</v>
      </c>
      <c r="M17" s="1349" t="str">
        <f t="shared" ref="M17:M26" si="27">'Summary Sheet - Feb 2026'!AA19</f>
        <v>#REF!</v>
      </c>
      <c r="N17" s="1349" t="str">
        <f t="shared" ref="N17:N26" si="28">'Summary Sheet - Mar 2026'!AA19</f>
        <v>#REF!</v>
      </c>
    </row>
    <row r="18" ht="15.75" customHeight="1">
      <c r="B18" s="250" t="s">
        <v>34</v>
      </c>
      <c r="C18" s="258">
        <f>'Summary Sheet - April 2026'!AA20</f>
        <v>98796.5</v>
      </c>
      <c r="D18" s="258">
        <f>'Summary Sheet - May 2026'!AA20</f>
        <v>116275</v>
      </c>
      <c r="E18" s="258">
        <f>'Summary Sheet - June 2026'!AA20</f>
        <v>97750</v>
      </c>
      <c r="F18" s="258">
        <f>'Summary Sheet - July 2026'!AA20</f>
        <v>97750</v>
      </c>
      <c r="G18" s="258" t="str">
        <f t="shared" si="21"/>
        <v>#REF!</v>
      </c>
      <c r="H18" s="258" t="str">
        <f t="shared" si="22"/>
        <v>#REF!</v>
      </c>
      <c r="I18" s="258" t="str">
        <f t="shared" si="23"/>
        <v>#REF!</v>
      </c>
      <c r="J18" s="1349" t="str">
        <f t="shared" si="24"/>
        <v>#REF!</v>
      </c>
      <c r="K18" s="1349" t="str">
        <f t="shared" si="25"/>
        <v>#REF!</v>
      </c>
      <c r="L18" s="1349" t="str">
        <f t="shared" si="26"/>
        <v>#REF!</v>
      </c>
      <c r="M18" s="1349" t="str">
        <f t="shared" si="27"/>
        <v>#REF!</v>
      </c>
      <c r="N18" s="1349" t="str">
        <f t="shared" si="28"/>
        <v>#REF!</v>
      </c>
    </row>
    <row r="19" ht="15.75" customHeight="1">
      <c r="B19" s="250" t="s">
        <v>35</v>
      </c>
      <c r="C19" s="258">
        <f>'Summary Sheet - April 2026'!AA21</f>
        <v>674779.24</v>
      </c>
      <c r="D19" s="258">
        <f>'Summary Sheet - May 2026'!AA21</f>
        <v>721776</v>
      </c>
      <c r="E19" s="258">
        <f>'Summary Sheet - June 2026'!AA21</f>
        <v>601258</v>
      </c>
      <c r="F19" s="258">
        <f>'Summary Sheet - July 2026'!AA21</f>
        <v>601258</v>
      </c>
      <c r="G19" s="258" t="str">
        <f t="shared" si="21"/>
        <v>#REF!</v>
      </c>
      <c r="H19" s="258" t="str">
        <f t="shared" si="22"/>
        <v>#REF!</v>
      </c>
      <c r="I19" s="258" t="str">
        <f t="shared" si="23"/>
        <v>#REF!</v>
      </c>
      <c r="J19" s="1349" t="str">
        <f t="shared" si="24"/>
        <v>#REF!</v>
      </c>
      <c r="K19" s="1349" t="str">
        <f t="shared" si="25"/>
        <v>#REF!</v>
      </c>
      <c r="L19" s="1349" t="str">
        <f t="shared" si="26"/>
        <v>#REF!</v>
      </c>
      <c r="M19" s="1349" t="str">
        <f t="shared" si="27"/>
        <v>#REF!</v>
      </c>
      <c r="N19" s="1349" t="str">
        <f t="shared" si="28"/>
        <v>#REF!</v>
      </c>
    </row>
    <row r="20" ht="15.75" customHeight="1">
      <c r="B20" s="250" t="s">
        <v>36</v>
      </c>
      <c r="C20" s="258">
        <f>'Summary Sheet - April 2026'!AA22</f>
        <v>1115873</v>
      </c>
      <c r="D20" s="258">
        <f>'Summary Sheet - May 2026'!AA22</f>
        <v>1073634</v>
      </c>
      <c r="E20" s="258">
        <f>'Summary Sheet - June 2026'!AA22</f>
        <v>1073951</v>
      </c>
      <c r="F20" s="258">
        <f>'Summary Sheet - July 2026'!AA22</f>
        <v>1073951</v>
      </c>
      <c r="G20" s="258" t="str">
        <f t="shared" si="21"/>
        <v>#REF!</v>
      </c>
      <c r="H20" s="258" t="str">
        <f t="shared" si="22"/>
        <v>#REF!</v>
      </c>
      <c r="I20" s="258" t="str">
        <f t="shared" si="23"/>
        <v>#REF!</v>
      </c>
      <c r="J20" s="1349" t="str">
        <f t="shared" si="24"/>
        <v>#REF!</v>
      </c>
      <c r="K20" s="1349" t="str">
        <f t="shared" si="25"/>
        <v>#REF!</v>
      </c>
      <c r="L20" s="1349" t="str">
        <f t="shared" si="26"/>
        <v>#REF!</v>
      </c>
      <c r="M20" s="1349" t="str">
        <f t="shared" si="27"/>
        <v>#REF!</v>
      </c>
      <c r="N20" s="1349" t="str">
        <f t="shared" si="28"/>
        <v>#REF!</v>
      </c>
    </row>
    <row r="21" ht="15.75" customHeight="1">
      <c r="B21" s="250" t="s">
        <v>37</v>
      </c>
      <c r="C21" s="258">
        <f>'Summary Sheet - April 2026'!AA23</f>
        <v>1746002.687</v>
      </c>
      <c r="D21" s="258">
        <f>'Summary Sheet - May 2026'!AA23</f>
        <v>1808386.667</v>
      </c>
      <c r="E21" s="258">
        <f>'Summary Sheet - June 2026'!AA23</f>
        <v>1736769</v>
      </c>
      <c r="F21" s="258">
        <f>'Summary Sheet - July 2026'!AA23</f>
        <v>1736769</v>
      </c>
      <c r="G21" s="258" t="str">
        <f t="shared" si="21"/>
        <v>#REF!</v>
      </c>
      <c r="H21" s="258" t="str">
        <f t="shared" si="22"/>
        <v>#REF!</v>
      </c>
      <c r="I21" s="258" t="str">
        <f t="shared" si="23"/>
        <v>#REF!</v>
      </c>
      <c r="J21" s="1349" t="str">
        <f t="shared" si="24"/>
        <v>#REF!</v>
      </c>
      <c r="K21" s="1349" t="str">
        <f t="shared" si="25"/>
        <v>#REF!</v>
      </c>
      <c r="L21" s="1349" t="str">
        <f t="shared" si="26"/>
        <v>#REF!</v>
      </c>
      <c r="M21" s="1349" t="str">
        <f t="shared" si="27"/>
        <v>#REF!</v>
      </c>
      <c r="N21" s="1349" t="str">
        <f t="shared" si="28"/>
        <v>#REF!</v>
      </c>
    </row>
    <row r="22" ht="15.75" customHeight="1">
      <c r="B22" s="250" t="s">
        <v>38</v>
      </c>
      <c r="C22" s="258">
        <f>'Summary Sheet - April 2026'!AA24</f>
        <v>25508</v>
      </c>
      <c r="D22" s="258">
        <f>'Summary Sheet - May 2026'!AA24</f>
        <v>16427</v>
      </c>
      <c r="E22" s="258">
        <f>'Summary Sheet - June 2026'!AA24</f>
        <v>13958</v>
      </c>
      <c r="F22" s="258">
        <f>'Summary Sheet - July 2026'!AA24</f>
        <v>13958</v>
      </c>
      <c r="G22" s="258" t="str">
        <f t="shared" si="21"/>
        <v>#REF!</v>
      </c>
      <c r="H22" s="258" t="str">
        <f t="shared" si="22"/>
        <v>#REF!</v>
      </c>
      <c r="I22" s="258" t="str">
        <f t="shared" si="23"/>
        <v>#REF!</v>
      </c>
      <c r="J22" s="1349" t="str">
        <f t="shared" si="24"/>
        <v>#REF!</v>
      </c>
      <c r="K22" s="1349" t="str">
        <f t="shared" si="25"/>
        <v>#REF!</v>
      </c>
      <c r="L22" s="1349" t="str">
        <f t="shared" si="26"/>
        <v>#REF!</v>
      </c>
      <c r="M22" s="1349" t="str">
        <f t="shared" si="27"/>
        <v>#REF!</v>
      </c>
      <c r="N22" s="1349" t="str">
        <f t="shared" si="28"/>
        <v>#REF!</v>
      </c>
    </row>
    <row r="23" ht="15.75" customHeight="1">
      <c r="B23" s="250" t="s">
        <v>39</v>
      </c>
      <c r="C23" s="258">
        <f>'Summary Sheet - April 2026'!AA25</f>
        <v>52082.33333</v>
      </c>
      <c r="D23" s="258">
        <f>'Summary Sheet - May 2026'!AA25</f>
        <v>52082.33333</v>
      </c>
      <c r="E23" s="258">
        <f>'Summary Sheet - June 2026'!AA25</f>
        <v>36904</v>
      </c>
      <c r="F23" s="258">
        <f>'Summary Sheet - July 2026'!AA25</f>
        <v>36904</v>
      </c>
      <c r="G23" s="258" t="str">
        <f t="shared" si="21"/>
        <v>#REF!</v>
      </c>
      <c r="H23" s="258" t="str">
        <f t="shared" si="22"/>
        <v>#REF!</v>
      </c>
      <c r="I23" s="258" t="str">
        <f t="shared" si="23"/>
        <v>#REF!</v>
      </c>
      <c r="J23" s="1349" t="str">
        <f t="shared" si="24"/>
        <v>#REF!</v>
      </c>
      <c r="K23" s="1349" t="str">
        <f t="shared" si="25"/>
        <v>#REF!</v>
      </c>
      <c r="L23" s="1349" t="str">
        <f t="shared" si="26"/>
        <v>#REF!</v>
      </c>
      <c r="M23" s="1349" t="str">
        <f t="shared" si="27"/>
        <v>#REF!</v>
      </c>
      <c r="N23" s="1349" t="str">
        <f t="shared" si="28"/>
        <v>#REF!</v>
      </c>
    </row>
    <row r="24" ht="15.75" customHeight="1">
      <c r="B24" s="250" t="s">
        <v>40</v>
      </c>
      <c r="C24" s="258">
        <f>'Summary Sheet - April 2026'!AA26</f>
        <v>329004.25</v>
      </c>
      <c r="D24" s="258">
        <f>'Summary Sheet - May 2026'!AA26</f>
        <v>118453.25</v>
      </c>
      <c r="E24" s="258">
        <f>'Summary Sheet - June 2026'!AA26</f>
        <v>70885</v>
      </c>
      <c r="F24" s="258">
        <f>'Summary Sheet - July 2026'!AA26</f>
        <v>70885</v>
      </c>
      <c r="G24" s="258" t="str">
        <f t="shared" si="21"/>
        <v>#REF!</v>
      </c>
      <c r="H24" s="258" t="str">
        <f t="shared" si="22"/>
        <v>#REF!</v>
      </c>
      <c r="I24" s="258" t="str">
        <f t="shared" si="23"/>
        <v>#REF!</v>
      </c>
      <c r="J24" s="1349" t="str">
        <f t="shared" si="24"/>
        <v>#REF!</v>
      </c>
      <c r="K24" s="1349" t="str">
        <f t="shared" si="25"/>
        <v>#REF!</v>
      </c>
      <c r="L24" s="1349" t="str">
        <f t="shared" si="26"/>
        <v>#REF!</v>
      </c>
      <c r="M24" s="1349" t="str">
        <f t="shared" si="27"/>
        <v>#REF!</v>
      </c>
      <c r="N24" s="1349" t="str">
        <f t="shared" si="28"/>
        <v>#REF!</v>
      </c>
    </row>
    <row r="25" ht="15.75" customHeight="1">
      <c r="B25" s="250" t="s">
        <v>41</v>
      </c>
      <c r="C25" s="258">
        <f>'Summary Sheet - April 2026'!AA27</f>
        <v>0</v>
      </c>
      <c r="D25" s="258">
        <f>'Summary Sheet - May 2026'!AA27</f>
        <v>0</v>
      </c>
      <c r="E25" s="258">
        <f>'Summary Sheet - June 2026'!AA27</f>
        <v>0</v>
      </c>
      <c r="F25" s="258">
        <f>'Summary Sheet - July 2026'!AA27</f>
        <v>0</v>
      </c>
      <c r="G25" s="258" t="str">
        <f t="shared" si="21"/>
        <v>#REF!</v>
      </c>
      <c r="H25" s="258" t="str">
        <f t="shared" si="22"/>
        <v>#REF!</v>
      </c>
      <c r="I25" s="258" t="str">
        <f t="shared" si="23"/>
        <v>#REF!</v>
      </c>
      <c r="J25" s="1349" t="str">
        <f t="shared" si="24"/>
        <v>#REF!</v>
      </c>
      <c r="K25" s="1349" t="str">
        <f t="shared" si="25"/>
        <v>#REF!</v>
      </c>
      <c r="L25" s="1349" t="str">
        <f t="shared" si="26"/>
        <v>#REF!</v>
      </c>
      <c r="M25" s="1349" t="str">
        <f t="shared" si="27"/>
        <v>#REF!</v>
      </c>
      <c r="N25" s="1349" t="str">
        <f t="shared" si="28"/>
        <v>#REF!</v>
      </c>
    </row>
    <row r="26" ht="15.75" customHeight="1">
      <c r="B26" s="250" t="s">
        <v>42</v>
      </c>
      <c r="C26" s="258">
        <f>'Summary Sheet - April 2026'!AA28</f>
        <v>0</v>
      </c>
      <c r="D26" s="258">
        <f>'Summary Sheet - May 2026'!AA28</f>
        <v>0</v>
      </c>
      <c r="E26" s="258">
        <f>'Summary Sheet - June 2026'!AA28</f>
        <v>0</v>
      </c>
      <c r="F26" s="258">
        <f>'Summary Sheet - July 2026'!AA28</f>
        <v>0</v>
      </c>
      <c r="G26" s="258" t="str">
        <f t="shared" si="21"/>
        <v>#REF!</v>
      </c>
      <c r="H26" s="258" t="str">
        <f t="shared" si="22"/>
        <v>#REF!</v>
      </c>
      <c r="I26" s="258" t="str">
        <f t="shared" si="23"/>
        <v>#REF!</v>
      </c>
      <c r="J26" s="1349" t="str">
        <f t="shared" si="24"/>
        <v>#REF!</v>
      </c>
      <c r="K26" s="1349" t="str">
        <f t="shared" si="25"/>
        <v>#REF!</v>
      </c>
      <c r="L26" s="1349" t="str">
        <f t="shared" si="26"/>
        <v>#REF!</v>
      </c>
      <c r="M26" s="1349" t="str">
        <f t="shared" si="27"/>
        <v>#REF!</v>
      </c>
      <c r="N26" s="1349" t="str">
        <f t="shared" si="28"/>
        <v>#REF!</v>
      </c>
    </row>
    <row r="27" ht="15.75" customHeight="1">
      <c r="B27" s="250" t="s">
        <v>43</v>
      </c>
      <c r="C27" s="1345">
        <f t="shared" ref="C27:N27" si="29">SUM(C17:C26)</f>
        <v>4271533.833</v>
      </c>
      <c r="D27" s="1345">
        <f t="shared" si="29"/>
        <v>4160751.25</v>
      </c>
      <c r="E27" s="1345">
        <f t="shared" si="29"/>
        <v>3901308</v>
      </c>
      <c r="F27" s="1345">
        <f t="shared" si="29"/>
        <v>3901308</v>
      </c>
      <c r="G27" s="1345" t="str">
        <f t="shared" si="29"/>
        <v>#REF!</v>
      </c>
      <c r="H27" s="1345" t="str">
        <f t="shared" si="29"/>
        <v>#REF!</v>
      </c>
      <c r="I27" s="1345" t="str">
        <f t="shared" si="29"/>
        <v>#REF!</v>
      </c>
      <c r="J27" s="1345" t="str">
        <f t="shared" si="29"/>
        <v>#REF!</v>
      </c>
      <c r="K27" s="1345" t="str">
        <f t="shared" si="29"/>
        <v>#REF!</v>
      </c>
      <c r="L27" s="1345" t="str">
        <f t="shared" si="29"/>
        <v>#REF!</v>
      </c>
      <c r="M27" s="1345" t="str">
        <f t="shared" si="29"/>
        <v>#REF!</v>
      </c>
      <c r="N27" s="1345" t="str">
        <f t="shared" si="29"/>
        <v>#REF!</v>
      </c>
    </row>
    <row r="28" ht="15.75" customHeight="1">
      <c r="B28" s="250"/>
      <c r="C28" s="257"/>
      <c r="D28" s="257"/>
      <c r="E28" s="257"/>
      <c r="F28" s="257"/>
      <c r="G28" s="257"/>
      <c r="H28" s="257"/>
      <c r="I28" s="257"/>
      <c r="J28" s="257"/>
      <c r="K28" s="257"/>
      <c r="L28" s="1347"/>
      <c r="M28" s="1347"/>
      <c r="N28" s="1347"/>
    </row>
    <row r="29" ht="15.75" customHeight="1">
      <c r="B29" s="250" t="s">
        <v>44</v>
      </c>
      <c r="C29" s="1345">
        <f t="shared" ref="C29:N29" si="30">C14-C27</f>
        <v>2584123.122</v>
      </c>
      <c r="D29" s="1345">
        <f t="shared" si="30"/>
        <v>2125014.939</v>
      </c>
      <c r="E29" s="1345">
        <f t="shared" si="30"/>
        <v>1405796.038</v>
      </c>
      <c r="F29" s="1345">
        <f t="shared" si="30"/>
        <v>1405796.038</v>
      </c>
      <c r="G29" s="1345" t="str">
        <f t="shared" si="30"/>
        <v>#REF!</v>
      </c>
      <c r="H29" s="1345" t="str">
        <f t="shared" si="30"/>
        <v>#REF!</v>
      </c>
      <c r="I29" s="1345" t="str">
        <f t="shared" si="30"/>
        <v>#REF!</v>
      </c>
      <c r="J29" s="1345" t="str">
        <f t="shared" si="30"/>
        <v>#REF!</v>
      </c>
      <c r="K29" s="1345" t="str">
        <f t="shared" si="30"/>
        <v>#REF!</v>
      </c>
      <c r="L29" s="1345" t="str">
        <f t="shared" si="30"/>
        <v>#REF!</v>
      </c>
      <c r="M29" s="1345" t="str">
        <f t="shared" si="30"/>
        <v>#REF!</v>
      </c>
      <c r="N29" s="1345" t="str">
        <f t="shared" si="30"/>
        <v>#REF!</v>
      </c>
    </row>
    <row r="30" ht="15.75" customHeight="1">
      <c r="B30" s="250" t="s">
        <v>397</v>
      </c>
      <c r="C30" s="1348">
        <f t="shared" ref="C30:N30" si="31">C29/C8</f>
        <v>0.2483627136</v>
      </c>
      <c r="D30" s="1348">
        <f t="shared" si="31"/>
        <v>0.2091281523</v>
      </c>
      <c r="E30" s="1348">
        <f t="shared" si="31"/>
        <v>0.1589177598</v>
      </c>
      <c r="F30" s="1348">
        <f t="shared" si="31"/>
        <v>0.1589177598</v>
      </c>
      <c r="G30" s="1348" t="str">
        <f t="shared" si="31"/>
        <v>#REF!</v>
      </c>
      <c r="H30" s="1348" t="str">
        <f t="shared" si="31"/>
        <v>#REF!</v>
      </c>
      <c r="I30" s="1348" t="str">
        <f t="shared" si="31"/>
        <v>#REF!</v>
      </c>
      <c r="J30" s="1348" t="str">
        <f t="shared" si="31"/>
        <v>#REF!</v>
      </c>
      <c r="K30" s="1348" t="str">
        <f t="shared" si="31"/>
        <v>#REF!</v>
      </c>
      <c r="L30" s="1348" t="str">
        <f t="shared" si="31"/>
        <v>#REF!</v>
      </c>
      <c r="M30" s="1348" t="str">
        <f t="shared" si="31"/>
        <v>#REF!</v>
      </c>
      <c r="N30" s="1348" t="str">
        <f t="shared" si="31"/>
        <v>#REF!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38"/>
    <col customWidth="1" min="3" max="3" width="10.0"/>
    <col customWidth="1" min="4" max="4" width="10.25"/>
    <col customWidth="1" min="5" max="5" width="9.0"/>
    <col customWidth="1" min="6" max="6" width="9.63"/>
    <col customWidth="1" min="7" max="7" width="10.25"/>
    <col customWidth="1" min="8" max="8" width="10.75"/>
    <col customWidth="1" min="9" max="9" width="10.63"/>
    <col customWidth="1" min="10" max="10" width="9.5"/>
    <col customWidth="1" min="11" max="11" width="9.75"/>
    <col customWidth="1" min="12" max="12" width="9.63"/>
    <col customWidth="1" min="13" max="13" width="9.13"/>
    <col customWidth="1" min="14" max="14" width="10.13"/>
  </cols>
  <sheetData>
    <row r="1" ht="15.75" customHeight="1">
      <c r="A1" s="272" t="s">
        <v>451</v>
      </c>
    </row>
    <row r="2" ht="15.75" customHeight="1">
      <c r="C2" s="1316"/>
      <c r="D2" s="1316"/>
      <c r="E2" s="1316"/>
      <c r="F2" s="1316"/>
    </row>
    <row r="3" ht="15.75" customHeight="1">
      <c r="B3" s="1350"/>
      <c r="C3" s="1245" t="s">
        <v>383</v>
      </c>
      <c r="D3" s="1245" t="s">
        <v>384</v>
      </c>
      <c r="E3" s="1245" t="s">
        <v>444</v>
      </c>
      <c r="F3" s="1245" t="s">
        <v>386</v>
      </c>
      <c r="G3" s="1245" t="s">
        <v>387</v>
      </c>
      <c r="H3" s="1245" t="s">
        <v>388</v>
      </c>
      <c r="I3" s="1245" t="s">
        <v>389</v>
      </c>
      <c r="J3" s="1245" t="s">
        <v>390</v>
      </c>
      <c r="K3" s="1245" t="s">
        <v>391</v>
      </c>
      <c r="L3" s="1245" t="s">
        <v>392</v>
      </c>
      <c r="M3" s="1245" t="s">
        <v>393</v>
      </c>
      <c r="N3" s="1351" t="s">
        <v>394</v>
      </c>
      <c r="P3" s="1319" t="s">
        <v>446</v>
      </c>
      <c r="Q3" s="1320" t="str">
        <f>AVERAGE(B8:N8)</f>
        <v>#REF!</v>
      </c>
    </row>
    <row r="4" ht="15.75" customHeight="1">
      <c r="B4" s="404" t="s">
        <v>21</v>
      </c>
      <c r="C4" s="287">
        <f>'Summary Sheet - April 2026'!W5</f>
        <v>1181100</v>
      </c>
      <c r="D4" s="287">
        <f>'Summary Sheet - May 2026'!W5</f>
        <v>1217044</v>
      </c>
      <c r="E4" s="287">
        <f>'Summary Sheet - June 2026'!W5</f>
        <v>1154300</v>
      </c>
      <c r="F4" s="287">
        <f>'Summary Sheet - July 2026'!W5</f>
        <v>1154300</v>
      </c>
      <c r="G4" s="287" t="str">
        <f t="shared" ref="G4:G7" si="1">'Summary Sheet - Aug 2026'!W5</f>
        <v>#REF!</v>
      </c>
      <c r="H4" s="287" t="str">
        <f t="shared" ref="H4:H7" si="2">'Summary Sheet - Sep 2026'!W5</f>
        <v>#REF!</v>
      </c>
      <c r="I4" s="287" t="str">
        <f t="shared" ref="I4:I7" si="3">'Summary Sheet - Oct 2026'!W5</f>
        <v>#REF!</v>
      </c>
      <c r="J4" s="287" t="str">
        <f t="shared" ref="J4:J7" si="4">'Summary Sheet - Nov 2026'!W5</f>
        <v>#REF!</v>
      </c>
      <c r="K4" s="287" t="str">
        <f t="shared" ref="K4:K7" si="5">'Summary Sheet - Dec 2026'!W5</f>
        <v>#REF!</v>
      </c>
      <c r="L4" s="287" t="str">
        <f t="shared" ref="L4:L7" si="6">'Summary Sheet - Jan 2026'!W5</f>
        <v>#REF!</v>
      </c>
      <c r="M4" s="287" t="str">
        <f t="shared" ref="M4:M7" si="7">'Summary Sheet - Feb 2026'!W5</f>
        <v>#REF!</v>
      </c>
      <c r="N4" s="287" t="str">
        <f t="shared" ref="N4:N7" si="8">'Summary Sheet - Mar 2026'!W5</f>
        <v>#REF!</v>
      </c>
      <c r="P4" s="1319" t="s">
        <v>447</v>
      </c>
      <c r="Q4" s="1320" t="str">
        <f>AVERAGE(B30:N30)</f>
        <v>#REF!</v>
      </c>
    </row>
    <row r="5" ht="15.75" customHeight="1">
      <c r="B5" s="404" t="s">
        <v>22</v>
      </c>
      <c r="C5" s="258">
        <f>'Summary Sheet - April 2026'!W6</f>
        <v>769660</v>
      </c>
      <c r="D5" s="258">
        <f>'Summary Sheet - May 2026'!W6</f>
        <v>735380</v>
      </c>
      <c r="E5" s="258">
        <f>'Summary Sheet - June 2026'!W6</f>
        <v>825000</v>
      </c>
      <c r="F5" s="287">
        <f>'Summary Sheet - July 2026'!W6</f>
        <v>825000</v>
      </c>
      <c r="G5" s="287" t="str">
        <f t="shared" si="1"/>
        <v>#REF!</v>
      </c>
      <c r="H5" s="287" t="str">
        <f t="shared" si="2"/>
        <v>#REF!</v>
      </c>
      <c r="I5" s="287" t="str">
        <f t="shared" si="3"/>
        <v>#REF!</v>
      </c>
      <c r="J5" s="287" t="str">
        <f t="shared" si="4"/>
        <v>#REF!</v>
      </c>
      <c r="K5" s="287" t="str">
        <f t="shared" si="5"/>
        <v>#REF!</v>
      </c>
      <c r="L5" s="287" t="str">
        <f t="shared" si="6"/>
        <v>#REF!</v>
      </c>
      <c r="M5" s="287" t="str">
        <f t="shared" si="7"/>
        <v>#REF!</v>
      </c>
      <c r="N5" s="287" t="str">
        <f t="shared" si="8"/>
        <v>#REF!</v>
      </c>
      <c r="P5" s="1319" t="s">
        <v>448</v>
      </c>
      <c r="Q5" s="1325" t="str">
        <f>Q4/Q3</f>
        <v>#REF!</v>
      </c>
    </row>
    <row r="6" ht="15.75" customHeight="1">
      <c r="B6" s="404" t="s">
        <v>23</v>
      </c>
      <c r="C6" s="258">
        <f>'Summary Sheet - April 2026'!W7</f>
        <v>10508362.49</v>
      </c>
      <c r="D6" s="258">
        <f>'Summary Sheet - May 2026'!W7</f>
        <v>10763119</v>
      </c>
      <c r="E6" s="258">
        <f>'Summary Sheet - June 2026'!W7</f>
        <v>12642710</v>
      </c>
      <c r="F6" s="287">
        <f>'Summary Sheet - July 2026'!W7</f>
        <v>12642710</v>
      </c>
      <c r="G6" s="287" t="str">
        <f t="shared" si="1"/>
        <v>#REF!</v>
      </c>
      <c r="H6" s="287" t="str">
        <f t="shared" si="2"/>
        <v>#REF!</v>
      </c>
      <c r="I6" s="287" t="str">
        <f t="shared" si="3"/>
        <v>#REF!</v>
      </c>
      <c r="J6" s="287" t="str">
        <f t="shared" si="4"/>
        <v>#REF!</v>
      </c>
      <c r="K6" s="287" t="str">
        <f t="shared" si="5"/>
        <v>#REF!</v>
      </c>
      <c r="L6" s="287" t="str">
        <f t="shared" si="6"/>
        <v>#REF!</v>
      </c>
      <c r="M6" s="287" t="str">
        <f t="shared" si="7"/>
        <v>#REF!</v>
      </c>
      <c r="N6" s="287" t="str">
        <f t="shared" si="8"/>
        <v>#REF!</v>
      </c>
    </row>
    <row r="7" ht="15.75" customHeight="1">
      <c r="B7" s="1252" t="s">
        <v>24</v>
      </c>
      <c r="C7" s="312">
        <f>'Summary Sheet - April 2026'!W8</f>
        <v>721626</v>
      </c>
      <c r="D7" s="312">
        <f>'Summary Sheet - May 2026'!W8</f>
        <v>759611</v>
      </c>
      <c r="E7" s="312">
        <f>'Summary Sheet - June 2026'!W8</f>
        <v>702443</v>
      </c>
      <c r="F7" s="287" t="str">
        <f>'Summary Sheet - July 2026'!W8</f>
        <v/>
      </c>
      <c r="G7" s="287" t="str">
        <f t="shared" si="1"/>
        <v>#REF!</v>
      </c>
      <c r="H7" s="287" t="str">
        <f t="shared" si="2"/>
        <v>#REF!</v>
      </c>
      <c r="I7" s="287" t="str">
        <f t="shared" si="3"/>
        <v>#REF!</v>
      </c>
      <c r="J7" s="287" t="str">
        <f t="shared" si="4"/>
        <v>#REF!</v>
      </c>
      <c r="K7" s="287" t="str">
        <f t="shared" si="5"/>
        <v>#REF!</v>
      </c>
      <c r="L7" s="287" t="str">
        <f t="shared" si="6"/>
        <v>#REF!</v>
      </c>
      <c r="M7" s="287" t="str">
        <f t="shared" si="7"/>
        <v>#REF!</v>
      </c>
      <c r="N7" s="287" t="str">
        <f t="shared" si="8"/>
        <v>#REF!</v>
      </c>
    </row>
    <row r="8" ht="15.75" customHeight="1">
      <c r="B8" s="410" t="s">
        <v>26</v>
      </c>
      <c r="C8" s="187">
        <f t="shared" ref="C8:N8" si="9">SUM(C4:C7)</f>
        <v>13180748.49</v>
      </c>
      <c r="D8" s="187">
        <f t="shared" si="9"/>
        <v>13475154</v>
      </c>
      <c r="E8" s="187">
        <f t="shared" si="9"/>
        <v>15324453</v>
      </c>
      <c r="F8" s="187">
        <f t="shared" si="9"/>
        <v>14622010</v>
      </c>
      <c r="G8" s="187" t="str">
        <f t="shared" si="9"/>
        <v>#REF!</v>
      </c>
      <c r="H8" s="187" t="str">
        <f t="shared" si="9"/>
        <v>#REF!</v>
      </c>
      <c r="I8" s="187" t="str">
        <f t="shared" si="9"/>
        <v>#REF!</v>
      </c>
      <c r="J8" s="187" t="str">
        <f t="shared" si="9"/>
        <v>#REF!</v>
      </c>
      <c r="K8" s="187" t="str">
        <f t="shared" si="9"/>
        <v>#REF!</v>
      </c>
      <c r="L8" s="1352" t="str">
        <f t="shared" si="9"/>
        <v>#REF!</v>
      </c>
      <c r="M8" s="1352" t="str">
        <f t="shared" si="9"/>
        <v>#REF!</v>
      </c>
      <c r="N8" s="1353" t="str">
        <f t="shared" si="9"/>
        <v>#REF!</v>
      </c>
    </row>
    <row r="9" ht="15.75" customHeight="1">
      <c r="B9" s="401"/>
      <c r="C9" s="281" t="str">
        <f>'Summary Sheet - April 2026'!O11</f>
        <v/>
      </c>
      <c r="D9" s="281"/>
      <c r="E9" s="281"/>
      <c r="F9" s="281"/>
      <c r="G9" s="281"/>
      <c r="H9" s="281"/>
      <c r="I9" s="1332"/>
      <c r="J9" s="1332"/>
      <c r="K9" s="1332"/>
      <c r="L9" s="1354"/>
      <c r="M9" s="1336"/>
      <c r="N9" s="1338"/>
    </row>
    <row r="10" ht="15.75" customHeight="1">
      <c r="B10" s="404" t="s">
        <v>28</v>
      </c>
      <c r="C10" s="258">
        <f>'Summary Sheet - April 2026'!W12</f>
        <v>4877635.818</v>
      </c>
      <c r="D10" s="258">
        <f>'Summary Sheet - May 2026'!W12</f>
        <v>5051120.433</v>
      </c>
      <c r="E10" s="258">
        <f>'Summary Sheet - June 2026'!W12</f>
        <v>4937741.491</v>
      </c>
      <c r="F10" s="258">
        <f>'Summary Sheet - July 2026'!W12</f>
        <v>4937741.491</v>
      </c>
      <c r="G10" s="258" t="str">
        <f t="shared" ref="G10:G11" si="10">'Summary Sheet - Aug 2026'!W12</f>
        <v>#REF!</v>
      </c>
      <c r="H10" s="258" t="str">
        <f t="shared" ref="H10:H11" si="11">'Summary Sheet - Sep 2026'!W12</f>
        <v>#REF!</v>
      </c>
      <c r="I10" s="258" t="str">
        <f t="shared" ref="I10:I11" si="12">'Summary Sheet - Oct 2026'!W12</f>
        <v>#REF!</v>
      </c>
      <c r="J10" s="258" t="str">
        <f t="shared" ref="J10:J11" si="13">'Summary Sheet - Nov 2026'!W12</f>
        <v>#REF!</v>
      </c>
      <c r="K10" s="258" t="str">
        <f t="shared" ref="K10:K11" si="14">'Summary Sheet - Dec 2026'!W12</f>
        <v>#REF!</v>
      </c>
      <c r="L10" s="258" t="str">
        <f t="shared" ref="L10:L11" si="15">'Summary Sheet - Jan 2026'!W12</f>
        <v>#REF!</v>
      </c>
      <c r="M10" s="258" t="str">
        <f t="shared" ref="M10:M11" si="16">'Summary Sheet - Feb 2026'!W12</f>
        <v>#REF!</v>
      </c>
      <c r="N10" s="258" t="str">
        <f t="shared" ref="N10:N11" si="17">'Summary Sheet - Mar 2026'!W12</f>
        <v>#REF!</v>
      </c>
    </row>
    <row r="11" ht="15.75" customHeight="1">
      <c r="B11" s="1252" t="s">
        <v>29</v>
      </c>
      <c r="C11" s="312">
        <f>'Summary Sheet - April 2026'!W13</f>
        <v>187031.4</v>
      </c>
      <c r="D11" s="312">
        <f>'Summary Sheet - May 2026'!W13</f>
        <v>179370</v>
      </c>
      <c r="E11" s="312">
        <f>'Summary Sheet - June 2026'!W13</f>
        <v>230269</v>
      </c>
      <c r="F11" s="258">
        <f>'Summary Sheet - July 2026'!W13</f>
        <v>230269</v>
      </c>
      <c r="G11" s="258" t="str">
        <f t="shared" si="10"/>
        <v>#REF!</v>
      </c>
      <c r="H11" s="258" t="str">
        <f t="shared" si="11"/>
        <v>#REF!</v>
      </c>
      <c r="I11" s="258" t="str">
        <f t="shared" si="12"/>
        <v>#REF!</v>
      </c>
      <c r="J11" s="258" t="str">
        <f t="shared" si="13"/>
        <v>#REF!</v>
      </c>
      <c r="K11" s="258" t="str">
        <f t="shared" si="14"/>
        <v>#REF!</v>
      </c>
      <c r="L11" s="258" t="str">
        <f t="shared" si="15"/>
        <v>#REF!</v>
      </c>
      <c r="M11" s="258" t="str">
        <f t="shared" si="16"/>
        <v>#REF!</v>
      </c>
      <c r="N11" s="258" t="str">
        <f t="shared" si="17"/>
        <v>#REF!</v>
      </c>
    </row>
    <row r="12" ht="15.75" customHeight="1">
      <c r="B12" s="410" t="s">
        <v>30</v>
      </c>
      <c r="C12" s="187">
        <f t="shared" ref="C12:N12" si="18">C10+C11</f>
        <v>5064667.218</v>
      </c>
      <c r="D12" s="187">
        <f t="shared" si="18"/>
        <v>5230490.433</v>
      </c>
      <c r="E12" s="187">
        <f t="shared" si="18"/>
        <v>5168010.491</v>
      </c>
      <c r="F12" s="187">
        <f t="shared" si="18"/>
        <v>5168010.491</v>
      </c>
      <c r="G12" s="187" t="str">
        <f t="shared" si="18"/>
        <v>#REF!</v>
      </c>
      <c r="H12" s="187" t="str">
        <f t="shared" si="18"/>
        <v>#REF!</v>
      </c>
      <c r="I12" s="187" t="str">
        <f t="shared" si="18"/>
        <v>#REF!</v>
      </c>
      <c r="J12" s="187" t="str">
        <f t="shared" si="18"/>
        <v>#REF!</v>
      </c>
      <c r="K12" s="187" t="str">
        <f t="shared" si="18"/>
        <v>#REF!</v>
      </c>
      <c r="L12" s="187" t="str">
        <f t="shared" si="18"/>
        <v>#REF!</v>
      </c>
      <c r="M12" s="187" t="str">
        <f t="shared" si="18"/>
        <v>#REF!</v>
      </c>
      <c r="N12" s="365" t="str">
        <f t="shared" si="18"/>
        <v>#REF!</v>
      </c>
    </row>
    <row r="13" ht="15.75" customHeight="1">
      <c r="B13" s="401" t="s">
        <v>31</v>
      </c>
      <c r="C13" s="287"/>
      <c r="D13" s="287"/>
      <c r="E13" s="287"/>
      <c r="F13" s="287"/>
      <c r="G13" s="287"/>
      <c r="H13" s="287"/>
      <c r="I13" s="1332"/>
      <c r="J13" s="1332"/>
      <c r="K13" s="1332"/>
      <c r="L13" s="1354"/>
      <c r="M13" s="1336"/>
      <c r="N13" s="1338"/>
    </row>
    <row r="14" ht="15.75" customHeight="1">
      <c r="B14" s="1252"/>
      <c r="C14" s="382"/>
      <c r="D14" s="382"/>
      <c r="E14" s="382"/>
      <c r="F14" s="382"/>
      <c r="G14" s="382"/>
      <c r="H14" s="382"/>
      <c r="I14" s="1355"/>
      <c r="J14" s="1355"/>
      <c r="K14" s="1355"/>
      <c r="L14" s="1356"/>
      <c r="M14" s="1355"/>
      <c r="N14" s="1357"/>
    </row>
    <row r="15" ht="15.75" customHeight="1">
      <c r="B15" s="410" t="s">
        <v>32</v>
      </c>
      <c r="C15" s="187">
        <f t="shared" ref="C15:N15" si="19">C8-C12-C13</f>
        <v>8116081.272</v>
      </c>
      <c r="D15" s="187">
        <f t="shared" si="19"/>
        <v>8244663.567</v>
      </c>
      <c r="E15" s="187">
        <f t="shared" si="19"/>
        <v>10156442.51</v>
      </c>
      <c r="F15" s="187">
        <f t="shared" si="19"/>
        <v>9453999.509</v>
      </c>
      <c r="G15" s="187" t="str">
        <f t="shared" si="19"/>
        <v>#REF!</v>
      </c>
      <c r="H15" s="187" t="str">
        <f t="shared" si="19"/>
        <v>#REF!</v>
      </c>
      <c r="I15" s="187" t="str">
        <f t="shared" si="19"/>
        <v>#REF!</v>
      </c>
      <c r="J15" s="187" t="str">
        <f t="shared" si="19"/>
        <v>#REF!</v>
      </c>
      <c r="K15" s="187" t="str">
        <f t="shared" si="19"/>
        <v>#REF!</v>
      </c>
      <c r="L15" s="187" t="str">
        <f t="shared" si="19"/>
        <v>#REF!</v>
      </c>
      <c r="M15" s="187" t="str">
        <f t="shared" si="19"/>
        <v>#REF!</v>
      </c>
      <c r="N15" s="365" t="str">
        <f t="shared" si="19"/>
        <v>#REF!</v>
      </c>
    </row>
    <row r="16" ht="15.75" customHeight="1">
      <c r="B16" s="410" t="s">
        <v>396</v>
      </c>
      <c r="C16" s="359">
        <f t="shared" ref="C16:N16" si="20">C15/C8</f>
        <v>0.6157526849</v>
      </c>
      <c r="D16" s="359">
        <f t="shared" si="20"/>
        <v>0.6118418808</v>
      </c>
      <c r="E16" s="359">
        <f t="shared" si="20"/>
        <v>0.6627605246</v>
      </c>
      <c r="F16" s="359">
        <f t="shared" si="20"/>
        <v>0.6465595024</v>
      </c>
      <c r="G16" s="359" t="str">
        <f t="shared" si="20"/>
        <v>#REF!</v>
      </c>
      <c r="H16" s="359" t="str">
        <f t="shared" si="20"/>
        <v>#REF!</v>
      </c>
      <c r="I16" s="359" t="str">
        <f t="shared" si="20"/>
        <v>#REF!</v>
      </c>
      <c r="J16" s="359" t="str">
        <f t="shared" si="20"/>
        <v>#REF!</v>
      </c>
      <c r="K16" s="359" t="str">
        <f t="shared" si="20"/>
        <v>#REF!</v>
      </c>
      <c r="L16" s="359" t="str">
        <f t="shared" si="20"/>
        <v>#REF!</v>
      </c>
      <c r="M16" s="359" t="str">
        <f t="shared" si="20"/>
        <v>#REF!</v>
      </c>
      <c r="N16" s="360" t="str">
        <f t="shared" si="20"/>
        <v>#REF!</v>
      </c>
    </row>
    <row r="17" ht="15.75" customHeight="1">
      <c r="B17" s="401"/>
      <c r="C17" s="281" t="str">
        <f>'Summary Sheet - April 2026'!O16</f>
        <v/>
      </c>
      <c r="D17" s="281"/>
      <c r="E17" s="281"/>
      <c r="F17" s="281"/>
      <c r="G17" s="281"/>
      <c r="H17" s="281"/>
      <c r="I17" s="1332"/>
      <c r="J17" s="1332"/>
      <c r="K17" s="1332"/>
      <c r="L17" s="1354"/>
      <c r="M17" s="1336"/>
      <c r="N17" s="1338"/>
    </row>
    <row r="18" ht="15.75" customHeight="1">
      <c r="B18" s="404" t="s">
        <v>33</v>
      </c>
      <c r="C18" s="258">
        <f>'Summary Sheet - April 2026'!W19</f>
        <v>393268.8733</v>
      </c>
      <c r="D18" s="258">
        <f>'Summary Sheet - May 2026'!W19</f>
        <v>356741</v>
      </c>
      <c r="E18" s="258">
        <f>'Summary Sheet - June 2026'!W19</f>
        <v>421532</v>
      </c>
      <c r="F18" s="258">
        <f>'Summary Sheet - July 2026'!W19</f>
        <v>421532</v>
      </c>
      <c r="G18" s="258" t="str">
        <f t="shared" ref="G18:G27" si="21">'Summary Sheet - Aug 2026'!W19</f>
        <v>#REF!</v>
      </c>
      <c r="H18" s="258" t="str">
        <f t="shared" ref="H18:H27" si="22">'Summary Sheet - Sep 2026'!W19</f>
        <v>#REF!</v>
      </c>
      <c r="I18" s="258" t="str">
        <f t="shared" ref="I18:I27" si="23">'Summary Sheet - Oct 2026'!W19</f>
        <v>#REF!</v>
      </c>
      <c r="J18" s="258" t="str">
        <f t="shared" ref="J18:J27" si="24">'Summary Sheet - Nov 2026'!W19</f>
        <v>#REF!</v>
      </c>
      <c r="K18" s="258" t="str">
        <f t="shared" ref="K18:K27" si="25">'Summary Sheet - Dec 2026'!W19</f>
        <v>#REF!</v>
      </c>
      <c r="L18" s="258" t="str">
        <f t="shared" ref="L18:L27" si="26">'Summary Sheet - Jan 2026'!W19</f>
        <v>#REF!</v>
      </c>
      <c r="M18" s="258" t="str">
        <f t="shared" ref="M18:M27" si="27">'Summary Sheet - Feb 2026'!W19</f>
        <v>#REF!</v>
      </c>
      <c r="N18" s="258" t="str">
        <f t="shared" ref="N18:N27" si="28">'Summary Sheet - Mar 2026'!W19</f>
        <v>#REF!</v>
      </c>
    </row>
    <row r="19" ht="15.75" customHeight="1">
      <c r="B19" s="404" t="s">
        <v>34</v>
      </c>
      <c r="C19" s="258">
        <f>'Summary Sheet - April 2026'!W20</f>
        <v>196105.44</v>
      </c>
      <c r="D19" s="258">
        <f>'Summary Sheet - May 2026'!W20</f>
        <v>210682</v>
      </c>
      <c r="E19" s="258">
        <f>'Summary Sheet - June 2026'!W20</f>
        <v>202371</v>
      </c>
      <c r="F19" s="258">
        <f>'Summary Sheet - July 2026'!W20</f>
        <v>202371</v>
      </c>
      <c r="G19" s="258" t="str">
        <f t="shared" si="21"/>
        <v>#REF!</v>
      </c>
      <c r="H19" s="258" t="str">
        <f t="shared" si="22"/>
        <v>#REF!</v>
      </c>
      <c r="I19" s="258" t="str">
        <f t="shared" si="23"/>
        <v>#REF!</v>
      </c>
      <c r="J19" s="258" t="str">
        <f t="shared" si="24"/>
        <v>#REF!</v>
      </c>
      <c r="K19" s="258" t="str">
        <f t="shared" si="25"/>
        <v>#REF!</v>
      </c>
      <c r="L19" s="258" t="str">
        <f t="shared" si="26"/>
        <v>#REF!</v>
      </c>
      <c r="M19" s="258" t="str">
        <f t="shared" si="27"/>
        <v>#REF!</v>
      </c>
      <c r="N19" s="258" t="str">
        <f t="shared" si="28"/>
        <v>#REF!</v>
      </c>
    </row>
    <row r="20" ht="15.75" customHeight="1">
      <c r="B20" s="404" t="s">
        <v>35</v>
      </c>
      <c r="C20" s="258">
        <f>'Summary Sheet - April 2026'!W21</f>
        <v>480580.79</v>
      </c>
      <c r="D20" s="258">
        <f>'Summary Sheet - May 2026'!W21</f>
        <v>480329</v>
      </c>
      <c r="E20" s="258">
        <f>'Summary Sheet - June 2026'!W21</f>
        <v>421948</v>
      </c>
      <c r="F20" s="258">
        <f>'Summary Sheet - July 2026'!W21</f>
        <v>421948</v>
      </c>
      <c r="G20" s="258" t="str">
        <f t="shared" si="21"/>
        <v>#REF!</v>
      </c>
      <c r="H20" s="258" t="str">
        <f t="shared" si="22"/>
        <v>#REF!</v>
      </c>
      <c r="I20" s="258" t="str">
        <f t="shared" si="23"/>
        <v>#REF!</v>
      </c>
      <c r="J20" s="258" t="str">
        <f t="shared" si="24"/>
        <v>#REF!</v>
      </c>
      <c r="K20" s="258" t="str">
        <f t="shared" si="25"/>
        <v>#REF!</v>
      </c>
      <c r="L20" s="258" t="str">
        <f t="shared" si="26"/>
        <v>#REF!</v>
      </c>
      <c r="M20" s="258" t="str">
        <f t="shared" si="27"/>
        <v>#REF!</v>
      </c>
      <c r="N20" s="258" t="str">
        <f t="shared" si="28"/>
        <v>#REF!</v>
      </c>
    </row>
    <row r="21" ht="15.75" customHeight="1">
      <c r="B21" s="404" t="s">
        <v>36</v>
      </c>
      <c r="C21" s="258">
        <f>'Summary Sheet - April 2026'!W22</f>
        <v>1764477.333</v>
      </c>
      <c r="D21" s="258">
        <f>'Summary Sheet - May 2026'!W22</f>
        <v>1860691</v>
      </c>
      <c r="E21" s="258">
        <f>'Summary Sheet - June 2026'!W22</f>
        <v>1975241</v>
      </c>
      <c r="F21" s="258">
        <f>'Summary Sheet - July 2026'!W22</f>
        <v>1975241</v>
      </c>
      <c r="G21" s="258" t="str">
        <f t="shared" si="21"/>
        <v>#REF!</v>
      </c>
      <c r="H21" s="258" t="str">
        <f t="shared" si="22"/>
        <v>#REF!</v>
      </c>
      <c r="I21" s="258" t="str">
        <f t="shared" si="23"/>
        <v>#REF!</v>
      </c>
      <c r="J21" s="258" t="str">
        <f t="shared" si="24"/>
        <v>#REF!</v>
      </c>
      <c r="K21" s="258" t="str">
        <f t="shared" si="25"/>
        <v>#REF!</v>
      </c>
      <c r="L21" s="258" t="str">
        <f t="shared" si="26"/>
        <v>#REF!</v>
      </c>
      <c r="M21" s="258" t="str">
        <f t="shared" si="27"/>
        <v>#REF!</v>
      </c>
      <c r="N21" s="258" t="str">
        <f t="shared" si="28"/>
        <v>#REF!</v>
      </c>
    </row>
    <row r="22" ht="15.75" customHeight="1">
      <c r="B22" s="404" t="s">
        <v>37</v>
      </c>
      <c r="C22" s="258">
        <f>'Summary Sheet - April 2026'!W23</f>
        <v>3210265.167</v>
      </c>
      <c r="D22" s="258">
        <f>'Summary Sheet - May 2026'!W23</f>
        <v>3247335.417</v>
      </c>
      <c r="E22" s="258">
        <f>'Summary Sheet - June 2026'!W23</f>
        <v>3306182</v>
      </c>
      <c r="F22" s="258">
        <f>'Summary Sheet - July 2026'!W23</f>
        <v>3306182</v>
      </c>
      <c r="G22" s="258" t="str">
        <f t="shared" si="21"/>
        <v>#REF!</v>
      </c>
      <c r="H22" s="258" t="str">
        <f t="shared" si="22"/>
        <v>#REF!</v>
      </c>
      <c r="I22" s="258" t="str">
        <f t="shared" si="23"/>
        <v>#REF!</v>
      </c>
      <c r="J22" s="258" t="str">
        <f t="shared" si="24"/>
        <v>#REF!</v>
      </c>
      <c r="K22" s="258" t="str">
        <f t="shared" si="25"/>
        <v>#REF!</v>
      </c>
      <c r="L22" s="258" t="str">
        <f t="shared" si="26"/>
        <v>#REF!</v>
      </c>
      <c r="M22" s="258" t="str">
        <f t="shared" si="27"/>
        <v>#REF!</v>
      </c>
      <c r="N22" s="258" t="str">
        <f t="shared" si="28"/>
        <v>#REF!</v>
      </c>
    </row>
    <row r="23" ht="15.75" customHeight="1">
      <c r="B23" s="404" t="s">
        <v>38</v>
      </c>
      <c r="C23" s="258">
        <f>'Summary Sheet - April 2026'!W24</f>
        <v>26165</v>
      </c>
      <c r="D23" s="258">
        <f>'Summary Sheet - May 2026'!W24</f>
        <v>7508</v>
      </c>
      <c r="E23" s="258">
        <f>'Summary Sheet - June 2026'!W24</f>
        <v>25075</v>
      </c>
      <c r="F23" s="258">
        <f>'Summary Sheet - July 2026'!W24</f>
        <v>25075</v>
      </c>
      <c r="G23" s="258" t="str">
        <f t="shared" si="21"/>
        <v>#REF!</v>
      </c>
      <c r="H23" s="258" t="str">
        <f t="shared" si="22"/>
        <v>#REF!</v>
      </c>
      <c r="I23" s="258" t="str">
        <f t="shared" si="23"/>
        <v>#REF!</v>
      </c>
      <c r="J23" s="258" t="str">
        <f t="shared" si="24"/>
        <v>#REF!</v>
      </c>
      <c r="K23" s="258" t="str">
        <f t="shared" si="25"/>
        <v>#REF!</v>
      </c>
      <c r="L23" s="258" t="str">
        <f t="shared" si="26"/>
        <v>#REF!</v>
      </c>
      <c r="M23" s="258" t="str">
        <f t="shared" si="27"/>
        <v>#REF!</v>
      </c>
      <c r="N23" s="258" t="str">
        <f t="shared" si="28"/>
        <v>#REF!</v>
      </c>
    </row>
    <row r="24" ht="15.75" customHeight="1">
      <c r="B24" s="404" t="s">
        <v>39</v>
      </c>
      <c r="C24" s="258">
        <f>'Summary Sheet - April 2026'!W25</f>
        <v>63685.33333</v>
      </c>
      <c r="D24" s="258">
        <f>'Summary Sheet - May 2026'!W25</f>
        <v>63685.33333</v>
      </c>
      <c r="E24" s="258">
        <f>'Summary Sheet - June 2026'!W25</f>
        <v>76151</v>
      </c>
      <c r="F24" s="258">
        <f>'Summary Sheet - July 2026'!W25</f>
        <v>76151</v>
      </c>
      <c r="G24" s="258" t="str">
        <f t="shared" si="21"/>
        <v>#REF!</v>
      </c>
      <c r="H24" s="258" t="str">
        <f t="shared" si="22"/>
        <v>#REF!</v>
      </c>
      <c r="I24" s="258" t="str">
        <f t="shared" si="23"/>
        <v>#REF!</v>
      </c>
      <c r="J24" s="258" t="str">
        <f t="shared" si="24"/>
        <v>#REF!</v>
      </c>
      <c r="K24" s="258" t="str">
        <f t="shared" si="25"/>
        <v>#REF!</v>
      </c>
      <c r="L24" s="258" t="str">
        <f t="shared" si="26"/>
        <v>#REF!</v>
      </c>
      <c r="M24" s="258" t="str">
        <f t="shared" si="27"/>
        <v>#REF!</v>
      </c>
      <c r="N24" s="258" t="str">
        <f t="shared" si="28"/>
        <v>#REF!</v>
      </c>
    </row>
    <row r="25" ht="15.75" customHeight="1">
      <c r="B25" s="404" t="s">
        <v>40</v>
      </c>
      <c r="C25" s="258">
        <f>'Summary Sheet - April 2026'!W26</f>
        <v>526135</v>
      </c>
      <c r="D25" s="258">
        <f>'Summary Sheet - May 2026'!W26</f>
        <v>435531.75</v>
      </c>
      <c r="E25" s="258">
        <f>'Summary Sheet - June 2026'!W26</f>
        <v>602257</v>
      </c>
      <c r="F25" s="258">
        <f>'Summary Sheet - July 2026'!W26</f>
        <v>602257</v>
      </c>
      <c r="G25" s="258" t="str">
        <f t="shared" si="21"/>
        <v>#REF!</v>
      </c>
      <c r="H25" s="258" t="str">
        <f t="shared" si="22"/>
        <v>#REF!</v>
      </c>
      <c r="I25" s="258" t="str">
        <f t="shared" si="23"/>
        <v>#REF!</v>
      </c>
      <c r="J25" s="258" t="str">
        <f t="shared" si="24"/>
        <v>#REF!</v>
      </c>
      <c r="K25" s="258" t="str">
        <f t="shared" si="25"/>
        <v>#REF!</v>
      </c>
      <c r="L25" s="258" t="str">
        <f t="shared" si="26"/>
        <v>#REF!</v>
      </c>
      <c r="M25" s="258" t="str">
        <f t="shared" si="27"/>
        <v>#REF!</v>
      </c>
      <c r="N25" s="258" t="str">
        <f t="shared" si="28"/>
        <v>#REF!</v>
      </c>
    </row>
    <row r="26" ht="15.75" customHeight="1">
      <c r="B26" s="404" t="s">
        <v>41</v>
      </c>
      <c r="C26" s="258">
        <f>'Summary Sheet - April 2026'!W27</f>
        <v>10325</v>
      </c>
      <c r="D26" s="258">
        <f>'Summary Sheet - May 2026'!W27</f>
        <v>10325</v>
      </c>
      <c r="E26" s="258">
        <f>'Summary Sheet - June 2026'!W27</f>
        <v>10325</v>
      </c>
      <c r="F26" s="258">
        <f>'Summary Sheet - July 2026'!W27</f>
        <v>10325</v>
      </c>
      <c r="G26" s="258" t="str">
        <f t="shared" si="21"/>
        <v>#REF!</v>
      </c>
      <c r="H26" s="258" t="str">
        <f t="shared" si="22"/>
        <v>#REF!</v>
      </c>
      <c r="I26" s="258" t="str">
        <f t="shared" si="23"/>
        <v>#REF!</v>
      </c>
      <c r="J26" s="258" t="str">
        <f t="shared" si="24"/>
        <v>#REF!</v>
      </c>
      <c r="K26" s="258" t="str">
        <f t="shared" si="25"/>
        <v>#REF!</v>
      </c>
      <c r="L26" s="258" t="str">
        <f t="shared" si="26"/>
        <v>#REF!</v>
      </c>
      <c r="M26" s="258" t="str">
        <f t="shared" si="27"/>
        <v>#REF!</v>
      </c>
      <c r="N26" s="258" t="str">
        <f t="shared" si="28"/>
        <v>#REF!</v>
      </c>
    </row>
    <row r="27" ht="15.75" customHeight="1">
      <c r="B27" s="1252" t="s">
        <v>42</v>
      </c>
      <c r="C27" s="312">
        <f>'Summary Sheet - April 2026'!W28</f>
        <v>0</v>
      </c>
      <c r="D27" s="312">
        <f>'Summary Sheet - May 2026'!W28</f>
        <v>0</v>
      </c>
      <c r="E27" s="312">
        <f>'Summary Sheet - June 2026'!W28</f>
        <v>0</v>
      </c>
      <c r="F27" s="258">
        <f>'Summary Sheet - July 2026'!W28</f>
        <v>0</v>
      </c>
      <c r="G27" s="258" t="str">
        <f t="shared" si="21"/>
        <v>#REF!</v>
      </c>
      <c r="H27" s="258" t="str">
        <f t="shared" si="22"/>
        <v>#REF!</v>
      </c>
      <c r="I27" s="258" t="str">
        <f t="shared" si="23"/>
        <v>#REF!</v>
      </c>
      <c r="J27" s="258" t="str">
        <f t="shared" si="24"/>
        <v>#REF!</v>
      </c>
      <c r="K27" s="258" t="str">
        <f t="shared" si="25"/>
        <v>#REF!</v>
      </c>
      <c r="L27" s="258" t="str">
        <f t="shared" si="26"/>
        <v>#REF!</v>
      </c>
      <c r="M27" s="258" t="str">
        <f t="shared" si="27"/>
        <v>#REF!</v>
      </c>
      <c r="N27" s="258" t="str">
        <f t="shared" si="28"/>
        <v>#REF!</v>
      </c>
    </row>
    <row r="28" ht="15.75" customHeight="1">
      <c r="B28" s="410" t="s">
        <v>43</v>
      </c>
      <c r="C28" s="187">
        <f t="shared" ref="C28:N28" si="29">SUM(C18:C27)</f>
        <v>6671007.937</v>
      </c>
      <c r="D28" s="187">
        <f t="shared" si="29"/>
        <v>6672828.5</v>
      </c>
      <c r="E28" s="187">
        <f t="shared" si="29"/>
        <v>7041082</v>
      </c>
      <c r="F28" s="187">
        <f t="shared" si="29"/>
        <v>7041082</v>
      </c>
      <c r="G28" s="187" t="str">
        <f t="shared" si="29"/>
        <v>#REF!</v>
      </c>
      <c r="H28" s="187" t="str">
        <f t="shared" si="29"/>
        <v>#REF!</v>
      </c>
      <c r="I28" s="187" t="str">
        <f t="shared" si="29"/>
        <v>#REF!</v>
      </c>
      <c r="J28" s="187" t="str">
        <f t="shared" si="29"/>
        <v>#REF!</v>
      </c>
      <c r="K28" s="187" t="str">
        <f t="shared" si="29"/>
        <v>#REF!</v>
      </c>
      <c r="L28" s="187" t="str">
        <f t="shared" si="29"/>
        <v>#REF!</v>
      </c>
      <c r="M28" s="187" t="str">
        <f t="shared" si="29"/>
        <v>#REF!</v>
      </c>
      <c r="N28" s="365" t="str">
        <f t="shared" si="29"/>
        <v>#REF!</v>
      </c>
    </row>
    <row r="29" ht="15.75" customHeight="1">
      <c r="B29" s="1253"/>
      <c r="C29" s="328"/>
      <c r="D29" s="328"/>
      <c r="E29" s="328"/>
      <c r="F29" s="328"/>
      <c r="G29" s="328"/>
      <c r="H29" s="328"/>
      <c r="I29" s="1336"/>
      <c r="J29" s="1336"/>
      <c r="K29" s="1336"/>
      <c r="L29" s="1354"/>
      <c r="M29" s="1336"/>
      <c r="N29" s="1338"/>
    </row>
    <row r="30" ht="15.75" customHeight="1">
      <c r="B30" s="410" t="s">
        <v>44</v>
      </c>
      <c r="C30" s="187">
        <f t="shared" ref="C30:N30" si="30">C15-C28</f>
        <v>1445073.335</v>
      </c>
      <c r="D30" s="187">
        <f t="shared" si="30"/>
        <v>1571835.067</v>
      </c>
      <c r="E30" s="187">
        <f t="shared" si="30"/>
        <v>3115360.509</v>
      </c>
      <c r="F30" s="187">
        <f t="shared" si="30"/>
        <v>2412917.509</v>
      </c>
      <c r="G30" s="187" t="str">
        <f t="shared" si="30"/>
        <v>#REF!</v>
      </c>
      <c r="H30" s="187" t="str">
        <f t="shared" si="30"/>
        <v>#REF!</v>
      </c>
      <c r="I30" s="187" t="str">
        <f t="shared" si="30"/>
        <v>#REF!</v>
      </c>
      <c r="J30" s="187" t="str">
        <f t="shared" si="30"/>
        <v>#REF!</v>
      </c>
      <c r="K30" s="187" t="str">
        <f t="shared" si="30"/>
        <v>#REF!</v>
      </c>
      <c r="L30" s="187" t="str">
        <f t="shared" si="30"/>
        <v>#REF!</v>
      </c>
      <c r="M30" s="187" t="str">
        <f t="shared" si="30"/>
        <v>#REF!</v>
      </c>
      <c r="N30" s="365" t="str">
        <f t="shared" si="30"/>
        <v>#REF!</v>
      </c>
    </row>
    <row r="31" ht="15.75" customHeight="1">
      <c r="B31" s="410" t="s">
        <v>397</v>
      </c>
      <c r="C31" s="359">
        <f t="shared" ref="C31:N31" si="31">C30/C8</f>
        <v>0.1096351498</v>
      </c>
      <c r="D31" s="359">
        <f t="shared" si="31"/>
        <v>0.1166469094</v>
      </c>
      <c r="E31" s="359">
        <f t="shared" si="31"/>
        <v>0.2032934232</v>
      </c>
      <c r="F31" s="359">
        <f t="shared" si="31"/>
        <v>0.1650195499</v>
      </c>
      <c r="G31" s="359" t="str">
        <f t="shared" si="31"/>
        <v>#REF!</v>
      </c>
      <c r="H31" s="359" t="str">
        <f t="shared" si="31"/>
        <v>#REF!</v>
      </c>
      <c r="I31" s="359" t="str">
        <f t="shared" si="31"/>
        <v>#REF!</v>
      </c>
      <c r="J31" s="359" t="str">
        <f t="shared" si="31"/>
        <v>#REF!</v>
      </c>
      <c r="K31" s="359" t="str">
        <f t="shared" si="31"/>
        <v>#REF!</v>
      </c>
      <c r="L31" s="359" t="str">
        <f t="shared" si="31"/>
        <v>#REF!</v>
      </c>
      <c r="M31" s="359" t="str">
        <f t="shared" si="31"/>
        <v>#REF!</v>
      </c>
      <c r="N31" s="360" t="str">
        <f t="shared" si="31"/>
        <v>#REF!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12.63"/>
    <col customWidth="1" min="2" max="2" width="26.38"/>
    <col customWidth="1" min="3" max="3" width="13.0"/>
    <col customWidth="1" hidden="1" min="4" max="4" width="10.63"/>
    <col customWidth="1" min="5" max="5" width="13.13"/>
    <col customWidth="1" hidden="1" min="6" max="6" width="10.63"/>
    <col customWidth="1" min="7" max="7" width="13.13"/>
    <col customWidth="1" hidden="1" min="8" max="8" width="10.63"/>
    <col customWidth="1" min="9" max="9" width="13.13"/>
    <col customWidth="1" hidden="1" min="10" max="10" width="11.88"/>
    <col customWidth="1" min="11" max="11" width="13.13"/>
    <col customWidth="1" hidden="1" min="12" max="12" width="13.13"/>
    <col customWidth="1" min="13" max="13" width="13.13"/>
    <col customWidth="1" hidden="1" min="14" max="14" width="10.63"/>
    <col customWidth="1" min="15" max="15" width="14.25"/>
    <col customWidth="1" hidden="1" min="16" max="16" width="10.63"/>
    <col customWidth="1" min="17" max="17" width="13.13"/>
    <col customWidth="1" hidden="1" min="18" max="18" width="11.88"/>
    <col customWidth="1" min="19" max="19" width="13.13"/>
    <col customWidth="1" hidden="1" min="20" max="20" width="11.88"/>
    <col customWidth="1" min="21" max="21" width="13.13"/>
    <col customWidth="1" hidden="1" min="22" max="22" width="11.88"/>
    <col customWidth="1" min="23" max="23" width="13.13"/>
    <col customWidth="1" hidden="1" min="24" max="24" width="11.88"/>
    <col customWidth="1" min="25" max="25" width="14.25"/>
    <col customWidth="1" min="26" max="26" width="13.13"/>
    <col customWidth="1" min="27" max="27" width="12.75"/>
  </cols>
  <sheetData>
    <row r="1" ht="15.75" customHeight="1">
      <c r="A1" s="439"/>
      <c r="B1" s="439"/>
      <c r="C1" s="1358"/>
      <c r="D1" s="1358"/>
      <c r="E1" s="1358"/>
      <c r="F1" s="1358"/>
      <c r="G1" s="1358"/>
      <c r="H1" s="1358"/>
      <c r="I1" s="1358"/>
      <c r="J1" s="1358"/>
      <c r="K1" s="1358"/>
      <c r="L1" s="1358"/>
      <c r="M1" s="1358"/>
      <c r="N1" s="1358"/>
      <c r="O1" s="1358"/>
      <c r="P1" s="1358"/>
      <c r="Q1" s="1358"/>
      <c r="R1" s="1358"/>
      <c r="S1" s="1358"/>
      <c r="T1" s="1358"/>
      <c r="U1" s="1358"/>
      <c r="V1" s="1358"/>
      <c r="W1" s="1358"/>
      <c r="X1" s="1358"/>
      <c r="Y1" s="1359"/>
      <c r="Z1" s="1359"/>
      <c r="AA1" s="1358"/>
    </row>
    <row r="2" ht="15.75" customHeight="1">
      <c r="A2" s="439"/>
      <c r="B2" s="442" t="s">
        <v>154</v>
      </c>
      <c r="C2" s="1358"/>
      <c r="D2" s="1358"/>
      <c r="E2" s="1358"/>
      <c r="F2" s="1358"/>
      <c r="G2" s="1358"/>
      <c r="H2" s="1358"/>
      <c r="I2" s="1358"/>
      <c r="J2" s="1358"/>
      <c r="K2" s="1358"/>
      <c r="L2" s="1358"/>
      <c r="M2" s="1358"/>
      <c r="N2" s="1358"/>
      <c r="O2" s="1358"/>
      <c r="P2" s="1358"/>
      <c r="Q2" s="1358"/>
      <c r="R2" s="1358"/>
      <c r="S2" s="1358"/>
      <c r="T2" s="1358"/>
      <c r="U2" s="1358"/>
      <c r="V2" s="1358"/>
      <c r="W2" s="1358"/>
      <c r="X2" s="1358"/>
      <c r="Y2" s="1359"/>
      <c r="Z2" s="1359"/>
      <c r="AA2" s="1358"/>
    </row>
    <row r="3" ht="15.75" customHeight="1">
      <c r="A3" s="439"/>
      <c r="B3" s="529" t="s">
        <v>452</v>
      </c>
      <c r="C3" s="1358"/>
      <c r="D3" s="1358"/>
      <c r="E3" s="1358"/>
      <c r="F3" s="1358"/>
      <c r="G3" s="1358"/>
      <c r="H3" s="1358"/>
      <c r="I3" s="1358"/>
      <c r="J3" s="1358"/>
      <c r="K3" s="1358"/>
      <c r="L3" s="1358"/>
      <c r="M3" s="1358"/>
      <c r="N3" s="1358"/>
      <c r="O3" s="1358"/>
      <c r="P3" s="1358"/>
      <c r="Q3" s="1358"/>
      <c r="R3" s="1358"/>
      <c r="S3" s="1358"/>
      <c r="T3" s="1358"/>
      <c r="U3" s="1358"/>
      <c r="V3" s="1358"/>
      <c r="W3" s="1358"/>
      <c r="X3" s="1358"/>
      <c r="Y3" s="1359"/>
      <c r="Z3" s="1359"/>
      <c r="AA3" s="1358"/>
    </row>
    <row r="4" ht="15.75" customHeight="1">
      <c r="A4" s="439"/>
      <c r="B4" s="439"/>
      <c r="C4" s="1360"/>
      <c r="D4" s="1360"/>
      <c r="E4" s="1360"/>
      <c r="F4" s="1360"/>
      <c r="G4" s="1360"/>
      <c r="H4" s="1360"/>
      <c r="I4" s="1360"/>
      <c r="J4" s="1360"/>
      <c r="K4" s="247"/>
      <c r="L4" s="247"/>
      <c r="M4" s="1358"/>
      <c r="N4" s="1358"/>
      <c r="O4" s="1358"/>
      <c r="P4" s="1358"/>
      <c r="Q4" s="1358"/>
      <c r="R4" s="1358"/>
      <c r="S4" s="1358"/>
      <c r="T4" s="1358"/>
      <c r="U4" s="1358"/>
      <c r="V4" s="1358"/>
      <c r="W4" s="1358"/>
      <c r="X4" s="1358"/>
      <c r="Y4" s="1359"/>
      <c r="Z4" s="1359"/>
      <c r="AA4" s="1358"/>
    </row>
    <row r="5" ht="15.75" customHeight="1">
      <c r="A5" s="439"/>
      <c r="B5" s="1361" t="s">
        <v>163</v>
      </c>
      <c r="C5" s="1362">
        <v>46113.0</v>
      </c>
      <c r="D5" s="13"/>
      <c r="E5" s="1362">
        <v>46143.0</v>
      </c>
      <c r="F5" s="13"/>
      <c r="G5" s="1362">
        <v>46174.0</v>
      </c>
      <c r="H5" s="13"/>
      <c r="I5" s="1362">
        <v>46204.0</v>
      </c>
      <c r="J5" s="11"/>
      <c r="K5" s="1362">
        <v>46235.0</v>
      </c>
      <c r="L5" s="13"/>
      <c r="M5" s="1362">
        <v>46266.0</v>
      </c>
      <c r="N5" s="13"/>
      <c r="O5" s="1362">
        <v>46296.0</v>
      </c>
      <c r="P5" s="13"/>
      <c r="Q5" s="1363" t="s">
        <v>390</v>
      </c>
      <c r="R5" s="13"/>
      <c r="S5" s="1363" t="s">
        <v>391</v>
      </c>
      <c r="T5" s="13"/>
      <c r="U5" s="1363" t="s">
        <v>453</v>
      </c>
      <c r="V5" s="13"/>
      <c r="W5" s="1363" t="s">
        <v>454</v>
      </c>
      <c r="X5" s="13"/>
      <c r="Y5" s="1364" t="s">
        <v>455</v>
      </c>
      <c r="Z5" s="1364" t="s">
        <v>19</v>
      </c>
      <c r="AA5" s="1364" t="s">
        <v>456</v>
      </c>
    </row>
    <row r="6" ht="15.75" customHeight="1">
      <c r="A6" s="439"/>
      <c r="B6" s="1365" t="s">
        <v>457</v>
      </c>
      <c r="C6" s="1366" t="s">
        <v>17</v>
      </c>
      <c r="D6" s="1367" t="s">
        <v>458</v>
      </c>
      <c r="E6" s="1366" t="s">
        <v>17</v>
      </c>
      <c r="F6" s="1367" t="s">
        <v>458</v>
      </c>
      <c r="G6" s="1366" t="s">
        <v>17</v>
      </c>
      <c r="H6" s="1367" t="s">
        <v>458</v>
      </c>
      <c r="I6" s="1366" t="s">
        <v>17</v>
      </c>
      <c r="J6" s="1368" t="s">
        <v>458</v>
      </c>
      <c r="K6" s="1366" t="s">
        <v>17</v>
      </c>
      <c r="L6" s="1367" t="s">
        <v>458</v>
      </c>
      <c r="M6" s="1366" t="s">
        <v>17</v>
      </c>
      <c r="N6" s="1367" t="s">
        <v>458</v>
      </c>
      <c r="O6" s="1366" t="s">
        <v>17</v>
      </c>
      <c r="P6" s="1367" t="s">
        <v>458</v>
      </c>
      <c r="Q6" s="1366" t="s">
        <v>17</v>
      </c>
      <c r="R6" s="1367" t="s">
        <v>458</v>
      </c>
      <c r="S6" s="1366" t="s">
        <v>17</v>
      </c>
      <c r="T6" s="1367" t="s">
        <v>458</v>
      </c>
      <c r="U6" s="1366" t="s">
        <v>17</v>
      </c>
      <c r="V6" s="1367" t="s">
        <v>458</v>
      </c>
      <c r="W6" s="1366" t="s">
        <v>17</v>
      </c>
      <c r="X6" s="1367" t="s">
        <v>458</v>
      </c>
      <c r="Y6" s="448"/>
      <c r="Z6" s="448"/>
      <c r="AA6" s="448"/>
    </row>
    <row r="7" ht="15.75" customHeight="1">
      <c r="A7" s="439"/>
      <c r="B7" s="497" t="s">
        <v>21</v>
      </c>
      <c r="C7" s="467">
        <f>'Summary Sheet - April 2026'!O5</f>
        <v>1172105</v>
      </c>
      <c r="D7" s="1369">
        <f t="shared" ref="D7:D12" si="1">C7/$C$12</f>
        <v>0.05697487722</v>
      </c>
      <c r="E7" s="467">
        <f>'Summary Sheet - May 2026'!O5</f>
        <v>1235475</v>
      </c>
      <c r="F7" s="1369">
        <f t="shared" ref="F7:F11" si="2">E7/$E$12</f>
        <v>0.05571647241</v>
      </c>
      <c r="G7" s="467">
        <f>'Summary Sheet - June 2026'!O5</f>
        <v>1116385</v>
      </c>
      <c r="H7" s="1369">
        <f t="shared" ref="H7:H11" si="3">G7/$G$12</f>
        <v>0.05656113125</v>
      </c>
      <c r="I7" s="467">
        <f>'Summary Sheet - July 2026'!O5</f>
        <v>1116385</v>
      </c>
      <c r="J7" s="1370">
        <f t="shared" ref="J7:J11" si="4">I7/$I$12</f>
        <v>0.05656113125</v>
      </c>
      <c r="K7" s="724" t="str">
        <f t="shared" ref="K7:K11" si="5">'Summary Sheet - Aug 2026'!O5</f>
        <v>#REF!</v>
      </c>
      <c r="L7" s="1369" t="str">
        <f t="shared" ref="L7:L11" si="6">K7/$K$12</f>
        <v>#REF!</v>
      </c>
      <c r="M7" s="724" t="str">
        <f t="shared" ref="M7:M11" si="7">'Summary Sheet - Sep 2026'!O5</f>
        <v>#REF!</v>
      </c>
      <c r="N7" s="1369" t="str">
        <f t="shared" ref="N7:N11" si="8">M7/$M$12</f>
        <v>#REF!</v>
      </c>
      <c r="O7" s="718" t="str">
        <f t="shared" ref="O7:O11" si="9">'Summary Sheet - Oct 2026'!O5</f>
        <v>#REF!</v>
      </c>
      <c r="P7" s="1369"/>
      <c r="Q7" s="718" t="str">
        <f t="shared" ref="Q7:Q11" si="10">'Summary Sheet - Nov 2026'!O5</f>
        <v>#REF!</v>
      </c>
      <c r="R7" s="1369"/>
      <c r="S7" s="718" t="str">
        <f t="shared" ref="S7:S11" si="11">'Summary Sheet - Dec 2026'!O5</f>
        <v>#REF!</v>
      </c>
      <c r="T7" s="1369"/>
      <c r="U7" s="718" t="str">
        <f t="shared" ref="U7:U11" si="12">'Summary Sheet - Jan 2027'!O5</f>
        <v>#REF!</v>
      </c>
      <c r="V7" s="1369"/>
      <c r="W7" s="718" t="str">
        <f t="shared" ref="W7:W11" si="13">'Summary Sheet - Feb 2027'!O5</f>
        <v>#REF!</v>
      </c>
      <c r="X7" s="1370" t="str">
        <f t="shared" ref="X7:X11" si="14">W7/$W$12</f>
        <v>#REF!</v>
      </c>
      <c r="Y7" s="1371" t="str">
        <f t="shared" ref="Y7:Y11" si="15">C7+E7+G7+I7+K7+M7+O7+Q7+S7+U7+W7</f>
        <v>#REF!</v>
      </c>
      <c r="Z7" s="1371" t="str">
        <f>'The Table'!#REF!</f>
        <v>#ERROR!</v>
      </c>
      <c r="AA7" s="1372" t="str">
        <f t="shared" ref="AA7:AA10" si="16">Y7/Z7</f>
        <v>#REF!</v>
      </c>
    </row>
    <row r="8" ht="15.75" customHeight="1">
      <c r="A8" s="439"/>
      <c r="B8" s="465" t="s">
        <v>22</v>
      </c>
      <c r="C8" s="467">
        <f>'Summary Sheet - April 2026'!O6</f>
        <v>4966546</v>
      </c>
      <c r="D8" s="1373">
        <f t="shared" si="1"/>
        <v>0.2414189416</v>
      </c>
      <c r="E8" s="467">
        <f>'Summary Sheet - May 2026'!O6</f>
        <v>4851470</v>
      </c>
      <c r="F8" s="1373">
        <f t="shared" si="2"/>
        <v>0.2187877492</v>
      </c>
      <c r="G8" s="467">
        <f>'Summary Sheet - June 2026'!O6</f>
        <v>3932015</v>
      </c>
      <c r="H8" s="1369">
        <f t="shared" si="3"/>
        <v>0.1992137269</v>
      </c>
      <c r="I8" s="467">
        <f>'Summary Sheet - July 2026'!O6</f>
        <v>3932015</v>
      </c>
      <c r="J8" s="1370">
        <f t="shared" si="4"/>
        <v>0.1992137269</v>
      </c>
      <c r="K8" s="724" t="str">
        <f t="shared" si="5"/>
        <v>#REF!</v>
      </c>
      <c r="L8" s="1369" t="str">
        <f t="shared" si="6"/>
        <v>#REF!</v>
      </c>
      <c r="M8" s="724" t="str">
        <f t="shared" si="7"/>
        <v>#REF!</v>
      </c>
      <c r="N8" s="1369" t="str">
        <f t="shared" si="8"/>
        <v>#REF!</v>
      </c>
      <c r="O8" s="718" t="str">
        <f t="shared" si="9"/>
        <v>#REF!</v>
      </c>
      <c r="P8" s="1369"/>
      <c r="Q8" s="718" t="str">
        <f t="shared" si="10"/>
        <v>#REF!</v>
      </c>
      <c r="R8" s="1369"/>
      <c r="S8" s="718" t="str">
        <f t="shared" si="11"/>
        <v>#REF!</v>
      </c>
      <c r="T8" s="1369"/>
      <c r="U8" s="718" t="str">
        <f t="shared" si="12"/>
        <v>#REF!</v>
      </c>
      <c r="V8" s="1369"/>
      <c r="W8" s="718" t="str">
        <f t="shared" si="13"/>
        <v>#REF!</v>
      </c>
      <c r="X8" s="1370" t="str">
        <f t="shared" si="14"/>
        <v>#REF!</v>
      </c>
      <c r="Y8" s="1371" t="str">
        <f t="shared" si="15"/>
        <v>#REF!</v>
      </c>
      <c r="Z8" s="1371" t="str">
        <f>'The Table'!#REF!</f>
        <v>#ERROR!</v>
      </c>
      <c r="AA8" s="1374" t="str">
        <f t="shared" si="16"/>
        <v>#REF!</v>
      </c>
    </row>
    <row r="9" ht="15.75" customHeight="1">
      <c r="A9" s="439"/>
      <c r="B9" s="465" t="s">
        <v>23</v>
      </c>
      <c r="C9" s="467">
        <f>'Summary Sheet - April 2026'!O7</f>
        <v>12691723.87</v>
      </c>
      <c r="D9" s="1373">
        <f t="shared" si="1"/>
        <v>0.6169322793</v>
      </c>
      <c r="E9" s="467">
        <f>'Summary Sheet - May 2026'!O7</f>
        <v>14320634</v>
      </c>
      <c r="F9" s="1373">
        <f t="shared" si="2"/>
        <v>0.6458206028</v>
      </c>
      <c r="G9" s="467">
        <f>'Summary Sheet - June 2026'!O7</f>
        <v>13158747</v>
      </c>
      <c r="H9" s="1369">
        <f t="shared" si="3"/>
        <v>0.6666818491</v>
      </c>
      <c r="I9" s="467">
        <f>'Summary Sheet - July 2026'!O7</f>
        <v>13158747</v>
      </c>
      <c r="J9" s="1370">
        <f t="shared" si="4"/>
        <v>0.6666818491</v>
      </c>
      <c r="K9" s="724" t="str">
        <f t="shared" si="5"/>
        <v>#REF!</v>
      </c>
      <c r="L9" s="1369" t="str">
        <f t="shared" si="6"/>
        <v>#REF!</v>
      </c>
      <c r="M9" s="724" t="str">
        <f t="shared" si="7"/>
        <v>#REF!</v>
      </c>
      <c r="N9" s="1369" t="str">
        <f t="shared" si="8"/>
        <v>#REF!</v>
      </c>
      <c r="O9" s="718" t="str">
        <f t="shared" si="9"/>
        <v>#REF!</v>
      </c>
      <c r="P9" s="1369"/>
      <c r="Q9" s="718" t="str">
        <f t="shared" si="10"/>
        <v>#REF!</v>
      </c>
      <c r="R9" s="1369"/>
      <c r="S9" s="718" t="str">
        <f t="shared" si="11"/>
        <v>#REF!</v>
      </c>
      <c r="T9" s="1369"/>
      <c r="U9" s="718" t="str">
        <f t="shared" si="12"/>
        <v>#REF!</v>
      </c>
      <c r="V9" s="1369"/>
      <c r="W9" s="718" t="str">
        <f t="shared" si="13"/>
        <v>#REF!</v>
      </c>
      <c r="X9" s="1370" t="str">
        <f t="shared" si="14"/>
        <v>#REF!</v>
      </c>
      <c r="Y9" s="1371" t="str">
        <f t="shared" si="15"/>
        <v>#REF!</v>
      </c>
      <c r="Z9" s="1371" t="str">
        <f>'The Table'!#REF!</f>
        <v>#ERROR!</v>
      </c>
      <c r="AA9" s="1374" t="str">
        <f t="shared" si="16"/>
        <v>#REF!</v>
      </c>
    </row>
    <row r="10" ht="15.75" customHeight="1">
      <c r="A10" s="439"/>
      <c r="B10" s="465" t="s">
        <v>24</v>
      </c>
      <c r="C10" s="467">
        <f>'Summary Sheet - April 2026'!O8</f>
        <v>1719138</v>
      </c>
      <c r="D10" s="1373">
        <f t="shared" si="1"/>
        <v>0.08356561612</v>
      </c>
      <c r="E10" s="467">
        <f>'Summary Sheet - May 2026'!O8</f>
        <v>1746343</v>
      </c>
      <c r="F10" s="1373">
        <f t="shared" si="2"/>
        <v>0.07875519261</v>
      </c>
      <c r="G10" s="467">
        <f>'Summary Sheet - June 2026'!O8</f>
        <v>1507574</v>
      </c>
      <c r="H10" s="1369">
        <f t="shared" si="3"/>
        <v>0.07638054155</v>
      </c>
      <c r="I10" s="467">
        <f>'Summary Sheet - July 2026'!O8</f>
        <v>1507574</v>
      </c>
      <c r="J10" s="1370">
        <f t="shared" si="4"/>
        <v>0.07638054155</v>
      </c>
      <c r="K10" s="724" t="str">
        <f t="shared" si="5"/>
        <v>#REF!</v>
      </c>
      <c r="L10" s="1369" t="str">
        <f t="shared" si="6"/>
        <v>#REF!</v>
      </c>
      <c r="M10" s="724" t="str">
        <f t="shared" si="7"/>
        <v>#REF!</v>
      </c>
      <c r="N10" s="1369" t="str">
        <f t="shared" si="8"/>
        <v>#REF!</v>
      </c>
      <c r="O10" s="718" t="str">
        <f t="shared" si="9"/>
        <v>#REF!</v>
      </c>
      <c r="P10" s="1369"/>
      <c r="Q10" s="718" t="str">
        <f t="shared" si="10"/>
        <v>#REF!</v>
      </c>
      <c r="R10" s="1369"/>
      <c r="S10" s="718" t="str">
        <f t="shared" si="11"/>
        <v>#REF!</v>
      </c>
      <c r="T10" s="1369"/>
      <c r="U10" s="718" t="str">
        <f t="shared" si="12"/>
        <v>#REF!</v>
      </c>
      <c r="V10" s="1369"/>
      <c r="W10" s="718" t="str">
        <f t="shared" si="13"/>
        <v>#REF!</v>
      </c>
      <c r="X10" s="1370" t="str">
        <f t="shared" si="14"/>
        <v>#REF!</v>
      </c>
      <c r="Y10" s="1371" t="str">
        <f t="shared" si="15"/>
        <v>#REF!</v>
      </c>
      <c r="Z10" s="729" t="str">
        <f>'The Table'!#REF!</f>
        <v>#ERROR!</v>
      </c>
      <c r="AA10" s="1374" t="str">
        <f t="shared" si="16"/>
        <v>#REF!</v>
      </c>
    </row>
    <row r="11" ht="15.75" customHeight="1">
      <c r="A11" s="439"/>
      <c r="B11" s="483" t="s">
        <v>159</v>
      </c>
      <c r="C11" s="467">
        <f>'Summary Sheet - April 2026'!O9</f>
        <v>22800</v>
      </c>
      <c r="D11" s="1375">
        <f t="shared" si="1"/>
        <v>0.001108285692</v>
      </c>
      <c r="E11" s="467">
        <f>'Summary Sheet - May 2026'!O9</f>
        <v>20400</v>
      </c>
      <c r="F11" s="1373">
        <f t="shared" si="2"/>
        <v>0.0009199830326</v>
      </c>
      <c r="G11" s="467">
        <f>'Summary Sheet - June 2026'!O9</f>
        <v>22950</v>
      </c>
      <c r="H11" s="1369">
        <f t="shared" si="3"/>
        <v>0.001162751168</v>
      </c>
      <c r="I11" s="467">
        <f>'Summary Sheet - July 2026'!O9</f>
        <v>22950</v>
      </c>
      <c r="J11" s="1370">
        <f t="shared" si="4"/>
        <v>0.001162751168</v>
      </c>
      <c r="K11" s="724" t="str">
        <f t="shared" si="5"/>
        <v>#REF!</v>
      </c>
      <c r="L11" s="1369" t="str">
        <f t="shared" si="6"/>
        <v>#REF!</v>
      </c>
      <c r="M11" s="724" t="str">
        <f t="shared" si="7"/>
        <v>#REF!</v>
      </c>
      <c r="N11" s="1369" t="str">
        <f t="shared" si="8"/>
        <v>#REF!</v>
      </c>
      <c r="O11" s="718" t="str">
        <f t="shared" si="9"/>
        <v>#REF!</v>
      </c>
      <c r="P11" s="1369"/>
      <c r="Q11" s="718" t="str">
        <f t="shared" si="10"/>
        <v>#REF!</v>
      </c>
      <c r="R11" s="1369"/>
      <c r="S11" s="718" t="str">
        <f t="shared" si="11"/>
        <v>#REF!</v>
      </c>
      <c r="T11" s="1376"/>
      <c r="U11" s="718" t="str">
        <f t="shared" si="12"/>
        <v>#REF!</v>
      </c>
      <c r="V11" s="1369"/>
      <c r="W11" s="718" t="str">
        <f t="shared" si="13"/>
        <v>#REF!</v>
      </c>
      <c r="X11" s="1370" t="str">
        <f t="shared" si="14"/>
        <v>#REF!</v>
      </c>
      <c r="Y11" s="1371" t="str">
        <f t="shared" si="15"/>
        <v>#REF!</v>
      </c>
      <c r="Z11" s="1377">
        <v>0.0</v>
      </c>
      <c r="AA11" s="1374">
        <v>0.0</v>
      </c>
    </row>
    <row r="12" ht="15.75" customHeight="1">
      <c r="A12" s="439"/>
      <c r="B12" s="1361" t="s">
        <v>459</v>
      </c>
      <c r="C12" s="1378">
        <f>SUM(C7:C11)</f>
        <v>20572312.87</v>
      </c>
      <c r="D12" s="1379">
        <f t="shared" si="1"/>
        <v>1</v>
      </c>
      <c r="E12" s="1378">
        <f>SUM(E7:E11)</f>
        <v>22174322</v>
      </c>
      <c r="F12" s="1379">
        <f>E12/E12</f>
        <v>1</v>
      </c>
      <c r="G12" s="1378">
        <f>SUM(G7:G11)</f>
        <v>19737671</v>
      </c>
      <c r="H12" s="1379">
        <f>G12/G12</f>
        <v>1</v>
      </c>
      <c r="I12" s="1378">
        <f>SUM(I7:I11)</f>
        <v>19737671</v>
      </c>
      <c r="J12" s="1380">
        <f>I12/I12</f>
        <v>1</v>
      </c>
      <c r="K12" s="1381" t="str">
        <f>SUM(K7:K11)</f>
        <v>#REF!</v>
      </c>
      <c r="L12" s="1379" t="str">
        <f>K12/K12</f>
        <v>#REF!</v>
      </c>
      <c r="M12" s="1378" t="str">
        <f>SUM(M7:M11)</f>
        <v>#REF!</v>
      </c>
      <c r="N12" s="1379" t="str">
        <f>M12/M12</f>
        <v>#REF!</v>
      </c>
      <c r="O12" s="1378" t="str">
        <f>SUM(O7:O11)</f>
        <v>#REF!</v>
      </c>
      <c r="P12" s="1379" t="str">
        <f>O12/O12</f>
        <v>#REF!</v>
      </c>
      <c r="Q12" s="1378" t="str">
        <f>SUM(Q7:Q11)</f>
        <v>#REF!</v>
      </c>
      <c r="R12" s="1379" t="str">
        <f>Q12/Q12</f>
        <v>#REF!</v>
      </c>
      <c r="S12" s="1378" t="str">
        <f>SUM(S7:S11)</f>
        <v>#REF!</v>
      </c>
      <c r="T12" s="1379" t="str">
        <f>S12/S12</f>
        <v>#REF!</v>
      </c>
      <c r="U12" s="1378" t="str">
        <f>SUM(U7:U11)</f>
        <v>#REF!</v>
      </c>
      <c r="V12" s="1379" t="str">
        <f>U12/U12</f>
        <v>#REF!</v>
      </c>
      <c r="W12" s="1378" t="str">
        <f>SUM(W7:W11)</f>
        <v>#REF!</v>
      </c>
      <c r="X12" s="1380" t="str">
        <f>W12/W12</f>
        <v>#REF!</v>
      </c>
      <c r="Y12" s="1382" t="str">
        <f t="shared" ref="Y12:Z12" si="17">SUM(Y7:Y11)</f>
        <v>#REF!</v>
      </c>
      <c r="Z12" s="1382" t="str">
        <f t="shared" si="17"/>
        <v>#ERROR!</v>
      </c>
      <c r="AA12" s="1383" t="str">
        <f>Y12/Z12</f>
        <v>#REF!</v>
      </c>
    </row>
    <row r="13" ht="15.75" customHeight="1">
      <c r="A13" s="439"/>
      <c r="B13" s="497"/>
      <c r="C13" s="463"/>
      <c r="D13" s="1384"/>
      <c r="E13" s="1385"/>
      <c r="F13" s="1384"/>
      <c r="G13" s="1385"/>
      <c r="H13" s="1384"/>
      <c r="I13" s="1385"/>
      <c r="J13" s="1386"/>
      <c r="K13" s="1385"/>
      <c r="L13" s="1384"/>
      <c r="M13" s="1385"/>
      <c r="N13" s="1384"/>
      <c r="O13" s="1385"/>
      <c r="P13" s="1384"/>
      <c r="Q13" s="1385"/>
      <c r="R13" s="1384"/>
      <c r="S13" s="1385"/>
      <c r="T13" s="1384"/>
      <c r="U13" s="1385"/>
      <c r="V13" s="1384"/>
      <c r="W13" s="1385"/>
      <c r="X13" s="1386"/>
      <c r="Y13" s="1387"/>
      <c r="Z13" s="1387"/>
      <c r="AA13" s="1388"/>
    </row>
    <row r="14" ht="15.75" customHeight="1">
      <c r="A14" s="439"/>
      <c r="B14" s="587" t="s">
        <v>183</v>
      </c>
      <c r="C14" s="467"/>
      <c r="D14" s="1142"/>
      <c r="E14" s="1389"/>
      <c r="F14" s="1142"/>
      <c r="G14" s="1389"/>
      <c r="H14" s="1142"/>
      <c r="I14" s="1389"/>
      <c r="J14" s="1138"/>
      <c r="K14" s="1389"/>
      <c r="L14" s="1142"/>
      <c r="M14" s="1389"/>
      <c r="N14" s="1142"/>
      <c r="O14" s="1389"/>
      <c r="P14" s="1142"/>
      <c r="Q14" s="1389"/>
      <c r="R14" s="1142"/>
      <c r="S14" s="1389"/>
      <c r="T14" s="1142"/>
      <c r="U14" s="1389"/>
      <c r="V14" s="1142"/>
      <c r="W14" s="1389"/>
      <c r="X14" s="1138"/>
      <c r="Y14" s="1390"/>
      <c r="Z14" s="1390"/>
      <c r="AA14" s="480"/>
    </row>
    <row r="15" ht="15.75" customHeight="1">
      <c r="A15" s="439"/>
      <c r="B15" s="465" t="s">
        <v>28</v>
      </c>
      <c r="C15" s="467">
        <f>'Summary Sheet - April 2026'!O12</f>
        <v>7070695.559</v>
      </c>
      <c r="D15" s="1373">
        <f t="shared" ref="D15:D18" si="18">C15/$C$12</f>
        <v>0.3436995929</v>
      </c>
      <c r="E15" s="467">
        <f>'Summary Sheet - May 2026'!O12</f>
        <v>7219244.588</v>
      </c>
      <c r="F15" s="1373">
        <f t="shared" ref="F15:F17" si="19">E15/$E$12</f>
        <v>0.3255677711</v>
      </c>
      <c r="G15" s="467">
        <f>'Summary Sheet - June 2026'!O12</f>
        <v>6993982.435</v>
      </c>
      <c r="H15" s="1369">
        <f t="shared" ref="H15:H17" si="20">G15/$G$12</f>
        <v>0.3543468951</v>
      </c>
      <c r="I15" s="467">
        <f>'Summary Sheet - July 2026'!O12</f>
        <v>6993982.435</v>
      </c>
      <c r="J15" s="1391">
        <f t="shared" ref="J15:J18" si="21">I15/$I$12</f>
        <v>0.3543468951</v>
      </c>
      <c r="K15" s="724" t="str">
        <f t="shared" ref="K15:K17" si="22">'Summary Sheet - Aug 2026'!O12</f>
        <v>#REF!</v>
      </c>
      <c r="L15" s="1369" t="str">
        <f t="shared" ref="L15:L16" si="23">K15/$K$12</f>
        <v>#REF!</v>
      </c>
      <c r="M15" s="724" t="str">
        <f t="shared" ref="M15:M17" si="24">'Summary Sheet - Sep 2026'!O12</f>
        <v>#REF!</v>
      </c>
      <c r="N15" s="1369" t="str">
        <f t="shared" ref="N15:N16" si="25">M15/$M$12</f>
        <v>#REF!</v>
      </c>
      <c r="O15" s="724" t="str">
        <f t="shared" ref="O15:O17" si="26">'Summary Sheet - Oct 2026'!O12</f>
        <v>#REF!</v>
      </c>
      <c r="P15" s="1369"/>
      <c r="Q15" s="724" t="str">
        <f t="shared" ref="Q15:Q17" si="27">'Summary Sheet - Nov 2026'!O12</f>
        <v>#REF!</v>
      </c>
      <c r="R15" s="1373"/>
      <c r="S15" s="726" t="str">
        <f t="shared" ref="S15:S17" si="28">'Summary Sheet - Dec 2026'!O12</f>
        <v>#REF!</v>
      </c>
      <c r="T15" s="1373"/>
      <c r="U15" s="726" t="str">
        <f t="shared" ref="U15:U17" si="29">'Summary Sheet - Jan 2027'!O12</f>
        <v>#REF!</v>
      </c>
      <c r="V15" s="726" t="str">
        <f>'Summary Sheet - Jan 2027\'!P12</f>
        <v>#REF!</v>
      </c>
      <c r="W15" s="726" t="str">
        <f t="shared" ref="W15:W17" si="30">'Summary Sheet - Feb 2027'!O12</f>
        <v>#REF!</v>
      </c>
      <c r="X15" s="1370" t="str">
        <f t="shared" ref="X15:X16" si="31">W15/$W$12</f>
        <v>#REF!</v>
      </c>
      <c r="Y15" s="1371" t="str">
        <f t="shared" ref="Y15:Y16" si="32">C15+E15+G15+I15+K15+M15+O15+Q15+S15+U15+W15</f>
        <v>#REF!</v>
      </c>
      <c r="Z15" s="729" t="str">
        <f>'The Table'!#REF!</f>
        <v>#ERROR!</v>
      </c>
      <c r="AA15" s="1374" t="str">
        <f t="shared" ref="AA15:AA16" si="33">Y15/Z15</f>
        <v>#REF!</v>
      </c>
    </row>
    <row r="16" ht="15.75" customHeight="1">
      <c r="A16" s="439"/>
      <c r="B16" s="465" t="s">
        <v>29</v>
      </c>
      <c r="C16" s="467">
        <f>'Summary Sheet - April 2026'!O13</f>
        <v>47598.75</v>
      </c>
      <c r="D16" s="1373">
        <f t="shared" si="18"/>
        <v>0.002313728665</v>
      </c>
      <c r="E16" s="467">
        <f>'Summary Sheet - May 2026'!O13</f>
        <v>58949.25</v>
      </c>
      <c r="F16" s="1373">
        <f t="shared" si="19"/>
        <v>0.002658446558</v>
      </c>
      <c r="G16" s="467">
        <f>'Summary Sheet - June 2026'!O13</f>
        <v>71360</v>
      </c>
      <c r="H16" s="1369">
        <f t="shared" si="20"/>
        <v>0.003615421495</v>
      </c>
      <c r="I16" s="467">
        <f>'Summary Sheet - July 2026'!O13</f>
        <v>71360</v>
      </c>
      <c r="J16" s="1391">
        <f t="shared" si="21"/>
        <v>0.003615421495</v>
      </c>
      <c r="K16" s="724" t="str">
        <f t="shared" si="22"/>
        <v>#REF!</v>
      </c>
      <c r="L16" s="1369" t="str">
        <f t="shared" si="23"/>
        <v>#REF!</v>
      </c>
      <c r="M16" s="724" t="str">
        <f t="shared" si="24"/>
        <v>#REF!</v>
      </c>
      <c r="N16" s="1369" t="str">
        <f t="shared" si="25"/>
        <v>#REF!</v>
      </c>
      <c r="O16" s="724" t="str">
        <f t="shared" si="26"/>
        <v>#REF!</v>
      </c>
      <c r="P16" s="1369"/>
      <c r="Q16" s="724" t="str">
        <f t="shared" si="27"/>
        <v>#REF!</v>
      </c>
      <c r="R16" s="1373"/>
      <c r="S16" s="726" t="str">
        <f t="shared" si="28"/>
        <v>#REF!</v>
      </c>
      <c r="T16" s="1373"/>
      <c r="U16" s="726" t="str">
        <f t="shared" si="29"/>
        <v>#REF!</v>
      </c>
      <c r="V16" s="1369"/>
      <c r="W16" s="726" t="str">
        <f t="shared" si="30"/>
        <v>#REF!</v>
      </c>
      <c r="X16" s="1370" t="str">
        <f t="shared" si="31"/>
        <v>#REF!</v>
      </c>
      <c r="Y16" s="1371" t="str">
        <f t="shared" si="32"/>
        <v>#REF!</v>
      </c>
      <c r="Z16" s="729" t="str">
        <f>'The Table'!#REF!</f>
        <v>#ERROR!</v>
      </c>
      <c r="AA16" s="1374" t="str">
        <f t="shared" si="33"/>
        <v>#REF!</v>
      </c>
    </row>
    <row r="17" ht="15.75" customHeight="1">
      <c r="A17" s="439"/>
      <c r="B17" s="483" t="s">
        <v>395</v>
      </c>
      <c r="C17" s="467" t="str">
        <f>'Summary Sheet - April 2026'!O14</f>
        <v/>
      </c>
      <c r="D17" s="1375">
        <f t="shared" si="18"/>
        <v>0</v>
      </c>
      <c r="E17" s="467" t="str">
        <f>'Summary Sheet - May 2026'!O14</f>
        <v/>
      </c>
      <c r="F17" s="1373">
        <f t="shared" si="19"/>
        <v>0</v>
      </c>
      <c r="G17" s="467" t="str">
        <f>'Summary Sheet - June 2026'!O14</f>
        <v/>
      </c>
      <c r="H17" s="1369">
        <f t="shared" si="20"/>
        <v>0</v>
      </c>
      <c r="I17" s="467" t="str">
        <f>'Summary Sheet - July 2026'!O14</f>
        <v/>
      </c>
      <c r="J17" s="1391">
        <f t="shared" si="21"/>
        <v>0</v>
      </c>
      <c r="K17" s="724" t="str">
        <f t="shared" si="22"/>
        <v>#REF!</v>
      </c>
      <c r="L17" s="1392"/>
      <c r="M17" s="724" t="str">
        <f t="shared" si="24"/>
        <v>#REF!</v>
      </c>
      <c r="N17" s="1392"/>
      <c r="O17" s="724" t="str">
        <f t="shared" si="26"/>
        <v>#REF!</v>
      </c>
      <c r="P17" s="1392"/>
      <c r="Q17" s="724" t="str">
        <f t="shared" si="27"/>
        <v>#REF!</v>
      </c>
      <c r="R17" s="1392"/>
      <c r="S17" s="726" t="str">
        <f t="shared" si="28"/>
        <v>#REF!</v>
      </c>
      <c r="T17" s="1392"/>
      <c r="U17" s="726" t="str">
        <f t="shared" si="29"/>
        <v>#REF!</v>
      </c>
      <c r="V17" s="1392"/>
      <c r="W17" s="726" t="str">
        <f t="shared" si="30"/>
        <v>#REF!</v>
      </c>
      <c r="X17" s="1393"/>
      <c r="Y17" s="1394"/>
      <c r="Z17" s="1394"/>
      <c r="AA17" s="1395"/>
    </row>
    <row r="18" ht="15.75" customHeight="1">
      <c r="A18" s="439"/>
      <c r="B18" s="1361" t="s">
        <v>30</v>
      </c>
      <c r="C18" s="1378">
        <f>SUM(C15:C17)</f>
        <v>7118294.309</v>
      </c>
      <c r="D18" s="1379">
        <f t="shared" si="18"/>
        <v>0.3460133216</v>
      </c>
      <c r="E18" s="1396">
        <f>SUM(E15:E17)</f>
        <v>7278193.838</v>
      </c>
      <c r="F18" s="1379">
        <f>E18/E12</f>
        <v>0.3282262176</v>
      </c>
      <c r="G18" s="1396">
        <f>SUM(G15:G17)</f>
        <v>7065342.435</v>
      </c>
      <c r="H18" s="1379">
        <f>G18/G12</f>
        <v>0.3579623166</v>
      </c>
      <c r="I18" s="1396">
        <f>SUM(I15:I17)</f>
        <v>7065342.435</v>
      </c>
      <c r="J18" s="1380">
        <f t="shared" si="21"/>
        <v>0.3579623166</v>
      </c>
      <c r="K18" s="1396" t="str">
        <f>SUM(K15:K17)</f>
        <v>#REF!</v>
      </c>
      <c r="L18" s="1379" t="str">
        <f>K18/K12</f>
        <v>#REF!</v>
      </c>
      <c r="M18" s="1396" t="str">
        <f>SUM(M15:M17)</f>
        <v>#REF!</v>
      </c>
      <c r="N18" s="1379" t="str">
        <f>M18/M12</f>
        <v>#REF!</v>
      </c>
      <c r="O18" s="1396" t="str">
        <f>SUM(O15:O17)</f>
        <v>#REF!</v>
      </c>
      <c r="P18" s="1379" t="str">
        <f>+O18/O12</f>
        <v>#REF!</v>
      </c>
      <c r="Q18" s="1396" t="str">
        <f>SUM(Q15:Q17)</f>
        <v>#REF!</v>
      </c>
      <c r="R18" s="1379" t="str">
        <f>Q18/Q12</f>
        <v>#REF!</v>
      </c>
      <c r="S18" s="1396" t="str">
        <f>SUM(S15:S17)</f>
        <v>#REF!</v>
      </c>
      <c r="T18" s="1379" t="str">
        <f>S18/S12</f>
        <v>#REF!</v>
      </c>
      <c r="U18" s="1396" t="str">
        <f>SUM(U15:U17)</f>
        <v>#REF!</v>
      </c>
      <c r="V18" s="1379" t="str">
        <f>U18/U12</f>
        <v>#REF!</v>
      </c>
      <c r="W18" s="1396" t="str">
        <f>SUM(W15:W17)</f>
        <v>#REF!</v>
      </c>
      <c r="X18" s="1380" t="str">
        <f>W18/W12</f>
        <v>#REF!</v>
      </c>
      <c r="Y18" s="1382" t="str">
        <f t="shared" ref="Y18:Z18" si="34">SUM(Y15:Y17)</f>
        <v>#REF!</v>
      </c>
      <c r="Z18" s="1382" t="str">
        <f t="shared" si="34"/>
        <v>#ERROR!</v>
      </c>
      <c r="AA18" s="1383" t="str">
        <f>Y18/Z18</f>
        <v>#REF!</v>
      </c>
    </row>
    <row r="19" ht="15.75" customHeight="1">
      <c r="A19" s="439"/>
      <c r="B19" s="526"/>
      <c r="C19" s="515"/>
      <c r="D19" s="1397"/>
      <c r="E19" s="1398"/>
      <c r="F19" s="1397"/>
      <c r="G19" s="1399"/>
      <c r="H19" s="1397"/>
      <c r="I19" s="1398"/>
      <c r="J19" s="1400"/>
      <c r="K19" s="1398"/>
      <c r="L19" s="1397"/>
      <c r="M19" s="1398"/>
      <c r="N19" s="1397"/>
      <c r="O19" s="1398"/>
      <c r="P19" s="1397"/>
      <c r="Q19" s="1398"/>
      <c r="R19" s="1397"/>
      <c r="S19" s="1398"/>
      <c r="T19" s="1397"/>
      <c r="U19" s="1398"/>
      <c r="V19" s="1397"/>
      <c r="W19" s="1398"/>
      <c r="X19" s="1400"/>
      <c r="Y19" s="1401"/>
      <c r="Z19" s="1401"/>
      <c r="AA19" s="1402"/>
    </row>
    <row r="20" ht="15.75" customHeight="1">
      <c r="A20" s="439"/>
      <c r="B20" s="1361" t="s">
        <v>32</v>
      </c>
      <c r="C20" s="1378">
        <f>C12-C18</f>
        <v>13454018.56</v>
      </c>
      <c r="D20" s="1379">
        <f>C20/$C$12</f>
        <v>0.6539866784</v>
      </c>
      <c r="E20" s="1396">
        <f>E12-E18</f>
        <v>14896128.16</v>
      </c>
      <c r="F20" s="1379">
        <f>E20/E12</f>
        <v>0.6717737824</v>
      </c>
      <c r="G20" s="1396">
        <f>G12-G18</f>
        <v>12672328.56</v>
      </c>
      <c r="H20" s="1403"/>
      <c r="I20" s="1396">
        <f>I12-I18</f>
        <v>12672328.56</v>
      </c>
      <c r="J20" s="1380">
        <f>I20/$I$12</f>
        <v>0.6420376834</v>
      </c>
      <c r="K20" s="1396" t="str">
        <f>K12-K18</f>
        <v>#REF!</v>
      </c>
      <c r="L20" s="1379" t="str">
        <f>K20/K12</f>
        <v>#REF!</v>
      </c>
      <c r="M20" s="1396" t="str">
        <f>M12-M18</f>
        <v>#REF!</v>
      </c>
      <c r="N20" s="1379" t="str">
        <f>M20/$M$12</f>
        <v>#REF!</v>
      </c>
      <c r="O20" s="1396" t="str">
        <f>O12-O18</f>
        <v>#REF!</v>
      </c>
      <c r="P20" s="1379" t="str">
        <f>O20/O12</f>
        <v>#REF!</v>
      </c>
      <c r="Q20" s="1396" t="str">
        <f>Q12-Q18</f>
        <v>#REF!</v>
      </c>
      <c r="R20" s="1379" t="str">
        <f>Q20/Q12</f>
        <v>#REF!</v>
      </c>
      <c r="S20" s="1396" t="str">
        <f>S12-S18</f>
        <v>#REF!</v>
      </c>
      <c r="T20" s="1379" t="str">
        <f>S20/S12</f>
        <v>#REF!</v>
      </c>
      <c r="U20" s="1396" t="str">
        <f>U12-U18</f>
        <v>#REF!</v>
      </c>
      <c r="V20" s="1379" t="str">
        <f>U20/U12</f>
        <v>#REF!</v>
      </c>
      <c r="W20" s="1396" t="str">
        <f>W12-W18</f>
        <v>#REF!</v>
      </c>
      <c r="X20" s="1380" t="str">
        <f>W20/W12</f>
        <v>#REF!</v>
      </c>
      <c r="Y20" s="1382" t="str">
        <f t="shared" ref="Y20:Z20" si="35">Y12-Y18</f>
        <v>#REF!</v>
      </c>
      <c r="Z20" s="1382" t="str">
        <f t="shared" si="35"/>
        <v>#ERROR!</v>
      </c>
      <c r="AA20" s="1383" t="str">
        <f>Y20/Z20</f>
        <v>#REF!</v>
      </c>
    </row>
    <row r="21" ht="15.75" customHeight="1">
      <c r="A21" s="439"/>
      <c r="B21" s="497"/>
      <c r="C21" s="463"/>
      <c r="D21" s="1384"/>
      <c r="E21" s="1385"/>
      <c r="F21" s="1384"/>
      <c r="G21" s="1385"/>
      <c r="H21" s="1384"/>
      <c r="I21" s="1385"/>
      <c r="J21" s="1386"/>
      <c r="K21" s="1385"/>
      <c r="L21" s="1384"/>
      <c r="M21" s="1385"/>
      <c r="N21" s="1384"/>
      <c r="O21" s="1385"/>
      <c r="P21" s="1384"/>
      <c r="Q21" s="1385"/>
      <c r="R21" s="1384"/>
      <c r="S21" s="1385"/>
      <c r="T21" s="1384"/>
      <c r="U21" s="1385"/>
      <c r="V21" s="1384"/>
      <c r="W21" s="1385"/>
      <c r="X21" s="1386"/>
      <c r="Y21" s="1387"/>
      <c r="Z21" s="1387"/>
      <c r="AA21" s="1388"/>
    </row>
    <row r="22" ht="15.75" customHeight="1">
      <c r="A22" s="439"/>
      <c r="B22" s="465" t="s">
        <v>33</v>
      </c>
      <c r="C22" s="467">
        <f>'Summary Sheet - April 2026'!O19</f>
        <v>609303.6233</v>
      </c>
      <c r="D22" s="1373">
        <f t="shared" ref="D22:D30" si="36">C22/$C$12</f>
        <v>0.02961765297</v>
      </c>
      <c r="E22" s="467">
        <f>'Summary Sheet - May 2026'!O19</f>
        <v>591235.94</v>
      </c>
      <c r="F22" s="1373">
        <f t="shared" ref="F22:F30" si="37">E22/$E$12</f>
        <v>0.02666308986</v>
      </c>
      <c r="G22" s="467">
        <f>'Summary Sheet - June 2026'!O19</f>
        <v>492876</v>
      </c>
      <c r="H22" s="1373">
        <f t="shared" ref="H22:H30" si="38">G22/$G$12</f>
        <v>0.02497133527</v>
      </c>
      <c r="I22" s="467">
        <f>'Summary Sheet - July 2026'!O19</f>
        <v>492876</v>
      </c>
      <c r="J22" s="1391">
        <f t="shared" ref="J22:J30" si="39">I22/$I$12</f>
        <v>0.02497133527</v>
      </c>
      <c r="K22" s="724" t="str">
        <f t="shared" ref="K22:K31" si="40">'Summary Sheet - Aug 2026'!O19</f>
        <v>#REF!</v>
      </c>
      <c r="L22" s="1369" t="str">
        <f t="shared" ref="L22:L30" si="41">K22/$K$12</f>
        <v>#REF!</v>
      </c>
      <c r="M22" s="726" t="str">
        <f t="shared" ref="M22:M31" si="42">'Summary Sheet - Sep 2026'!O19</f>
        <v>#REF!</v>
      </c>
      <c r="N22" s="1369" t="str">
        <f t="shared" ref="N22:N30" si="43">M22/$M$12</f>
        <v>#REF!</v>
      </c>
      <c r="O22" s="726" t="str">
        <f t="shared" ref="O22:O31" si="44">'Summary Sheet - Oct 2026'!O19</f>
        <v>#REF!</v>
      </c>
      <c r="P22" s="1369"/>
      <c r="Q22" s="726" t="str">
        <f t="shared" ref="Q22:Q31" si="45">'Summary Sheet - Nov 2026'!O19</f>
        <v>#REF!</v>
      </c>
      <c r="R22" s="1373"/>
      <c r="S22" s="726" t="str">
        <f t="shared" ref="S22:S31" si="46">'Summary Sheet - Dec 2026'!O19</f>
        <v>#REF!</v>
      </c>
      <c r="T22" s="1373"/>
      <c r="U22" s="726" t="str">
        <f t="shared" ref="U22:U31" si="47">'Summary Sheet - Jan 2027'!O19</f>
        <v>#REF!</v>
      </c>
      <c r="V22" s="1369"/>
      <c r="W22" s="726" t="str">
        <f t="shared" ref="W22:W31" si="48">'Summary Sheet - Feb 2027'!O19</f>
        <v>#REF!</v>
      </c>
      <c r="X22" s="1370" t="str">
        <f t="shared" ref="X22:X30" si="49">W22/$W$12</f>
        <v>#REF!</v>
      </c>
      <c r="Y22" s="1371" t="str">
        <f t="shared" ref="Y22:Y30" si="50">C22+E22+G22+I22+K22+M22+O22+Q22+S22+U22+W22</f>
        <v>#REF!</v>
      </c>
      <c r="Z22" s="729" t="str">
        <f>'The Table'!#REF!</f>
        <v>#ERROR!</v>
      </c>
      <c r="AA22" s="1374" t="str">
        <f t="shared" ref="AA22:AA30" si="51">Y22/Z22</f>
        <v>#REF!</v>
      </c>
    </row>
    <row r="23" ht="15.75" customHeight="1">
      <c r="A23" s="439"/>
      <c r="B23" s="465" t="s">
        <v>34</v>
      </c>
      <c r="C23" s="467">
        <f>'Summary Sheet - April 2026'!O20</f>
        <v>72049</v>
      </c>
      <c r="D23" s="1373">
        <f t="shared" si="36"/>
        <v>0.003502231395</v>
      </c>
      <c r="E23" s="467">
        <f>'Summary Sheet - May 2026'!O20</f>
        <v>0</v>
      </c>
      <c r="F23" s="1373">
        <f t="shared" si="37"/>
        <v>0</v>
      </c>
      <c r="G23" s="467">
        <f>'Summary Sheet - June 2026'!O20</f>
        <v>0</v>
      </c>
      <c r="H23" s="1373">
        <f t="shared" si="38"/>
        <v>0</v>
      </c>
      <c r="I23" s="467">
        <f>'Summary Sheet - July 2026'!O20</f>
        <v>0</v>
      </c>
      <c r="J23" s="1391">
        <f t="shared" si="39"/>
        <v>0</v>
      </c>
      <c r="K23" s="724" t="str">
        <f t="shared" si="40"/>
        <v>#REF!</v>
      </c>
      <c r="L23" s="1369" t="str">
        <f t="shared" si="41"/>
        <v>#REF!</v>
      </c>
      <c r="M23" s="726" t="str">
        <f t="shared" si="42"/>
        <v>#REF!</v>
      </c>
      <c r="N23" s="1369" t="str">
        <f t="shared" si="43"/>
        <v>#REF!</v>
      </c>
      <c r="O23" s="726" t="str">
        <f t="shared" si="44"/>
        <v>#REF!</v>
      </c>
      <c r="P23" s="1369"/>
      <c r="Q23" s="726" t="str">
        <f t="shared" si="45"/>
        <v>#REF!</v>
      </c>
      <c r="R23" s="1373"/>
      <c r="S23" s="726" t="str">
        <f t="shared" si="46"/>
        <v>#REF!</v>
      </c>
      <c r="T23" s="1373"/>
      <c r="U23" s="726" t="str">
        <f t="shared" si="47"/>
        <v>#REF!</v>
      </c>
      <c r="V23" s="1369"/>
      <c r="W23" s="726" t="str">
        <f t="shared" si="48"/>
        <v>#REF!</v>
      </c>
      <c r="X23" s="1370" t="str">
        <f t="shared" si="49"/>
        <v>#REF!</v>
      </c>
      <c r="Y23" s="1371" t="str">
        <f t="shared" si="50"/>
        <v>#REF!</v>
      </c>
      <c r="Z23" s="729" t="str">
        <f>'The Table'!#REF!</f>
        <v>#ERROR!</v>
      </c>
      <c r="AA23" s="1374" t="str">
        <f t="shared" si="51"/>
        <v>#REF!</v>
      </c>
    </row>
    <row r="24" ht="15.75" customHeight="1">
      <c r="A24" s="439"/>
      <c r="B24" s="465" t="s">
        <v>35</v>
      </c>
      <c r="C24" s="467">
        <f>'Summary Sheet - April 2026'!O21</f>
        <v>89700</v>
      </c>
      <c r="D24" s="1373">
        <f t="shared" si="36"/>
        <v>0.004360229235</v>
      </c>
      <c r="E24" s="467">
        <f>'Summary Sheet - May 2026'!O21</f>
        <v>83781</v>
      </c>
      <c r="F24" s="1373">
        <f t="shared" si="37"/>
        <v>0.00377828914</v>
      </c>
      <c r="G24" s="467">
        <f>'Summary Sheet - June 2026'!O21</f>
        <v>79188</v>
      </c>
      <c r="H24" s="1373">
        <f t="shared" si="38"/>
        <v>0.004012023506</v>
      </c>
      <c r="I24" s="467">
        <f>'Summary Sheet - July 2026'!O21</f>
        <v>79188</v>
      </c>
      <c r="J24" s="1391">
        <f t="shared" si="39"/>
        <v>0.004012023506</v>
      </c>
      <c r="K24" s="724" t="str">
        <f t="shared" si="40"/>
        <v>#REF!</v>
      </c>
      <c r="L24" s="1369" t="str">
        <f t="shared" si="41"/>
        <v>#REF!</v>
      </c>
      <c r="M24" s="726" t="str">
        <f t="shared" si="42"/>
        <v>#REF!</v>
      </c>
      <c r="N24" s="1369" t="str">
        <f t="shared" si="43"/>
        <v>#REF!</v>
      </c>
      <c r="O24" s="726" t="str">
        <f t="shared" si="44"/>
        <v>#REF!</v>
      </c>
      <c r="P24" s="1369"/>
      <c r="Q24" s="726" t="str">
        <f t="shared" si="45"/>
        <v>#REF!</v>
      </c>
      <c r="R24" s="1373"/>
      <c r="S24" s="726" t="str">
        <f t="shared" si="46"/>
        <v>#REF!</v>
      </c>
      <c r="T24" s="1373"/>
      <c r="U24" s="726" t="str">
        <f t="shared" si="47"/>
        <v>#REF!</v>
      </c>
      <c r="V24" s="1369"/>
      <c r="W24" s="726" t="str">
        <f t="shared" si="48"/>
        <v>#REF!</v>
      </c>
      <c r="X24" s="1370" t="str">
        <f t="shared" si="49"/>
        <v>#REF!</v>
      </c>
      <c r="Y24" s="1371" t="str">
        <f t="shared" si="50"/>
        <v>#REF!</v>
      </c>
      <c r="Z24" s="729" t="str">
        <f>'The Table'!#REF!</f>
        <v>#ERROR!</v>
      </c>
      <c r="AA24" s="1374" t="str">
        <f t="shared" si="51"/>
        <v>#REF!</v>
      </c>
    </row>
    <row r="25" ht="15.75" customHeight="1">
      <c r="A25" s="439"/>
      <c r="B25" s="465" t="s">
        <v>36</v>
      </c>
      <c r="C25" s="467">
        <f>'Summary Sheet - April 2026'!O22</f>
        <v>1820401.333</v>
      </c>
      <c r="D25" s="1373">
        <f t="shared" si="36"/>
        <v>0.08848792767</v>
      </c>
      <c r="E25" s="467">
        <f>'Summary Sheet - May 2026'!O22</f>
        <v>2115365</v>
      </c>
      <c r="F25" s="1373">
        <f t="shared" si="37"/>
        <v>0.0953970543</v>
      </c>
      <c r="G25" s="467">
        <f>'Summary Sheet - June 2026'!O22</f>
        <v>2107105</v>
      </c>
      <c r="H25" s="1373">
        <f t="shared" si="38"/>
        <v>0.1067555032</v>
      </c>
      <c r="I25" s="467">
        <f>'Summary Sheet - July 2026'!O22</f>
        <v>2107105</v>
      </c>
      <c r="J25" s="1391">
        <f t="shared" si="39"/>
        <v>0.1067555032</v>
      </c>
      <c r="K25" s="724" t="str">
        <f t="shared" si="40"/>
        <v>#REF!</v>
      </c>
      <c r="L25" s="1369" t="str">
        <f t="shared" si="41"/>
        <v>#REF!</v>
      </c>
      <c r="M25" s="726" t="str">
        <f t="shared" si="42"/>
        <v>#REF!</v>
      </c>
      <c r="N25" s="1369" t="str">
        <f t="shared" si="43"/>
        <v>#REF!</v>
      </c>
      <c r="O25" s="726" t="str">
        <f t="shared" si="44"/>
        <v>#REF!</v>
      </c>
      <c r="P25" s="1369"/>
      <c r="Q25" s="726" t="str">
        <f t="shared" si="45"/>
        <v>#REF!</v>
      </c>
      <c r="R25" s="1373"/>
      <c r="S25" s="726" t="str">
        <f t="shared" si="46"/>
        <v>#REF!</v>
      </c>
      <c r="T25" s="1373"/>
      <c r="U25" s="726" t="str">
        <f t="shared" si="47"/>
        <v>#REF!</v>
      </c>
      <c r="V25" s="1369"/>
      <c r="W25" s="726" t="str">
        <f t="shared" si="48"/>
        <v>#REF!</v>
      </c>
      <c r="X25" s="1370" t="str">
        <f t="shared" si="49"/>
        <v>#REF!</v>
      </c>
      <c r="Y25" s="1371" t="str">
        <f t="shared" si="50"/>
        <v>#REF!</v>
      </c>
      <c r="Z25" s="729" t="str">
        <f>'The Table'!#REF!</f>
        <v>#ERROR!</v>
      </c>
      <c r="AA25" s="1374" t="str">
        <f t="shared" si="51"/>
        <v>#REF!</v>
      </c>
    </row>
    <row r="26" ht="15.75" customHeight="1">
      <c r="A26" s="439"/>
      <c r="B26" s="465" t="s">
        <v>37</v>
      </c>
      <c r="C26" s="467">
        <f>'Summary Sheet - April 2026'!O23</f>
        <v>5544486.66</v>
      </c>
      <c r="D26" s="1373">
        <f t="shared" si="36"/>
        <v>0.2695120716</v>
      </c>
      <c r="E26" s="467">
        <f>'Summary Sheet - May 2026'!O23</f>
        <v>5020724.75</v>
      </c>
      <c r="F26" s="1373">
        <f t="shared" si="37"/>
        <v>0.2264206658</v>
      </c>
      <c r="G26" s="467">
        <f>'Summary Sheet - June 2026'!O23</f>
        <v>4827862.27</v>
      </c>
      <c r="H26" s="1373">
        <f t="shared" si="38"/>
        <v>0.2446014157</v>
      </c>
      <c r="I26" s="467">
        <f>'Summary Sheet - July 2026'!O23</f>
        <v>4827862.27</v>
      </c>
      <c r="J26" s="1391">
        <f t="shared" si="39"/>
        <v>0.2446014157</v>
      </c>
      <c r="K26" s="724" t="str">
        <f t="shared" si="40"/>
        <v>#REF!</v>
      </c>
      <c r="L26" s="1369" t="str">
        <f t="shared" si="41"/>
        <v>#REF!</v>
      </c>
      <c r="M26" s="726" t="str">
        <f t="shared" si="42"/>
        <v>#REF!</v>
      </c>
      <c r="N26" s="1369" t="str">
        <f t="shared" si="43"/>
        <v>#REF!</v>
      </c>
      <c r="O26" s="726" t="str">
        <f t="shared" si="44"/>
        <v>#REF!</v>
      </c>
      <c r="P26" s="1369"/>
      <c r="Q26" s="726" t="str">
        <f t="shared" si="45"/>
        <v>#REF!</v>
      </c>
      <c r="R26" s="1373"/>
      <c r="S26" s="726" t="str">
        <f t="shared" si="46"/>
        <v>#REF!</v>
      </c>
      <c r="T26" s="1373"/>
      <c r="U26" s="726" t="str">
        <f t="shared" si="47"/>
        <v>#REF!</v>
      </c>
      <c r="V26" s="1369"/>
      <c r="W26" s="726" t="str">
        <f t="shared" si="48"/>
        <v>#REF!</v>
      </c>
      <c r="X26" s="1370" t="str">
        <f t="shared" si="49"/>
        <v>#REF!</v>
      </c>
      <c r="Y26" s="1371" t="str">
        <f t="shared" si="50"/>
        <v>#REF!</v>
      </c>
      <c r="Z26" s="729" t="str">
        <f>'The Table'!#REF!</f>
        <v>#ERROR!</v>
      </c>
      <c r="AA26" s="1374" t="str">
        <f t="shared" si="51"/>
        <v>#REF!</v>
      </c>
    </row>
    <row r="27" ht="15.75" customHeight="1">
      <c r="A27" s="439"/>
      <c r="B27" s="465" t="s">
        <v>38</v>
      </c>
      <c r="C27" s="467">
        <f>'Summary Sheet - April 2026'!O24</f>
        <v>492478</v>
      </c>
      <c r="D27" s="1373">
        <f t="shared" si="36"/>
        <v>0.02393887372</v>
      </c>
      <c r="E27" s="467">
        <f>'Summary Sheet - May 2026'!O24</f>
        <v>521738</v>
      </c>
      <c r="F27" s="1373">
        <f t="shared" si="37"/>
        <v>0.02352892684</v>
      </c>
      <c r="G27" s="467">
        <f>'Summary Sheet - June 2026'!O24</f>
        <v>419155</v>
      </c>
      <c r="H27" s="1373">
        <f t="shared" si="38"/>
        <v>0.0212362948</v>
      </c>
      <c r="I27" s="467">
        <f>'Summary Sheet - July 2026'!O24</f>
        <v>419155</v>
      </c>
      <c r="J27" s="1391">
        <f t="shared" si="39"/>
        <v>0.0212362948</v>
      </c>
      <c r="K27" s="724" t="str">
        <f t="shared" si="40"/>
        <v>#REF!</v>
      </c>
      <c r="L27" s="1369" t="str">
        <f t="shared" si="41"/>
        <v>#REF!</v>
      </c>
      <c r="M27" s="726" t="str">
        <f t="shared" si="42"/>
        <v>#REF!</v>
      </c>
      <c r="N27" s="1369" t="str">
        <f t="shared" si="43"/>
        <v>#REF!</v>
      </c>
      <c r="O27" s="726" t="str">
        <f t="shared" si="44"/>
        <v>#REF!</v>
      </c>
      <c r="P27" s="1369"/>
      <c r="Q27" s="726" t="str">
        <f t="shared" si="45"/>
        <v>#REF!</v>
      </c>
      <c r="R27" s="1373"/>
      <c r="S27" s="726" t="str">
        <f t="shared" si="46"/>
        <v>#REF!</v>
      </c>
      <c r="T27" s="1373"/>
      <c r="U27" s="726" t="str">
        <f t="shared" si="47"/>
        <v>#REF!</v>
      </c>
      <c r="V27" s="1369"/>
      <c r="W27" s="726" t="str">
        <f t="shared" si="48"/>
        <v>#REF!</v>
      </c>
      <c r="X27" s="1370" t="str">
        <f t="shared" si="49"/>
        <v>#REF!</v>
      </c>
      <c r="Y27" s="1371" t="str">
        <f t="shared" si="50"/>
        <v>#REF!</v>
      </c>
      <c r="Z27" s="729" t="str">
        <f>'The Table'!#REF!</f>
        <v>#ERROR!</v>
      </c>
      <c r="AA27" s="1374" t="str">
        <f t="shared" si="51"/>
        <v>#REF!</v>
      </c>
    </row>
    <row r="28" ht="15.75" customHeight="1">
      <c r="A28" s="439"/>
      <c r="B28" s="465" t="s">
        <v>39</v>
      </c>
      <c r="C28" s="467">
        <f>'Summary Sheet - April 2026'!O25</f>
        <v>22505</v>
      </c>
      <c r="D28" s="1373">
        <f t="shared" si="36"/>
        <v>0.00109394603</v>
      </c>
      <c r="E28" s="467">
        <f>'Summary Sheet - May 2026'!O25</f>
        <v>24193</v>
      </c>
      <c r="F28" s="1373">
        <f t="shared" si="37"/>
        <v>0.001091036741</v>
      </c>
      <c r="G28" s="467">
        <f>'Summary Sheet - June 2026'!O25</f>
        <v>25722</v>
      </c>
      <c r="H28" s="1373">
        <f t="shared" si="38"/>
        <v>0.001303193269</v>
      </c>
      <c r="I28" s="467">
        <f>'Summary Sheet - July 2026'!O25</f>
        <v>25722</v>
      </c>
      <c r="J28" s="1391">
        <f t="shared" si="39"/>
        <v>0.001303193269</v>
      </c>
      <c r="K28" s="724" t="str">
        <f t="shared" si="40"/>
        <v>#REF!</v>
      </c>
      <c r="L28" s="1369" t="str">
        <f t="shared" si="41"/>
        <v>#REF!</v>
      </c>
      <c r="M28" s="726" t="str">
        <f t="shared" si="42"/>
        <v>#REF!</v>
      </c>
      <c r="N28" s="1369" t="str">
        <f t="shared" si="43"/>
        <v>#REF!</v>
      </c>
      <c r="O28" s="726" t="str">
        <f t="shared" si="44"/>
        <v>#REF!</v>
      </c>
      <c r="P28" s="1369"/>
      <c r="Q28" s="726" t="str">
        <f t="shared" si="45"/>
        <v>#REF!</v>
      </c>
      <c r="R28" s="1373"/>
      <c r="S28" s="726" t="str">
        <f t="shared" si="46"/>
        <v>#REF!</v>
      </c>
      <c r="T28" s="1373"/>
      <c r="U28" s="726" t="str">
        <f t="shared" si="47"/>
        <v>#REF!</v>
      </c>
      <c r="V28" s="1369"/>
      <c r="W28" s="726" t="str">
        <f t="shared" si="48"/>
        <v>#REF!</v>
      </c>
      <c r="X28" s="1370" t="str">
        <f t="shared" si="49"/>
        <v>#REF!</v>
      </c>
      <c r="Y28" s="1371" t="str">
        <f t="shared" si="50"/>
        <v>#REF!</v>
      </c>
      <c r="Z28" s="729" t="str">
        <f>'The Table'!#REF!</f>
        <v>#ERROR!</v>
      </c>
      <c r="AA28" s="1374" t="str">
        <f t="shared" si="51"/>
        <v>#REF!</v>
      </c>
    </row>
    <row r="29" ht="15.75" customHeight="1">
      <c r="A29" s="439"/>
      <c r="B29" s="465" t="s">
        <v>40</v>
      </c>
      <c r="C29" s="467">
        <f>'Summary Sheet - April 2026'!O26</f>
        <v>754705.55</v>
      </c>
      <c r="D29" s="1373">
        <f t="shared" si="36"/>
        <v>0.03668549836</v>
      </c>
      <c r="E29" s="467">
        <f>'Summary Sheet - May 2026'!O26</f>
        <v>974138.75</v>
      </c>
      <c r="F29" s="1373">
        <f t="shared" si="37"/>
        <v>0.04393093732</v>
      </c>
      <c r="G29" s="467">
        <f>'Summary Sheet - June 2026'!O26</f>
        <v>676203.75</v>
      </c>
      <c r="H29" s="1373">
        <f t="shared" si="38"/>
        <v>0.03425955119</v>
      </c>
      <c r="I29" s="467">
        <f>'Summary Sheet - July 2026'!O26</f>
        <v>676203.75</v>
      </c>
      <c r="J29" s="1391">
        <f t="shared" si="39"/>
        <v>0.03425955119</v>
      </c>
      <c r="K29" s="724" t="str">
        <f t="shared" si="40"/>
        <v>#REF!</v>
      </c>
      <c r="L29" s="1369" t="str">
        <f t="shared" si="41"/>
        <v>#REF!</v>
      </c>
      <c r="M29" s="726" t="str">
        <f t="shared" si="42"/>
        <v>#REF!</v>
      </c>
      <c r="N29" s="1369" t="str">
        <f t="shared" si="43"/>
        <v>#REF!</v>
      </c>
      <c r="O29" s="726" t="str">
        <f t="shared" si="44"/>
        <v>#REF!</v>
      </c>
      <c r="P29" s="1369"/>
      <c r="Q29" s="726" t="str">
        <f t="shared" si="45"/>
        <v>#REF!</v>
      </c>
      <c r="R29" s="1373"/>
      <c r="S29" s="726" t="str">
        <f t="shared" si="46"/>
        <v>#REF!</v>
      </c>
      <c r="T29" s="1373"/>
      <c r="U29" s="726" t="str">
        <f t="shared" si="47"/>
        <v>#REF!</v>
      </c>
      <c r="V29" s="1369"/>
      <c r="W29" s="726" t="str">
        <f t="shared" si="48"/>
        <v>#REF!</v>
      </c>
      <c r="X29" s="1370" t="str">
        <f t="shared" si="49"/>
        <v>#REF!</v>
      </c>
      <c r="Y29" s="1371" t="str">
        <f t="shared" si="50"/>
        <v>#REF!</v>
      </c>
      <c r="Z29" s="729" t="str">
        <f>'The Table'!#REF!</f>
        <v>#ERROR!</v>
      </c>
      <c r="AA29" s="1374" t="str">
        <f t="shared" si="51"/>
        <v>#REF!</v>
      </c>
    </row>
    <row r="30" ht="15.75" customHeight="1">
      <c r="A30" s="439"/>
      <c r="B30" s="762" t="s">
        <v>251</v>
      </c>
      <c r="C30" s="467">
        <f>'Summary Sheet - April 2026'!O27</f>
        <v>14325</v>
      </c>
      <c r="D30" s="1373">
        <f t="shared" si="36"/>
        <v>0.000696324234</v>
      </c>
      <c r="E30" s="467">
        <f>'Summary Sheet - May 2026'!O27</f>
        <v>31754</v>
      </c>
      <c r="F30" s="1373">
        <f t="shared" si="37"/>
        <v>0.001432016726</v>
      </c>
      <c r="G30" s="467">
        <f>'Summary Sheet - June 2026'!O27</f>
        <v>10325</v>
      </c>
      <c r="H30" s="1373">
        <f t="shared" si="38"/>
        <v>0.0005231113641</v>
      </c>
      <c r="I30" s="467">
        <f>'Summary Sheet - July 2026'!O27</f>
        <v>10325</v>
      </c>
      <c r="J30" s="1391">
        <f t="shared" si="39"/>
        <v>0.0005231113641</v>
      </c>
      <c r="K30" s="724" t="str">
        <f t="shared" si="40"/>
        <v>#REF!</v>
      </c>
      <c r="L30" s="1369" t="str">
        <f t="shared" si="41"/>
        <v>#REF!</v>
      </c>
      <c r="M30" s="726" t="str">
        <f t="shared" si="42"/>
        <v>#REF!</v>
      </c>
      <c r="N30" s="1369" t="str">
        <f t="shared" si="43"/>
        <v>#REF!</v>
      </c>
      <c r="O30" s="726" t="str">
        <f t="shared" si="44"/>
        <v>#REF!</v>
      </c>
      <c r="P30" s="1369"/>
      <c r="Q30" s="726" t="str">
        <f t="shared" si="45"/>
        <v>#REF!</v>
      </c>
      <c r="R30" s="1373"/>
      <c r="S30" s="726" t="str">
        <f t="shared" si="46"/>
        <v>#REF!</v>
      </c>
      <c r="T30" s="1373"/>
      <c r="U30" s="726" t="str">
        <f t="shared" si="47"/>
        <v>#REF!</v>
      </c>
      <c r="V30" s="1369"/>
      <c r="W30" s="726" t="str">
        <f t="shared" si="48"/>
        <v>#REF!</v>
      </c>
      <c r="X30" s="1370" t="str">
        <f t="shared" si="49"/>
        <v>#REF!</v>
      </c>
      <c r="Y30" s="1371" t="str">
        <f t="shared" si="50"/>
        <v>#REF!</v>
      </c>
      <c r="Z30" s="729" t="str">
        <f>'The Table'!#REF!</f>
        <v>#ERROR!</v>
      </c>
      <c r="AA30" s="1374" t="str">
        <f t="shared" si="51"/>
        <v>#REF!</v>
      </c>
    </row>
    <row r="31" ht="15.75" customHeight="1">
      <c r="A31" s="439"/>
      <c r="B31" s="1404" t="s">
        <v>42</v>
      </c>
      <c r="C31" s="467">
        <f>'Summary Sheet - April 2026'!O28</f>
        <v>0</v>
      </c>
      <c r="D31" s="1405"/>
      <c r="E31" s="467">
        <f>'Summary Sheet - May 2026'!O28</f>
        <v>0</v>
      </c>
      <c r="F31" s="1405"/>
      <c r="G31" s="467">
        <f>'Summary Sheet - June 2026'!O28</f>
        <v>0</v>
      </c>
      <c r="H31" s="1406"/>
      <c r="I31" s="467">
        <f>'Summary Sheet - July 2026'!O28</f>
        <v>0</v>
      </c>
      <c r="J31" s="1406"/>
      <c r="K31" s="724" t="str">
        <f t="shared" si="40"/>
        <v>#REF!</v>
      </c>
      <c r="L31" s="1405"/>
      <c r="M31" s="726" t="str">
        <f t="shared" si="42"/>
        <v>#REF!</v>
      </c>
      <c r="N31" s="1405"/>
      <c r="O31" s="726" t="str">
        <f t="shared" si="44"/>
        <v>#REF!</v>
      </c>
      <c r="P31" s="1405"/>
      <c r="Q31" s="726" t="str">
        <f t="shared" si="45"/>
        <v>#REF!</v>
      </c>
      <c r="R31" s="1405"/>
      <c r="S31" s="726" t="str">
        <f t="shared" si="46"/>
        <v>#REF!</v>
      </c>
      <c r="T31" s="1405"/>
      <c r="U31" s="726" t="str">
        <f t="shared" si="47"/>
        <v>#REF!</v>
      </c>
      <c r="V31" s="1405"/>
      <c r="W31" s="726" t="str">
        <f t="shared" si="48"/>
        <v>#REF!</v>
      </c>
      <c r="X31" s="1406"/>
      <c r="Y31" s="1407"/>
      <c r="Z31" s="1407"/>
      <c r="AA31" s="1408"/>
    </row>
    <row r="32" ht="15.75" customHeight="1">
      <c r="A32" s="439"/>
      <c r="B32" s="1361" t="s">
        <v>43</v>
      </c>
      <c r="C32" s="1378">
        <f>SUM(C22:C30)</f>
        <v>9419954.167</v>
      </c>
      <c r="D32" s="1379">
        <f>C32/$C$12</f>
        <v>0.4578947553</v>
      </c>
      <c r="E32" s="1396">
        <f>SUM(E22:E30)</f>
        <v>9362930.44</v>
      </c>
      <c r="F32" s="1379">
        <f>E32/E12</f>
        <v>0.4222420167</v>
      </c>
      <c r="G32" s="1396">
        <f>SUM(G22:G30)</f>
        <v>8638437.02</v>
      </c>
      <c r="H32" s="1380">
        <f>G32/G12</f>
        <v>0.4376624284</v>
      </c>
      <c r="I32" s="1396">
        <f>SUM(I22:I30)</f>
        <v>8638437.02</v>
      </c>
      <c r="J32" s="1380">
        <f>I32/I12</f>
        <v>0.4376624284</v>
      </c>
      <c r="K32" s="1396" t="str">
        <f>SUM(K22:K30)</f>
        <v>#REF!</v>
      </c>
      <c r="L32" s="1403"/>
      <c r="M32" s="1396" t="str">
        <f>SUM(M22:M30)</f>
        <v>#REF!</v>
      </c>
      <c r="N32" s="1379" t="str">
        <f>M32/$M$12</f>
        <v>#REF!</v>
      </c>
      <c r="O32" s="1396" t="str">
        <f>SUM(O22:O30)</f>
        <v>#REF!</v>
      </c>
      <c r="P32" s="1379" t="str">
        <f>O32/O12</f>
        <v>#REF!</v>
      </c>
      <c r="Q32" s="1396" t="str">
        <f>SUM(Q22:Q30)</f>
        <v>#REF!</v>
      </c>
      <c r="R32" s="1379" t="str">
        <f>Q32/Q12</f>
        <v>#REF!</v>
      </c>
      <c r="S32" s="1396" t="str">
        <f>SUM(S22:S30)</f>
        <v>#REF!</v>
      </c>
      <c r="T32" s="1379" t="str">
        <f>S32/S12</f>
        <v>#REF!</v>
      </c>
      <c r="U32" s="1396" t="str">
        <f>SUM(U22:U30)</f>
        <v>#REF!</v>
      </c>
      <c r="V32" s="1379" t="str">
        <f>U32/U12</f>
        <v>#REF!</v>
      </c>
      <c r="W32" s="1396" t="str">
        <f>SUM(W22:W30)</f>
        <v>#REF!</v>
      </c>
      <c r="X32" s="1380" t="str">
        <f>W32/W12</f>
        <v>#REF!</v>
      </c>
      <c r="Y32" s="1382" t="str">
        <f t="shared" ref="Y32:Z32" si="52">SUM(Y22:Y30)</f>
        <v>#REF!</v>
      </c>
      <c r="Z32" s="1382" t="str">
        <f t="shared" si="52"/>
        <v>#ERROR!</v>
      </c>
      <c r="AA32" s="1383" t="str">
        <f>Y32/Z32</f>
        <v>#REF!</v>
      </c>
    </row>
    <row r="33" ht="15.75" customHeight="1">
      <c r="A33" s="439"/>
      <c r="B33" s="526"/>
      <c r="C33" s="515"/>
      <c r="D33" s="1397"/>
      <c r="E33" s="1398"/>
      <c r="F33" s="1397"/>
      <c r="G33" s="1398"/>
      <c r="H33" s="1397"/>
      <c r="I33" s="1409"/>
      <c r="J33" s="1410"/>
      <c r="K33" s="1398"/>
      <c r="L33" s="1397"/>
      <c r="M33" s="1398"/>
      <c r="N33" s="1397"/>
      <c r="O33" s="1398"/>
      <c r="P33" s="1397"/>
      <c r="Q33" s="1398"/>
      <c r="R33" s="1397"/>
      <c r="S33" s="1398"/>
      <c r="T33" s="1397"/>
      <c r="U33" s="1398"/>
      <c r="V33" s="1397"/>
      <c r="W33" s="1409"/>
      <c r="X33" s="1410"/>
      <c r="Y33" s="1401"/>
      <c r="Z33" s="1401"/>
      <c r="AA33" s="1402"/>
    </row>
    <row r="34" ht="15.75" customHeight="1">
      <c r="A34" s="439"/>
      <c r="B34" s="1361" t="s">
        <v>44</v>
      </c>
      <c r="C34" s="1378">
        <f>C20-C32</f>
        <v>4034064.394</v>
      </c>
      <c r="D34" s="1379">
        <f>C34/$C$12</f>
        <v>0.1960919231</v>
      </c>
      <c r="E34" s="1396">
        <f>E20-E32</f>
        <v>5533197.722</v>
      </c>
      <c r="F34" s="1379">
        <f>E34/E12</f>
        <v>0.2495317657</v>
      </c>
      <c r="G34" s="1396">
        <f>G20-G32</f>
        <v>4033891.545</v>
      </c>
      <c r="H34" s="1380">
        <f>G34/G12</f>
        <v>0.204375255</v>
      </c>
      <c r="I34" s="1411">
        <f>I20-I32</f>
        <v>4033891.545</v>
      </c>
      <c r="J34" s="1380">
        <f>I34/I12</f>
        <v>0.204375255</v>
      </c>
      <c r="K34" s="1396" t="str">
        <f>K20-K32</f>
        <v>#REF!</v>
      </c>
      <c r="L34" s="1403"/>
      <c r="M34" s="1396" t="str">
        <f>M20-M32</f>
        <v>#REF!</v>
      </c>
      <c r="N34" s="1379" t="str">
        <f>M34/$M$12</f>
        <v>#REF!</v>
      </c>
      <c r="O34" s="1396" t="str">
        <f>O20-O32</f>
        <v>#REF!</v>
      </c>
      <c r="P34" s="1379" t="str">
        <f>O34/O12</f>
        <v>#REF!</v>
      </c>
      <c r="Q34" s="1396" t="str">
        <f>Q20-Q32</f>
        <v>#REF!</v>
      </c>
      <c r="R34" s="1379" t="str">
        <f>Q34/Q12</f>
        <v>#REF!</v>
      </c>
      <c r="S34" s="1396" t="str">
        <f>S20-S32</f>
        <v>#REF!</v>
      </c>
      <c r="T34" s="1379" t="str">
        <f>S34/S12</f>
        <v>#REF!</v>
      </c>
      <c r="U34" s="1396" t="str">
        <f>U20-U32</f>
        <v>#REF!</v>
      </c>
      <c r="V34" s="1379" t="str">
        <f>U34/U12</f>
        <v>#REF!</v>
      </c>
      <c r="W34" s="1396" t="str">
        <f>W20-W32</f>
        <v>#REF!</v>
      </c>
      <c r="X34" s="1379" t="str">
        <f>W34/W12</f>
        <v>#REF!</v>
      </c>
      <c r="Y34" s="1382" t="str">
        <f t="shared" ref="Y34:Z34" si="53">Y20-Y32</f>
        <v>#REF!</v>
      </c>
      <c r="Z34" s="1382" t="str">
        <f t="shared" si="53"/>
        <v>#ERROR!</v>
      </c>
      <c r="AA34" s="1383" t="str">
        <f>Y34/Z34</f>
        <v>#REF!</v>
      </c>
    </row>
    <row r="35" ht="15.75" customHeight="1">
      <c r="A35" s="439"/>
      <c r="B35" s="439"/>
      <c r="C35" s="1358"/>
      <c r="D35" s="1358"/>
      <c r="E35" s="1358"/>
      <c r="F35" s="1358"/>
      <c r="G35" s="1358"/>
      <c r="H35" s="1358"/>
      <c r="I35" s="1358"/>
      <c r="J35" s="1358"/>
      <c r="K35" s="1358"/>
      <c r="L35" s="1358"/>
      <c r="M35" s="1358"/>
      <c r="N35" s="1358"/>
      <c r="O35" s="1358"/>
      <c r="P35" s="1358"/>
      <c r="Q35" s="1358"/>
      <c r="R35" s="1358"/>
      <c r="S35" s="1358"/>
      <c r="T35" s="1358"/>
      <c r="U35" s="1358"/>
      <c r="V35" s="1358"/>
      <c r="W35" s="1358"/>
      <c r="X35" s="1358"/>
      <c r="Y35" s="1359"/>
      <c r="Z35" s="1359"/>
      <c r="AA35" s="1358"/>
    </row>
    <row r="36" ht="15.75" customHeight="1">
      <c r="A36" s="439"/>
      <c r="B36" s="439"/>
      <c r="C36" s="1412">
        <f>'Summary Sheet - April 2026'!O31</f>
        <v>4034064.394</v>
      </c>
      <c r="D36" s="1413"/>
      <c r="E36" s="1412">
        <f>'Summary Sheet - May 2026'!O31</f>
        <v>5533197.722</v>
      </c>
      <c r="F36" s="1413"/>
      <c r="G36" s="1412">
        <f>'Summary Sheet - June 2026'!O31</f>
        <v>4033891.545</v>
      </c>
      <c r="H36" s="1413"/>
      <c r="I36" s="1412">
        <f>'Summary Sheet - July 2026'!O31</f>
        <v>4033891.545</v>
      </c>
      <c r="J36" s="1413"/>
      <c r="K36" s="439" t="str">
        <f>'Summary Sheet - Aug 2026'!O31</f>
        <v>#REF!</v>
      </c>
      <c r="L36" s="1413"/>
      <c r="M36" s="439" t="str">
        <f>'Summary Sheet - Sep 2026'!O31</f>
        <v>#REF!</v>
      </c>
      <c r="N36" s="1413"/>
      <c r="O36" s="439" t="str">
        <f>'Summary Sheet - Oct 2026'!O31</f>
        <v>#REF!</v>
      </c>
      <c r="P36" s="1413"/>
      <c r="Q36" s="439" t="str">
        <f>'Summary Sheet - Nov 2026'!O31</f>
        <v>#REF!</v>
      </c>
      <c r="R36" s="1413"/>
      <c r="S36" s="439" t="str">
        <f>'Summary Sheet - Dec 2026'!O31</f>
        <v>#REF!</v>
      </c>
      <c r="T36" s="1413"/>
      <c r="U36" s="439" t="str">
        <f>'Summary Sheet - Jan 2026'!O31</f>
        <v>#REF!</v>
      </c>
      <c r="V36" s="1413"/>
      <c r="W36" s="1414" t="str">
        <f>'Summary Sheet - Feb 2026'!O31</f>
        <v>#REF!</v>
      </c>
      <c r="X36" s="1413"/>
      <c r="Y36" s="1415"/>
      <c r="Z36" s="1415"/>
      <c r="AA36" s="1413"/>
    </row>
    <row r="37" ht="15.75" customHeight="1">
      <c r="A37" s="439"/>
      <c r="B37" s="439"/>
      <c r="C37" s="1416">
        <f>+C34-C36</f>
        <v>0</v>
      </c>
      <c r="D37" s="1358"/>
      <c r="E37" s="1416">
        <f>+E34-E36</f>
        <v>0</v>
      </c>
      <c r="F37" s="1358"/>
      <c r="G37" s="1417">
        <f>+G34-G36</f>
        <v>0</v>
      </c>
      <c r="H37" s="1358"/>
      <c r="I37" s="1417">
        <f>+I34-I36</f>
        <v>0</v>
      </c>
      <c r="J37" s="1358"/>
      <c r="K37" s="1416" t="str">
        <f>+K34-K36</f>
        <v>#REF!</v>
      </c>
      <c r="L37" s="1358"/>
      <c r="M37" s="1413" t="str">
        <f>+M34-M36</f>
        <v>#REF!</v>
      </c>
      <c r="N37" s="1358"/>
      <c r="O37" s="1413" t="str">
        <f>+O34-O36</f>
        <v>#REF!</v>
      </c>
      <c r="P37" s="1358"/>
      <c r="Q37" s="1413" t="str">
        <f>+Q34-Q36</f>
        <v>#REF!</v>
      </c>
      <c r="R37" s="1358"/>
      <c r="S37" s="1413" t="str">
        <f>+S34-S36</f>
        <v>#REF!</v>
      </c>
      <c r="T37" s="1358"/>
      <c r="U37" s="1413" t="str">
        <f>+U34-U36</f>
        <v>#REF!</v>
      </c>
      <c r="V37" s="1358"/>
      <c r="W37" s="1413" t="str">
        <f>+W34-W36</f>
        <v>#REF!</v>
      </c>
      <c r="X37" s="1358"/>
      <c r="Y37" s="1418"/>
      <c r="Z37" s="1359"/>
      <c r="AA37" s="1358"/>
    </row>
    <row r="38" ht="15.75" customHeight="1">
      <c r="A38" s="439"/>
      <c r="B38" s="439"/>
      <c r="C38" s="1358"/>
      <c r="D38" s="1358"/>
      <c r="E38" s="1358"/>
      <c r="F38" s="1358"/>
      <c r="G38" s="1358"/>
      <c r="H38" s="1358"/>
      <c r="I38" s="1358"/>
      <c r="J38" s="1358"/>
      <c r="K38" s="1358"/>
      <c r="L38" s="1358"/>
      <c r="M38" s="1358"/>
      <c r="N38" s="1358"/>
      <c r="O38" s="1358"/>
      <c r="P38" s="1358"/>
      <c r="Q38" s="1358"/>
      <c r="R38" s="1358"/>
      <c r="S38" s="1358"/>
      <c r="T38" s="1358"/>
      <c r="U38" s="1358"/>
      <c r="V38" s="1358"/>
      <c r="W38" s="1358"/>
      <c r="X38" s="1358"/>
      <c r="Y38" s="1359"/>
      <c r="Z38" s="1359"/>
      <c r="AA38" s="1358"/>
    </row>
    <row r="39" ht="15.75" customHeight="1">
      <c r="A39" s="439"/>
      <c r="B39" s="439"/>
      <c r="C39" s="1358"/>
      <c r="D39" s="1358"/>
      <c r="E39" s="1358"/>
      <c r="F39" s="1358"/>
      <c r="G39" s="1358"/>
      <c r="H39" s="1358"/>
      <c r="I39" s="1358"/>
      <c r="J39" s="1358"/>
      <c r="K39" s="1358"/>
      <c r="L39" s="1358"/>
      <c r="M39" s="1358"/>
      <c r="N39" s="1358"/>
      <c r="O39" s="1358"/>
      <c r="P39" s="1358"/>
      <c r="Q39" s="1358"/>
      <c r="R39" s="1358"/>
      <c r="S39" s="1358"/>
      <c r="T39" s="1358"/>
      <c r="U39" s="1358"/>
      <c r="V39" s="1358"/>
      <c r="W39" s="1358"/>
      <c r="X39" s="1358"/>
      <c r="Y39" s="1359"/>
      <c r="Z39" s="1359"/>
      <c r="AA39" s="1358"/>
    </row>
    <row r="40" ht="15.75" customHeight="1">
      <c r="A40" s="439"/>
      <c r="B40" s="439"/>
      <c r="C40" s="1358"/>
      <c r="D40" s="1358"/>
      <c r="E40" s="1358"/>
      <c r="F40" s="1358"/>
      <c r="G40" s="1358"/>
      <c r="H40" s="1358"/>
      <c r="I40" s="1358"/>
      <c r="J40" s="1358"/>
      <c r="K40" s="1358"/>
      <c r="L40" s="1358"/>
      <c r="M40" s="1358"/>
      <c r="N40" s="1358"/>
      <c r="O40" s="1358"/>
      <c r="P40" s="1358"/>
      <c r="Q40" s="1358"/>
      <c r="R40" s="1358"/>
      <c r="S40" s="1358"/>
      <c r="T40" s="1358"/>
      <c r="U40" s="1358"/>
      <c r="V40" s="1358"/>
      <c r="W40" s="1358"/>
      <c r="X40" s="1358"/>
      <c r="Y40" s="1359"/>
      <c r="Z40" s="1359"/>
      <c r="AA40" s="1358"/>
    </row>
    <row r="41" ht="15.75" customHeight="1">
      <c r="A41" s="439"/>
      <c r="B41" s="439"/>
      <c r="C41" s="1358"/>
      <c r="D41" s="1358"/>
      <c r="E41" s="1358"/>
      <c r="F41" s="1358"/>
      <c r="G41" s="1358"/>
      <c r="H41" s="1358"/>
      <c r="I41" s="1358"/>
      <c r="J41" s="1358"/>
      <c r="K41" s="1358"/>
      <c r="L41" s="1358"/>
      <c r="M41" s="1358"/>
      <c r="N41" s="1358"/>
      <c r="O41" s="1358"/>
      <c r="P41" s="1358"/>
      <c r="Q41" s="1358"/>
      <c r="R41" s="1358"/>
      <c r="S41" s="1358"/>
      <c r="T41" s="1358"/>
      <c r="U41" s="1358"/>
      <c r="V41" s="1358"/>
      <c r="W41" s="1358"/>
      <c r="X41" s="1358"/>
      <c r="Y41" s="1359"/>
      <c r="Z41" s="1359"/>
      <c r="AA41" s="1358"/>
    </row>
    <row r="42" ht="15.75" customHeight="1">
      <c r="A42" s="439"/>
      <c r="B42" s="439"/>
      <c r="C42" s="1358"/>
      <c r="D42" s="1358"/>
      <c r="E42" s="1358"/>
      <c r="F42" s="1358"/>
      <c r="G42" s="1358"/>
      <c r="H42" s="1358"/>
      <c r="I42" s="1358"/>
      <c r="J42" s="1358"/>
      <c r="K42" s="1358"/>
      <c r="L42" s="1358"/>
      <c r="M42" s="1358"/>
      <c r="N42" s="1358"/>
      <c r="O42" s="1358"/>
      <c r="P42" s="1358"/>
      <c r="Q42" s="1358"/>
      <c r="R42" s="1358"/>
      <c r="S42" s="1358"/>
      <c r="T42" s="1358"/>
      <c r="U42" s="1358"/>
      <c r="V42" s="1358"/>
      <c r="W42" s="1358"/>
      <c r="X42" s="1358"/>
      <c r="Y42" s="1359"/>
      <c r="Z42" s="1359"/>
      <c r="AA42" s="1358"/>
    </row>
    <row r="43" ht="15.75" customHeight="1">
      <c r="A43" s="439"/>
      <c r="B43" s="439"/>
      <c r="C43" s="1358"/>
      <c r="D43" s="1358"/>
      <c r="E43" s="1358"/>
      <c r="F43" s="1358"/>
      <c r="G43" s="1358"/>
      <c r="H43" s="1358"/>
      <c r="I43" s="1358"/>
      <c r="J43" s="1358"/>
      <c r="K43" s="1358"/>
      <c r="L43" s="1358"/>
      <c r="M43" s="1358"/>
      <c r="N43" s="1358"/>
      <c r="O43" s="1358"/>
      <c r="P43" s="1358"/>
      <c r="Q43" s="1358"/>
      <c r="R43" s="1358"/>
      <c r="S43" s="1358"/>
      <c r="T43" s="1358"/>
      <c r="U43" s="1358"/>
      <c r="V43" s="1358"/>
      <c r="W43" s="1358"/>
      <c r="X43" s="1358"/>
      <c r="Y43" s="1359"/>
      <c r="Z43" s="1359"/>
      <c r="AA43" s="1358"/>
    </row>
    <row r="44" ht="15.75" customHeight="1">
      <c r="A44" s="439"/>
      <c r="B44" s="439"/>
      <c r="C44" s="1358"/>
      <c r="D44" s="1358"/>
      <c r="E44" s="1358"/>
      <c r="F44" s="1358"/>
      <c r="G44" s="1358"/>
      <c r="H44" s="1358"/>
      <c r="I44" s="1358"/>
      <c r="J44" s="1358"/>
      <c r="K44" s="1358"/>
      <c r="L44" s="1358"/>
      <c r="M44" s="1358"/>
      <c r="N44" s="1358"/>
      <c r="O44" s="1358"/>
      <c r="P44" s="1358"/>
      <c r="Q44" s="1358"/>
      <c r="R44" s="1358"/>
      <c r="S44" s="1358"/>
      <c r="T44" s="1358"/>
      <c r="U44" s="1358"/>
      <c r="V44" s="1358"/>
      <c r="W44" s="1358"/>
      <c r="X44" s="1358"/>
      <c r="Y44" s="1359"/>
      <c r="Z44" s="1359"/>
      <c r="AA44" s="1358"/>
    </row>
    <row r="45" ht="15.75" customHeight="1">
      <c r="A45" s="439"/>
      <c r="B45" s="439"/>
      <c r="C45" s="1358"/>
      <c r="D45" s="1358"/>
      <c r="E45" s="1358"/>
      <c r="F45" s="1358"/>
      <c r="G45" s="1358"/>
      <c r="H45" s="1358"/>
      <c r="I45" s="1358"/>
      <c r="J45" s="1358"/>
      <c r="K45" s="1358"/>
      <c r="L45" s="1358"/>
      <c r="M45" s="1358"/>
      <c r="N45" s="1358"/>
      <c r="O45" s="1358"/>
      <c r="P45" s="1358"/>
      <c r="Q45" s="1358"/>
      <c r="R45" s="1358"/>
      <c r="S45" s="1358"/>
      <c r="T45" s="1358"/>
      <c r="U45" s="1358"/>
      <c r="V45" s="1358"/>
      <c r="W45" s="1358"/>
      <c r="X45" s="1358"/>
      <c r="Y45" s="1359"/>
      <c r="Z45" s="1359"/>
      <c r="AA45" s="1358"/>
    </row>
    <row r="46" ht="15.75" customHeight="1">
      <c r="A46" s="439"/>
      <c r="B46" s="439"/>
      <c r="C46" s="1358"/>
      <c r="D46" s="1358"/>
      <c r="E46" s="1358"/>
      <c r="F46" s="1358"/>
      <c r="G46" s="1358"/>
      <c r="H46" s="1358"/>
      <c r="I46" s="1358"/>
      <c r="J46" s="1358"/>
      <c r="K46" s="1358"/>
      <c r="L46" s="1358"/>
      <c r="M46" s="1358"/>
      <c r="N46" s="1358"/>
      <c r="O46" s="1358"/>
      <c r="P46" s="1358"/>
      <c r="Q46" s="1358"/>
      <c r="R46" s="1358"/>
      <c r="S46" s="1358"/>
      <c r="T46" s="1358"/>
      <c r="U46" s="1358"/>
      <c r="V46" s="1358"/>
      <c r="W46" s="1358"/>
      <c r="X46" s="1358"/>
      <c r="Y46" s="1359"/>
      <c r="Z46" s="1359"/>
      <c r="AA46" s="1358"/>
    </row>
    <row r="47" ht="15.75" customHeight="1">
      <c r="A47" s="439"/>
      <c r="B47" s="439"/>
      <c r="C47" s="1358"/>
      <c r="D47" s="1358"/>
      <c r="E47" s="1358"/>
      <c r="F47" s="1358"/>
      <c r="G47" s="1358"/>
      <c r="H47" s="1358"/>
      <c r="I47" s="1358"/>
      <c r="J47" s="1358"/>
      <c r="K47" s="1358"/>
      <c r="L47" s="1358"/>
      <c r="M47" s="1358"/>
      <c r="N47" s="1358"/>
      <c r="O47" s="1358"/>
      <c r="P47" s="1358"/>
      <c r="Q47" s="1358"/>
      <c r="R47" s="1358"/>
      <c r="S47" s="1358"/>
      <c r="T47" s="1358"/>
      <c r="U47" s="1358"/>
      <c r="V47" s="1358"/>
      <c r="W47" s="1358"/>
      <c r="X47" s="1358"/>
      <c r="Y47" s="1359"/>
      <c r="Z47" s="1359"/>
      <c r="AA47" s="1358"/>
    </row>
    <row r="48" ht="15.75" customHeight="1">
      <c r="A48" s="439"/>
      <c r="B48" s="439"/>
      <c r="C48" s="1358"/>
      <c r="D48" s="1358"/>
      <c r="E48" s="1358"/>
      <c r="F48" s="1358"/>
      <c r="G48" s="1358"/>
      <c r="H48" s="1358"/>
      <c r="I48" s="1358"/>
      <c r="J48" s="1358"/>
      <c r="K48" s="1358"/>
      <c r="L48" s="1358"/>
      <c r="M48" s="1358"/>
      <c r="N48" s="1358"/>
      <c r="O48" s="1358"/>
      <c r="P48" s="1358"/>
      <c r="Q48" s="1358"/>
      <c r="R48" s="1358"/>
      <c r="S48" s="1358"/>
      <c r="T48" s="1358"/>
      <c r="U48" s="1358"/>
      <c r="V48" s="1358"/>
      <c r="W48" s="1358"/>
      <c r="X48" s="1358"/>
      <c r="Y48" s="1359"/>
      <c r="Z48" s="1359"/>
      <c r="AA48" s="1358"/>
    </row>
    <row r="49" ht="15.75" customHeight="1">
      <c r="A49" s="439"/>
      <c r="B49" s="439"/>
      <c r="C49" s="1358"/>
      <c r="D49" s="1358"/>
      <c r="E49" s="1358"/>
      <c r="F49" s="1358"/>
      <c r="G49" s="1358"/>
      <c r="H49" s="1358"/>
      <c r="I49" s="1358"/>
      <c r="J49" s="1358"/>
      <c r="K49" s="1358"/>
      <c r="L49" s="1358"/>
      <c r="M49" s="1358"/>
      <c r="N49" s="1358"/>
      <c r="O49" s="1358"/>
      <c r="P49" s="1358"/>
      <c r="Q49" s="1358"/>
      <c r="R49" s="1358"/>
      <c r="S49" s="1358"/>
      <c r="T49" s="1358"/>
      <c r="U49" s="1358"/>
      <c r="V49" s="1358"/>
      <c r="W49" s="1358"/>
      <c r="X49" s="1358"/>
      <c r="Y49" s="1359"/>
      <c r="Z49" s="1359"/>
      <c r="AA49" s="1358"/>
    </row>
    <row r="50" ht="15.75" customHeight="1">
      <c r="A50" s="439"/>
      <c r="B50" s="439"/>
      <c r="C50" s="1358"/>
      <c r="D50" s="1358"/>
      <c r="E50" s="1358"/>
      <c r="F50" s="1358"/>
      <c r="G50" s="1358"/>
      <c r="H50" s="1358"/>
      <c r="I50" s="1358"/>
      <c r="J50" s="1358"/>
      <c r="K50" s="1358"/>
      <c r="L50" s="1358"/>
      <c r="M50" s="1358"/>
      <c r="N50" s="1358"/>
      <c r="O50" s="1358"/>
      <c r="P50" s="1358"/>
      <c r="Q50" s="1358"/>
      <c r="R50" s="1358"/>
      <c r="S50" s="1358"/>
      <c r="T50" s="1358"/>
      <c r="U50" s="1358"/>
      <c r="V50" s="1358"/>
      <c r="W50" s="1358"/>
      <c r="X50" s="1358"/>
      <c r="Y50" s="1359"/>
      <c r="Z50" s="1359"/>
      <c r="AA50" s="1358"/>
    </row>
    <row r="51" ht="15.75" customHeight="1">
      <c r="A51" s="439"/>
      <c r="B51" s="439"/>
      <c r="C51" s="1358"/>
      <c r="D51" s="1358"/>
      <c r="E51" s="1358"/>
      <c r="F51" s="1358"/>
      <c r="G51" s="1358"/>
      <c r="H51" s="1358"/>
      <c r="I51" s="1358"/>
      <c r="J51" s="1358"/>
      <c r="K51" s="1358"/>
      <c r="L51" s="1358"/>
      <c r="M51" s="1358"/>
      <c r="N51" s="1358"/>
      <c r="O51" s="1358"/>
      <c r="P51" s="1358"/>
      <c r="Q51" s="1358"/>
      <c r="R51" s="1358"/>
      <c r="S51" s="1358"/>
      <c r="T51" s="1358"/>
      <c r="U51" s="1358"/>
      <c r="V51" s="1358"/>
      <c r="W51" s="1358"/>
      <c r="X51" s="1358"/>
      <c r="Y51" s="1359"/>
      <c r="Z51" s="1359"/>
      <c r="AA51" s="1358"/>
    </row>
    <row r="52" ht="15.75" customHeight="1">
      <c r="A52" s="439"/>
      <c r="B52" s="439"/>
      <c r="C52" s="1358"/>
      <c r="D52" s="1358"/>
      <c r="E52" s="1358"/>
      <c r="F52" s="1358"/>
      <c r="G52" s="1358"/>
      <c r="H52" s="1358"/>
      <c r="I52" s="1358"/>
      <c r="J52" s="1358"/>
      <c r="K52" s="1358"/>
      <c r="L52" s="1358"/>
      <c r="M52" s="1358"/>
      <c r="N52" s="1358"/>
      <c r="O52" s="1358"/>
      <c r="P52" s="1358"/>
      <c r="Q52" s="1358"/>
      <c r="R52" s="1358"/>
      <c r="S52" s="1358"/>
      <c r="T52" s="1358"/>
      <c r="U52" s="1358"/>
      <c r="V52" s="1358"/>
      <c r="W52" s="1358"/>
      <c r="X52" s="1358"/>
      <c r="Y52" s="1359"/>
      <c r="Z52" s="1359"/>
      <c r="AA52" s="1358"/>
    </row>
    <row r="53" ht="15.75" customHeight="1">
      <c r="A53" s="439"/>
      <c r="B53" s="439"/>
      <c r="C53" s="1358"/>
      <c r="D53" s="1358"/>
      <c r="E53" s="1358"/>
      <c r="F53" s="1358"/>
      <c r="G53" s="1358"/>
      <c r="H53" s="1358"/>
      <c r="I53" s="1358"/>
      <c r="J53" s="1358"/>
      <c r="K53" s="1358"/>
      <c r="L53" s="1358"/>
      <c r="M53" s="1358"/>
      <c r="N53" s="1358"/>
      <c r="O53" s="1358"/>
      <c r="P53" s="1358"/>
      <c r="Q53" s="1358"/>
      <c r="R53" s="1358"/>
      <c r="S53" s="1358"/>
      <c r="T53" s="1358"/>
      <c r="U53" s="1358"/>
      <c r="V53" s="1358"/>
      <c r="W53" s="1358"/>
      <c r="X53" s="1358"/>
      <c r="Y53" s="1359"/>
      <c r="Z53" s="1359"/>
      <c r="AA53" s="1358"/>
    </row>
    <row r="54" ht="15.75" customHeight="1">
      <c r="A54" s="439"/>
      <c r="B54" s="439"/>
      <c r="C54" s="1358"/>
      <c r="D54" s="1358"/>
      <c r="E54" s="1358"/>
      <c r="F54" s="1358"/>
      <c r="G54" s="1358"/>
      <c r="H54" s="1358"/>
      <c r="I54" s="1358"/>
      <c r="J54" s="1358"/>
      <c r="K54" s="1358"/>
      <c r="L54" s="1358"/>
      <c r="M54" s="1358"/>
      <c r="N54" s="1358"/>
      <c r="O54" s="1358"/>
      <c r="P54" s="1358"/>
      <c r="Q54" s="1358"/>
      <c r="R54" s="1358"/>
      <c r="S54" s="1358"/>
      <c r="T54" s="1358"/>
      <c r="U54" s="1358"/>
      <c r="V54" s="1358"/>
      <c r="W54" s="1358"/>
      <c r="X54" s="1358"/>
      <c r="Y54" s="1359"/>
      <c r="Z54" s="1359"/>
      <c r="AA54" s="1358"/>
    </row>
    <row r="55" ht="15.75" customHeight="1">
      <c r="A55" s="439"/>
      <c r="B55" s="439"/>
      <c r="C55" s="1358"/>
      <c r="D55" s="1358"/>
      <c r="E55" s="1358"/>
      <c r="F55" s="1358"/>
      <c r="G55" s="1358"/>
      <c r="H55" s="1358"/>
      <c r="I55" s="1358"/>
      <c r="J55" s="1358"/>
      <c r="K55" s="1358"/>
      <c r="L55" s="1358"/>
      <c r="M55" s="1358"/>
      <c r="N55" s="1358"/>
      <c r="O55" s="1358"/>
      <c r="P55" s="1358"/>
      <c r="Q55" s="1358"/>
      <c r="R55" s="1358"/>
      <c r="S55" s="1358"/>
      <c r="T55" s="1358"/>
      <c r="U55" s="1358"/>
      <c r="V55" s="1358"/>
      <c r="W55" s="1358"/>
      <c r="X55" s="1358"/>
      <c r="Y55" s="1359"/>
      <c r="Z55" s="1359"/>
      <c r="AA55" s="1358"/>
    </row>
    <row r="56" ht="15.75" customHeight="1">
      <c r="A56" s="439"/>
      <c r="B56" s="439"/>
      <c r="C56" s="1358"/>
      <c r="D56" s="1358"/>
      <c r="E56" s="1358"/>
      <c r="F56" s="1358"/>
      <c r="G56" s="1358"/>
      <c r="H56" s="1358"/>
      <c r="I56" s="1358"/>
      <c r="J56" s="1358"/>
      <c r="K56" s="1358"/>
      <c r="L56" s="1358"/>
      <c r="M56" s="1358"/>
      <c r="N56" s="1358"/>
      <c r="O56" s="1358"/>
      <c r="P56" s="1358"/>
      <c r="Q56" s="1358"/>
      <c r="R56" s="1358"/>
      <c r="S56" s="1358"/>
      <c r="T56" s="1358"/>
      <c r="U56" s="1358"/>
      <c r="V56" s="1358"/>
      <c r="W56" s="1358"/>
      <c r="X56" s="1358"/>
      <c r="Y56" s="1359"/>
      <c r="Z56" s="1359"/>
      <c r="AA56" s="1358"/>
    </row>
    <row r="57" ht="15.75" customHeight="1">
      <c r="A57" s="439"/>
      <c r="B57" s="439"/>
      <c r="C57" s="1358"/>
      <c r="D57" s="1358"/>
      <c r="E57" s="1358"/>
      <c r="F57" s="1358"/>
      <c r="G57" s="1358"/>
      <c r="H57" s="1358"/>
      <c r="I57" s="1358"/>
      <c r="J57" s="1358"/>
      <c r="K57" s="1358"/>
      <c r="L57" s="1358"/>
      <c r="M57" s="1358"/>
      <c r="N57" s="1358"/>
      <c r="O57" s="1358"/>
      <c r="P57" s="1358"/>
      <c r="Q57" s="1358"/>
      <c r="R57" s="1358"/>
      <c r="S57" s="1358"/>
      <c r="T57" s="1358"/>
      <c r="U57" s="1358"/>
      <c r="V57" s="1358"/>
      <c r="W57" s="1358"/>
      <c r="X57" s="1358"/>
      <c r="Y57" s="1359"/>
      <c r="Z57" s="1359"/>
      <c r="AA57" s="1358"/>
    </row>
    <row r="58" ht="15.75" customHeight="1">
      <c r="A58" s="439"/>
      <c r="B58" s="439"/>
      <c r="C58" s="1358"/>
      <c r="D58" s="1358"/>
      <c r="E58" s="1358"/>
      <c r="F58" s="1358"/>
      <c r="G58" s="1358"/>
      <c r="H58" s="1358"/>
      <c r="I58" s="1358"/>
      <c r="J58" s="1358"/>
      <c r="K58" s="1358"/>
      <c r="L58" s="1358"/>
      <c r="M58" s="1358"/>
      <c r="N58" s="1358"/>
      <c r="O58" s="1358"/>
      <c r="P58" s="1358"/>
      <c r="Q58" s="1358"/>
      <c r="R58" s="1358"/>
      <c r="S58" s="1358"/>
      <c r="T58" s="1358"/>
      <c r="U58" s="1358"/>
      <c r="V58" s="1358"/>
      <c r="W58" s="1358"/>
      <c r="X58" s="1358"/>
      <c r="Y58" s="1359"/>
      <c r="Z58" s="1359"/>
      <c r="AA58" s="1358"/>
    </row>
    <row r="59" ht="15.75" customHeight="1">
      <c r="A59" s="439"/>
      <c r="B59" s="439"/>
      <c r="C59" s="1358"/>
      <c r="D59" s="1358"/>
      <c r="E59" s="1358"/>
      <c r="F59" s="1358"/>
      <c r="G59" s="1358"/>
      <c r="H59" s="1358"/>
      <c r="I59" s="1358"/>
      <c r="J59" s="1358"/>
      <c r="K59" s="1358"/>
      <c r="L59" s="1358"/>
      <c r="M59" s="1358"/>
      <c r="N59" s="1358"/>
      <c r="O59" s="1358"/>
      <c r="P59" s="1358"/>
      <c r="Q59" s="1358"/>
      <c r="R59" s="1358"/>
      <c r="S59" s="1358"/>
      <c r="T59" s="1358"/>
      <c r="U59" s="1358"/>
      <c r="V59" s="1358"/>
      <c r="W59" s="1358"/>
      <c r="X59" s="1358"/>
      <c r="Y59" s="1359"/>
      <c r="Z59" s="1359"/>
      <c r="AA59" s="1358"/>
    </row>
    <row r="60" ht="15.75" customHeight="1">
      <c r="A60" s="439"/>
      <c r="B60" s="439"/>
      <c r="C60" s="1358"/>
      <c r="D60" s="1358"/>
      <c r="E60" s="1358"/>
      <c r="F60" s="1358"/>
      <c r="G60" s="1358"/>
      <c r="H60" s="1358"/>
      <c r="I60" s="1358"/>
      <c r="J60" s="1358"/>
      <c r="K60" s="1358"/>
      <c r="L60" s="1358"/>
      <c r="M60" s="1358"/>
      <c r="N60" s="1358"/>
      <c r="O60" s="1358"/>
      <c r="P60" s="1358"/>
      <c r="Q60" s="1358"/>
      <c r="R60" s="1358"/>
      <c r="S60" s="1358"/>
      <c r="T60" s="1358"/>
      <c r="U60" s="1358"/>
      <c r="V60" s="1358"/>
      <c r="W60" s="1358"/>
      <c r="X60" s="1358"/>
      <c r="Y60" s="1359"/>
      <c r="Z60" s="1359"/>
      <c r="AA60" s="1358"/>
    </row>
    <row r="61" ht="15.75" customHeight="1">
      <c r="A61" s="439"/>
      <c r="B61" s="439"/>
      <c r="C61" s="1358"/>
      <c r="D61" s="1358"/>
      <c r="E61" s="1358"/>
      <c r="F61" s="1358"/>
      <c r="G61" s="1358"/>
      <c r="H61" s="1358"/>
      <c r="I61" s="1358"/>
      <c r="J61" s="1358"/>
      <c r="K61" s="1358"/>
      <c r="L61" s="1358"/>
      <c r="M61" s="1358"/>
      <c r="N61" s="1358"/>
      <c r="O61" s="1358"/>
      <c r="P61" s="1358"/>
      <c r="Q61" s="1358"/>
      <c r="R61" s="1358"/>
      <c r="S61" s="1358"/>
      <c r="T61" s="1358"/>
      <c r="U61" s="1358"/>
      <c r="V61" s="1358"/>
      <c r="W61" s="1358"/>
      <c r="X61" s="1358"/>
      <c r="Y61" s="1359"/>
      <c r="Z61" s="1359"/>
      <c r="AA61" s="1358"/>
    </row>
    <row r="62" ht="15.75" customHeight="1">
      <c r="A62" s="439"/>
      <c r="B62" s="439"/>
      <c r="C62" s="1358"/>
      <c r="D62" s="1358"/>
      <c r="E62" s="1358"/>
      <c r="F62" s="1358"/>
      <c r="G62" s="1358"/>
      <c r="H62" s="1358"/>
      <c r="I62" s="1358"/>
      <c r="J62" s="1358"/>
      <c r="K62" s="1358"/>
      <c r="L62" s="1358"/>
      <c r="M62" s="1358"/>
      <c r="N62" s="1358"/>
      <c r="O62" s="1358"/>
      <c r="P62" s="1358"/>
      <c r="Q62" s="1358"/>
      <c r="R62" s="1358"/>
      <c r="S62" s="1358"/>
      <c r="T62" s="1358"/>
      <c r="U62" s="1358"/>
      <c r="V62" s="1358"/>
      <c r="W62" s="1358"/>
      <c r="X62" s="1358"/>
      <c r="Y62" s="1359"/>
      <c r="Z62" s="1359"/>
      <c r="AA62" s="1358"/>
    </row>
    <row r="63" ht="15.75" customHeight="1">
      <c r="A63" s="439"/>
      <c r="B63" s="439"/>
      <c r="C63" s="1358"/>
      <c r="D63" s="1358"/>
      <c r="E63" s="1358"/>
      <c r="F63" s="1358"/>
      <c r="G63" s="1358"/>
      <c r="H63" s="1358"/>
      <c r="I63" s="1358"/>
      <c r="J63" s="1358"/>
      <c r="K63" s="1358"/>
      <c r="L63" s="1358"/>
      <c r="M63" s="1358"/>
      <c r="N63" s="1358"/>
      <c r="O63" s="1358"/>
      <c r="P63" s="1358"/>
      <c r="Q63" s="1358"/>
      <c r="R63" s="1358"/>
      <c r="S63" s="1358"/>
      <c r="T63" s="1358"/>
      <c r="U63" s="1358"/>
      <c r="V63" s="1358"/>
      <c r="W63" s="1358"/>
      <c r="X63" s="1358"/>
      <c r="Y63" s="1359"/>
      <c r="Z63" s="1359"/>
      <c r="AA63" s="1358"/>
    </row>
    <row r="64" ht="15.75" customHeight="1">
      <c r="A64" s="439"/>
      <c r="B64" s="439"/>
      <c r="C64" s="1358"/>
      <c r="D64" s="1358"/>
      <c r="E64" s="1358"/>
      <c r="F64" s="1358"/>
      <c r="G64" s="1358"/>
      <c r="H64" s="1358"/>
      <c r="I64" s="1358"/>
      <c r="J64" s="1358"/>
      <c r="K64" s="1358"/>
      <c r="L64" s="1358"/>
      <c r="M64" s="1358"/>
      <c r="N64" s="1358"/>
      <c r="O64" s="1358"/>
      <c r="P64" s="1358"/>
      <c r="Q64" s="1358"/>
      <c r="R64" s="1358"/>
      <c r="S64" s="1358"/>
      <c r="T64" s="1358"/>
      <c r="U64" s="1358"/>
      <c r="V64" s="1358"/>
      <c r="W64" s="1358"/>
      <c r="X64" s="1358"/>
      <c r="Y64" s="1359"/>
      <c r="Z64" s="1359"/>
      <c r="AA64" s="1358"/>
    </row>
    <row r="65" ht="15.75" customHeight="1">
      <c r="A65" s="439"/>
      <c r="B65" s="439"/>
      <c r="C65" s="1358"/>
      <c r="D65" s="1358"/>
      <c r="E65" s="1358"/>
      <c r="F65" s="1358"/>
      <c r="G65" s="1358"/>
      <c r="H65" s="1358"/>
      <c r="I65" s="1358"/>
      <c r="J65" s="1358"/>
      <c r="K65" s="1358"/>
      <c r="L65" s="1358"/>
      <c r="M65" s="1358"/>
      <c r="N65" s="1358"/>
      <c r="O65" s="1358"/>
      <c r="P65" s="1358"/>
      <c r="Q65" s="1358"/>
      <c r="R65" s="1358"/>
      <c r="S65" s="1358"/>
      <c r="T65" s="1358"/>
      <c r="U65" s="1358"/>
      <c r="V65" s="1358"/>
      <c r="W65" s="1358"/>
      <c r="X65" s="1358"/>
      <c r="Y65" s="1359"/>
      <c r="Z65" s="1359"/>
      <c r="AA65" s="1358"/>
    </row>
    <row r="66" ht="15.75" customHeight="1">
      <c r="A66" s="439"/>
      <c r="B66" s="439"/>
      <c r="C66" s="1358"/>
      <c r="D66" s="1358"/>
      <c r="E66" s="1358"/>
      <c r="F66" s="1358"/>
      <c r="G66" s="1358"/>
      <c r="H66" s="1358"/>
      <c r="I66" s="1358"/>
      <c r="J66" s="1358"/>
      <c r="K66" s="1358"/>
      <c r="L66" s="1358"/>
      <c r="M66" s="1358"/>
      <c r="N66" s="1358"/>
      <c r="O66" s="1358"/>
      <c r="P66" s="1358"/>
      <c r="Q66" s="1358"/>
      <c r="R66" s="1358"/>
      <c r="S66" s="1358"/>
      <c r="T66" s="1358"/>
      <c r="U66" s="1358"/>
      <c r="V66" s="1358"/>
      <c r="W66" s="1358"/>
      <c r="X66" s="1358"/>
      <c r="Y66" s="1359"/>
      <c r="Z66" s="1359"/>
      <c r="AA66" s="1358"/>
    </row>
    <row r="67" ht="15.75" customHeight="1">
      <c r="A67" s="439"/>
      <c r="B67" s="439"/>
      <c r="C67" s="1358"/>
      <c r="D67" s="1358"/>
      <c r="E67" s="1358"/>
      <c r="F67" s="1358"/>
      <c r="G67" s="1358"/>
      <c r="H67" s="1358"/>
      <c r="I67" s="1358"/>
      <c r="J67" s="1358"/>
      <c r="K67" s="1358"/>
      <c r="L67" s="1358"/>
      <c r="M67" s="1358"/>
      <c r="N67" s="1358"/>
      <c r="O67" s="1358"/>
      <c r="P67" s="1358"/>
      <c r="Q67" s="1358"/>
      <c r="R67" s="1358"/>
      <c r="S67" s="1358"/>
      <c r="T67" s="1358"/>
      <c r="U67" s="1358"/>
      <c r="V67" s="1358"/>
      <c r="W67" s="1358"/>
      <c r="X67" s="1358"/>
      <c r="Y67" s="1359"/>
      <c r="Z67" s="1359"/>
      <c r="AA67" s="1358"/>
    </row>
    <row r="68" ht="15.75" customHeight="1">
      <c r="A68" s="439"/>
      <c r="B68" s="439"/>
      <c r="C68" s="1358"/>
      <c r="D68" s="1358"/>
      <c r="E68" s="1358"/>
      <c r="F68" s="1358"/>
      <c r="G68" s="1358"/>
      <c r="H68" s="1358"/>
      <c r="I68" s="1358"/>
      <c r="J68" s="1358"/>
      <c r="K68" s="1358"/>
      <c r="L68" s="1358"/>
      <c r="M68" s="1358"/>
      <c r="N68" s="1358"/>
      <c r="O68" s="1358"/>
      <c r="P68" s="1358"/>
      <c r="Q68" s="1358"/>
      <c r="R68" s="1358"/>
      <c r="S68" s="1358"/>
      <c r="T68" s="1358"/>
      <c r="U68" s="1358"/>
      <c r="V68" s="1358"/>
      <c r="W68" s="1358"/>
      <c r="X68" s="1358"/>
      <c r="Y68" s="1359"/>
      <c r="Z68" s="1359"/>
      <c r="AA68" s="1358"/>
    </row>
    <row r="69" ht="15.75" customHeight="1">
      <c r="A69" s="439"/>
      <c r="B69" s="439"/>
      <c r="C69" s="1358"/>
      <c r="D69" s="1358"/>
      <c r="E69" s="1358"/>
      <c r="F69" s="1358"/>
      <c r="G69" s="1358"/>
      <c r="H69" s="1358"/>
      <c r="I69" s="1358"/>
      <c r="J69" s="1358"/>
      <c r="K69" s="1358"/>
      <c r="L69" s="1358"/>
      <c r="M69" s="1358"/>
      <c r="N69" s="1358"/>
      <c r="O69" s="1358"/>
      <c r="P69" s="1358"/>
      <c r="Q69" s="1358"/>
      <c r="R69" s="1358"/>
      <c r="S69" s="1358"/>
      <c r="T69" s="1358"/>
      <c r="U69" s="1358"/>
      <c r="V69" s="1358"/>
      <c r="W69" s="1358"/>
      <c r="X69" s="1358"/>
      <c r="Y69" s="1359"/>
      <c r="Z69" s="1359"/>
      <c r="AA69" s="1358"/>
    </row>
    <row r="70" ht="15.75" customHeight="1">
      <c r="A70" s="439"/>
      <c r="B70" s="439"/>
      <c r="C70" s="1358"/>
      <c r="D70" s="1358"/>
      <c r="E70" s="1358"/>
      <c r="F70" s="1358"/>
      <c r="G70" s="1358"/>
      <c r="H70" s="1358"/>
      <c r="I70" s="1358"/>
      <c r="J70" s="1358"/>
      <c r="K70" s="1358"/>
      <c r="L70" s="1358"/>
      <c r="M70" s="1358"/>
      <c r="N70" s="1358"/>
      <c r="O70" s="1358"/>
      <c r="P70" s="1358"/>
      <c r="Q70" s="1358"/>
      <c r="R70" s="1358"/>
      <c r="S70" s="1358"/>
      <c r="T70" s="1358"/>
      <c r="U70" s="1358"/>
      <c r="V70" s="1358"/>
      <c r="W70" s="1358"/>
      <c r="X70" s="1358"/>
      <c r="Y70" s="1359"/>
      <c r="Z70" s="1359"/>
      <c r="AA70" s="1358"/>
    </row>
    <row r="71" ht="15.75" customHeight="1">
      <c r="A71" s="439"/>
      <c r="B71" s="439"/>
      <c r="C71" s="1358"/>
      <c r="D71" s="1358"/>
      <c r="E71" s="1358"/>
      <c r="F71" s="1358"/>
      <c r="G71" s="1358"/>
      <c r="H71" s="1358"/>
      <c r="I71" s="1358"/>
      <c r="J71" s="1358"/>
      <c r="K71" s="1358"/>
      <c r="L71" s="1358"/>
      <c r="M71" s="1358"/>
      <c r="N71" s="1358"/>
      <c r="O71" s="1358"/>
      <c r="P71" s="1358"/>
      <c r="Q71" s="1358"/>
      <c r="R71" s="1358"/>
      <c r="S71" s="1358"/>
      <c r="T71" s="1358"/>
      <c r="U71" s="1358"/>
      <c r="V71" s="1358"/>
      <c r="W71" s="1358"/>
      <c r="X71" s="1358"/>
      <c r="Y71" s="1359"/>
      <c r="Z71" s="1359"/>
      <c r="AA71" s="1358"/>
    </row>
    <row r="72" ht="15.75" customHeight="1">
      <c r="A72" s="439"/>
      <c r="B72" s="439"/>
      <c r="C72" s="1358"/>
      <c r="D72" s="1358"/>
      <c r="E72" s="1358"/>
      <c r="F72" s="1358"/>
      <c r="G72" s="1358"/>
      <c r="H72" s="1358"/>
      <c r="I72" s="1358"/>
      <c r="J72" s="1358"/>
      <c r="K72" s="1358"/>
      <c r="L72" s="1358"/>
      <c r="M72" s="1358"/>
      <c r="N72" s="1358"/>
      <c r="O72" s="1358"/>
      <c r="P72" s="1358"/>
      <c r="Q72" s="1358"/>
      <c r="R72" s="1358"/>
      <c r="S72" s="1358"/>
      <c r="T72" s="1358"/>
      <c r="U72" s="1358"/>
      <c r="V72" s="1358"/>
      <c r="W72" s="1358"/>
      <c r="X72" s="1358"/>
      <c r="Y72" s="1359"/>
      <c r="Z72" s="1359"/>
      <c r="AA72" s="1358"/>
    </row>
    <row r="73" ht="15.75" customHeight="1">
      <c r="A73" s="439"/>
      <c r="B73" s="439"/>
      <c r="C73" s="1358"/>
      <c r="D73" s="1358"/>
      <c r="E73" s="1358"/>
      <c r="F73" s="1358"/>
      <c r="G73" s="1358"/>
      <c r="H73" s="1358"/>
      <c r="I73" s="1358"/>
      <c r="J73" s="1358"/>
      <c r="K73" s="1358"/>
      <c r="L73" s="1358"/>
      <c r="M73" s="1358"/>
      <c r="N73" s="1358"/>
      <c r="O73" s="1358"/>
      <c r="P73" s="1358"/>
      <c r="Q73" s="1358"/>
      <c r="R73" s="1358"/>
      <c r="S73" s="1358"/>
      <c r="T73" s="1358"/>
      <c r="U73" s="1358"/>
      <c r="V73" s="1358"/>
      <c r="W73" s="1358"/>
      <c r="X73" s="1358"/>
      <c r="Y73" s="1359"/>
      <c r="Z73" s="1359"/>
      <c r="AA73" s="1358"/>
    </row>
    <row r="74" ht="15.75" customHeight="1">
      <c r="A74" s="439"/>
      <c r="B74" s="439"/>
      <c r="C74" s="1358"/>
      <c r="D74" s="1358"/>
      <c r="E74" s="1358"/>
      <c r="F74" s="1358"/>
      <c r="G74" s="1358"/>
      <c r="H74" s="1358"/>
      <c r="I74" s="1358"/>
      <c r="J74" s="1358"/>
      <c r="K74" s="1358"/>
      <c r="L74" s="1358"/>
      <c r="M74" s="1358"/>
      <c r="N74" s="1358"/>
      <c r="O74" s="1358"/>
      <c r="P74" s="1358"/>
      <c r="Q74" s="1358"/>
      <c r="R74" s="1358"/>
      <c r="S74" s="1358"/>
      <c r="T74" s="1358"/>
      <c r="U74" s="1358"/>
      <c r="V74" s="1358"/>
      <c r="W74" s="1358"/>
      <c r="X74" s="1358"/>
      <c r="Y74" s="1359"/>
      <c r="Z74" s="1359"/>
      <c r="AA74" s="1358"/>
    </row>
    <row r="75" ht="15.75" customHeight="1">
      <c r="A75" s="439"/>
      <c r="B75" s="439"/>
      <c r="C75" s="1358"/>
      <c r="D75" s="1358"/>
      <c r="E75" s="1358"/>
      <c r="F75" s="1358"/>
      <c r="G75" s="1358"/>
      <c r="H75" s="1358"/>
      <c r="I75" s="1358"/>
      <c r="J75" s="1358"/>
      <c r="K75" s="1358"/>
      <c r="L75" s="1358"/>
      <c r="M75" s="1358"/>
      <c r="N75" s="1358"/>
      <c r="O75" s="1358"/>
      <c r="P75" s="1358"/>
      <c r="Q75" s="1358"/>
      <c r="R75" s="1358"/>
      <c r="S75" s="1358"/>
      <c r="T75" s="1358"/>
      <c r="U75" s="1358"/>
      <c r="V75" s="1358"/>
      <c r="W75" s="1358"/>
      <c r="X75" s="1358"/>
      <c r="Y75" s="1359"/>
      <c r="Z75" s="1359"/>
      <c r="AA75" s="1358"/>
    </row>
    <row r="76" ht="15.75" customHeight="1">
      <c r="A76" s="439"/>
      <c r="B76" s="439"/>
      <c r="C76" s="1358"/>
      <c r="D76" s="1358"/>
      <c r="E76" s="1358"/>
      <c r="F76" s="1358"/>
      <c r="G76" s="1358"/>
      <c r="H76" s="1358"/>
      <c r="I76" s="1358"/>
      <c r="J76" s="1358"/>
      <c r="K76" s="1358"/>
      <c r="L76" s="1358"/>
      <c r="M76" s="1358"/>
      <c r="N76" s="1358"/>
      <c r="O76" s="1358"/>
      <c r="P76" s="1358"/>
      <c r="Q76" s="1358"/>
      <c r="R76" s="1358"/>
      <c r="S76" s="1358"/>
      <c r="T76" s="1358"/>
      <c r="U76" s="1358"/>
      <c r="V76" s="1358"/>
      <c r="W76" s="1358"/>
      <c r="X76" s="1358"/>
      <c r="Y76" s="1359"/>
      <c r="Z76" s="1359"/>
      <c r="AA76" s="1358"/>
    </row>
    <row r="77" ht="15.75" customHeight="1">
      <c r="A77" s="439"/>
      <c r="B77" s="439"/>
      <c r="C77" s="1358"/>
      <c r="D77" s="1358"/>
      <c r="E77" s="1358"/>
      <c r="F77" s="1358"/>
      <c r="G77" s="1358"/>
      <c r="H77" s="1358"/>
      <c r="I77" s="1358"/>
      <c r="J77" s="1358"/>
      <c r="K77" s="1358"/>
      <c r="L77" s="1358"/>
      <c r="M77" s="1358"/>
      <c r="N77" s="1358"/>
      <c r="O77" s="1358"/>
      <c r="P77" s="1358"/>
      <c r="Q77" s="1358"/>
      <c r="R77" s="1358"/>
      <c r="S77" s="1358"/>
      <c r="T77" s="1358"/>
      <c r="U77" s="1358"/>
      <c r="V77" s="1358"/>
      <c r="W77" s="1358"/>
      <c r="X77" s="1358"/>
      <c r="Y77" s="1359"/>
      <c r="Z77" s="1359"/>
      <c r="AA77" s="1358"/>
    </row>
    <row r="78" ht="15.75" customHeight="1">
      <c r="A78" s="439"/>
      <c r="B78" s="439"/>
      <c r="C78" s="1358"/>
      <c r="D78" s="1358"/>
      <c r="E78" s="1358"/>
      <c r="F78" s="1358"/>
      <c r="G78" s="1358"/>
      <c r="H78" s="1358"/>
      <c r="I78" s="1358"/>
      <c r="J78" s="1358"/>
      <c r="K78" s="1358"/>
      <c r="L78" s="1358"/>
      <c r="M78" s="1358"/>
      <c r="N78" s="1358"/>
      <c r="O78" s="1358"/>
      <c r="P78" s="1358"/>
      <c r="Q78" s="1358"/>
      <c r="R78" s="1358"/>
      <c r="S78" s="1358"/>
      <c r="T78" s="1358"/>
      <c r="U78" s="1358"/>
      <c r="V78" s="1358"/>
      <c r="W78" s="1358"/>
      <c r="X78" s="1358"/>
      <c r="Y78" s="1359"/>
      <c r="Z78" s="1359"/>
      <c r="AA78" s="1358"/>
    </row>
    <row r="79" ht="15.75" customHeight="1">
      <c r="A79" s="439"/>
      <c r="B79" s="439"/>
      <c r="C79" s="1358"/>
      <c r="D79" s="1358"/>
      <c r="E79" s="1358"/>
      <c r="F79" s="1358"/>
      <c r="G79" s="1358"/>
      <c r="H79" s="1358"/>
      <c r="I79" s="1358"/>
      <c r="J79" s="1358"/>
      <c r="K79" s="1358"/>
      <c r="L79" s="1358"/>
      <c r="M79" s="1358"/>
      <c r="N79" s="1358"/>
      <c r="O79" s="1358"/>
      <c r="P79" s="1358"/>
      <c r="Q79" s="1358"/>
      <c r="R79" s="1358"/>
      <c r="S79" s="1358"/>
      <c r="T79" s="1358"/>
      <c r="U79" s="1358"/>
      <c r="V79" s="1358"/>
      <c r="W79" s="1358"/>
      <c r="X79" s="1358"/>
      <c r="Y79" s="1359"/>
      <c r="Z79" s="1359"/>
      <c r="AA79" s="1358"/>
    </row>
    <row r="80" ht="15.75" customHeight="1">
      <c r="A80" s="439"/>
      <c r="B80" s="439"/>
      <c r="C80" s="1358"/>
      <c r="D80" s="1358"/>
      <c r="E80" s="1358"/>
      <c r="F80" s="1358"/>
      <c r="G80" s="1358"/>
      <c r="H80" s="1358"/>
      <c r="I80" s="1358"/>
      <c r="J80" s="1358"/>
      <c r="K80" s="1358"/>
      <c r="L80" s="1358"/>
      <c r="M80" s="1358"/>
      <c r="N80" s="1358"/>
      <c r="O80" s="1358"/>
      <c r="P80" s="1358"/>
      <c r="Q80" s="1358"/>
      <c r="R80" s="1358"/>
      <c r="S80" s="1358"/>
      <c r="T80" s="1358"/>
      <c r="U80" s="1358"/>
      <c r="V80" s="1358"/>
      <c r="W80" s="1358"/>
      <c r="X80" s="1358"/>
      <c r="Y80" s="1359"/>
      <c r="Z80" s="1359"/>
      <c r="AA80" s="1358"/>
    </row>
    <row r="81" ht="15.75" customHeight="1">
      <c r="A81" s="439"/>
      <c r="B81" s="439"/>
      <c r="C81" s="1358"/>
      <c r="D81" s="1358"/>
      <c r="E81" s="1358"/>
      <c r="F81" s="1358"/>
      <c r="G81" s="1358"/>
      <c r="H81" s="1358"/>
      <c r="I81" s="1358"/>
      <c r="J81" s="1358"/>
      <c r="K81" s="1358"/>
      <c r="L81" s="1358"/>
      <c r="M81" s="1358"/>
      <c r="N81" s="1358"/>
      <c r="O81" s="1358"/>
      <c r="P81" s="1358"/>
      <c r="Q81" s="1358"/>
      <c r="R81" s="1358"/>
      <c r="S81" s="1358"/>
      <c r="T81" s="1358"/>
      <c r="U81" s="1358"/>
      <c r="V81" s="1358"/>
      <c r="W81" s="1358"/>
      <c r="X81" s="1358"/>
      <c r="Y81" s="1359"/>
      <c r="Z81" s="1359"/>
      <c r="AA81" s="1358"/>
    </row>
    <row r="82" ht="15.75" customHeight="1">
      <c r="A82" s="439"/>
      <c r="B82" s="439"/>
      <c r="C82" s="1358"/>
      <c r="D82" s="1358"/>
      <c r="E82" s="1358"/>
      <c r="F82" s="1358"/>
      <c r="G82" s="1358"/>
      <c r="H82" s="1358"/>
      <c r="I82" s="1358"/>
      <c r="J82" s="1358"/>
      <c r="K82" s="1358"/>
      <c r="L82" s="1358"/>
      <c r="M82" s="1358"/>
      <c r="N82" s="1358"/>
      <c r="O82" s="1358"/>
      <c r="P82" s="1358"/>
      <c r="Q82" s="1358"/>
      <c r="R82" s="1358"/>
      <c r="S82" s="1358"/>
      <c r="T82" s="1358"/>
      <c r="U82" s="1358"/>
      <c r="V82" s="1358"/>
      <c r="W82" s="1358"/>
      <c r="X82" s="1358"/>
      <c r="Y82" s="1359"/>
      <c r="Z82" s="1359"/>
      <c r="AA82" s="1358"/>
    </row>
    <row r="83" ht="15.75" customHeight="1">
      <c r="A83" s="439"/>
      <c r="B83" s="439"/>
      <c r="C83" s="1358"/>
      <c r="D83" s="1358"/>
      <c r="E83" s="1358"/>
      <c r="F83" s="1358"/>
      <c r="G83" s="1358"/>
      <c r="H83" s="1358"/>
      <c r="I83" s="1358"/>
      <c r="J83" s="1358"/>
      <c r="K83" s="1358"/>
      <c r="L83" s="1358"/>
      <c r="M83" s="1358"/>
      <c r="N83" s="1358"/>
      <c r="O83" s="1358"/>
      <c r="P83" s="1358"/>
      <c r="Q83" s="1358"/>
      <c r="R83" s="1358"/>
      <c r="S83" s="1358"/>
      <c r="T83" s="1358"/>
      <c r="U83" s="1358"/>
      <c r="V83" s="1358"/>
      <c r="W83" s="1358"/>
      <c r="X83" s="1358"/>
      <c r="Y83" s="1359"/>
      <c r="Z83" s="1359"/>
      <c r="AA83" s="1358"/>
    </row>
    <row r="84" ht="15.75" customHeight="1">
      <c r="A84" s="439"/>
      <c r="B84" s="439"/>
      <c r="C84" s="1358"/>
      <c r="D84" s="1358"/>
      <c r="E84" s="1358"/>
      <c r="F84" s="1358"/>
      <c r="G84" s="1358"/>
      <c r="H84" s="1358"/>
      <c r="I84" s="1358"/>
      <c r="J84" s="1358"/>
      <c r="K84" s="1358"/>
      <c r="L84" s="1358"/>
      <c r="M84" s="1358"/>
      <c r="N84" s="1358"/>
      <c r="O84" s="1358"/>
      <c r="P84" s="1358"/>
      <c r="Q84" s="1358"/>
      <c r="R84" s="1358"/>
      <c r="S84" s="1358"/>
      <c r="T84" s="1358"/>
      <c r="U84" s="1358"/>
      <c r="V84" s="1358"/>
      <c r="W84" s="1358"/>
      <c r="X84" s="1358"/>
      <c r="Y84" s="1359"/>
      <c r="Z84" s="1359"/>
      <c r="AA84" s="1358"/>
    </row>
    <row r="85" ht="15.75" customHeight="1">
      <c r="A85" s="439"/>
      <c r="B85" s="439"/>
      <c r="C85" s="1358"/>
      <c r="D85" s="1358"/>
      <c r="E85" s="1358"/>
      <c r="F85" s="1358"/>
      <c r="G85" s="1358"/>
      <c r="H85" s="1358"/>
      <c r="I85" s="1358"/>
      <c r="J85" s="1358"/>
      <c r="K85" s="1358"/>
      <c r="L85" s="1358"/>
      <c r="M85" s="1358"/>
      <c r="N85" s="1358"/>
      <c r="O85" s="1358"/>
      <c r="P85" s="1358"/>
      <c r="Q85" s="1358"/>
      <c r="R85" s="1358"/>
      <c r="S85" s="1358"/>
      <c r="T85" s="1358"/>
      <c r="U85" s="1358"/>
      <c r="V85" s="1358"/>
      <c r="W85" s="1358"/>
      <c r="X85" s="1358"/>
      <c r="Y85" s="1359"/>
      <c r="Z85" s="1359"/>
      <c r="AA85" s="1358"/>
    </row>
    <row r="86" ht="15.75" customHeight="1">
      <c r="A86" s="439"/>
      <c r="B86" s="439"/>
      <c r="C86" s="1358"/>
      <c r="D86" s="1358"/>
      <c r="E86" s="1358"/>
      <c r="F86" s="1358"/>
      <c r="G86" s="1358"/>
      <c r="H86" s="1358"/>
      <c r="I86" s="1358"/>
      <c r="J86" s="1358"/>
      <c r="K86" s="1358"/>
      <c r="L86" s="1358"/>
      <c r="M86" s="1358"/>
      <c r="N86" s="1358"/>
      <c r="O86" s="1358"/>
      <c r="P86" s="1358"/>
      <c r="Q86" s="1358"/>
      <c r="R86" s="1358"/>
      <c r="S86" s="1358"/>
      <c r="T86" s="1358"/>
      <c r="U86" s="1358"/>
      <c r="V86" s="1358"/>
      <c r="W86" s="1358"/>
      <c r="X86" s="1358"/>
      <c r="Y86" s="1359"/>
      <c r="Z86" s="1359"/>
      <c r="AA86" s="1358"/>
    </row>
    <row r="87" ht="15.75" customHeight="1">
      <c r="A87" s="439"/>
      <c r="B87" s="439"/>
      <c r="C87" s="1358"/>
      <c r="D87" s="1358"/>
      <c r="E87" s="1358"/>
      <c r="F87" s="1358"/>
      <c r="G87" s="1358"/>
      <c r="H87" s="1358"/>
      <c r="I87" s="1358"/>
      <c r="J87" s="1358"/>
      <c r="K87" s="1358"/>
      <c r="L87" s="1358"/>
      <c r="M87" s="1358"/>
      <c r="N87" s="1358"/>
      <c r="O87" s="1358"/>
      <c r="P87" s="1358"/>
      <c r="Q87" s="1358"/>
      <c r="R87" s="1358"/>
      <c r="S87" s="1358"/>
      <c r="T87" s="1358"/>
      <c r="U87" s="1358"/>
      <c r="V87" s="1358"/>
      <c r="W87" s="1358"/>
      <c r="X87" s="1358"/>
      <c r="Y87" s="1359"/>
      <c r="Z87" s="1359"/>
      <c r="AA87" s="1358"/>
    </row>
    <row r="88" ht="15.75" customHeight="1">
      <c r="A88" s="439"/>
      <c r="B88" s="439"/>
      <c r="C88" s="1358"/>
      <c r="D88" s="1358"/>
      <c r="E88" s="1358"/>
      <c r="F88" s="1358"/>
      <c r="G88" s="1358"/>
      <c r="H88" s="1358"/>
      <c r="I88" s="1358"/>
      <c r="J88" s="1358"/>
      <c r="K88" s="1358"/>
      <c r="L88" s="1358"/>
      <c r="M88" s="1358"/>
      <c r="N88" s="1358"/>
      <c r="O88" s="1358"/>
      <c r="P88" s="1358"/>
      <c r="Q88" s="1358"/>
      <c r="R88" s="1358"/>
      <c r="S88" s="1358"/>
      <c r="T88" s="1358"/>
      <c r="U88" s="1358"/>
      <c r="V88" s="1358"/>
      <c r="W88" s="1358"/>
      <c r="X88" s="1358"/>
      <c r="Y88" s="1359"/>
      <c r="Z88" s="1359"/>
      <c r="AA88" s="1358"/>
    </row>
    <row r="89" ht="15.75" customHeight="1">
      <c r="A89" s="439"/>
      <c r="B89" s="439"/>
      <c r="C89" s="1358"/>
      <c r="D89" s="1358"/>
      <c r="E89" s="1358"/>
      <c r="F89" s="1358"/>
      <c r="G89" s="1358"/>
      <c r="H89" s="1358"/>
      <c r="I89" s="1358"/>
      <c r="J89" s="1358"/>
      <c r="K89" s="1358"/>
      <c r="L89" s="1358"/>
      <c r="M89" s="1358"/>
      <c r="N89" s="1358"/>
      <c r="O89" s="1358"/>
      <c r="P89" s="1358"/>
      <c r="Q89" s="1358"/>
      <c r="R89" s="1358"/>
      <c r="S89" s="1358"/>
      <c r="T89" s="1358"/>
      <c r="U89" s="1358"/>
      <c r="V89" s="1358"/>
      <c r="W89" s="1358"/>
      <c r="X89" s="1358"/>
      <c r="Y89" s="1359"/>
      <c r="Z89" s="1359"/>
      <c r="AA89" s="1358"/>
    </row>
    <row r="90" ht="15.75" customHeight="1">
      <c r="A90" s="439"/>
      <c r="B90" s="439"/>
      <c r="C90" s="1358"/>
      <c r="D90" s="1358"/>
      <c r="E90" s="1358"/>
      <c r="F90" s="1358"/>
      <c r="G90" s="1358"/>
      <c r="H90" s="1358"/>
      <c r="I90" s="1358"/>
      <c r="J90" s="1358"/>
      <c r="K90" s="1358"/>
      <c r="L90" s="1358"/>
      <c r="M90" s="1358"/>
      <c r="N90" s="1358"/>
      <c r="O90" s="1358"/>
      <c r="P90" s="1358"/>
      <c r="Q90" s="1358"/>
      <c r="R90" s="1358"/>
      <c r="S90" s="1358"/>
      <c r="T90" s="1358"/>
      <c r="U90" s="1358"/>
      <c r="V90" s="1358"/>
      <c r="W90" s="1358"/>
      <c r="X90" s="1358"/>
      <c r="Y90" s="1359"/>
      <c r="Z90" s="1359"/>
      <c r="AA90" s="1358"/>
    </row>
    <row r="91" ht="15.75" customHeight="1">
      <c r="A91" s="439"/>
      <c r="B91" s="439"/>
      <c r="C91" s="1358"/>
      <c r="D91" s="1358"/>
      <c r="E91" s="1358"/>
      <c r="F91" s="1358"/>
      <c r="G91" s="1358"/>
      <c r="H91" s="1358"/>
      <c r="I91" s="1358"/>
      <c r="J91" s="1358"/>
      <c r="K91" s="1358"/>
      <c r="L91" s="1358"/>
      <c r="M91" s="1358"/>
      <c r="N91" s="1358"/>
      <c r="O91" s="1358"/>
      <c r="P91" s="1358"/>
      <c r="Q91" s="1358"/>
      <c r="R91" s="1358"/>
      <c r="S91" s="1358"/>
      <c r="T91" s="1358"/>
      <c r="U91" s="1358"/>
      <c r="V91" s="1358"/>
      <c r="W91" s="1358"/>
      <c r="X91" s="1358"/>
      <c r="Y91" s="1359"/>
      <c r="Z91" s="1359"/>
      <c r="AA91" s="1358"/>
    </row>
    <row r="92" ht="15.75" customHeight="1">
      <c r="A92" s="439"/>
      <c r="B92" s="439"/>
      <c r="C92" s="1358"/>
      <c r="D92" s="1358"/>
      <c r="E92" s="1358"/>
      <c r="F92" s="1358"/>
      <c r="G92" s="1358"/>
      <c r="H92" s="1358"/>
      <c r="I92" s="1358"/>
      <c r="J92" s="1358"/>
      <c r="K92" s="1358"/>
      <c r="L92" s="1358"/>
      <c r="M92" s="1358"/>
      <c r="N92" s="1358"/>
      <c r="O92" s="1358"/>
      <c r="P92" s="1358"/>
      <c r="Q92" s="1358"/>
      <c r="R92" s="1358"/>
      <c r="S92" s="1358"/>
      <c r="T92" s="1358"/>
      <c r="U92" s="1358"/>
      <c r="V92" s="1358"/>
      <c r="W92" s="1358"/>
      <c r="X92" s="1358"/>
      <c r="Y92" s="1359"/>
      <c r="Z92" s="1359"/>
      <c r="AA92" s="1358"/>
    </row>
    <row r="93" ht="15.75" customHeight="1">
      <c r="A93" s="439"/>
      <c r="B93" s="439"/>
      <c r="C93" s="1358"/>
      <c r="D93" s="1358"/>
      <c r="E93" s="1358"/>
      <c r="F93" s="1358"/>
      <c r="G93" s="1358"/>
      <c r="H93" s="1358"/>
      <c r="I93" s="1358"/>
      <c r="J93" s="1358"/>
      <c r="K93" s="1358"/>
      <c r="L93" s="1358"/>
      <c r="M93" s="1358"/>
      <c r="N93" s="1358"/>
      <c r="O93" s="1358"/>
      <c r="P93" s="1358"/>
      <c r="Q93" s="1358"/>
      <c r="R93" s="1358"/>
      <c r="S93" s="1358"/>
      <c r="T93" s="1358"/>
      <c r="U93" s="1358"/>
      <c r="V93" s="1358"/>
      <c r="W93" s="1358"/>
      <c r="X93" s="1358"/>
      <c r="Y93" s="1359"/>
      <c r="Z93" s="1359"/>
      <c r="AA93" s="1358"/>
    </row>
    <row r="94" ht="15.75" customHeight="1">
      <c r="A94" s="439"/>
      <c r="B94" s="439"/>
      <c r="C94" s="1358"/>
      <c r="D94" s="1358"/>
      <c r="E94" s="1358"/>
      <c r="F94" s="1358"/>
      <c r="G94" s="1358"/>
      <c r="H94" s="1358"/>
      <c r="I94" s="1358"/>
      <c r="J94" s="1358"/>
      <c r="K94" s="1358"/>
      <c r="L94" s="1358"/>
      <c r="M94" s="1358"/>
      <c r="N94" s="1358"/>
      <c r="O94" s="1358"/>
      <c r="P94" s="1358"/>
      <c r="Q94" s="1358"/>
      <c r="R94" s="1358"/>
      <c r="S94" s="1358"/>
      <c r="T94" s="1358"/>
      <c r="U94" s="1358"/>
      <c r="V94" s="1358"/>
      <c r="W94" s="1358"/>
      <c r="X94" s="1358"/>
      <c r="Y94" s="1359"/>
      <c r="Z94" s="1359"/>
      <c r="AA94" s="1358"/>
    </row>
    <row r="95" ht="15.75" customHeight="1">
      <c r="A95" s="439"/>
      <c r="B95" s="439"/>
      <c r="C95" s="1358"/>
      <c r="D95" s="1358"/>
      <c r="E95" s="1358"/>
      <c r="F95" s="1358"/>
      <c r="G95" s="1358"/>
      <c r="H95" s="1358"/>
      <c r="I95" s="1358"/>
      <c r="J95" s="1358"/>
      <c r="K95" s="1358"/>
      <c r="L95" s="1358"/>
      <c r="M95" s="1358"/>
      <c r="N95" s="1358"/>
      <c r="O95" s="1358"/>
      <c r="P95" s="1358"/>
      <c r="Q95" s="1358"/>
      <c r="R95" s="1358"/>
      <c r="S95" s="1358"/>
      <c r="T95" s="1358"/>
      <c r="U95" s="1358"/>
      <c r="V95" s="1358"/>
      <c r="W95" s="1358"/>
      <c r="X95" s="1358"/>
      <c r="Y95" s="1359"/>
      <c r="Z95" s="1359"/>
      <c r="AA95" s="1358"/>
    </row>
    <row r="96" ht="15.75" customHeight="1">
      <c r="A96" s="439"/>
      <c r="B96" s="439"/>
      <c r="C96" s="1358"/>
      <c r="D96" s="1358"/>
      <c r="E96" s="1358"/>
      <c r="F96" s="1358"/>
      <c r="G96" s="1358"/>
      <c r="H96" s="1358"/>
      <c r="I96" s="1358"/>
      <c r="J96" s="1358"/>
      <c r="K96" s="1358"/>
      <c r="L96" s="1358"/>
      <c r="M96" s="1358"/>
      <c r="N96" s="1358"/>
      <c r="O96" s="1358"/>
      <c r="P96" s="1358"/>
      <c r="Q96" s="1358"/>
      <c r="R96" s="1358"/>
      <c r="S96" s="1358"/>
      <c r="T96" s="1358"/>
      <c r="U96" s="1358"/>
      <c r="V96" s="1358"/>
      <c r="W96" s="1358"/>
      <c r="X96" s="1358"/>
      <c r="Y96" s="1359"/>
      <c r="Z96" s="1359"/>
      <c r="AA96" s="1358"/>
    </row>
    <row r="97" ht="15.75" customHeight="1">
      <c r="A97" s="439"/>
      <c r="B97" s="439"/>
      <c r="C97" s="1358"/>
      <c r="D97" s="1358"/>
      <c r="E97" s="1358"/>
      <c r="F97" s="1358"/>
      <c r="G97" s="1358"/>
      <c r="H97" s="1358"/>
      <c r="I97" s="1358"/>
      <c r="J97" s="1358"/>
      <c r="K97" s="1358"/>
      <c r="L97" s="1358"/>
      <c r="M97" s="1358"/>
      <c r="N97" s="1358"/>
      <c r="O97" s="1358"/>
      <c r="P97" s="1358"/>
      <c r="Q97" s="1358"/>
      <c r="R97" s="1358"/>
      <c r="S97" s="1358"/>
      <c r="T97" s="1358"/>
      <c r="U97" s="1358"/>
      <c r="V97" s="1358"/>
      <c r="W97" s="1358"/>
      <c r="X97" s="1358"/>
      <c r="Y97" s="1359"/>
      <c r="Z97" s="1359"/>
      <c r="AA97" s="1358"/>
    </row>
    <row r="98" ht="15.75" customHeight="1">
      <c r="A98" s="439"/>
      <c r="B98" s="439"/>
      <c r="C98" s="1358"/>
      <c r="D98" s="1358"/>
      <c r="E98" s="1358"/>
      <c r="F98" s="1358"/>
      <c r="G98" s="1358"/>
      <c r="H98" s="1358"/>
      <c r="I98" s="1358"/>
      <c r="J98" s="1358"/>
      <c r="K98" s="1358"/>
      <c r="L98" s="1358"/>
      <c r="M98" s="1358"/>
      <c r="N98" s="1358"/>
      <c r="O98" s="1358"/>
      <c r="P98" s="1358"/>
      <c r="Q98" s="1358"/>
      <c r="R98" s="1358"/>
      <c r="S98" s="1358"/>
      <c r="T98" s="1358"/>
      <c r="U98" s="1358"/>
      <c r="V98" s="1358"/>
      <c r="W98" s="1358"/>
      <c r="X98" s="1358"/>
      <c r="Y98" s="1359"/>
      <c r="Z98" s="1359"/>
      <c r="AA98" s="1358"/>
    </row>
    <row r="99" ht="15.75" customHeight="1">
      <c r="A99" s="439"/>
      <c r="B99" s="439"/>
      <c r="C99" s="1358"/>
      <c r="D99" s="1358"/>
      <c r="E99" s="1358"/>
      <c r="F99" s="1358"/>
      <c r="G99" s="1358"/>
      <c r="H99" s="1358"/>
      <c r="I99" s="1358"/>
      <c r="J99" s="1358"/>
      <c r="K99" s="1358"/>
      <c r="L99" s="1358"/>
      <c r="M99" s="1358"/>
      <c r="N99" s="1358"/>
      <c r="O99" s="1358"/>
      <c r="P99" s="1358"/>
      <c r="Q99" s="1358"/>
      <c r="R99" s="1358"/>
      <c r="S99" s="1358"/>
      <c r="T99" s="1358"/>
      <c r="U99" s="1358"/>
      <c r="V99" s="1358"/>
      <c r="W99" s="1358"/>
      <c r="X99" s="1358"/>
      <c r="Y99" s="1359"/>
      <c r="Z99" s="1359"/>
      <c r="AA99" s="1358"/>
    </row>
    <row r="100" ht="15.75" customHeight="1">
      <c r="A100" s="439"/>
      <c r="B100" s="439"/>
      <c r="C100" s="1358"/>
      <c r="D100" s="1358"/>
      <c r="E100" s="1358"/>
      <c r="F100" s="1358"/>
      <c r="G100" s="1358"/>
      <c r="H100" s="1358"/>
      <c r="I100" s="1358"/>
      <c r="J100" s="1358"/>
      <c r="K100" s="1358"/>
      <c r="L100" s="1358"/>
      <c r="M100" s="1358"/>
      <c r="N100" s="1358"/>
      <c r="O100" s="1358"/>
      <c r="P100" s="1358"/>
      <c r="Q100" s="1358"/>
      <c r="R100" s="1358"/>
      <c r="S100" s="1358"/>
      <c r="T100" s="1358"/>
      <c r="U100" s="1358"/>
      <c r="V100" s="1358"/>
      <c r="W100" s="1358"/>
      <c r="X100" s="1358"/>
      <c r="Y100" s="1359"/>
      <c r="Z100" s="1359"/>
      <c r="AA100" s="1358"/>
    </row>
    <row r="101" ht="15.75" customHeight="1">
      <c r="A101" s="439"/>
      <c r="B101" s="439"/>
      <c r="C101" s="1358"/>
      <c r="D101" s="1358"/>
      <c r="E101" s="1358"/>
      <c r="F101" s="1358"/>
      <c r="G101" s="1358"/>
      <c r="H101" s="1358"/>
      <c r="I101" s="1358"/>
      <c r="J101" s="1358"/>
      <c r="K101" s="1358"/>
      <c r="L101" s="1358"/>
      <c r="M101" s="1358"/>
      <c r="N101" s="1358"/>
      <c r="O101" s="1358"/>
      <c r="P101" s="1358"/>
      <c r="Q101" s="1358"/>
      <c r="R101" s="1358"/>
      <c r="S101" s="1358"/>
      <c r="T101" s="1358"/>
      <c r="U101" s="1358"/>
      <c r="V101" s="1358"/>
      <c r="W101" s="1358"/>
      <c r="X101" s="1358"/>
      <c r="Y101" s="1359"/>
      <c r="Z101" s="1359"/>
      <c r="AA101" s="1358"/>
    </row>
    <row r="102" ht="15.75" customHeight="1">
      <c r="A102" s="439"/>
      <c r="B102" s="439"/>
      <c r="C102" s="1358"/>
      <c r="D102" s="1358"/>
      <c r="E102" s="1358"/>
      <c r="F102" s="1358"/>
      <c r="G102" s="1358"/>
      <c r="H102" s="1358"/>
      <c r="I102" s="1358"/>
      <c r="J102" s="1358"/>
      <c r="K102" s="1358"/>
      <c r="L102" s="1358"/>
      <c r="M102" s="1358"/>
      <c r="N102" s="1358"/>
      <c r="O102" s="1358"/>
      <c r="P102" s="1358"/>
      <c r="Q102" s="1358"/>
      <c r="R102" s="1358"/>
      <c r="S102" s="1358"/>
      <c r="T102" s="1358"/>
      <c r="U102" s="1358"/>
      <c r="V102" s="1358"/>
      <c r="W102" s="1358"/>
      <c r="X102" s="1358"/>
      <c r="Y102" s="1359"/>
      <c r="Z102" s="1359"/>
      <c r="AA102" s="1358"/>
    </row>
    <row r="103" ht="15.75" customHeight="1">
      <c r="A103" s="439"/>
      <c r="B103" s="439"/>
      <c r="C103" s="1358"/>
      <c r="D103" s="1358"/>
      <c r="E103" s="1358"/>
      <c r="F103" s="1358"/>
      <c r="G103" s="1358"/>
      <c r="H103" s="1358"/>
      <c r="I103" s="1358"/>
      <c r="J103" s="1358"/>
      <c r="K103" s="1358"/>
      <c r="L103" s="1358"/>
      <c r="M103" s="1358"/>
      <c r="N103" s="1358"/>
      <c r="O103" s="1358"/>
      <c r="P103" s="1358"/>
      <c r="Q103" s="1358"/>
      <c r="R103" s="1358"/>
      <c r="S103" s="1358"/>
      <c r="T103" s="1358"/>
      <c r="U103" s="1358"/>
      <c r="V103" s="1358"/>
      <c r="W103" s="1358"/>
      <c r="X103" s="1358"/>
      <c r="Y103" s="1359"/>
      <c r="Z103" s="1359"/>
      <c r="AA103" s="1358"/>
    </row>
    <row r="104" ht="15.75" customHeight="1">
      <c r="A104" s="439"/>
      <c r="B104" s="439"/>
      <c r="C104" s="1358"/>
      <c r="D104" s="1358"/>
      <c r="E104" s="1358"/>
      <c r="F104" s="1358"/>
      <c r="G104" s="1358"/>
      <c r="H104" s="1358"/>
      <c r="I104" s="1358"/>
      <c r="J104" s="1358"/>
      <c r="K104" s="1358"/>
      <c r="L104" s="1358"/>
      <c r="M104" s="1358"/>
      <c r="N104" s="1358"/>
      <c r="O104" s="1358"/>
      <c r="P104" s="1358"/>
      <c r="Q104" s="1358"/>
      <c r="R104" s="1358"/>
      <c r="S104" s="1358"/>
      <c r="T104" s="1358"/>
      <c r="U104" s="1358"/>
      <c r="V104" s="1358"/>
      <c r="W104" s="1358"/>
      <c r="X104" s="1358"/>
      <c r="Y104" s="1359"/>
      <c r="Z104" s="1359"/>
      <c r="AA104" s="1358"/>
    </row>
    <row r="105" ht="15.75" customHeight="1">
      <c r="A105" s="439"/>
      <c r="B105" s="439"/>
      <c r="C105" s="1358"/>
      <c r="D105" s="1358"/>
      <c r="E105" s="1358"/>
      <c r="F105" s="1358"/>
      <c r="G105" s="1358"/>
      <c r="H105" s="1358"/>
      <c r="I105" s="1358"/>
      <c r="J105" s="1358"/>
      <c r="K105" s="1358"/>
      <c r="L105" s="1358"/>
      <c r="M105" s="1358"/>
      <c r="N105" s="1358"/>
      <c r="O105" s="1358"/>
      <c r="P105" s="1358"/>
      <c r="Q105" s="1358"/>
      <c r="R105" s="1358"/>
      <c r="S105" s="1358"/>
      <c r="T105" s="1358"/>
      <c r="U105" s="1358"/>
      <c r="V105" s="1358"/>
      <c r="W105" s="1358"/>
      <c r="X105" s="1358"/>
      <c r="Y105" s="1359"/>
      <c r="Z105" s="1359"/>
      <c r="AA105" s="1358"/>
    </row>
    <row r="106" ht="15.75" customHeight="1">
      <c r="A106" s="439"/>
      <c r="B106" s="439"/>
      <c r="C106" s="1358"/>
      <c r="D106" s="1358"/>
      <c r="E106" s="1358"/>
      <c r="F106" s="1358"/>
      <c r="G106" s="1358"/>
      <c r="H106" s="1358"/>
      <c r="I106" s="1358"/>
      <c r="J106" s="1358"/>
      <c r="K106" s="1358"/>
      <c r="L106" s="1358"/>
      <c r="M106" s="1358"/>
      <c r="N106" s="1358"/>
      <c r="O106" s="1358"/>
      <c r="P106" s="1358"/>
      <c r="Q106" s="1358"/>
      <c r="R106" s="1358"/>
      <c r="S106" s="1358"/>
      <c r="T106" s="1358"/>
      <c r="U106" s="1358"/>
      <c r="V106" s="1358"/>
      <c r="W106" s="1358"/>
      <c r="X106" s="1358"/>
      <c r="Y106" s="1359"/>
      <c r="Z106" s="1359"/>
      <c r="AA106" s="1358"/>
    </row>
    <row r="107" ht="15.75" customHeight="1">
      <c r="A107" s="439"/>
      <c r="B107" s="439"/>
      <c r="C107" s="1358"/>
      <c r="D107" s="1358"/>
      <c r="E107" s="1358"/>
      <c r="F107" s="1358"/>
      <c r="G107" s="1358"/>
      <c r="H107" s="1358"/>
      <c r="I107" s="1358"/>
      <c r="J107" s="1358"/>
      <c r="K107" s="1358"/>
      <c r="L107" s="1358"/>
      <c r="M107" s="1358"/>
      <c r="N107" s="1358"/>
      <c r="O107" s="1358"/>
      <c r="P107" s="1358"/>
      <c r="Q107" s="1358"/>
      <c r="R107" s="1358"/>
      <c r="S107" s="1358"/>
      <c r="T107" s="1358"/>
      <c r="U107" s="1358"/>
      <c r="V107" s="1358"/>
      <c r="W107" s="1358"/>
      <c r="X107" s="1358"/>
      <c r="Y107" s="1359"/>
      <c r="Z107" s="1359"/>
      <c r="AA107" s="1358"/>
    </row>
    <row r="108" ht="15.75" customHeight="1">
      <c r="A108" s="439"/>
      <c r="B108" s="439"/>
      <c r="C108" s="1358"/>
      <c r="D108" s="1358"/>
      <c r="E108" s="1358"/>
      <c r="F108" s="1358"/>
      <c r="G108" s="1358"/>
      <c r="H108" s="1358"/>
      <c r="I108" s="1358"/>
      <c r="J108" s="1358"/>
      <c r="K108" s="1358"/>
      <c r="L108" s="1358"/>
      <c r="M108" s="1358"/>
      <c r="N108" s="1358"/>
      <c r="O108" s="1358"/>
      <c r="P108" s="1358"/>
      <c r="Q108" s="1358"/>
      <c r="R108" s="1358"/>
      <c r="S108" s="1358"/>
      <c r="T108" s="1358"/>
      <c r="U108" s="1358"/>
      <c r="V108" s="1358"/>
      <c r="W108" s="1358"/>
      <c r="X108" s="1358"/>
      <c r="Y108" s="1359"/>
      <c r="Z108" s="1359"/>
      <c r="AA108" s="1358"/>
    </row>
    <row r="109" ht="15.75" customHeight="1">
      <c r="A109" s="439"/>
      <c r="B109" s="439"/>
      <c r="C109" s="1358"/>
      <c r="D109" s="1358"/>
      <c r="E109" s="1358"/>
      <c r="F109" s="1358"/>
      <c r="G109" s="1358"/>
      <c r="H109" s="1358"/>
      <c r="I109" s="1358"/>
      <c r="J109" s="1358"/>
      <c r="K109" s="1358"/>
      <c r="L109" s="1358"/>
      <c r="M109" s="1358"/>
      <c r="N109" s="1358"/>
      <c r="O109" s="1358"/>
      <c r="P109" s="1358"/>
      <c r="Q109" s="1358"/>
      <c r="R109" s="1358"/>
      <c r="S109" s="1358"/>
      <c r="T109" s="1358"/>
      <c r="U109" s="1358"/>
      <c r="V109" s="1358"/>
      <c r="W109" s="1358"/>
      <c r="X109" s="1358"/>
      <c r="Y109" s="1359"/>
      <c r="Z109" s="1359"/>
      <c r="AA109" s="1358"/>
    </row>
    <row r="110" ht="15.75" customHeight="1">
      <c r="A110" s="439"/>
      <c r="B110" s="439"/>
      <c r="C110" s="1358"/>
      <c r="D110" s="1358"/>
      <c r="E110" s="1358"/>
      <c r="F110" s="1358"/>
      <c r="G110" s="1358"/>
      <c r="H110" s="1358"/>
      <c r="I110" s="1358"/>
      <c r="J110" s="1358"/>
      <c r="K110" s="1358"/>
      <c r="L110" s="1358"/>
      <c r="M110" s="1358"/>
      <c r="N110" s="1358"/>
      <c r="O110" s="1358"/>
      <c r="P110" s="1358"/>
      <c r="Q110" s="1358"/>
      <c r="R110" s="1358"/>
      <c r="S110" s="1358"/>
      <c r="T110" s="1358"/>
      <c r="U110" s="1358"/>
      <c r="V110" s="1358"/>
      <c r="W110" s="1358"/>
      <c r="X110" s="1358"/>
      <c r="Y110" s="1359"/>
      <c r="Z110" s="1359"/>
      <c r="AA110" s="1358"/>
    </row>
    <row r="111" ht="15.75" customHeight="1">
      <c r="A111" s="439"/>
      <c r="B111" s="439"/>
      <c r="C111" s="1358"/>
      <c r="D111" s="1358"/>
      <c r="E111" s="1358"/>
      <c r="F111" s="1358"/>
      <c r="G111" s="1358"/>
      <c r="H111" s="1358"/>
      <c r="I111" s="1358"/>
      <c r="J111" s="1358"/>
      <c r="K111" s="1358"/>
      <c r="L111" s="1358"/>
      <c r="M111" s="1358"/>
      <c r="N111" s="1358"/>
      <c r="O111" s="1358"/>
      <c r="P111" s="1358"/>
      <c r="Q111" s="1358"/>
      <c r="R111" s="1358"/>
      <c r="S111" s="1358"/>
      <c r="T111" s="1358"/>
      <c r="U111" s="1358"/>
      <c r="V111" s="1358"/>
      <c r="W111" s="1358"/>
      <c r="X111" s="1358"/>
      <c r="Y111" s="1359"/>
      <c r="Z111" s="1359"/>
      <c r="AA111" s="1358"/>
    </row>
    <row r="112" ht="15.75" customHeight="1">
      <c r="A112" s="439"/>
      <c r="B112" s="439"/>
      <c r="C112" s="1358"/>
      <c r="D112" s="1358"/>
      <c r="E112" s="1358"/>
      <c r="F112" s="1358"/>
      <c r="G112" s="1358"/>
      <c r="H112" s="1358"/>
      <c r="I112" s="1358"/>
      <c r="J112" s="1358"/>
      <c r="K112" s="1358"/>
      <c r="L112" s="1358"/>
      <c r="M112" s="1358"/>
      <c r="N112" s="1358"/>
      <c r="O112" s="1358"/>
      <c r="P112" s="1358"/>
      <c r="Q112" s="1358"/>
      <c r="R112" s="1358"/>
      <c r="S112" s="1358"/>
      <c r="T112" s="1358"/>
      <c r="U112" s="1358"/>
      <c r="V112" s="1358"/>
      <c r="W112" s="1358"/>
      <c r="X112" s="1358"/>
      <c r="Y112" s="1359"/>
      <c r="Z112" s="1359"/>
      <c r="AA112" s="1358"/>
    </row>
    <row r="113" ht="15.75" customHeight="1">
      <c r="A113" s="439"/>
      <c r="B113" s="439"/>
      <c r="C113" s="1358"/>
      <c r="D113" s="1358"/>
      <c r="E113" s="1358"/>
      <c r="F113" s="1358"/>
      <c r="G113" s="1358"/>
      <c r="H113" s="1358"/>
      <c r="I113" s="1358"/>
      <c r="J113" s="1358"/>
      <c r="K113" s="1358"/>
      <c r="L113" s="1358"/>
      <c r="M113" s="1358"/>
      <c r="N113" s="1358"/>
      <c r="O113" s="1358"/>
      <c r="P113" s="1358"/>
      <c r="Q113" s="1358"/>
      <c r="R113" s="1358"/>
      <c r="S113" s="1358"/>
      <c r="T113" s="1358"/>
      <c r="U113" s="1358"/>
      <c r="V113" s="1358"/>
      <c r="W113" s="1358"/>
      <c r="X113" s="1358"/>
      <c r="Y113" s="1359"/>
      <c r="Z113" s="1359"/>
      <c r="AA113" s="1358"/>
    </row>
    <row r="114" ht="15.75" customHeight="1">
      <c r="A114" s="439"/>
      <c r="B114" s="439"/>
      <c r="C114" s="1358"/>
      <c r="D114" s="1358"/>
      <c r="E114" s="1358"/>
      <c r="F114" s="1358"/>
      <c r="G114" s="1358"/>
      <c r="H114" s="1358"/>
      <c r="I114" s="1358"/>
      <c r="J114" s="1358"/>
      <c r="K114" s="1358"/>
      <c r="L114" s="1358"/>
      <c r="M114" s="1358"/>
      <c r="N114" s="1358"/>
      <c r="O114" s="1358"/>
      <c r="P114" s="1358"/>
      <c r="Q114" s="1358"/>
      <c r="R114" s="1358"/>
      <c r="S114" s="1358"/>
      <c r="T114" s="1358"/>
      <c r="U114" s="1358"/>
      <c r="V114" s="1358"/>
      <c r="W114" s="1358"/>
      <c r="X114" s="1358"/>
      <c r="Y114" s="1359"/>
      <c r="Z114" s="1359"/>
      <c r="AA114" s="1358"/>
    </row>
    <row r="115" ht="15.75" customHeight="1">
      <c r="A115" s="439"/>
      <c r="B115" s="439"/>
      <c r="C115" s="1358"/>
      <c r="D115" s="1358"/>
      <c r="E115" s="1358"/>
      <c r="F115" s="1358"/>
      <c r="G115" s="1358"/>
      <c r="H115" s="1358"/>
      <c r="I115" s="1358"/>
      <c r="J115" s="1358"/>
      <c r="K115" s="1358"/>
      <c r="L115" s="1358"/>
      <c r="M115" s="1358"/>
      <c r="N115" s="1358"/>
      <c r="O115" s="1358"/>
      <c r="P115" s="1358"/>
      <c r="Q115" s="1358"/>
      <c r="R115" s="1358"/>
      <c r="S115" s="1358"/>
      <c r="T115" s="1358"/>
      <c r="U115" s="1358"/>
      <c r="V115" s="1358"/>
      <c r="W115" s="1358"/>
      <c r="X115" s="1358"/>
      <c r="Y115" s="1359"/>
      <c r="Z115" s="1359"/>
      <c r="AA115" s="1358"/>
    </row>
    <row r="116" ht="15.75" customHeight="1">
      <c r="A116" s="439"/>
      <c r="B116" s="439"/>
      <c r="C116" s="1358"/>
      <c r="D116" s="1358"/>
      <c r="E116" s="1358"/>
      <c r="F116" s="1358"/>
      <c r="G116" s="1358"/>
      <c r="H116" s="1358"/>
      <c r="I116" s="1358"/>
      <c r="J116" s="1358"/>
      <c r="K116" s="1358"/>
      <c r="L116" s="1358"/>
      <c r="M116" s="1358"/>
      <c r="N116" s="1358"/>
      <c r="O116" s="1358"/>
      <c r="P116" s="1358"/>
      <c r="Q116" s="1358"/>
      <c r="R116" s="1358"/>
      <c r="S116" s="1358"/>
      <c r="T116" s="1358"/>
      <c r="U116" s="1358"/>
      <c r="V116" s="1358"/>
      <c r="W116" s="1358"/>
      <c r="X116" s="1358"/>
      <c r="Y116" s="1359"/>
      <c r="Z116" s="1359"/>
      <c r="AA116" s="1358"/>
    </row>
    <row r="117" ht="15.75" customHeight="1">
      <c r="A117" s="439"/>
      <c r="B117" s="439"/>
      <c r="C117" s="1358"/>
      <c r="D117" s="1358"/>
      <c r="E117" s="1358"/>
      <c r="F117" s="1358"/>
      <c r="G117" s="1358"/>
      <c r="H117" s="1358"/>
      <c r="I117" s="1358"/>
      <c r="J117" s="1358"/>
      <c r="K117" s="1358"/>
      <c r="L117" s="1358"/>
      <c r="M117" s="1358"/>
      <c r="N117" s="1358"/>
      <c r="O117" s="1358"/>
      <c r="P117" s="1358"/>
      <c r="Q117" s="1358"/>
      <c r="R117" s="1358"/>
      <c r="S117" s="1358"/>
      <c r="T117" s="1358"/>
      <c r="U117" s="1358"/>
      <c r="V117" s="1358"/>
      <c r="W117" s="1358"/>
      <c r="X117" s="1358"/>
      <c r="Y117" s="1359"/>
      <c r="Z117" s="1359"/>
      <c r="AA117" s="1358"/>
    </row>
    <row r="118" ht="15.75" customHeight="1">
      <c r="A118" s="439"/>
      <c r="B118" s="439"/>
      <c r="C118" s="1358"/>
      <c r="D118" s="1358"/>
      <c r="E118" s="1358"/>
      <c r="F118" s="1358"/>
      <c r="G118" s="1358"/>
      <c r="H118" s="1358"/>
      <c r="I118" s="1358"/>
      <c r="J118" s="1358"/>
      <c r="K118" s="1358"/>
      <c r="L118" s="1358"/>
      <c r="M118" s="1358"/>
      <c r="N118" s="1358"/>
      <c r="O118" s="1358"/>
      <c r="P118" s="1358"/>
      <c r="Q118" s="1358"/>
      <c r="R118" s="1358"/>
      <c r="S118" s="1358"/>
      <c r="T118" s="1358"/>
      <c r="U118" s="1358"/>
      <c r="V118" s="1358"/>
      <c r="W118" s="1358"/>
      <c r="X118" s="1358"/>
      <c r="Y118" s="1359"/>
      <c r="Z118" s="1359"/>
      <c r="AA118" s="1358"/>
    </row>
    <row r="119" ht="15.75" customHeight="1">
      <c r="A119" s="439"/>
      <c r="B119" s="439"/>
      <c r="C119" s="1358"/>
      <c r="D119" s="1358"/>
      <c r="E119" s="1358"/>
      <c r="F119" s="1358"/>
      <c r="G119" s="1358"/>
      <c r="H119" s="1358"/>
      <c r="I119" s="1358"/>
      <c r="J119" s="1358"/>
      <c r="K119" s="1358"/>
      <c r="L119" s="1358"/>
      <c r="M119" s="1358"/>
      <c r="N119" s="1358"/>
      <c r="O119" s="1358"/>
      <c r="P119" s="1358"/>
      <c r="Q119" s="1358"/>
      <c r="R119" s="1358"/>
      <c r="S119" s="1358"/>
      <c r="T119" s="1358"/>
      <c r="U119" s="1358"/>
      <c r="V119" s="1358"/>
      <c r="W119" s="1358"/>
      <c r="X119" s="1358"/>
      <c r="Y119" s="1359"/>
      <c r="Z119" s="1359"/>
      <c r="AA119" s="1358"/>
    </row>
    <row r="120" ht="15.75" customHeight="1">
      <c r="A120" s="439"/>
      <c r="B120" s="439"/>
      <c r="C120" s="1358"/>
      <c r="D120" s="1358"/>
      <c r="E120" s="1358"/>
      <c r="F120" s="1358"/>
      <c r="G120" s="1358"/>
      <c r="H120" s="1358"/>
      <c r="I120" s="1358"/>
      <c r="J120" s="1358"/>
      <c r="K120" s="1358"/>
      <c r="L120" s="1358"/>
      <c r="M120" s="1358"/>
      <c r="N120" s="1358"/>
      <c r="O120" s="1358"/>
      <c r="P120" s="1358"/>
      <c r="Q120" s="1358"/>
      <c r="R120" s="1358"/>
      <c r="S120" s="1358"/>
      <c r="T120" s="1358"/>
      <c r="U120" s="1358"/>
      <c r="V120" s="1358"/>
      <c r="W120" s="1358"/>
      <c r="X120" s="1358"/>
      <c r="Y120" s="1359"/>
      <c r="Z120" s="1359"/>
      <c r="AA120" s="1358"/>
    </row>
    <row r="121" ht="15.75" customHeight="1">
      <c r="A121" s="439"/>
      <c r="B121" s="439"/>
      <c r="C121" s="1358"/>
      <c r="D121" s="1358"/>
      <c r="E121" s="1358"/>
      <c r="F121" s="1358"/>
      <c r="G121" s="1358"/>
      <c r="H121" s="1358"/>
      <c r="I121" s="1358"/>
      <c r="J121" s="1358"/>
      <c r="K121" s="1358"/>
      <c r="L121" s="1358"/>
      <c r="M121" s="1358"/>
      <c r="N121" s="1358"/>
      <c r="O121" s="1358"/>
      <c r="P121" s="1358"/>
      <c r="Q121" s="1358"/>
      <c r="R121" s="1358"/>
      <c r="S121" s="1358"/>
      <c r="T121" s="1358"/>
      <c r="U121" s="1358"/>
      <c r="V121" s="1358"/>
      <c r="W121" s="1358"/>
      <c r="X121" s="1358"/>
      <c r="Y121" s="1359"/>
      <c r="Z121" s="1359"/>
      <c r="AA121" s="1358"/>
    </row>
    <row r="122" ht="15.75" customHeight="1">
      <c r="A122" s="439"/>
      <c r="B122" s="439"/>
      <c r="C122" s="1358"/>
      <c r="D122" s="1358"/>
      <c r="E122" s="1358"/>
      <c r="F122" s="1358"/>
      <c r="G122" s="1358"/>
      <c r="H122" s="1358"/>
      <c r="I122" s="1358"/>
      <c r="J122" s="1358"/>
      <c r="K122" s="1358"/>
      <c r="L122" s="1358"/>
      <c r="M122" s="1358"/>
      <c r="N122" s="1358"/>
      <c r="O122" s="1358"/>
      <c r="P122" s="1358"/>
      <c r="Q122" s="1358"/>
      <c r="R122" s="1358"/>
      <c r="S122" s="1358"/>
      <c r="T122" s="1358"/>
      <c r="U122" s="1358"/>
      <c r="V122" s="1358"/>
      <c r="W122" s="1358"/>
      <c r="X122" s="1358"/>
      <c r="Y122" s="1359"/>
      <c r="Z122" s="1359"/>
      <c r="AA122" s="1358"/>
    </row>
    <row r="123" ht="15.75" customHeight="1">
      <c r="A123" s="439"/>
      <c r="B123" s="439"/>
      <c r="C123" s="1358"/>
      <c r="D123" s="1358"/>
      <c r="E123" s="1358"/>
      <c r="F123" s="1358"/>
      <c r="G123" s="1358"/>
      <c r="H123" s="1358"/>
      <c r="I123" s="1358"/>
      <c r="J123" s="1358"/>
      <c r="K123" s="1358"/>
      <c r="L123" s="1358"/>
      <c r="M123" s="1358"/>
      <c r="N123" s="1358"/>
      <c r="O123" s="1358"/>
      <c r="P123" s="1358"/>
      <c r="Q123" s="1358"/>
      <c r="R123" s="1358"/>
      <c r="S123" s="1358"/>
      <c r="T123" s="1358"/>
      <c r="U123" s="1358"/>
      <c r="V123" s="1358"/>
      <c r="W123" s="1358"/>
      <c r="X123" s="1358"/>
      <c r="Y123" s="1359"/>
      <c r="Z123" s="1359"/>
      <c r="AA123" s="1358"/>
    </row>
    <row r="124" ht="15.75" customHeight="1">
      <c r="A124" s="439"/>
      <c r="B124" s="439"/>
      <c r="C124" s="1358"/>
      <c r="D124" s="1358"/>
      <c r="E124" s="1358"/>
      <c r="F124" s="1358"/>
      <c r="G124" s="1358"/>
      <c r="H124" s="1358"/>
      <c r="I124" s="1358"/>
      <c r="J124" s="1358"/>
      <c r="K124" s="1358"/>
      <c r="L124" s="1358"/>
      <c r="M124" s="1358"/>
      <c r="N124" s="1358"/>
      <c r="O124" s="1358"/>
      <c r="P124" s="1358"/>
      <c r="Q124" s="1358"/>
      <c r="R124" s="1358"/>
      <c r="S124" s="1358"/>
      <c r="T124" s="1358"/>
      <c r="U124" s="1358"/>
      <c r="V124" s="1358"/>
      <c r="W124" s="1358"/>
      <c r="X124" s="1358"/>
      <c r="Y124" s="1359"/>
      <c r="Z124" s="1359"/>
      <c r="AA124" s="1358"/>
    </row>
    <row r="125" ht="15.75" customHeight="1">
      <c r="A125" s="439"/>
      <c r="B125" s="439"/>
      <c r="C125" s="1358"/>
      <c r="D125" s="1358"/>
      <c r="E125" s="1358"/>
      <c r="F125" s="1358"/>
      <c r="G125" s="1358"/>
      <c r="H125" s="1358"/>
      <c r="I125" s="1358"/>
      <c r="J125" s="1358"/>
      <c r="K125" s="1358"/>
      <c r="L125" s="1358"/>
      <c r="M125" s="1358"/>
      <c r="N125" s="1358"/>
      <c r="O125" s="1358"/>
      <c r="P125" s="1358"/>
      <c r="Q125" s="1358"/>
      <c r="R125" s="1358"/>
      <c r="S125" s="1358"/>
      <c r="T125" s="1358"/>
      <c r="U125" s="1358"/>
      <c r="V125" s="1358"/>
      <c r="W125" s="1358"/>
      <c r="X125" s="1358"/>
      <c r="Y125" s="1359"/>
      <c r="Z125" s="1359"/>
      <c r="AA125" s="1358"/>
    </row>
    <row r="126" ht="15.75" customHeight="1">
      <c r="A126" s="439"/>
      <c r="B126" s="439"/>
      <c r="C126" s="1358"/>
      <c r="D126" s="1358"/>
      <c r="E126" s="1358"/>
      <c r="F126" s="1358"/>
      <c r="G126" s="1358"/>
      <c r="H126" s="1358"/>
      <c r="I126" s="1358"/>
      <c r="J126" s="1358"/>
      <c r="K126" s="1358"/>
      <c r="L126" s="1358"/>
      <c r="M126" s="1358"/>
      <c r="N126" s="1358"/>
      <c r="O126" s="1358"/>
      <c r="P126" s="1358"/>
      <c r="Q126" s="1358"/>
      <c r="R126" s="1358"/>
      <c r="S126" s="1358"/>
      <c r="T126" s="1358"/>
      <c r="U126" s="1358"/>
      <c r="V126" s="1358"/>
      <c r="W126" s="1358"/>
      <c r="X126" s="1358"/>
      <c r="Y126" s="1359"/>
      <c r="Z126" s="1359"/>
      <c r="AA126" s="1358"/>
    </row>
    <row r="127" ht="15.75" customHeight="1">
      <c r="A127" s="439"/>
      <c r="B127" s="439"/>
      <c r="C127" s="1358"/>
      <c r="D127" s="1358"/>
      <c r="E127" s="1358"/>
      <c r="F127" s="1358"/>
      <c r="G127" s="1358"/>
      <c r="H127" s="1358"/>
      <c r="I127" s="1358"/>
      <c r="J127" s="1358"/>
      <c r="K127" s="1358"/>
      <c r="L127" s="1358"/>
      <c r="M127" s="1358"/>
      <c r="N127" s="1358"/>
      <c r="O127" s="1358"/>
      <c r="P127" s="1358"/>
      <c r="Q127" s="1358"/>
      <c r="R127" s="1358"/>
      <c r="S127" s="1358"/>
      <c r="T127" s="1358"/>
      <c r="U127" s="1358"/>
      <c r="V127" s="1358"/>
      <c r="W127" s="1358"/>
      <c r="X127" s="1358"/>
      <c r="Y127" s="1359"/>
      <c r="Z127" s="1359"/>
      <c r="AA127" s="1358"/>
    </row>
    <row r="128" ht="15.75" customHeight="1">
      <c r="A128" s="439"/>
      <c r="B128" s="439"/>
      <c r="C128" s="1358"/>
      <c r="D128" s="1358"/>
      <c r="E128" s="1358"/>
      <c r="F128" s="1358"/>
      <c r="G128" s="1358"/>
      <c r="H128" s="1358"/>
      <c r="I128" s="1358"/>
      <c r="J128" s="1358"/>
      <c r="K128" s="1358"/>
      <c r="L128" s="1358"/>
      <c r="M128" s="1358"/>
      <c r="N128" s="1358"/>
      <c r="O128" s="1358"/>
      <c r="P128" s="1358"/>
      <c r="Q128" s="1358"/>
      <c r="R128" s="1358"/>
      <c r="S128" s="1358"/>
      <c r="T128" s="1358"/>
      <c r="U128" s="1358"/>
      <c r="V128" s="1358"/>
      <c r="W128" s="1358"/>
      <c r="X128" s="1358"/>
      <c r="Y128" s="1359"/>
      <c r="Z128" s="1359"/>
      <c r="AA128" s="1358"/>
    </row>
    <row r="129" ht="15.75" customHeight="1">
      <c r="A129" s="439"/>
      <c r="B129" s="439"/>
      <c r="C129" s="1358"/>
      <c r="D129" s="1358"/>
      <c r="E129" s="1358"/>
      <c r="F129" s="1358"/>
      <c r="G129" s="1358"/>
      <c r="H129" s="1358"/>
      <c r="I129" s="1358"/>
      <c r="J129" s="1358"/>
      <c r="K129" s="1358"/>
      <c r="L129" s="1358"/>
      <c r="M129" s="1358"/>
      <c r="N129" s="1358"/>
      <c r="O129" s="1358"/>
      <c r="P129" s="1358"/>
      <c r="Q129" s="1358"/>
      <c r="R129" s="1358"/>
      <c r="S129" s="1358"/>
      <c r="T129" s="1358"/>
      <c r="U129" s="1358"/>
      <c r="V129" s="1358"/>
      <c r="W129" s="1358"/>
      <c r="X129" s="1358"/>
      <c r="Y129" s="1359"/>
      <c r="Z129" s="1359"/>
      <c r="AA129" s="1358"/>
    </row>
    <row r="130" ht="15.75" customHeight="1">
      <c r="A130" s="439"/>
      <c r="B130" s="439"/>
      <c r="C130" s="1358"/>
      <c r="D130" s="1358"/>
      <c r="E130" s="1358"/>
      <c r="F130" s="1358"/>
      <c r="G130" s="1358"/>
      <c r="H130" s="1358"/>
      <c r="I130" s="1358"/>
      <c r="J130" s="1358"/>
      <c r="K130" s="1358"/>
      <c r="L130" s="1358"/>
      <c r="M130" s="1358"/>
      <c r="N130" s="1358"/>
      <c r="O130" s="1358"/>
      <c r="P130" s="1358"/>
      <c r="Q130" s="1358"/>
      <c r="R130" s="1358"/>
      <c r="S130" s="1358"/>
      <c r="T130" s="1358"/>
      <c r="U130" s="1358"/>
      <c r="V130" s="1358"/>
      <c r="W130" s="1358"/>
      <c r="X130" s="1358"/>
      <c r="Y130" s="1359"/>
      <c r="Z130" s="1359"/>
      <c r="AA130" s="1358"/>
    </row>
    <row r="131" ht="15.75" customHeight="1">
      <c r="A131" s="439"/>
      <c r="B131" s="439"/>
      <c r="C131" s="1358"/>
      <c r="D131" s="1358"/>
      <c r="E131" s="1358"/>
      <c r="F131" s="1358"/>
      <c r="G131" s="1358"/>
      <c r="H131" s="1358"/>
      <c r="I131" s="1358"/>
      <c r="J131" s="1358"/>
      <c r="K131" s="1358"/>
      <c r="L131" s="1358"/>
      <c r="M131" s="1358"/>
      <c r="N131" s="1358"/>
      <c r="O131" s="1358"/>
      <c r="P131" s="1358"/>
      <c r="Q131" s="1358"/>
      <c r="R131" s="1358"/>
      <c r="S131" s="1358"/>
      <c r="T131" s="1358"/>
      <c r="U131" s="1358"/>
      <c r="V131" s="1358"/>
      <c r="W131" s="1358"/>
      <c r="X131" s="1358"/>
      <c r="Y131" s="1359"/>
      <c r="Z131" s="1359"/>
      <c r="AA131" s="1358"/>
    </row>
    <row r="132" ht="15.75" customHeight="1">
      <c r="A132" s="439"/>
      <c r="B132" s="439"/>
      <c r="C132" s="1358"/>
      <c r="D132" s="1358"/>
      <c r="E132" s="1358"/>
      <c r="F132" s="1358"/>
      <c r="G132" s="1358"/>
      <c r="H132" s="1358"/>
      <c r="I132" s="1358"/>
      <c r="J132" s="1358"/>
      <c r="K132" s="1358"/>
      <c r="L132" s="1358"/>
      <c r="M132" s="1358"/>
      <c r="N132" s="1358"/>
      <c r="O132" s="1358"/>
      <c r="P132" s="1358"/>
      <c r="Q132" s="1358"/>
      <c r="R132" s="1358"/>
      <c r="S132" s="1358"/>
      <c r="T132" s="1358"/>
      <c r="U132" s="1358"/>
      <c r="V132" s="1358"/>
      <c r="W132" s="1358"/>
      <c r="X132" s="1358"/>
      <c r="Y132" s="1359"/>
      <c r="Z132" s="1359"/>
      <c r="AA132" s="1358"/>
    </row>
    <row r="133" ht="15.75" customHeight="1">
      <c r="A133" s="439"/>
      <c r="B133" s="439"/>
      <c r="C133" s="1358"/>
      <c r="D133" s="1358"/>
      <c r="E133" s="1358"/>
      <c r="F133" s="1358"/>
      <c r="G133" s="1358"/>
      <c r="H133" s="1358"/>
      <c r="I133" s="1358"/>
      <c r="J133" s="1358"/>
      <c r="K133" s="1358"/>
      <c r="L133" s="1358"/>
      <c r="M133" s="1358"/>
      <c r="N133" s="1358"/>
      <c r="O133" s="1358"/>
      <c r="P133" s="1358"/>
      <c r="Q133" s="1358"/>
      <c r="R133" s="1358"/>
      <c r="S133" s="1358"/>
      <c r="T133" s="1358"/>
      <c r="U133" s="1358"/>
      <c r="V133" s="1358"/>
      <c r="W133" s="1358"/>
      <c r="X133" s="1358"/>
      <c r="Y133" s="1359"/>
      <c r="Z133" s="1359"/>
      <c r="AA133" s="1358"/>
    </row>
    <row r="134" ht="15.75" customHeight="1">
      <c r="A134" s="439"/>
      <c r="B134" s="439"/>
      <c r="C134" s="1358"/>
      <c r="D134" s="1358"/>
      <c r="E134" s="1358"/>
      <c r="F134" s="1358"/>
      <c r="G134" s="1358"/>
      <c r="H134" s="1358"/>
      <c r="I134" s="1358"/>
      <c r="J134" s="1358"/>
      <c r="K134" s="1358"/>
      <c r="L134" s="1358"/>
      <c r="M134" s="1358"/>
      <c r="N134" s="1358"/>
      <c r="O134" s="1358"/>
      <c r="P134" s="1358"/>
      <c r="Q134" s="1358"/>
      <c r="R134" s="1358"/>
      <c r="S134" s="1358"/>
      <c r="T134" s="1358"/>
      <c r="U134" s="1358"/>
      <c r="V134" s="1358"/>
      <c r="W134" s="1358"/>
      <c r="X134" s="1358"/>
      <c r="Y134" s="1359"/>
      <c r="Z134" s="1359"/>
      <c r="AA134" s="1358"/>
    </row>
    <row r="135" ht="15.75" customHeight="1">
      <c r="A135" s="439"/>
      <c r="B135" s="439"/>
      <c r="C135" s="1358"/>
      <c r="D135" s="1358"/>
      <c r="E135" s="1358"/>
      <c r="F135" s="1358"/>
      <c r="G135" s="1358"/>
      <c r="H135" s="1358"/>
      <c r="I135" s="1358"/>
      <c r="J135" s="1358"/>
      <c r="K135" s="1358"/>
      <c r="L135" s="1358"/>
      <c r="M135" s="1358"/>
      <c r="N135" s="1358"/>
      <c r="O135" s="1358"/>
      <c r="P135" s="1358"/>
      <c r="Q135" s="1358"/>
      <c r="R135" s="1358"/>
      <c r="S135" s="1358"/>
      <c r="T135" s="1358"/>
      <c r="U135" s="1358"/>
      <c r="V135" s="1358"/>
      <c r="W135" s="1358"/>
      <c r="X135" s="1358"/>
      <c r="Y135" s="1359"/>
      <c r="Z135" s="1359"/>
      <c r="AA135" s="1358"/>
    </row>
    <row r="136" ht="15.75" customHeight="1">
      <c r="A136" s="439"/>
      <c r="B136" s="439"/>
      <c r="C136" s="1358"/>
      <c r="D136" s="1358"/>
      <c r="E136" s="1358"/>
      <c r="F136" s="1358"/>
      <c r="G136" s="1358"/>
      <c r="H136" s="1358"/>
      <c r="I136" s="1358"/>
      <c r="J136" s="1358"/>
      <c r="K136" s="1358"/>
      <c r="L136" s="1358"/>
      <c r="M136" s="1358"/>
      <c r="N136" s="1358"/>
      <c r="O136" s="1358"/>
      <c r="P136" s="1358"/>
      <c r="Q136" s="1358"/>
      <c r="R136" s="1358"/>
      <c r="S136" s="1358"/>
      <c r="T136" s="1358"/>
      <c r="U136" s="1358"/>
      <c r="V136" s="1358"/>
      <c r="W136" s="1358"/>
      <c r="X136" s="1358"/>
      <c r="Y136" s="1359"/>
      <c r="Z136" s="1359"/>
      <c r="AA136" s="1358"/>
    </row>
    <row r="137" ht="15.75" customHeight="1">
      <c r="A137" s="439"/>
      <c r="B137" s="439"/>
      <c r="C137" s="1358"/>
      <c r="D137" s="1358"/>
      <c r="E137" s="1358"/>
      <c r="F137" s="1358"/>
      <c r="G137" s="1358"/>
      <c r="H137" s="1358"/>
      <c r="I137" s="1358"/>
      <c r="J137" s="1358"/>
      <c r="K137" s="1358"/>
      <c r="L137" s="1358"/>
      <c r="M137" s="1358"/>
      <c r="N137" s="1358"/>
      <c r="O137" s="1358"/>
      <c r="P137" s="1358"/>
      <c r="Q137" s="1358"/>
      <c r="R137" s="1358"/>
      <c r="S137" s="1358"/>
      <c r="T137" s="1358"/>
      <c r="U137" s="1358"/>
      <c r="V137" s="1358"/>
      <c r="W137" s="1358"/>
      <c r="X137" s="1358"/>
      <c r="Y137" s="1359"/>
      <c r="Z137" s="1359"/>
      <c r="AA137" s="1358"/>
    </row>
    <row r="138" ht="15.75" customHeight="1">
      <c r="A138" s="439"/>
      <c r="B138" s="439"/>
      <c r="C138" s="1358"/>
      <c r="D138" s="1358"/>
      <c r="E138" s="1358"/>
      <c r="F138" s="1358"/>
      <c r="G138" s="1358"/>
      <c r="H138" s="1358"/>
      <c r="I138" s="1358"/>
      <c r="J138" s="1358"/>
      <c r="K138" s="1358"/>
      <c r="L138" s="1358"/>
      <c r="M138" s="1358"/>
      <c r="N138" s="1358"/>
      <c r="O138" s="1358"/>
      <c r="P138" s="1358"/>
      <c r="Q138" s="1358"/>
      <c r="R138" s="1358"/>
      <c r="S138" s="1358"/>
      <c r="T138" s="1358"/>
      <c r="U138" s="1358"/>
      <c r="V138" s="1358"/>
      <c r="W138" s="1358"/>
      <c r="X138" s="1358"/>
      <c r="Y138" s="1359"/>
      <c r="Z138" s="1359"/>
      <c r="AA138" s="1358"/>
    </row>
    <row r="139" ht="15.75" customHeight="1">
      <c r="A139" s="439"/>
      <c r="B139" s="439"/>
      <c r="C139" s="1358"/>
      <c r="D139" s="1358"/>
      <c r="E139" s="1358"/>
      <c r="F139" s="1358"/>
      <c r="G139" s="1358"/>
      <c r="H139" s="1358"/>
      <c r="I139" s="1358"/>
      <c r="J139" s="1358"/>
      <c r="K139" s="1358"/>
      <c r="L139" s="1358"/>
      <c r="M139" s="1358"/>
      <c r="N139" s="1358"/>
      <c r="O139" s="1358"/>
      <c r="P139" s="1358"/>
      <c r="Q139" s="1358"/>
      <c r="R139" s="1358"/>
      <c r="S139" s="1358"/>
      <c r="T139" s="1358"/>
      <c r="U139" s="1358"/>
      <c r="V139" s="1358"/>
      <c r="W139" s="1358"/>
      <c r="X139" s="1358"/>
      <c r="Y139" s="1359"/>
      <c r="Z139" s="1359"/>
      <c r="AA139" s="1358"/>
    </row>
    <row r="140" ht="15.75" customHeight="1">
      <c r="A140" s="439"/>
      <c r="B140" s="439"/>
      <c r="C140" s="1358"/>
      <c r="D140" s="1358"/>
      <c r="E140" s="1358"/>
      <c r="F140" s="1358"/>
      <c r="G140" s="1358"/>
      <c r="H140" s="1358"/>
      <c r="I140" s="1358"/>
      <c r="J140" s="1358"/>
      <c r="K140" s="1358"/>
      <c r="L140" s="1358"/>
      <c r="M140" s="1358"/>
      <c r="N140" s="1358"/>
      <c r="O140" s="1358"/>
      <c r="P140" s="1358"/>
      <c r="Q140" s="1358"/>
      <c r="R140" s="1358"/>
      <c r="S140" s="1358"/>
      <c r="T140" s="1358"/>
      <c r="U140" s="1358"/>
      <c r="V140" s="1358"/>
      <c r="W140" s="1358"/>
      <c r="X140" s="1358"/>
      <c r="Y140" s="1359"/>
      <c r="Z140" s="1359"/>
      <c r="AA140" s="1358"/>
    </row>
    <row r="141" ht="15.75" customHeight="1">
      <c r="A141" s="439"/>
      <c r="B141" s="439"/>
      <c r="C141" s="1358"/>
      <c r="D141" s="1358"/>
      <c r="E141" s="1358"/>
      <c r="F141" s="1358"/>
      <c r="G141" s="1358"/>
      <c r="H141" s="1358"/>
      <c r="I141" s="1358"/>
      <c r="J141" s="1358"/>
      <c r="K141" s="1358"/>
      <c r="L141" s="1358"/>
      <c r="M141" s="1358"/>
      <c r="N141" s="1358"/>
      <c r="O141" s="1358"/>
      <c r="P141" s="1358"/>
      <c r="Q141" s="1358"/>
      <c r="R141" s="1358"/>
      <c r="S141" s="1358"/>
      <c r="T141" s="1358"/>
      <c r="U141" s="1358"/>
      <c r="V141" s="1358"/>
      <c r="W141" s="1358"/>
      <c r="X141" s="1358"/>
      <c r="Y141" s="1359"/>
      <c r="Z141" s="1359"/>
      <c r="AA141" s="1358"/>
    </row>
    <row r="142" ht="15.75" customHeight="1">
      <c r="A142" s="439"/>
      <c r="B142" s="439"/>
      <c r="C142" s="1358"/>
      <c r="D142" s="1358"/>
      <c r="E142" s="1358"/>
      <c r="F142" s="1358"/>
      <c r="G142" s="1358"/>
      <c r="H142" s="1358"/>
      <c r="I142" s="1358"/>
      <c r="J142" s="1358"/>
      <c r="K142" s="1358"/>
      <c r="L142" s="1358"/>
      <c r="M142" s="1358"/>
      <c r="N142" s="1358"/>
      <c r="O142" s="1358"/>
      <c r="P142" s="1358"/>
      <c r="Q142" s="1358"/>
      <c r="R142" s="1358"/>
      <c r="S142" s="1358"/>
      <c r="T142" s="1358"/>
      <c r="U142" s="1358"/>
      <c r="V142" s="1358"/>
      <c r="W142" s="1358"/>
      <c r="X142" s="1358"/>
      <c r="Y142" s="1359"/>
      <c r="Z142" s="1359"/>
      <c r="AA142" s="1358"/>
    </row>
    <row r="143" ht="15.75" customHeight="1">
      <c r="A143" s="439"/>
      <c r="B143" s="439"/>
      <c r="C143" s="1358"/>
      <c r="D143" s="1358"/>
      <c r="E143" s="1358"/>
      <c r="F143" s="1358"/>
      <c r="G143" s="1358"/>
      <c r="H143" s="1358"/>
      <c r="I143" s="1358"/>
      <c r="J143" s="1358"/>
      <c r="K143" s="1358"/>
      <c r="L143" s="1358"/>
      <c r="M143" s="1358"/>
      <c r="N143" s="1358"/>
      <c r="O143" s="1358"/>
      <c r="P143" s="1358"/>
      <c r="Q143" s="1358"/>
      <c r="R143" s="1358"/>
      <c r="S143" s="1358"/>
      <c r="T143" s="1358"/>
      <c r="U143" s="1358"/>
      <c r="V143" s="1358"/>
      <c r="W143" s="1358"/>
      <c r="X143" s="1358"/>
      <c r="Y143" s="1359"/>
      <c r="Z143" s="1359"/>
      <c r="AA143" s="1358"/>
    </row>
    <row r="144" ht="15.75" customHeight="1">
      <c r="A144" s="439"/>
      <c r="B144" s="439"/>
      <c r="C144" s="1358"/>
      <c r="D144" s="1358"/>
      <c r="E144" s="1358"/>
      <c r="F144" s="1358"/>
      <c r="G144" s="1358"/>
      <c r="H144" s="1358"/>
      <c r="I144" s="1358"/>
      <c r="J144" s="1358"/>
      <c r="K144" s="1358"/>
      <c r="L144" s="1358"/>
      <c r="M144" s="1358"/>
      <c r="N144" s="1358"/>
      <c r="O144" s="1358"/>
      <c r="P144" s="1358"/>
      <c r="Q144" s="1358"/>
      <c r="R144" s="1358"/>
      <c r="S144" s="1358"/>
      <c r="T144" s="1358"/>
      <c r="U144" s="1358"/>
      <c r="V144" s="1358"/>
      <c r="W144" s="1358"/>
      <c r="X144" s="1358"/>
      <c r="Y144" s="1359"/>
      <c r="Z144" s="1359"/>
      <c r="AA144" s="1358"/>
    </row>
    <row r="145" ht="15.75" customHeight="1">
      <c r="A145" s="439"/>
      <c r="B145" s="439"/>
      <c r="C145" s="1358"/>
      <c r="D145" s="1358"/>
      <c r="E145" s="1358"/>
      <c r="F145" s="1358"/>
      <c r="G145" s="1358"/>
      <c r="H145" s="1358"/>
      <c r="I145" s="1358"/>
      <c r="J145" s="1358"/>
      <c r="K145" s="1358"/>
      <c r="L145" s="1358"/>
      <c r="M145" s="1358"/>
      <c r="N145" s="1358"/>
      <c r="O145" s="1358"/>
      <c r="P145" s="1358"/>
      <c r="Q145" s="1358"/>
      <c r="R145" s="1358"/>
      <c r="S145" s="1358"/>
      <c r="T145" s="1358"/>
      <c r="U145" s="1358"/>
      <c r="V145" s="1358"/>
      <c r="W145" s="1358"/>
      <c r="X145" s="1358"/>
      <c r="Y145" s="1359"/>
      <c r="Z145" s="1359"/>
      <c r="AA145" s="1358"/>
    </row>
    <row r="146" ht="15.75" customHeight="1">
      <c r="A146" s="439"/>
      <c r="B146" s="439"/>
      <c r="C146" s="1358"/>
      <c r="D146" s="1358"/>
      <c r="E146" s="1358"/>
      <c r="F146" s="1358"/>
      <c r="G146" s="1358"/>
      <c r="H146" s="1358"/>
      <c r="I146" s="1358"/>
      <c r="J146" s="1358"/>
      <c r="K146" s="1358"/>
      <c r="L146" s="1358"/>
      <c r="M146" s="1358"/>
      <c r="N146" s="1358"/>
      <c r="O146" s="1358"/>
      <c r="P146" s="1358"/>
      <c r="Q146" s="1358"/>
      <c r="R146" s="1358"/>
      <c r="S146" s="1358"/>
      <c r="T146" s="1358"/>
      <c r="U146" s="1358"/>
      <c r="V146" s="1358"/>
      <c r="W146" s="1358"/>
      <c r="X146" s="1358"/>
      <c r="Y146" s="1359"/>
      <c r="Z146" s="1359"/>
      <c r="AA146" s="1358"/>
    </row>
    <row r="147" ht="15.75" customHeight="1">
      <c r="A147" s="439"/>
      <c r="B147" s="439"/>
      <c r="C147" s="1358"/>
      <c r="D147" s="1358"/>
      <c r="E147" s="1358"/>
      <c r="F147" s="1358"/>
      <c r="G147" s="1358"/>
      <c r="H147" s="1358"/>
      <c r="I147" s="1358"/>
      <c r="J147" s="1358"/>
      <c r="K147" s="1358"/>
      <c r="L147" s="1358"/>
      <c r="M147" s="1358"/>
      <c r="N147" s="1358"/>
      <c r="O147" s="1358"/>
      <c r="P147" s="1358"/>
      <c r="Q147" s="1358"/>
      <c r="R147" s="1358"/>
      <c r="S147" s="1358"/>
      <c r="T147" s="1358"/>
      <c r="U147" s="1358"/>
      <c r="V147" s="1358"/>
      <c r="W147" s="1358"/>
      <c r="X147" s="1358"/>
      <c r="Y147" s="1359"/>
      <c r="Z147" s="1359"/>
      <c r="AA147" s="1358"/>
    </row>
    <row r="148" ht="15.75" customHeight="1">
      <c r="A148" s="439"/>
      <c r="B148" s="439"/>
      <c r="C148" s="1358"/>
      <c r="D148" s="1358"/>
      <c r="E148" s="1358"/>
      <c r="F148" s="1358"/>
      <c r="G148" s="1358"/>
      <c r="H148" s="1358"/>
      <c r="I148" s="1358"/>
      <c r="J148" s="1358"/>
      <c r="K148" s="1358"/>
      <c r="L148" s="1358"/>
      <c r="M148" s="1358"/>
      <c r="N148" s="1358"/>
      <c r="O148" s="1358"/>
      <c r="P148" s="1358"/>
      <c r="Q148" s="1358"/>
      <c r="R148" s="1358"/>
      <c r="S148" s="1358"/>
      <c r="T148" s="1358"/>
      <c r="U148" s="1358"/>
      <c r="V148" s="1358"/>
      <c r="W148" s="1358"/>
      <c r="X148" s="1358"/>
      <c r="Y148" s="1359"/>
      <c r="Z148" s="1359"/>
      <c r="AA148" s="1358"/>
    </row>
    <row r="149" ht="15.75" customHeight="1">
      <c r="A149" s="439"/>
      <c r="B149" s="439"/>
      <c r="C149" s="1358"/>
      <c r="D149" s="1358"/>
      <c r="E149" s="1358"/>
      <c r="F149" s="1358"/>
      <c r="G149" s="1358"/>
      <c r="H149" s="1358"/>
      <c r="I149" s="1358"/>
      <c r="J149" s="1358"/>
      <c r="K149" s="1358"/>
      <c r="L149" s="1358"/>
      <c r="M149" s="1358"/>
      <c r="N149" s="1358"/>
      <c r="O149" s="1358"/>
      <c r="P149" s="1358"/>
      <c r="Q149" s="1358"/>
      <c r="R149" s="1358"/>
      <c r="S149" s="1358"/>
      <c r="T149" s="1358"/>
      <c r="U149" s="1358"/>
      <c r="V149" s="1358"/>
      <c r="W149" s="1358"/>
      <c r="X149" s="1358"/>
      <c r="Y149" s="1359"/>
      <c r="Z149" s="1359"/>
      <c r="AA149" s="1358"/>
    </row>
    <row r="150" ht="15.75" customHeight="1">
      <c r="A150" s="439"/>
      <c r="B150" s="439"/>
      <c r="C150" s="1358"/>
      <c r="D150" s="1358"/>
      <c r="E150" s="1358"/>
      <c r="F150" s="1358"/>
      <c r="G150" s="1358"/>
      <c r="H150" s="1358"/>
      <c r="I150" s="1358"/>
      <c r="J150" s="1358"/>
      <c r="K150" s="1358"/>
      <c r="L150" s="1358"/>
      <c r="M150" s="1358"/>
      <c r="N150" s="1358"/>
      <c r="O150" s="1358"/>
      <c r="P150" s="1358"/>
      <c r="Q150" s="1358"/>
      <c r="R150" s="1358"/>
      <c r="S150" s="1358"/>
      <c r="T150" s="1358"/>
      <c r="U150" s="1358"/>
      <c r="V150" s="1358"/>
      <c r="W150" s="1358"/>
      <c r="X150" s="1358"/>
      <c r="Y150" s="1359"/>
      <c r="Z150" s="1359"/>
      <c r="AA150" s="1358"/>
    </row>
    <row r="151" ht="15.75" customHeight="1">
      <c r="A151" s="439"/>
      <c r="B151" s="439"/>
      <c r="C151" s="1358"/>
      <c r="D151" s="1358"/>
      <c r="E151" s="1358"/>
      <c r="F151" s="1358"/>
      <c r="G151" s="1358"/>
      <c r="H151" s="1358"/>
      <c r="I151" s="1358"/>
      <c r="J151" s="1358"/>
      <c r="K151" s="1358"/>
      <c r="L151" s="1358"/>
      <c r="M151" s="1358"/>
      <c r="N151" s="1358"/>
      <c r="O151" s="1358"/>
      <c r="P151" s="1358"/>
      <c r="Q151" s="1358"/>
      <c r="R151" s="1358"/>
      <c r="S151" s="1358"/>
      <c r="T151" s="1358"/>
      <c r="U151" s="1358"/>
      <c r="V151" s="1358"/>
      <c r="W151" s="1358"/>
      <c r="X151" s="1358"/>
      <c r="Y151" s="1359"/>
      <c r="Z151" s="1359"/>
      <c r="AA151" s="1358"/>
    </row>
    <row r="152" ht="15.75" customHeight="1">
      <c r="A152" s="439"/>
      <c r="B152" s="439"/>
      <c r="C152" s="1358"/>
      <c r="D152" s="1358"/>
      <c r="E152" s="1358"/>
      <c r="F152" s="1358"/>
      <c r="G152" s="1358"/>
      <c r="H152" s="1358"/>
      <c r="I152" s="1358"/>
      <c r="J152" s="1358"/>
      <c r="K152" s="1358"/>
      <c r="L152" s="1358"/>
      <c r="M152" s="1358"/>
      <c r="N152" s="1358"/>
      <c r="O152" s="1358"/>
      <c r="P152" s="1358"/>
      <c r="Q152" s="1358"/>
      <c r="R152" s="1358"/>
      <c r="S152" s="1358"/>
      <c r="T152" s="1358"/>
      <c r="U152" s="1358"/>
      <c r="V152" s="1358"/>
      <c r="W152" s="1358"/>
      <c r="X152" s="1358"/>
      <c r="Y152" s="1359"/>
      <c r="Z152" s="1359"/>
      <c r="AA152" s="1358"/>
    </row>
    <row r="153" ht="15.75" customHeight="1">
      <c r="A153" s="439"/>
      <c r="B153" s="439"/>
      <c r="C153" s="1358"/>
      <c r="D153" s="1358"/>
      <c r="E153" s="1358"/>
      <c r="F153" s="1358"/>
      <c r="G153" s="1358"/>
      <c r="H153" s="1358"/>
      <c r="I153" s="1358"/>
      <c r="J153" s="1358"/>
      <c r="K153" s="1358"/>
      <c r="L153" s="1358"/>
      <c r="M153" s="1358"/>
      <c r="N153" s="1358"/>
      <c r="O153" s="1358"/>
      <c r="P153" s="1358"/>
      <c r="Q153" s="1358"/>
      <c r="R153" s="1358"/>
      <c r="S153" s="1358"/>
      <c r="T153" s="1358"/>
      <c r="U153" s="1358"/>
      <c r="V153" s="1358"/>
      <c r="W153" s="1358"/>
      <c r="X153" s="1358"/>
      <c r="Y153" s="1359"/>
      <c r="Z153" s="1359"/>
      <c r="AA153" s="1358"/>
    </row>
    <row r="154" ht="15.75" customHeight="1">
      <c r="A154" s="439"/>
      <c r="B154" s="439"/>
      <c r="C154" s="1358"/>
      <c r="D154" s="1358"/>
      <c r="E154" s="1358"/>
      <c r="F154" s="1358"/>
      <c r="G154" s="1358"/>
      <c r="H154" s="1358"/>
      <c r="I154" s="1358"/>
      <c r="J154" s="1358"/>
      <c r="K154" s="1358"/>
      <c r="L154" s="1358"/>
      <c r="M154" s="1358"/>
      <c r="N154" s="1358"/>
      <c r="O154" s="1358"/>
      <c r="P154" s="1358"/>
      <c r="Q154" s="1358"/>
      <c r="R154" s="1358"/>
      <c r="S154" s="1358"/>
      <c r="T154" s="1358"/>
      <c r="U154" s="1358"/>
      <c r="V154" s="1358"/>
      <c r="W154" s="1358"/>
      <c r="X154" s="1358"/>
      <c r="Y154" s="1359"/>
      <c r="Z154" s="1359"/>
      <c r="AA154" s="1358"/>
    </row>
    <row r="155" ht="15.75" customHeight="1">
      <c r="A155" s="439"/>
      <c r="B155" s="439"/>
      <c r="C155" s="1358"/>
      <c r="D155" s="1358"/>
      <c r="E155" s="1358"/>
      <c r="F155" s="1358"/>
      <c r="G155" s="1358"/>
      <c r="H155" s="1358"/>
      <c r="I155" s="1358"/>
      <c r="J155" s="1358"/>
      <c r="K155" s="1358"/>
      <c r="L155" s="1358"/>
      <c r="M155" s="1358"/>
      <c r="N155" s="1358"/>
      <c r="O155" s="1358"/>
      <c r="P155" s="1358"/>
      <c r="Q155" s="1358"/>
      <c r="R155" s="1358"/>
      <c r="S155" s="1358"/>
      <c r="T155" s="1358"/>
      <c r="U155" s="1358"/>
      <c r="V155" s="1358"/>
      <c r="W155" s="1358"/>
      <c r="X155" s="1358"/>
      <c r="Y155" s="1359"/>
      <c r="Z155" s="1359"/>
      <c r="AA155" s="1358"/>
    </row>
    <row r="156" ht="15.75" customHeight="1">
      <c r="A156" s="439"/>
      <c r="B156" s="439"/>
      <c r="C156" s="1358"/>
      <c r="D156" s="1358"/>
      <c r="E156" s="1358"/>
      <c r="F156" s="1358"/>
      <c r="G156" s="1358"/>
      <c r="H156" s="1358"/>
      <c r="I156" s="1358"/>
      <c r="J156" s="1358"/>
      <c r="K156" s="1358"/>
      <c r="L156" s="1358"/>
      <c r="M156" s="1358"/>
      <c r="N156" s="1358"/>
      <c r="O156" s="1358"/>
      <c r="P156" s="1358"/>
      <c r="Q156" s="1358"/>
      <c r="R156" s="1358"/>
      <c r="S156" s="1358"/>
      <c r="T156" s="1358"/>
      <c r="U156" s="1358"/>
      <c r="V156" s="1358"/>
      <c r="W156" s="1358"/>
      <c r="X156" s="1358"/>
      <c r="Y156" s="1359"/>
      <c r="Z156" s="1359"/>
      <c r="AA156" s="1358"/>
    </row>
    <row r="157" ht="15.75" customHeight="1">
      <c r="A157" s="439"/>
      <c r="B157" s="439"/>
      <c r="C157" s="1358"/>
      <c r="D157" s="1358"/>
      <c r="E157" s="1358"/>
      <c r="F157" s="1358"/>
      <c r="G157" s="1358"/>
      <c r="H157" s="1358"/>
      <c r="I157" s="1358"/>
      <c r="J157" s="1358"/>
      <c r="K157" s="1358"/>
      <c r="L157" s="1358"/>
      <c r="M157" s="1358"/>
      <c r="N157" s="1358"/>
      <c r="O157" s="1358"/>
      <c r="P157" s="1358"/>
      <c r="Q157" s="1358"/>
      <c r="R157" s="1358"/>
      <c r="S157" s="1358"/>
      <c r="T157" s="1358"/>
      <c r="U157" s="1358"/>
      <c r="V157" s="1358"/>
      <c r="W157" s="1358"/>
      <c r="X157" s="1358"/>
      <c r="Y157" s="1359"/>
      <c r="Z157" s="1359"/>
      <c r="AA157" s="1358"/>
    </row>
    <row r="158" ht="15.75" customHeight="1">
      <c r="A158" s="439"/>
      <c r="B158" s="439"/>
      <c r="C158" s="1358"/>
      <c r="D158" s="1358"/>
      <c r="E158" s="1358"/>
      <c r="F158" s="1358"/>
      <c r="G158" s="1358"/>
      <c r="H158" s="1358"/>
      <c r="I158" s="1358"/>
      <c r="J158" s="1358"/>
      <c r="K158" s="1358"/>
      <c r="L158" s="1358"/>
      <c r="M158" s="1358"/>
      <c r="N158" s="1358"/>
      <c r="O158" s="1358"/>
      <c r="P158" s="1358"/>
      <c r="Q158" s="1358"/>
      <c r="R158" s="1358"/>
      <c r="S158" s="1358"/>
      <c r="T158" s="1358"/>
      <c r="U158" s="1358"/>
      <c r="V158" s="1358"/>
      <c r="W158" s="1358"/>
      <c r="X158" s="1358"/>
      <c r="Y158" s="1359"/>
      <c r="Z158" s="1359"/>
      <c r="AA158" s="1358"/>
    </row>
    <row r="159" ht="15.75" customHeight="1">
      <c r="A159" s="439"/>
      <c r="B159" s="439"/>
      <c r="C159" s="1358"/>
      <c r="D159" s="1358"/>
      <c r="E159" s="1358"/>
      <c r="F159" s="1358"/>
      <c r="G159" s="1358"/>
      <c r="H159" s="1358"/>
      <c r="I159" s="1358"/>
      <c r="J159" s="1358"/>
      <c r="K159" s="1358"/>
      <c r="L159" s="1358"/>
      <c r="M159" s="1358"/>
      <c r="N159" s="1358"/>
      <c r="O159" s="1358"/>
      <c r="P159" s="1358"/>
      <c r="Q159" s="1358"/>
      <c r="R159" s="1358"/>
      <c r="S159" s="1358"/>
      <c r="T159" s="1358"/>
      <c r="U159" s="1358"/>
      <c r="V159" s="1358"/>
      <c r="W159" s="1358"/>
      <c r="X159" s="1358"/>
      <c r="Y159" s="1359"/>
      <c r="Z159" s="1359"/>
      <c r="AA159" s="1358"/>
    </row>
    <row r="160" ht="15.75" customHeight="1">
      <c r="A160" s="439"/>
      <c r="B160" s="439"/>
      <c r="C160" s="1358"/>
      <c r="D160" s="1358"/>
      <c r="E160" s="1358"/>
      <c r="F160" s="1358"/>
      <c r="G160" s="1358"/>
      <c r="H160" s="1358"/>
      <c r="I160" s="1358"/>
      <c r="J160" s="1358"/>
      <c r="K160" s="1358"/>
      <c r="L160" s="1358"/>
      <c r="M160" s="1358"/>
      <c r="N160" s="1358"/>
      <c r="O160" s="1358"/>
      <c r="P160" s="1358"/>
      <c r="Q160" s="1358"/>
      <c r="R160" s="1358"/>
      <c r="S160" s="1358"/>
      <c r="T160" s="1358"/>
      <c r="U160" s="1358"/>
      <c r="V160" s="1358"/>
      <c r="W160" s="1358"/>
      <c r="X160" s="1358"/>
      <c r="Y160" s="1359"/>
      <c r="Z160" s="1359"/>
      <c r="AA160" s="1358"/>
    </row>
    <row r="161" ht="15.75" customHeight="1">
      <c r="A161" s="439"/>
      <c r="B161" s="439"/>
      <c r="C161" s="1358"/>
      <c r="D161" s="1358"/>
      <c r="E161" s="1358"/>
      <c r="F161" s="1358"/>
      <c r="G161" s="1358"/>
      <c r="H161" s="1358"/>
      <c r="I161" s="1358"/>
      <c r="J161" s="1358"/>
      <c r="K161" s="1358"/>
      <c r="L161" s="1358"/>
      <c r="M161" s="1358"/>
      <c r="N161" s="1358"/>
      <c r="O161" s="1358"/>
      <c r="P161" s="1358"/>
      <c r="Q161" s="1358"/>
      <c r="R161" s="1358"/>
      <c r="S161" s="1358"/>
      <c r="T161" s="1358"/>
      <c r="U161" s="1358"/>
      <c r="V161" s="1358"/>
      <c r="W161" s="1358"/>
      <c r="X161" s="1358"/>
      <c r="Y161" s="1359"/>
      <c r="Z161" s="1359"/>
      <c r="AA161" s="1358"/>
    </row>
    <row r="162" ht="15.75" customHeight="1">
      <c r="A162" s="439"/>
      <c r="B162" s="439"/>
      <c r="C162" s="1358"/>
      <c r="D162" s="1358"/>
      <c r="E162" s="1358"/>
      <c r="F162" s="1358"/>
      <c r="G162" s="1358"/>
      <c r="H162" s="1358"/>
      <c r="I162" s="1358"/>
      <c r="J162" s="1358"/>
      <c r="K162" s="1358"/>
      <c r="L162" s="1358"/>
      <c r="M162" s="1358"/>
      <c r="N162" s="1358"/>
      <c r="O162" s="1358"/>
      <c r="P162" s="1358"/>
      <c r="Q162" s="1358"/>
      <c r="R162" s="1358"/>
      <c r="S162" s="1358"/>
      <c r="T162" s="1358"/>
      <c r="U162" s="1358"/>
      <c r="V162" s="1358"/>
      <c r="W162" s="1358"/>
      <c r="X162" s="1358"/>
      <c r="Y162" s="1359"/>
      <c r="Z162" s="1359"/>
      <c r="AA162" s="1358"/>
    </row>
    <row r="163" ht="15.75" customHeight="1">
      <c r="A163" s="439"/>
      <c r="B163" s="439"/>
      <c r="C163" s="1358"/>
      <c r="D163" s="1358"/>
      <c r="E163" s="1358"/>
      <c r="F163" s="1358"/>
      <c r="G163" s="1358"/>
      <c r="H163" s="1358"/>
      <c r="I163" s="1358"/>
      <c r="J163" s="1358"/>
      <c r="K163" s="1358"/>
      <c r="L163" s="1358"/>
      <c r="M163" s="1358"/>
      <c r="N163" s="1358"/>
      <c r="O163" s="1358"/>
      <c r="P163" s="1358"/>
      <c r="Q163" s="1358"/>
      <c r="R163" s="1358"/>
      <c r="S163" s="1358"/>
      <c r="T163" s="1358"/>
      <c r="U163" s="1358"/>
      <c r="V163" s="1358"/>
      <c r="W163" s="1358"/>
      <c r="X163" s="1358"/>
      <c r="Y163" s="1359"/>
      <c r="Z163" s="1359"/>
      <c r="AA163" s="1358"/>
    </row>
    <row r="164" ht="15.75" customHeight="1">
      <c r="A164" s="439"/>
      <c r="B164" s="439"/>
      <c r="C164" s="1358"/>
      <c r="D164" s="1358"/>
      <c r="E164" s="1358"/>
      <c r="F164" s="1358"/>
      <c r="G164" s="1358"/>
      <c r="H164" s="1358"/>
      <c r="I164" s="1358"/>
      <c r="J164" s="1358"/>
      <c r="K164" s="1358"/>
      <c r="L164" s="1358"/>
      <c r="M164" s="1358"/>
      <c r="N164" s="1358"/>
      <c r="O164" s="1358"/>
      <c r="P164" s="1358"/>
      <c r="Q164" s="1358"/>
      <c r="R164" s="1358"/>
      <c r="S164" s="1358"/>
      <c r="T164" s="1358"/>
      <c r="U164" s="1358"/>
      <c r="V164" s="1358"/>
      <c r="W164" s="1358"/>
      <c r="X164" s="1358"/>
      <c r="Y164" s="1359"/>
      <c r="Z164" s="1359"/>
      <c r="AA164" s="1358"/>
    </row>
    <row r="165" ht="15.75" customHeight="1">
      <c r="A165" s="439"/>
      <c r="B165" s="439"/>
      <c r="C165" s="1358"/>
      <c r="D165" s="1358"/>
      <c r="E165" s="1358"/>
      <c r="F165" s="1358"/>
      <c r="G165" s="1358"/>
      <c r="H165" s="1358"/>
      <c r="I165" s="1358"/>
      <c r="J165" s="1358"/>
      <c r="K165" s="1358"/>
      <c r="L165" s="1358"/>
      <c r="M165" s="1358"/>
      <c r="N165" s="1358"/>
      <c r="O165" s="1358"/>
      <c r="P165" s="1358"/>
      <c r="Q165" s="1358"/>
      <c r="R165" s="1358"/>
      <c r="S165" s="1358"/>
      <c r="T165" s="1358"/>
      <c r="U165" s="1358"/>
      <c r="V165" s="1358"/>
      <c r="W165" s="1358"/>
      <c r="X165" s="1358"/>
      <c r="Y165" s="1359"/>
      <c r="Z165" s="1359"/>
      <c r="AA165" s="1358"/>
    </row>
    <row r="166" ht="15.75" customHeight="1">
      <c r="A166" s="439"/>
      <c r="B166" s="439"/>
      <c r="C166" s="1358"/>
      <c r="D166" s="1358"/>
      <c r="E166" s="1358"/>
      <c r="F166" s="1358"/>
      <c r="G166" s="1358"/>
      <c r="H166" s="1358"/>
      <c r="I166" s="1358"/>
      <c r="J166" s="1358"/>
      <c r="K166" s="1358"/>
      <c r="L166" s="1358"/>
      <c r="M166" s="1358"/>
      <c r="N166" s="1358"/>
      <c r="O166" s="1358"/>
      <c r="P166" s="1358"/>
      <c r="Q166" s="1358"/>
      <c r="R166" s="1358"/>
      <c r="S166" s="1358"/>
      <c r="T166" s="1358"/>
      <c r="U166" s="1358"/>
      <c r="V166" s="1358"/>
      <c r="W166" s="1358"/>
      <c r="X166" s="1358"/>
      <c r="Y166" s="1359"/>
      <c r="Z166" s="1359"/>
      <c r="AA166" s="1358"/>
    </row>
    <row r="167" ht="15.75" customHeight="1">
      <c r="A167" s="439"/>
      <c r="B167" s="439"/>
      <c r="C167" s="1358"/>
      <c r="D167" s="1358"/>
      <c r="E167" s="1358"/>
      <c r="F167" s="1358"/>
      <c r="G167" s="1358"/>
      <c r="H167" s="1358"/>
      <c r="I167" s="1358"/>
      <c r="J167" s="1358"/>
      <c r="K167" s="1358"/>
      <c r="L167" s="1358"/>
      <c r="M167" s="1358"/>
      <c r="N167" s="1358"/>
      <c r="O167" s="1358"/>
      <c r="P167" s="1358"/>
      <c r="Q167" s="1358"/>
      <c r="R167" s="1358"/>
      <c r="S167" s="1358"/>
      <c r="T167" s="1358"/>
      <c r="U167" s="1358"/>
      <c r="V167" s="1358"/>
      <c r="W167" s="1358"/>
      <c r="X167" s="1358"/>
      <c r="Y167" s="1359"/>
      <c r="Z167" s="1359"/>
      <c r="AA167" s="1358"/>
    </row>
    <row r="168" ht="15.75" customHeight="1">
      <c r="A168" s="439"/>
      <c r="B168" s="439"/>
      <c r="C168" s="1358"/>
      <c r="D168" s="1358"/>
      <c r="E168" s="1358"/>
      <c r="F168" s="1358"/>
      <c r="G168" s="1358"/>
      <c r="H168" s="1358"/>
      <c r="I168" s="1358"/>
      <c r="J168" s="1358"/>
      <c r="K168" s="1358"/>
      <c r="L168" s="1358"/>
      <c r="M168" s="1358"/>
      <c r="N168" s="1358"/>
      <c r="O168" s="1358"/>
      <c r="P168" s="1358"/>
      <c r="Q168" s="1358"/>
      <c r="R168" s="1358"/>
      <c r="S168" s="1358"/>
      <c r="T168" s="1358"/>
      <c r="U168" s="1358"/>
      <c r="V168" s="1358"/>
      <c r="W168" s="1358"/>
      <c r="X168" s="1358"/>
      <c r="Y168" s="1359"/>
      <c r="Z168" s="1359"/>
      <c r="AA168" s="1358"/>
    </row>
    <row r="169" ht="15.75" customHeight="1">
      <c r="A169" s="439"/>
      <c r="B169" s="439"/>
      <c r="C169" s="1358"/>
      <c r="D169" s="1358"/>
      <c r="E169" s="1358"/>
      <c r="F169" s="1358"/>
      <c r="G169" s="1358"/>
      <c r="H169" s="1358"/>
      <c r="I169" s="1358"/>
      <c r="J169" s="1358"/>
      <c r="K169" s="1358"/>
      <c r="L169" s="1358"/>
      <c r="M169" s="1358"/>
      <c r="N169" s="1358"/>
      <c r="O169" s="1358"/>
      <c r="P169" s="1358"/>
      <c r="Q169" s="1358"/>
      <c r="R169" s="1358"/>
      <c r="S169" s="1358"/>
      <c r="T169" s="1358"/>
      <c r="U169" s="1358"/>
      <c r="V169" s="1358"/>
      <c r="W169" s="1358"/>
      <c r="X169" s="1358"/>
      <c r="Y169" s="1359"/>
      <c r="Z169" s="1359"/>
      <c r="AA169" s="1358"/>
    </row>
    <row r="170" ht="15.75" customHeight="1">
      <c r="A170" s="439"/>
      <c r="B170" s="439"/>
      <c r="C170" s="1358"/>
      <c r="D170" s="1358"/>
      <c r="E170" s="1358"/>
      <c r="F170" s="1358"/>
      <c r="G170" s="1358"/>
      <c r="H170" s="1358"/>
      <c r="I170" s="1358"/>
      <c r="J170" s="1358"/>
      <c r="K170" s="1358"/>
      <c r="L170" s="1358"/>
      <c r="M170" s="1358"/>
      <c r="N170" s="1358"/>
      <c r="O170" s="1358"/>
      <c r="P170" s="1358"/>
      <c r="Q170" s="1358"/>
      <c r="R170" s="1358"/>
      <c r="S170" s="1358"/>
      <c r="T170" s="1358"/>
      <c r="U170" s="1358"/>
      <c r="V170" s="1358"/>
      <c r="W170" s="1358"/>
      <c r="X170" s="1358"/>
      <c r="Y170" s="1359"/>
      <c r="Z170" s="1359"/>
      <c r="AA170" s="1358"/>
    </row>
    <row r="171" ht="15.75" customHeight="1">
      <c r="A171" s="439"/>
      <c r="B171" s="439"/>
      <c r="C171" s="1358"/>
      <c r="D171" s="1358"/>
      <c r="E171" s="1358"/>
      <c r="F171" s="1358"/>
      <c r="G171" s="1358"/>
      <c r="H171" s="1358"/>
      <c r="I171" s="1358"/>
      <c r="J171" s="1358"/>
      <c r="K171" s="1358"/>
      <c r="L171" s="1358"/>
      <c r="M171" s="1358"/>
      <c r="N171" s="1358"/>
      <c r="O171" s="1358"/>
      <c r="P171" s="1358"/>
      <c r="Q171" s="1358"/>
      <c r="R171" s="1358"/>
      <c r="S171" s="1358"/>
      <c r="T171" s="1358"/>
      <c r="U171" s="1358"/>
      <c r="V171" s="1358"/>
      <c r="W171" s="1358"/>
      <c r="X171" s="1358"/>
      <c r="Y171" s="1359"/>
      <c r="Z171" s="1359"/>
      <c r="AA171" s="1358"/>
    </row>
    <row r="172" ht="15.75" customHeight="1">
      <c r="A172" s="439"/>
      <c r="B172" s="439"/>
      <c r="C172" s="1358"/>
      <c r="D172" s="1358"/>
      <c r="E172" s="1358"/>
      <c r="F172" s="1358"/>
      <c r="G172" s="1358"/>
      <c r="H172" s="1358"/>
      <c r="I172" s="1358"/>
      <c r="J172" s="1358"/>
      <c r="K172" s="1358"/>
      <c r="L172" s="1358"/>
      <c r="M172" s="1358"/>
      <c r="N172" s="1358"/>
      <c r="O172" s="1358"/>
      <c r="P172" s="1358"/>
      <c r="Q172" s="1358"/>
      <c r="R172" s="1358"/>
      <c r="S172" s="1358"/>
      <c r="T172" s="1358"/>
      <c r="U172" s="1358"/>
      <c r="V172" s="1358"/>
      <c r="W172" s="1358"/>
      <c r="X172" s="1358"/>
      <c r="Y172" s="1359"/>
      <c r="Z172" s="1359"/>
      <c r="AA172" s="1358"/>
    </row>
    <row r="173" ht="15.75" customHeight="1">
      <c r="A173" s="439"/>
      <c r="B173" s="439"/>
      <c r="C173" s="1358"/>
      <c r="D173" s="1358"/>
      <c r="E173" s="1358"/>
      <c r="F173" s="1358"/>
      <c r="G173" s="1358"/>
      <c r="H173" s="1358"/>
      <c r="I173" s="1358"/>
      <c r="J173" s="1358"/>
      <c r="K173" s="1358"/>
      <c r="L173" s="1358"/>
      <c r="M173" s="1358"/>
      <c r="N173" s="1358"/>
      <c r="O173" s="1358"/>
      <c r="P173" s="1358"/>
      <c r="Q173" s="1358"/>
      <c r="R173" s="1358"/>
      <c r="S173" s="1358"/>
      <c r="T173" s="1358"/>
      <c r="U173" s="1358"/>
      <c r="V173" s="1358"/>
      <c r="W173" s="1358"/>
      <c r="X173" s="1358"/>
      <c r="Y173" s="1359"/>
      <c r="Z173" s="1359"/>
      <c r="AA173" s="1358"/>
    </row>
    <row r="174" ht="15.75" customHeight="1">
      <c r="A174" s="439"/>
      <c r="B174" s="439"/>
      <c r="C174" s="1358"/>
      <c r="D174" s="1358"/>
      <c r="E174" s="1358"/>
      <c r="F174" s="1358"/>
      <c r="G174" s="1358"/>
      <c r="H174" s="1358"/>
      <c r="I174" s="1358"/>
      <c r="J174" s="1358"/>
      <c r="K174" s="1358"/>
      <c r="L174" s="1358"/>
      <c r="M174" s="1358"/>
      <c r="N174" s="1358"/>
      <c r="O174" s="1358"/>
      <c r="P174" s="1358"/>
      <c r="Q174" s="1358"/>
      <c r="R174" s="1358"/>
      <c r="S174" s="1358"/>
      <c r="T174" s="1358"/>
      <c r="U174" s="1358"/>
      <c r="V174" s="1358"/>
      <c r="W174" s="1358"/>
      <c r="X174" s="1358"/>
      <c r="Y174" s="1359"/>
      <c r="Z174" s="1359"/>
      <c r="AA174" s="1358"/>
    </row>
    <row r="175" ht="15.75" customHeight="1">
      <c r="A175" s="439"/>
      <c r="B175" s="439"/>
      <c r="C175" s="1358"/>
      <c r="D175" s="1358"/>
      <c r="E175" s="1358"/>
      <c r="F175" s="1358"/>
      <c r="G175" s="1358"/>
      <c r="H175" s="1358"/>
      <c r="I175" s="1358"/>
      <c r="J175" s="1358"/>
      <c r="K175" s="1358"/>
      <c r="L175" s="1358"/>
      <c r="M175" s="1358"/>
      <c r="N175" s="1358"/>
      <c r="O175" s="1358"/>
      <c r="P175" s="1358"/>
      <c r="Q175" s="1358"/>
      <c r="R175" s="1358"/>
      <c r="S175" s="1358"/>
      <c r="T175" s="1358"/>
      <c r="U175" s="1358"/>
      <c r="V175" s="1358"/>
      <c r="W175" s="1358"/>
      <c r="X175" s="1358"/>
      <c r="Y175" s="1359"/>
      <c r="Z175" s="1359"/>
      <c r="AA175" s="1358"/>
    </row>
    <row r="176" ht="15.75" customHeight="1">
      <c r="A176" s="439"/>
      <c r="B176" s="439"/>
      <c r="C176" s="1358"/>
      <c r="D176" s="1358"/>
      <c r="E176" s="1358"/>
      <c r="F176" s="1358"/>
      <c r="G176" s="1358"/>
      <c r="H176" s="1358"/>
      <c r="I176" s="1358"/>
      <c r="J176" s="1358"/>
      <c r="K176" s="1358"/>
      <c r="L176" s="1358"/>
      <c r="M176" s="1358"/>
      <c r="N176" s="1358"/>
      <c r="O176" s="1358"/>
      <c r="P176" s="1358"/>
      <c r="Q176" s="1358"/>
      <c r="R176" s="1358"/>
      <c r="S176" s="1358"/>
      <c r="T176" s="1358"/>
      <c r="U176" s="1358"/>
      <c r="V176" s="1358"/>
      <c r="W176" s="1358"/>
      <c r="X176" s="1358"/>
      <c r="Y176" s="1359"/>
      <c r="Z176" s="1359"/>
      <c r="AA176" s="1358"/>
    </row>
    <row r="177" ht="15.75" customHeight="1">
      <c r="A177" s="439"/>
      <c r="B177" s="439"/>
      <c r="C177" s="1358"/>
      <c r="D177" s="1358"/>
      <c r="E177" s="1358"/>
      <c r="F177" s="1358"/>
      <c r="G177" s="1358"/>
      <c r="H177" s="1358"/>
      <c r="I177" s="1358"/>
      <c r="J177" s="1358"/>
      <c r="K177" s="1358"/>
      <c r="L177" s="1358"/>
      <c r="M177" s="1358"/>
      <c r="N177" s="1358"/>
      <c r="O177" s="1358"/>
      <c r="P177" s="1358"/>
      <c r="Q177" s="1358"/>
      <c r="R177" s="1358"/>
      <c r="S177" s="1358"/>
      <c r="T177" s="1358"/>
      <c r="U177" s="1358"/>
      <c r="V177" s="1358"/>
      <c r="W177" s="1358"/>
      <c r="X177" s="1358"/>
      <c r="Y177" s="1359"/>
      <c r="Z177" s="1359"/>
      <c r="AA177" s="1358"/>
    </row>
    <row r="178" ht="15.75" customHeight="1">
      <c r="A178" s="439"/>
      <c r="B178" s="439"/>
      <c r="C178" s="1358"/>
      <c r="D178" s="1358"/>
      <c r="E178" s="1358"/>
      <c r="F178" s="1358"/>
      <c r="G178" s="1358"/>
      <c r="H178" s="1358"/>
      <c r="I178" s="1358"/>
      <c r="J178" s="1358"/>
      <c r="K178" s="1358"/>
      <c r="L178" s="1358"/>
      <c r="M178" s="1358"/>
      <c r="N178" s="1358"/>
      <c r="O178" s="1358"/>
      <c r="P178" s="1358"/>
      <c r="Q178" s="1358"/>
      <c r="R178" s="1358"/>
      <c r="S178" s="1358"/>
      <c r="T178" s="1358"/>
      <c r="U178" s="1358"/>
      <c r="V178" s="1358"/>
      <c r="W178" s="1358"/>
      <c r="X178" s="1358"/>
      <c r="Y178" s="1359"/>
      <c r="Z178" s="1359"/>
      <c r="AA178" s="1358"/>
    </row>
    <row r="179" ht="15.75" customHeight="1">
      <c r="A179" s="439"/>
      <c r="B179" s="439"/>
      <c r="C179" s="1358"/>
      <c r="D179" s="1358"/>
      <c r="E179" s="1358"/>
      <c r="F179" s="1358"/>
      <c r="G179" s="1358"/>
      <c r="H179" s="1358"/>
      <c r="I179" s="1358"/>
      <c r="J179" s="1358"/>
      <c r="K179" s="1358"/>
      <c r="L179" s="1358"/>
      <c r="M179" s="1358"/>
      <c r="N179" s="1358"/>
      <c r="O179" s="1358"/>
      <c r="P179" s="1358"/>
      <c r="Q179" s="1358"/>
      <c r="R179" s="1358"/>
      <c r="S179" s="1358"/>
      <c r="T179" s="1358"/>
      <c r="U179" s="1358"/>
      <c r="V179" s="1358"/>
      <c r="W179" s="1358"/>
      <c r="X179" s="1358"/>
      <c r="Y179" s="1359"/>
      <c r="Z179" s="1359"/>
      <c r="AA179" s="1358"/>
    </row>
    <row r="180" ht="15.75" customHeight="1">
      <c r="A180" s="439"/>
      <c r="B180" s="439"/>
      <c r="C180" s="1358"/>
      <c r="D180" s="1358"/>
      <c r="E180" s="1358"/>
      <c r="F180" s="1358"/>
      <c r="G180" s="1358"/>
      <c r="H180" s="1358"/>
      <c r="I180" s="1358"/>
      <c r="J180" s="1358"/>
      <c r="K180" s="1358"/>
      <c r="L180" s="1358"/>
      <c r="M180" s="1358"/>
      <c r="N180" s="1358"/>
      <c r="O180" s="1358"/>
      <c r="P180" s="1358"/>
      <c r="Q180" s="1358"/>
      <c r="R180" s="1358"/>
      <c r="S180" s="1358"/>
      <c r="T180" s="1358"/>
      <c r="U180" s="1358"/>
      <c r="V180" s="1358"/>
      <c r="W180" s="1358"/>
      <c r="X180" s="1358"/>
      <c r="Y180" s="1359"/>
      <c r="Z180" s="1359"/>
      <c r="AA180" s="1358"/>
    </row>
    <row r="181" ht="15.75" customHeight="1">
      <c r="A181" s="439"/>
      <c r="B181" s="439"/>
      <c r="C181" s="1358"/>
      <c r="D181" s="1358"/>
      <c r="E181" s="1358"/>
      <c r="F181" s="1358"/>
      <c r="G181" s="1358"/>
      <c r="H181" s="1358"/>
      <c r="I181" s="1358"/>
      <c r="J181" s="1358"/>
      <c r="K181" s="1358"/>
      <c r="L181" s="1358"/>
      <c r="M181" s="1358"/>
      <c r="N181" s="1358"/>
      <c r="O181" s="1358"/>
      <c r="P181" s="1358"/>
      <c r="Q181" s="1358"/>
      <c r="R181" s="1358"/>
      <c r="S181" s="1358"/>
      <c r="T181" s="1358"/>
      <c r="U181" s="1358"/>
      <c r="V181" s="1358"/>
      <c r="W181" s="1358"/>
      <c r="X181" s="1358"/>
      <c r="Y181" s="1359"/>
      <c r="Z181" s="1359"/>
      <c r="AA181" s="1358"/>
    </row>
    <row r="182" ht="15.75" customHeight="1">
      <c r="A182" s="439"/>
      <c r="B182" s="439"/>
      <c r="C182" s="1358"/>
      <c r="D182" s="1358"/>
      <c r="E182" s="1358"/>
      <c r="F182" s="1358"/>
      <c r="G182" s="1358"/>
      <c r="H182" s="1358"/>
      <c r="I182" s="1358"/>
      <c r="J182" s="1358"/>
      <c r="K182" s="1358"/>
      <c r="L182" s="1358"/>
      <c r="M182" s="1358"/>
      <c r="N182" s="1358"/>
      <c r="O182" s="1358"/>
      <c r="P182" s="1358"/>
      <c r="Q182" s="1358"/>
      <c r="R182" s="1358"/>
      <c r="S182" s="1358"/>
      <c r="T182" s="1358"/>
      <c r="U182" s="1358"/>
      <c r="V182" s="1358"/>
      <c r="W182" s="1358"/>
      <c r="X182" s="1358"/>
      <c r="Y182" s="1359"/>
      <c r="Z182" s="1359"/>
      <c r="AA182" s="1358"/>
    </row>
    <row r="183" ht="15.75" customHeight="1">
      <c r="A183" s="439"/>
      <c r="B183" s="439"/>
      <c r="C183" s="1358"/>
      <c r="D183" s="1358"/>
      <c r="E183" s="1358"/>
      <c r="F183" s="1358"/>
      <c r="G183" s="1358"/>
      <c r="H183" s="1358"/>
      <c r="I183" s="1358"/>
      <c r="J183" s="1358"/>
      <c r="K183" s="1358"/>
      <c r="L183" s="1358"/>
      <c r="M183" s="1358"/>
      <c r="N183" s="1358"/>
      <c r="O183" s="1358"/>
      <c r="P183" s="1358"/>
      <c r="Q183" s="1358"/>
      <c r="R183" s="1358"/>
      <c r="S183" s="1358"/>
      <c r="T183" s="1358"/>
      <c r="U183" s="1358"/>
      <c r="V183" s="1358"/>
      <c r="W183" s="1358"/>
      <c r="X183" s="1358"/>
      <c r="Y183" s="1359"/>
      <c r="Z183" s="1359"/>
      <c r="AA183" s="1358"/>
    </row>
    <row r="184" ht="15.75" customHeight="1">
      <c r="A184" s="439"/>
      <c r="B184" s="439"/>
      <c r="C184" s="1358"/>
      <c r="D184" s="1358"/>
      <c r="E184" s="1358"/>
      <c r="F184" s="1358"/>
      <c r="G184" s="1358"/>
      <c r="H184" s="1358"/>
      <c r="I184" s="1358"/>
      <c r="J184" s="1358"/>
      <c r="K184" s="1358"/>
      <c r="L184" s="1358"/>
      <c r="M184" s="1358"/>
      <c r="N184" s="1358"/>
      <c r="O184" s="1358"/>
      <c r="P184" s="1358"/>
      <c r="Q184" s="1358"/>
      <c r="R184" s="1358"/>
      <c r="S184" s="1358"/>
      <c r="T184" s="1358"/>
      <c r="U184" s="1358"/>
      <c r="V184" s="1358"/>
      <c r="W184" s="1358"/>
      <c r="X184" s="1358"/>
      <c r="Y184" s="1359"/>
      <c r="Z184" s="1359"/>
      <c r="AA184" s="1358"/>
    </row>
    <row r="185" ht="15.75" customHeight="1">
      <c r="A185" s="439"/>
      <c r="B185" s="439"/>
      <c r="C185" s="1358"/>
      <c r="D185" s="1358"/>
      <c r="E185" s="1358"/>
      <c r="F185" s="1358"/>
      <c r="G185" s="1358"/>
      <c r="H185" s="1358"/>
      <c r="I185" s="1358"/>
      <c r="J185" s="1358"/>
      <c r="K185" s="1358"/>
      <c r="L185" s="1358"/>
      <c r="M185" s="1358"/>
      <c r="N185" s="1358"/>
      <c r="O185" s="1358"/>
      <c r="P185" s="1358"/>
      <c r="Q185" s="1358"/>
      <c r="R185" s="1358"/>
      <c r="S185" s="1358"/>
      <c r="T185" s="1358"/>
      <c r="U185" s="1358"/>
      <c r="V185" s="1358"/>
      <c r="W185" s="1358"/>
      <c r="X185" s="1358"/>
      <c r="Y185" s="1359"/>
      <c r="Z185" s="1359"/>
      <c r="AA185" s="1358"/>
    </row>
    <row r="186" ht="15.75" customHeight="1">
      <c r="A186" s="439"/>
      <c r="B186" s="439"/>
      <c r="C186" s="1358"/>
      <c r="D186" s="1358"/>
      <c r="E186" s="1358"/>
      <c r="F186" s="1358"/>
      <c r="G186" s="1358"/>
      <c r="H186" s="1358"/>
      <c r="I186" s="1358"/>
      <c r="J186" s="1358"/>
      <c r="K186" s="1358"/>
      <c r="L186" s="1358"/>
      <c r="M186" s="1358"/>
      <c r="N186" s="1358"/>
      <c r="O186" s="1358"/>
      <c r="P186" s="1358"/>
      <c r="Q186" s="1358"/>
      <c r="R186" s="1358"/>
      <c r="S186" s="1358"/>
      <c r="T186" s="1358"/>
      <c r="U186" s="1358"/>
      <c r="V186" s="1358"/>
      <c r="W186" s="1358"/>
      <c r="X186" s="1358"/>
      <c r="Y186" s="1359"/>
      <c r="Z186" s="1359"/>
      <c r="AA186" s="1358"/>
    </row>
    <row r="187" ht="15.75" customHeight="1">
      <c r="A187" s="439"/>
      <c r="B187" s="439"/>
      <c r="C187" s="1358"/>
      <c r="D187" s="1358"/>
      <c r="E187" s="1358"/>
      <c r="F187" s="1358"/>
      <c r="G187" s="1358"/>
      <c r="H187" s="1358"/>
      <c r="I187" s="1358"/>
      <c r="J187" s="1358"/>
      <c r="K187" s="1358"/>
      <c r="L187" s="1358"/>
      <c r="M187" s="1358"/>
      <c r="N187" s="1358"/>
      <c r="O187" s="1358"/>
      <c r="P187" s="1358"/>
      <c r="Q187" s="1358"/>
      <c r="R187" s="1358"/>
      <c r="S187" s="1358"/>
      <c r="T187" s="1358"/>
      <c r="U187" s="1358"/>
      <c r="V187" s="1358"/>
      <c r="W187" s="1358"/>
      <c r="X187" s="1358"/>
      <c r="Y187" s="1359"/>
      <c r="Z187" s="1359"/>
      <c r="AA187" s="1358"/>
    </row>
    <row r="188" ht="15.75" customHeight="1">
      <c r="A188" s="439"/>
      <c r="B188" s="439"/>
      <c r="C188" s="1358"/>
      <c r="D188" s="1358"/>
      <c r="E188" s="1358"/>
      <c r="F188" s="1358"/>
      <c r="G188" s="1358"/>
      <c r="H188" s="1358"/>
      <c r="I188" s="1358"/>
      <c r="J188" s="1358"/>
      <c r="K188" s="1358"/>
      <c r="L188" s="1358"/>
      <c r="M188" s="1358"/>
      <c r="N188" s="1358"/>
      <c r="O188" s="1358"/>
      <c r="P188" s="1358"/>
      <c r="Q188" s="1358"/>
      <c r="R188" s="1358"/>
      <c r="S188" s="1358"/>
      <c r="T188" s="1358"/>
      <c r="U188" s="1358"/>
      <c r="V188" s="1358"/>
      <c r="W188" s="1358"/>
      <c r="X188" s="1358"/>
      <c r="Y188" s="1359"/>
      <c r="Z188" s="1359"/>
      <c r="AA188" s="1358"/>
    </row>
    <row r="189" ht="15.75" customHeight="1">
      <c r="A189" s="439"/>
      <c r="B189" s="439"/>
      <c r="C189" s="1358"/>
      <c r="D189" s="1358"/>
      <c r="E189" s="1358"/>
      <c r="F189" s="1358"/>
      <c r="G189" s="1358"/>
      <c r="H189" s="1358"/>
      <c r="I189" s="1358"/>
      <c r="J189" s="1358"/>
      <c r="K189" s="1358"/>
      <c r="L189" s="1358"/>
      <c r="M189" s="1358"/>
      <c r="N189" s="1358"/>
      <c r="O189" s="1358"/>
      <c r="P189" s="1358"/>
      <c r="Q189" s="1358"/>
      <c r="R189" s="1358"/>
      <c r="S189" s="1358"/>
      <c r="T189" s="1358"/>
      <c r="U189" s="1358"/>
      <c r="V189" s="1358"/>
      <c r="W189" s="1358"/>
      <c r="X189" s="1358"/>
      <c r="Y189" s="1359"/>
      <c r="Z189" s="1359"/>
      <c r="AA189" s="1358"/>
    </row>
    <row r="190" ht="15.75" customHeight="1">
      <c r="A190" s="439"/>
      <c r="B190" s="439"/>
      <c r="C190" s="1358"/>
      <c r="D190" s="1358"/>
      <c r="E190" s="1358"/>
      <c r="F190" s="1358"/>
      <c r="G190" s="1358"/>
      <c r="H190" s="1358"/>
      <c r="I190" s="1358"/>
      <c r="J190" s="1358"/>
      <c r="K190" s="1358"/>
      <c r="L190" s="1358"/>
      <c r="M190" s="1358"/>
      <c r="N190" s="1358"/>
      <c r="O190" s="1358"/>
      <c r="P190" s="1358"/>
      <c r="Q190" s="1358"/>
      <c r="R190" s="1358"/>
      <c r="S190" s="1358"/>
      <c r="T190" s="1358"/>
      <c r="U190" s="1358"/>
      <c r="V190" s="1358"/>
      <c r="W190" s="1358"/>
      <c r="X190" s="1358"/>
      <c r="Y190" s="1359"/>
      <c r="Z190" s="1359"/>
      <c r="AA190" s="1358"/>
    </row>
    <row r="191" ht="15.75" customHeight="1">
      <c r="A191" s="439"/>
      <c r="B191" s="439"/>
      <c r="C191" s="1358"/>
      <c r="D191" s="1358"/>
      <c r="E191" s="1358"/>
      <c r="F191" s="1358"/>
      <c r="G191" s="1358"/>
      <c r="H191" s="1358"/>
      <c r="I191" s="1358"/>
      <c r="J191" s="1358"/>
      <c r="K191" s="1358"/>
      <c r="L191" s="1358"/>
      <c r="M191" s="1358"/>
      <c r="N191" s="1358"/>
      <c r="O191" s="1358"/>
      <c r="P191" s="1358"/>
      <c r="Q191" s="1358"/>
      <c r="R191" s="1358"/>
      <c r="S191" s="1358"/>
      <c r="T191" s="1358"/>
      <c r="U191" s="1358"/>
      <c r="V191" s="1358"/>
      <c r="W191" s="1358"/>
      <c r="X191" s="1358"/>
      <c r="Y191" s="1359"/>
      <c r="Z191" s="1359"/>
      <c r="AA191" s="1358"/>
    </row>
    <row r="192" ht="15.75" customHeight="1">
      <c r="A192" s="439"/>
      <c r="B192" s="439"/>
      <c r="C192" s="1358"/>
      <c r="D192" s="1358"/>
      <c r="E192" s="1358"/>
      <c r="F192" s="1358"/>
      <c r="G192" s="1358"/>
      <c r="H192" s="1358"/>
      <c r="I192" s="1358"/>
      <c r="J192" s="1358"/>
      <c r="K192" s="1358"/>
      <c r="L192" s="1358"/>
      <c r="M192" s="1358"/>
      <c r="N192" s="1358"/>
      <c r="O192" s="1358"/>
      <c r="P192" s="1358"/>
      <c r="Q192" s="1358"/>
      <c r="R192" s="1358"/>
      <c r="S192" s="1358"/>
      <c r="T192" s="1358"/>
      <c r="U192" s="1358"/>
      <c r="V192" s="1358"/>
      <c r="W192" s="1358"/>
      <c r="X192" s="1358"/>
      <c r="Y192" s="1359"/>
      <c r="Z192" s="1359"/>
      <c r="AA192" s="1358"/>
    </row>
    <row r="193" ht="15.75" customHeight="1">
      <c r="A193" s="439"/>
      <c r="B193" s="439"/>
      <c r="C193" s="1358"/>
      <c r="D193" s="1358"/>
      <c r="E193" s="1358"/>
      <c r="F193" s="1358"/>
      <c r="G193" s="1358"/>
      <c r="H193" s="1358"/>
      <c r="I193" s="1358"/>
      <c r="J193" s="1358"/>
      <c r="K193" s="1358"/>
      <c r="L193" s="1358"/>
      <c r="M193" s="1358"/>
      <c r="N193" s="1358"/>
      <c r="O193" s="1358"/>
      <c r="P193" s="1358"/>
      <c r="Q193" s="1358"/>
      <c r="R193" s="1358"/>
      <c r="S193" s="1358"/>
      <c r="T193" s="1358"/>
      <c r="U193" s="1358"/>
      <c r="V193" s="1358"/>
      <c r="W193" s="1358"/>
      <c r="X193" s="1358"/>
      <c r="Y193" s="1359"/>
      <c r="Z193" s="1359"/>
      <c r="AA193" s="1358"/>
    </row>
    <row r="194" ht="15.75" customHeight="1">
      <c r="A194" s="439"/>
      <c r="B194" s="439"/>
      <c r="C194" s="1358"/>
      <c r="D194" s="1358"/>
      <c r="E194" s="1358"/>
      <c r="F194" s="1358"/>
      <c r="G194" s="1358"/>
      <c r="H194" s="1358"/>
      <c r="I194" s="1358"/>
      <c r="J194" s="1358"/>
      <c r="K194" s="1358"/>
      <c r="L194" s="1358"/>
      <c r="M194" s="1358"/>
      <c r="N194" s="1358"/>
      <c r="O194" s="1358"/>
      <c r="P194" s="1358"/>
      <c r="Q194" s="1358"/>
      <c r="R194" s="1358"/>
      <c r="S194" s="1358"/>
      <c r="T194" s="1358"/>
      <c r="U194" s="1358"/>
      <c r="V194" s="1358"/>
      <c r="W194" s="1358"/>
      <c r="X194" s="1358"/>
      <c r="Y194" s="1359"/>
      <c r="Z194" s="1359"/>
      <c r="AA194" s="1358"/>
    </row>
    <row r="195" ht="15.75" customHeight="1">
      <c r="A195" s="439"/>
      <c r="B195" s="439"/>
      <c r="C195" s="1358"/>
      <c r="D195" s="1358"/>
      <c r="E195" s="1358"/>
      <c r="F195" s="1358"/>
      <c r="G195" s="1358"/>
      <c r="H195" s="1358"/>
      <c r="I195" s="1358"/>
      <c r="J195" s="1358"/>
      <c r="K195" s="1358"/>
      <c r="L195" s="1358"/>
      <c r="M195" s="1358"/>
      <c r="N195" s="1358"/>
      <c r="O195" s="1358"/>
      <c r="P195" s="1358"/>
      <c r="Q195" s="1358"/>
      <c r="R195" s="1358"/>
      <c r="S195" s="1358"/>
      <c r="T195" s="1358"/>
      <c r="U195" s="1358"/>
      <c r="V195" s="1358"/>
      <c r="W195" s="1358"/>
      <c r="X195" s="1358"/>
      <c r="Y195" s="1359"/>
      <c r="Z195" s="1359"/>
      <c r="AA195" s="1358"/>
    </row>
    <row r="196" ht="15.75" customHeight="1">
      <c r="A196" s="439"/>
      <c r="B196" s="439"/>
      <c r="C196" s="1358"/>
      <c r="D196" s="1358"/>
      <c r="E196" s="1358"/>
      <c r="F196" s="1358"/>
      <c r="G196" s="1358"/>
      <c r="H196" s="1358"/>
      <c r="I196" s="1358"/>
      <c r="J196" s="1358"/>
      <c r="K196" s="1358"/>
      <c r="L196" s="1358"/>
      <c r="M196" s="1358"/>
      <c r="N196" s="1358"/>
      <c r="O196" s="1358"/>
      <c r="P196" s="1358"/>
      <c r="Q196" s="1358"/>
      <c r="R196" s="1358"/>
      <c r="S196" s="1358"/>
      <c r="T196" s="1358"/>
      <c r="U196" s="1358"/>
      <c r="V196" s="1358"/>
      <c r="W196" s="1358"/>
      <c r="X196" s="1358"/>
      <c r="Y196" s="1359"/>
      <c r="Z196" s="1359"/>
      <c r="AA196" s="1358"/>
    </row>
    <row r="197" ht="15.75" customHeight="1">
      <c r="A197" s="439"/>
      <c r="B197" s="439"/>
      <c r="C197" s="1358"/>
      <c r="D197" s="1358"/>
      <c r="E197" s="1358"/>
      <c r="F197" s="1358"/>
      <c r="G197" s="1358"/>
      <c r="H197" s="1358"/>
      <c r="I197" s="1358"/>
      <c r="J197" s="1358"/>
      <c r="K197" s="1358"/>
      <c r="L197" s="1358"/>
      <c r="M197" s="1358"/>
      <c r="N197" s="1358"/>
      <c r="O197" s="1358"/>
      <c r="P197" s="1358"/>
      <c r="Q197" s="1358"/>
      <c r="R197" s="1358"/>
      <c r="S197" s="1358"/>
      <c r="T197" s="1358"/>
      <c r="U197" s="1358"/>
      <c r="V197" s="1358"/>
      <c r="W197" s="1358"/>
      <c r="X197" s="1358"/>
      <c r="Y197" s="1359"/>
      <c r="Z197" s="1359"/>
      <c r="AA197" s="1358"/>
    </row>
    <row r="198" ht="15.75" customHeight="1">
      <c r="A198" s="439"/>
      <c r="B198" s="439"/>
      <c r="C198" s="1358"/>
      <c r="D198" s="1358"/>
      <c r="E198" s="1358"/>
      <c r="F198" s="1358"/>
      <c r="G198" s="1358"/>
      <c r="H198" s="1358"/>
      <c r="I198" s="1358"/>
      <c r="J198" s="1358"/>
      <c r="K198" s="1358"/>
      <c r="L198" s="1358"/>
      <c r="M198" s="1358"/>
      <c r="N198" s="1358"/>
      <c r="O198" s="1358"/>
      <c r="P198" s="1358"/>
      <c r="Q198" s="1358"/>
      <c r="R198" s="1358"/>
      <c r="S198" s="1358"/>
      <c r="T198" s="1358"/>
      <c r="U198" s="1358"/>
      <c r="V198" s="1358"/>
      <c r="W198" s="1358"/>
      <c r="X198" s="1358"/>
      <c r="Y198" s="1359"/>
      <c r="Z198" s="1359"/>
      <c r="AA198" s="1358"/>
    </row>
    <row r="199" ht="15.75" customHeight="1">
      <c r="A199" s="439"/>
      <c r="B199" s="439"/>
      <c r="C199" s="1358"/>
      <c r="D199" s="1358"/>
      <c r="E199" s="1358"/>
      <c r="F199" s="1358"/>
      <c r="G199" s="1358"/>
      <c r="H199" s="1358"/>
      <c r="I199" s="1358"/>
      <c r="J199" s="1358"/>
      <c r="K199" s="1358"/>
      <c r="L199" s="1358"/>
      <c r="M199" s="1358"/>
      <c r="N199" s="1358"/>
      <c r="O199" s="1358"/>
      <c r="P199" s="1358"/>
      <c r="Q199" s="1358"/>
      <c r="R199" s="1358"/>
      <c r="S199" s="1358"/>
      <c r="T199" s="1358"/>
      <c r="U199" s="1358"/>
      <c r="V199" s="1358"/>
      <c r="W199" s="1358"/>
      <c r="X199" s="1358"/>
      <c r="Y199" s="1359"/>
      <c r="Z199" s="1359"/>
      <c r="AA199" s="1358"/>
    </row>
    <row r="200" ht="15.75" customHeight="1">
      <c r="A200" s="439"/>
      <c r="B200" s="439"/>
      <c r="C200" s="1358"/>
      <c r="D200" s="1358"/>
      <c r="E200" s="1358"/>
      <c r="F200" s="1358"/>
      <c r="G200" s="1358"/>
      <c r="H200" s="1358"/>
      <c r="I200" s="1358"/>
      <c r="J200" s="1358"/>
      <c r="K200" s="1358"/>
      <c r="L200" s="1358"/>
      <c r="M200" s="1358"/>
      <c r="N200" s="1358"/>
      <c r="O200" s="1358"/>
      <c r="P200" s="1358"/>
      <c r="Q200" s="1358"/>
      <c r="R200" s="1358"/>
      <c r="S200" s="1358"/>
      <c r="T200" s="1358"/>
      <c r="U200" s="1358"/>
      <c r="V200" s="1358"/>
      <c r="W200" s="1358"/>
      <c r="X200" s="1358"/>
      <c r="Y200" s="1359"/>
      <c r="Z200" s="1359"/>
      <c r="AA200" s="1358"/>
    </row>
    <row r="201" ht="15.75" customHeight="1">
      <c r="A201" s="439"/>
      <c r="B201" s="439"/>
      <c r="C201" s="1358"/>
      <c r="D201" s="1358"/>
      <c r="E201" s="1358"/>
      <c r="F201" s="1358"/>
      <c r="G201" s="1358"/>
      <c r="H201" s="1358"/>
      <c r="I201" s="1358"/>
      <c r="J201" s="1358"/>
      <c r="K201" s="1358"/>
      <c r="L201" s="1358"/>
      <c r="M201" s="1358"/>
      <c r="N201" s="1358"/>
      <c r="O201" s="1358"/>
      <c r="P201" s="1358"/>
      <c r="Q201" s="1358"/>
      <c r="R201" s="1358"/>
      <c r="S201" s="1358"/>
      <c r="T201" s="1358"/>
      <c r="U201" s="1358"/>
      <c r="V201" s="1358"/>
      <c r="W201" s="1358"/>
      <c r="X201" s="1358"/>
      <c r="Y201" s="1359"/>
      <c r="Z201" s="1359"/>
      <c r="AA201" s="1358"/>
    </row>
    <row r="202" ht="15.75" customHeight="1">
      <c r="A202" s="439"/>
      <c r="B202" s="439"/>
      <c r="C202" s="1358"/>
      <c r="D202" s="1358"/>
      <c r="E202" s="1358"/>
      <c r="F202" s="1358"/>
      <c r="G202" s="1358"/>
      <c r="H202" s="1358"/>
      <c r="I202" s="1358"/>
      <c r="J202" s="1358"/>
      <c r="K202" s="1358"/>
      <c r="L202" s="1358"/>
      <c r="M202" s="1358"/>
      <c r="N202" s="1358"/>
      <c r="O202" s="1358"/>
      <c r="P202" s="1358"/>
      <c r="Q202" s="1358"/>
      <c r="R202" s="1358"/>
      <c r="S202" s="1358"/>
      <c r="T202" s="1358"/>
      <c r="U202" s="1358"/>
      <c r="V202" s="1358"/>
      <c r="W202" s="1358"/>
      <c r="X202" s="1358"/>
      <c r="Y202" s="1359"/>
      <c r="Z202" s="1359"/>
      <c r="AA202" s="1358"/>
    </row>
    <row r="203" ht="15.75" customHeight="1">
      <c r="A203" s="439"/>
      <c r="B203" s="439"/>
      <c r="C203" s="1358"/>
      <c r="D203" s="1358"/>
      <c r="E203" s="1358"/>
      <c r="F203" s="1358"/>
      <c r="G203" s="1358"/>
      <c r="H203" s="1358"/>
      <c r="I203" s="1358"/>
      <c r="J203" s="1358"/>
      <c r="K203" s="1358"/>
      <c r="L203" s="1358"/>
      <c r="M203" s="1358"/>
      <c r="N203" s="1358"/>
      <c r="O203" s="1358"/>
      <c r="P203" s="1358"/>
      <c r="Q203" s="1358"/>
      <c r="R203" s="1358"/>
      <c r="S203" s="1358"/>
      <c r="T203" s="1358"/>
      <c r="U203" s="1358"/>
      <c r="V203" s="1358"/>
      <c r="W203" s="1358"/>
      <c r="X203" s="1358"/>
      <c r="Y203" s="1359"/>
      <c r="Z203" s="1359"/>
      <c r="AA203" s="1358"/>
    </row>
    <row r="204" ht="15.75" customHeight="1">
      <c r="A204" s="439"/>
      <c r="B204" s="439"/>
      <c r="C204" s="1358"/>
      <c r="D204" s="1358"/>
      <c r="E204" s="1358"/>
      <c r="F204" s="1358"/>
      <c r="G204" s="1358"/>
      <c r="H204" s="1358"/>
      <c r="I204" s="1358"/>
      <c r="J204" s="1358"/>
      <c r="K204" s="1358"/>
      <c r="L204" s="1358"/>
      <c r="M204" s="1358"/>
      <c r="N204" s="1358"/>
      <c r="O204" s="1358"/>
      <c r="P204" s="1358"/>
      <c r="Q204" s="1358"/>
      <c r="R204" s="1358"/>
      <c r="S204" s="1358"/>
      <c r="T204" s="1358"/>
      <c r="U204" s="1358"/>
      <c r="V204" s="1358"/>
      <c r="W204" s="1358"/>
      <c r="X204" s="1358"/>
      <c r="Y204" s="1359"/>
      <c r="Z204" s="1359"/>
      <c r="AA204" s="1358"/>
    </row>
    <row r="205" ht="15.75" customHeight="1">
      <c r="A205" s="439"/>
      <c r="B205" s="439"/>
      <c r="C205" s="1358"/>
      <c r="D205" s="1358"/>
      <c r="E205" s="1358"/>
      <c r="F205" s="1358"/>
      <c r="G205" s="1358"/>
      <c r="H205" s="1358"/>
      <c r="I205" s="1358"/>
      <c r="J205" s="1358"/>
      <c r="K205" s="1358"/>
      <c r="L205" s="1358"/>
      <c r="M205" s="1358"/>
      <c r="N205" s="1358"/>
      <c r="O205" s="1358"/>
      <c r="P205" s="1358"/>
      <c r="Q205" s="1358"/>
      <c r="R205" s="1358"/>
      <c r="S205" s="1358"/>
      <c r="T205" s="1358"/>
      <c r="U205" s="1358"/>
      <c r="V205" s="1358"/>
      <c r="W205" s="1358"/>
      <c r="X205" s="1358"/>
      <c r="Y205" s="1359"/>
      <c r="Z205" s="1359"/>
      <c r="AA205" s="1358"/>
    </row>
    <row r="206" ht="15.75" customHeight="1">
      <c r="A206" s="439"/>
      <c r="B206" s="439"/>
      <c r="C206" s="1358"/>
      <c r="D206" s="1358"/>
      <c r="E206" s="1358"/>
      <c r="F206" s="1358"/>
      <c r="G206" s="1358"/>
      <c r="H206" s="1358"/>
      <c r="I206" s="1358"/>
      <c r="J206" s="1358"/>
      <c r="K206" s="1358"/>
      <c r="L206" s="1358"/>
      <c r="M206" s="1358"/>
      <c r="N206" s="1358"/>
      <c r="O206" s="1358"/>
      <c r="P206" s="1358"/>
      <c r="Q206" s="1358"/>
      <c r="R206" s="1358"/>
      <c r="S206" s="1358"/>
      <c r="T206" s="1358"/>
      <c r="U206" s="1358"/>
      <c r="V206" s="1358"/>
      <c r="W206" s="1358"/>
      <c r="X206" s="1358"/>
      <c r="Y206" s="1359"/>
      <c r="Z206" s="1359"/>
      <c r="AA206" s="1358"/>
    </row>
    <row r="207" ht="15.75" customHeight="1">
      <c r="A207" s="439"/>
      <c r="B207" s="439"/>
      <c r="C207" s="1358"/>
      <c r="D207" s="1358"/>
      <c r="E207" s="1358"/>
      <c r="F207" s="1358"/>
      <c r="G207" s="1358"/>
      <c r="H207" s="1358"/>
      <c r="I207" s="1358"/>
      <c r="J207" s="1358"/>
      <c r="K207" s="1358"/>
      <c r="L207" s="1358"/>
      <c r="M207" s="1358"/>
      <c r="N207" s="1358"/>
      <c r="O207" s="1358"/>
      <c r="P207" s="1358"/>
      <c r="Q207" s="1358"/>
      <c r="R207" s="1358"/>
      <c r="S207" s="1358"/>
      <c r="T207" s="1358"/>
      <c r="U207" s="1358"/>
      <c r="V207" s="1358"/>
      <c r="W207" s="1358"/>
      <c r="X207" s="1358"/>
      <c r="Y207" s="1359"/>
      <c r="Z207" s="1359"/>
      <c r="AA207" s="1358"/>
    </row>
    <row r="208" ht="15.75" customHeight="1">
      <c r="A208" s="439"/>
      <c r="B208" s="439"/>
      <c r="C208" s="1358"/>
      <c r="D208" s="1358"/>
      <c r="E208" s="1358"/>
      <c r="F208" s="1358"/>
      <c r="G208" s="1358"/>
      <c r="H208" s="1358"/>
      <c r="I208" s="1358"/>
      <c r="J208" s="1358"/>
      <c r="K208" s="1358"/>
      <c r="L208" s="1358"/>
      <c r="M208" s="1358"/>
      <c r="N208" s="1358"/>
      <c r="O208" s="1358"/>
      <c r="P208" s="1358"/>
      <c r="Q208" s="1358"/>
      <c r="R208" s="1358"/>
      <c r="S208" s="1358"/>
      <c r="T208" s="1358"/>
      <c r="U208" s="1358"/>
      <c r="V208" s="1358"/>
      <c r="W208" s="1358"/>
      <c r="X208" s="1358"/>
      <c r="Y208" s="1359"/>
      <c r="Z208" s="1359"/>
      <c r="AA208" s="1358"/>
    </row>
    <row r="209" ht="15.75" customHeight="1">
      <c r="A209" s="439"/>
      <c r="B209" s="439"/>
      <c r="C209" s="1358"/>
      <c r="D209" s="1358"/>
      <c r="E209" s="1358"/>
      <c r="F209" s="1358"/>
      <c r="G209" s="1358"/>
      <c r="H209" s="1358"/>
      <c r="I209" s="1358"/>
      <c r="J209" s="1358"/>
      <c r="K209" s="1358"/>
      <c r="L209" s="1358"/>
      <c r="M209" s="1358"/>
      <c r="N209" s="1358"/>
      <c r="O209" s="1358"/>
      <c r="P209" s="1358"/>
      <c r="Q209" s="1358"/>
      <c r="R209" s="1358"/>
      <c r="S209" s="1358"/>
      <c r="T209" s="1358"/>
      <c r="U209" s="1358"/>
      <c r="V209" s="1358"/>
      <c r="W209" s="1358"/>
      <c r="X209" s="1358"/>
      <c r="Y209" s="1359"/>
      <c r="Z209" s="1359"/>
      <c r="AA209" s="1358"/>
    </row>
    <row r="210" ht="15.75" customHeight="1">
      <c r="A210" s="439"/>
      <c r="B210" s="439"/>
      <c r="C210" s="1358"/>
      <c r="D210" s="1358"/>
      <c r="E210" s="1358"/>
      <c r="F210" s="1358"/>
      <c r="G210" s="1358"/>
      <c r="H210" s="1358"/>
      <c r="I210" s="1358"/>
      <c r="J210" s="1358"/>
      <c r="K210" s="1358"/>
      <c r="L210" s="1358"/>
      <c r="M210" s="1358"/>
      <c r="N210" s="1358"/>
      <c r="O210" s="1358"/>
      <c r="P210" s="1358"/>
      <c r="Q210" s="1358"/>
      <c r="R210" s="1358"/>
      <c r="S210" s="1358"/>
      <c r="T210" s="1358"/>
      <c r="U210" s="1358"/>
      <c r="V210" s="1358"/>
      <c r="W210" s="1358"/>
      <c r="X210" s="1358"/>
      <c r="Y210" s="1359"/>
      <c r="Z210" s="1359"/>
      <c r="AA210" s="1358"/>
    </row>
    <row r="211" ht="15.75" customHeight="1">
      <c r="A211" s="439"/>
      <c r="B211" s="439"/>
      <c r="C211" s="1358"/>
      <c r="D211" s="1358"/>
      <c r="E211" s="1358"/>
      <c r="F211" s="1358"/>
      <c r="G211" s="1358"/>
      <c r="H211" s="1358"/>
      <c r="I211" s="1358"/>
      <c r="J211" s="1358"/>
      <c r="K211" s="1358"/>
      <c r="L211" s="1358"/>
      <c r="M211" s="1358"/>
      <c r="N211" s="1358"/>
      <c r="O211" s="1358"/>
      <c r="P211" s="1358"/>
      <c r="Q211" s="1358"/>
      <c r="R211" s="1358"/>
      <c r="S211" s="1358"/>
      <c r="T211" s="1358"/>
      <c r="U211" s="1358"/>
      <c r="V211" s="1358"/>
      <c r="W211" s="1358"/>
      <c r="X211" s="1358"/>
      <c r="Y211" s="1359"/>
      <c r="Z211" s="1359"/>
      <c r="AA211" s="1358"/>
    </row>
    <row r="212" ht="15.75" customHeight="1">
      <c r="A212" s="439"/>
      <c r="B212" s="439"/>
      <c r="C212" s="1358"/>
      <c r="D212" s="1358"/>
      <c r="E212" s="1358"/>
      <c r="F212" s="1358"/>
      <c r="G212" s="1358"/>
      <c r="H212" s="1358"/>
      <c r="I212" s="1358"/>
      <c r="J212" s="1358"/>
      <c r="K212" s="1358"/>
      <c r="L212" s="1358"/>
      <c r="M212" s="1358"/>
      <c r="N212" s="1358"/>
      <c r="O212" s="1358"/>
      <c r="P212" s="1358"/>
      <c r="Q212" s="1358"/>
      <c r="R212" s="1358"/>
      <c r="S212" s="1358"/>
      <c r="T212" s="1358"/>
      <c r="U212" s="1358"/>
      <c r="V212" s="1358"/>
      <c r="W212" s="1358"/>
      <c r="X212" s="1358"/>
      <c r="Y212" s="1359"/>
      <c r="Z212" s="1359"/>
      <c r="AA212" s="1358"/>
    </row>
    <row r="213" ht="15.75" customHeight="1">
      <c r="A213" s="439"/>
      <c r="B213" s="439"/>
      <c r="C213" s="1358"/>
      <c r="D213" s="1358"/>
      <c r="E213" s="1358"/>
      <c r="F213" s="1358"/>
      <c r="G213" s="1358"/>
      <c r="H213" s="1358"/>
      <c r="I213" s="1358"/>
      <c r="J213" s="1358"/>
      <c r="K213" s="1358"/>
      <c r="L213" s="1358"/>
      <c r="M213" s="1358"/>
      <c r="N213" s="1358"/>
      <c r="O213" s="1358"/>
      <c r="P213" s="1358"/>
      <c r="Q213" s="1358"/>
      <c r="R213" s="1358"/>
      <c r="S213" s="1358"/>
      <c r="T213" s="1358"/>
      <c r="U213" s="1358"/>
      <c r="V213" s="1358"/>
      <c r="W213" s="1358"/>
      <c r="X213" s="1358"/>
      <c r="Y213" s="1359"/>
      <c r="Z213" s="1359"/>
      <c r="AA213" s="1358"/>
    </row>
    <row r="214" ht="15.75" customHeight="1">
      <c r="A214" s="439"/>
      <c r="B214" s="439"/>
      <c r="C214" s="1358"/>
      <c r="D214" s="1358"/>
      <c r="E214" s="1358"/>
      <c r="F214" s="1358"/>
      <c r="G214" s="1358"/>
      <c r="H214" s="1358"/>
      <c r="I214" s="1358"/>
      <c r="J214" s="1358"/>
      <c r="K214" s="1358"/>
      <c r="L214" s="1358"/>
      <c r="M214" s="1358"/>
      <c r="N214" s="1358"/>
      <c r="O214" s="1358"/>
      <c r="P214" s="1358"/>
      <c r="Q214" s="1358"/>
      <c r="R214" s="1358"/>
      <c r="S214" s="1358"/>
      <c r="T214" s="1358"/>
      <c r="U214" s="1358"/>
      <c r="V214" s="1358"/>
      <c r="W214" s="1358"/>
      <c r="X214" s="1358"/>
      <c r="Y214" s="1359"/>
      <c r="Z214" s="1359"/>
      <c r="AA214" s="1358"/>
    </row>
    <row r="215" ht="15.75" customHeight="1">
      <c r="A215" s="439"/>
      <c r="B215" s="439"/>
      <c r="C215" s="1358"/>
      <c r="D215" s="1358"/>
      <c r="E215" s="1358"/>
      <c r="F215" s="1358"/>
      <c r="G215" s="1358"/>
      <c r="H215" s="1358"/>
      <c r="I215" s="1358"/>
      <c r="J215" s="1358"/>
      <c r="K215" s="1358"/>
      <c r="L215" s="1358"/>
      <c r="M215" s="1358"/>
      <c r="N215" s="1358"/>
      <c r="O215" s="1358"/>
      <c r="P215" s="1358"/>
      <c r="Q215" s="1358"/>
      <c r="R215" s="1358"/>
      <c r="S215" s="1358"/>
      <c r="T215" s="1358"/>
      <c r="U215" s="1358"/>
      <c r="V215" s="1358"/>
      <c r="W215" s="1358"/>
      <c r="X215" s="1358"/>
      <c r="Y215" s="1359"/>
      <c r="Z215" s="1359"/>
      <c r="AA215" s="1358"/>
    </row>
    <row r="216" ht="15.75" customHeight="1">
      <c r="A216" s="439"/>
      <c r="B216" s="439"/>
      <c r="C216" s="1358"/>
      <c r="D216" s="1358"/>
      <c r="E216" s="1358"/>
      <c r="F216" s="1358"/>
      <c r="G216" s="1358"/>
      <c r="H216" s="1358"/>
      <c r="I216" s="1358"/>
      <c r="J216" s="1358"/>
      <c r="K216" s="1358"/>
      <c r="L216" s="1358"/>
      <c r="M216" s="1358"/>
      <c r="N216" s="1358"/>
      <c r="O216" s="1358"/>
      <c r="P216" s="1358"/>
      <c r="Q216" s="1358"/>
      <c r="R216" s="1358"/>
      <c r="S216" s="1358"/>
      <c r="T216" s="1358"/>
      <c r="U216" s="1358"/>
      <c r="V216" s="1358"/>
      <c r="W216" s="1358"/>
      <c r="X216" s="1358"/>
      <c r="Y216" s="1359"/>
      <c r="Z216" s="1359"/>
      <c r="AA216" s="1358"/>
    </row>
    <row r="217" ht="15.75" customHeight="1">
      <c r="A217" s="439"/>
      <c r="B217" s="439"/>
      <c r="C217" s="1358"/>
      <c r="D217" s="1358"/>
      <c r="E217" s="1358"/>
      <c r="F217" s="1358"/>
      <c r="G217" s="1358"/>
      <c r="H217" s="1358"/>
      <c r="I217" s="1358"/>
      <c r="J217" s="1358"/>
      <c r="K217" s="1358"/>
      <c r="L217" s="1358"/>
      <c r="M217" s="1358"/>
      <c r="N217" s="1358"/>
      <c r="O217" s="1358"/>
      <c r="P217" s="1358"/>
      <c r="Q217" s="1358"/>
      <c r="R217" s="1358"/>
      <c r="S217" s="1358"/>
      <c r="T217" s="1358"/>
      <c r="U217" s="1358"/>
      <c r="V217" s="1358"/>
      <c r="W217" s="1358"/>
      <c r="X217" s="1358"/>
      <c r="Y217" s="1359"/>
      <c r="Z217" s="1359"/>
      <c r="AA217" s="1358"/>
    </row>
    <row r="218" ht="15.75" customHeight="1">
      <c r="A218" s="439"/>
      <c r="B218" s="439"/>
      <c r="C218" s="1358"/>
      <c r="D218" s="1358"/>
      <c r="E218" s="1358"/>
      <c r="F218" s="1358"/>
      <c r="G218" s="1358"/>
      <c r="H218" s="1358"/>
      <c r="I218" s="1358"/>
      <c r="J218" s="1358"/>
      <c r="K218" s="1358"/>
      <c r="L218" s="1358"/>
      <c r="M218" s="1358"/>
      <c r="N218" s="1358"/>
      <c r="O218" s="1358"/>
      <c r="P218" s="1358"/>
      <c r="Q218" s="1358"/>
      <c r="R218" s="1358"/>
      <c r="S218" s="1358"/>
      <c r="T218" s="1358"/>
      <c r="U218" s="1358"/>
      <c r="V218" s="1358"/>
      <c r="W218" s="1358"/>
      <c r="X218" s="1358"/>
      <c r="Y218" s="1359"/>
      <c r="Z218" s="1359"/>
      <c r="AA218" s="1358"/>
    </row>
    <row r="219" ht="15.75" customHeight="1">
      <c r="A219" s="439"/>
      <c r="B219" s="439"/>
      <c r="C219" s="1358"/>
      <c r="D219" s="1358"/>
      <c r="E219" s="1358"/>
      <c r="F219" s="1358"/>
      <c r="G219" s="1358"/>
      <c r="H219" s="1358"/>
      <c r="I219" s="1358"/>
      <c r="J219" s="1358"/>
      <c r="K219" s="1358"/>
      <c r="L219" s="1358"/>
      <c r="M219" s="1358"/>
      <c r="N219" s="1358"/>
      <c r="O219" s="1358"/>
      <c r="P219" s="1358"/>
      <c r="Q219" s="1358"/>
      <c r="R219" s="1358"/>
      <c r="S219" s="1358"/>
      <c r="T219" s="1358"/>
      <c r="U219" s="1358"/>
      <c r="V219" s="1358"/>
      <c r="W219" s="1358"/>
      <c r="X219" s="1358"/>
      <c r="Y219" s="1359"/>
      <c r="Z219" s="1359"/>
      <c r="AA219" s="1358"/>
    </row>
    <row r="220" ht="15.75" customHeight="1">
      <c r="A220" s="439"/>
      <c r="B220" s="439"/>
      <c r="C220" s="1358"/>
      <c r="D220" s="1358"/>
      <c r="E220" s="1358"/>
      <c r="F220" s="1358"/>
      <c r="G220" s="1358"/>
      <c r="H220" s="1358"/>
      <c r="I220" s="1358"/>
      <c r="J220" s="1358"/>
      <c r="K220" s="1358"/>
      <c r="L220" s="1358"/>
      <c r="M220" s="1358"/>
      <c r="N220" s="1358"/>
      <c r="O220" s="1358"/>
      <c r="P220" s="1358"/>
      <c r="Q220" s="1358"/>
      <c r="R220" s="1358"/>
      <c r="S220" s="1358"/>
      <c r="T220" s="1358"/>
      <c r="U220" s="1358"/>
      <c r="V220" s="1358"/>
      <c r="W220" s="1358"/>
      <c r="X220" s="1358"/>
      <c r="Y220" s="1359"/>
      <c r="Z220" s="1359"/>
      <c r="AA220" s="1358"/>
    </row>
    <row r="221" ht="15.75" customHeight="1">
      <c r="A221" s="439"/>
      <c r="B221" s="439"/>
      <c r="C221" s="1358"/>
      <c r="D221" s="1358"/>
      <c r="E221" s="1358"/>
      <c r="F221" s="1358"/>
      <c r="G221" s="1358"/>
      <c r="H221" s="1358"/>
      <c r="I221" s="1358"/>
      <c r="J221" s="1358"/>
      <c r="K221" s="1358"/>
      <c r="L221" s="1358"/>
      <c r="M221" s="1358"/>
      <c r="N221" s="1358"/>
      <c r="O221" s="1358"/>
      <c r="P221" s="1358"/>
      <c r="Q221" s="1358"/>
      <c r="R221" s="1358"/>
      <c r="S221" s="1358"/>
      <c r="T221" s="1358"/>
      <c r="U221" s="1358"/>
      <c r="V221" s="1358"/>
      <c r="W221" s="1358"/>
      <c r="X221" s="1358"/>
      <c r="Y221" s="1359"/>
      <c r="Z221" s="1359"/>
      <c r="AA221" s="1358"/>
    </row>
    <row r="222" ht="15.75" customHeight="1">
      <c r="A222" s="439"/>
      <c r="B222" s="439"/>
      <c r="C222" s="1358"/>
      <c r="D222" s="1358"/>
      <c r="E222" s="1358"/>
      <c r="F222" s="1358"/>
      <c r="G222" s="1358"/>
      <c r="H222" s="1358"/>
      <c r="I222" s="1358"/>
      <c r="J222" s="1358"/>
      <c r="K222" s="1358"/>
      <c r="L222" s="1358"/>
      <c r="M222" s="1358"/>
      <c r="N222" s="1358"/>
      <c r="O222" s="1358"/>
      <c r="P222" s="1358"/>
      <c r="Q222" s="1358"/>
      <c r="R222" s="1358"/>
      <c r="S222" s="1358"/>
      <c r="T222" s="1358"/>
      <c r="U222" s="1358"/>
      <c r="V222" s="1358"/>
      <c r="W222" s="1358"/>
      <c r="X222" s="1358"/>
      <c r="Y222" s="1359"/>
      <c r="Z222" s="1359"/>
      <c r="AA222" s="1358"/>
    </row>
    <row r="223" ht="15.75" customHeight="1">
      <c r="A223" s="439"/>
      <c r="B223" s="439"/>
      <c r="C223" s="1358"/>
      <c r="D223" s="1358"/>
      <c r="E223" s="1358"/>
      <c r="F223" s="1358"/>
      <c r="G223" s="1358"/>
      <c r="H223" s="1358"/>
      <c r="I223" s="1358"/>
      <c r="J223" s="1358"/>
      <c r="K223" s="1358"/>
      <c r="L223" s="1358"/>
      <c r="M223" s="1358"/>
      <c r="N223" s="1358"/>
      <c r="O223" s="1358"/>
      <c r="P223" s="1358"/>
      <c r="Q223" s="1358"/>
      <c r="R223" s="1358"/>
      <c r="S223" s="1358"/>
      <c r="T223" s="1358"/>
      <c r="U223" s="1358"/>
      <c r="V223" s="1358"/>
      <c r="W223" s="1358"/>
      <c r="X223" s="1358"/>
      <c r="Y223" s="1359"/>
      <c r="Z223" s="1359"/>
      <c r="AA223" s="1358"/>
    </row>
    <row r="224" ht="15.75" customHeight="1">
      <c r="A224" s="439"/>
      <c r="B224" s="439"/>
      <c r="C224" s="1358"/>
      <c r="D224" s="1358"/>
      <c r="E224" s="1358"/>
      <c r="F224" s="1358"/>
      <c r="G224" s="1358"/>
      <c r="H224" s="1358"/>
      <c r="I224" s="1358"/>
      <c r="J224" s="1358"/>
      <c r="K224" s="1358"/>
      <c r="L224" s="1358"/>
      <c r="M224" s="1358"/>
      <c r="N224" s="1358"/>
      <c r="O224" s="1358"/>
      <c r="P224" s="1358"/>
      <c r="Q224" s="1358"/>
      <c r="R224" s="1358"/>
      <c r="S224" s="1358"/>
      <c r="T224" s="1358"/>
      <c r="U224" s="1358"/>
      <c r="V224" s="1358"/>
      <c r="W224" s="1358"/>
      <c r="X224" s="1358"/>
      <c r="Y224" s="1359"/>
      <c r="Z224" s="1359"/>
      <c r="AA224" s="1358"/>
    </row>
    <row r="225" ht="15.75" customHeight="1">
      <c r="A225" s="439"/>
      <c r="B225" s="439"/>
      <c r="C225" s="1358"/>
      <c r="D225" s="1358"/>
      <c r="E225" s="1358"/>
      <c r="F225" s="1358"/>
      <c r="G225" s="1358"/>
      <c r="H225" s="1358"/>
      <c r="I225" s="1358"/>
      <c r="J225" s="1358"/>
      <c r="K225" s="1358"/>
      <c r="L225" s="1358"/>
      <c r="M225" s="1358"/>
      <c r="N225" s="1358"/>
      <c r="O225" s="1358"/>
      <c r="P225" s="1358"/>
      <c r="Q225" s="1358"/>
      <c r="R225" s="1358"/>
      <c r="S225" s="1358"/>
      <c r="T225" s="1358"/>
      <c r="U225" s="1358"/>
      <c r="V225" s="1358"/>
      <c r="W225" s="1358"/>
      <c r="X225" s="1358"/>
      <c r="Y225" s="1359"/>
      <c r="Z225" s="1359"/>
      <c r="AA225" s="1358"/>
    </row>
    <row r="226" ht="15.75" customHeight="1">
      <c r="A226" s="439"/>
      <c r="B226" s="439"/>
      <c r="C226" s="1358"/>
      <c r="D226" s="1358"/>
      <c r="E226" s="1358"/>
      <c r="F226" s="1358"/>
      <c r="G226" s="1358"/>
      <c r="H226" s="1358"/>
      <c r="I226" s="1358"/>
      <c r="J226" s="1358"/>
      <c r="K226" s="1358"/>
      <c r="L226" s="1358"/>
      <c r="M226" s="1358"/>
      <c r="N226" s="1358"/>
      <c r="O226" s="1358"/>
      <c r="P226" s="1358"/>
      <c r="Q226" s="1358"/>
      <c r="R226" s="1358"/>
      <c r="S226" s="1358"/>
      <c r="T226" s="1358"/>
      <c r="U226" s="1358"/>
      <c r="V226" s="1358"/>
      <c r="W226" s="1358"/>
      <c r="X226" s="1358"/>
      <c r="Y226" s="1359"/>
      <c r="Z226" s="1359"/>
      <c r="AA226" s="1358"/>
    </row>
    <row r="227" ht="15.75" customHeight="1">
      <c r="A227" s="439"/>
      <c r="B227" s="439"/>
      <c r="C227" s="1358"/>
      <c r="D227" s="1358"/>
      <c r="E227" s="1358"/>
      <c r="F227" s="1358"/>
      <c r="G227" s="1358"/>
      <c r="H227" s="1358"/>
      <c r="I227" s="1358"/>
      <c r="J227" s="1358"/>
      <c r="K227" s="1358"/>
      <c r="L227" s="1358"/>
      <c r="M227" s="1358"/>
      <c r="N227" s="1358"/>
      <c r="O227" s="1358"/>
      <c r="P227" s="1358"/>
      <c r="Q227" s="1358"/>
      <c r="R227" s="1358"/>
      <c r="S227" s="1358"/>
      <c r="T227" s="1358"/>
      <c r="U227" s="1358"/>
      <c r="V227" s="1358"/>
      <c r="W227" s="1358"/>
      <c r="X227" s="1358"/>
      <c r="Y227" s="1359"/>
      <c r="Z227" s="1359"/>
      <c r="AA227" s="1358"/>
    </row>
    <row r="228" ht="15.75" customHeight="1">
      <c r="A228" s="439"/>
      <c r="B228" s="439"/>
      <c r="C228" s="1358"/>
      <c r="D228" s="1358"/>
      <c r="E228" s="1358"/>
      <c r="F228" s="1358"/>
      <c r="G228" s="1358"/>
      <c r="H228" s="1358"/>
      <c r="I228" s="1358"/>
      <c r="J228" s="1358"/>
      <c r="K228" s="1358"/>
      <c r="L228" s="1358"/>
      <c r="M228" s="1358"/>
      <c r="N228" s="1358"/>
      <c r="O228" s="1358"/>
      <c r="P228" s="1358"/>
      <c r="Q228" s="1358"/>
      <c r="R228" s="1358"/>
      <c r="S228" s="1358"/>
      <c r="T228" s="1358"/>
      <c r="U228" s="1358"/>
      <c r="V228" s="1358"/>
      <c r="W228" s="1358"/>
      <c r="X228" s="1358"/>
      <c r="Y228" s="1359"/>
      <c r="Z228" s="1359"/>
      <c r="AA228" s="1358"/>
    </row>
    <row r="229" ht="15.75" customHeight="1">
      <c r="A229" s="439"/>
      <c r="B229" s="439"/>
      <c r="C229" s="1358"/>
      <c r="D229" s="1358"/>
      <c r="E229" s="1358"/>
      <c r="F229" s="1358"/>
      <c r="G229" s="1358"/>
      <c r="H229" s="1358"/>
      <c r="I229" s="1358"/>
      <c r="J229" s="1358"/>
      <c r="K229" s="1358"/>
      <c r="L229" s="1358"/>
      <c r="M229" s="1358"/>
      <c r="N229" s="1358"/>
      <c r="O229" s="1358"/>
      <c r="P229" s="1358"/>
      <c r="Q229" s="1358"/>
      <c r="R229" s="1358"/>
      <c r="S229" s="1358"/>
      <c r="T229" s="1358"/>
      <c r="U229" s="1358"/>
      <c r="V229" s="1358"/>
      <c r="W229" s="1358"/>
      <c r="X229" s="1358"/>
      <c r="Y229" s="1359"/>
      <c r="Z229" s="1359"/>
      <c r="AA229" s="1358"/>
    </row>
    <row r="230" ht="15.75" customHeight="1">
      <c r="A230" s="439"/>
      <c r="B230" s="439"/>
      <c r="C230" s="1358"/>
      <c r="D230" s="1358"/>
      <c r="E230" s="1358"/>
      <c r="F230" s="1358"/>
      <c r="G230" s="1358"/>
      <c r="H230" s="1358"/>
      <c r="I230" s="1358"/>
      <c r="J230" s="1358"/>
      <c r="K230" s="1358"/>
      <c r="L230" s="1358"/>
      <c r="M230" s="1358"/>
      <c r="N230" s="1358"/>
      <c r="O230" s="1358"/>
      <c r="P230" s="1358"/>
      <c r="Q230" s="1358"/>
      <c r="R230" s="1358"/>
      <c r="S230" s="1358"/>
      <c r="T230" s="1358"/>
      <c r="U230" s="1358"/>
      <c r="V230" s="1358"/>
      <c r="W230" s="1358"/>
      <c r="X230" s="1358"/>
      <c r="Y230" s="1359"/>
      <c r="Z230" s="1359"/>
      <c r="AA230" s="1358"/>
    </row>
    <row r="231" ht="15.75" customHeight="1">
      <c r="A231" s="439"/>
      <c r="B231" s="439"/>
      <c r="C231" s="1358"/>
      <c r="D231" s="1358"/>
      <c r="E231" s="1358"/>
      <c r="F231" s="1358"/>
      <c r="G231" s="1358"/>
      <c r="H231" s="1358"/>
      <c r="I231" s="1358"/>
      <c r="J231" s="1358"/>
      <c r="K231" s="1358"/>
      <c r="L231" s="1358"/>
      <c r="M231" s="1358"/>
      <c r="N231" s="1358"/>
      <c r="O231" s="1358"/>
      <c r="P231" s="1358"/>
      <c r="Q231" s="1358"/>
      <c r="R231" s="1358"/>
      <c r="S231" s="1358"/>
      <c r="T231" s="1358"/>
      <c r="U231" s="1358"/>
      <c r="V231" s="1358"/>
      <c r="W231" s="1358"/>
      <c r="X231" s="1358"/>
      <c r="Y231" s="1359"/>
      <c r="Z231" s="1359"/>
      <c r="AA231" s="1358"/>
    </row>
    <row r="232" ht="15.75" customHeight="1">
      <c r="A232" s="439"/>
      <c r="B232" s="439"/>
      <c r="C232" s="1358"/>
      <c r="D232" s="1358"/>
      <c r="E232" s="1358"/>
      <c r="F232" s="1358"/>
      <c r="G232" s="1358"/>
      <c r="H232" s="1358"/>
      <c r="I232" s="1358"/>
      <c r="J232" s="1358"/>
      <c r="K232" s="1358"/>
      <c r="L232" s="1358"/>
      <c r="M232" s="1358"/>
      <c r="N232" s="1358"/>
      <c r="O232" s="1358"/>
      <c r="P232" s="1358"/>
      <c r="Q232" s="1358"/>
      <c r="R232" s="1358"/>
      <c r="S232" s="1358"/>
      <c r="T232" s="1358"/>
      <c r="U232" s="1358"/>
      <c r="V232" s="1358"/>
      <c r="W232" s="1358"/>
      <c r="X232" s="1358"/>
      <c r="Y232" s="1359"/>
      <c r="Z232" s="1359"/>
      <c r="AA232" s="1358"/>
    </row>
    <row r="233" ht="15.75" customHeight="1">
      <c r="A233" s="439"/>
      <c r="B233" s="439"/>
      <c r="C233" s="1358"/>
      <c r="D233" s="1358"/>
      <c r="E233" s="1358"/>
      <c r="F233" s="1358"/>
      <c r="G233" s="1358"/>
      <c r="H233" s="1358"/>
      <c r="I233" s="1358"/>
      <c r="J233" s="1358"/>
      <c r="K233" s="1358"/>
      <c r="L233" s="1358"/>
      <c r="M233" s="1358"/>
      <c r="N233" s="1358"/>
      <c r="O233" s="1358"/>
      <c r="P233" s="1358"/>
      <c r="Q233" s="1358"/>
      <c r="R233" s="1358"/>
      <c r="S233" s="1358"/>
      <c r="T233" s="1358"/>
      <c r="U233" s="1358"/>
      <c r="V233" s="1358"/>
      <c r="W233" s="1358"/>
      <c r="X233" s="1358"/>
      <c r="Y233" s="1359"/>
      <c r="Z233" s="1359"/>
      <c r="AA233" s="1358"/>
    </row>
    <row r="234" ht="15.75" customHeight="1">
      <c r="A234" s="439"/>
      <c r="B234" s="439"/>
      <c r="C234" s="1358"/>
      <c r="D234" s="1358"/>
      <c r="E234" s="1358"/>
      <c r="F234" s="1358"/>
      <c r="G234" s="1358"/>
      <c r="H234" s="1358"/>
      <c r="I234" s="1358"/>
      <c r="J234" s="1358"/>
      <c r="K234" s="1358"/>
      <c r="L234" s="1358"/>
      <c r="M234" s="1358"/>
      <c r="N234" s="1358"/>
      <c r="O234" s="1358"/>
      <c r="P234" s="1358"/>
      <c r="Q234" s="1358"/>
      <c r="R234" s="1358"/>
      <c r="S234" s="1358"/>
      <c r="T234" s="1358"/>
      <c r="U234" s="1358"/>
      <c r="V234" s="1358"/>
      <c r="W234" s="1358"/>
      <c r="X234" s="1358"/>
      <c r="Y234" s="1359"/>
      <c r="Z234" s="1359"/>
      <c r="AA234" s="1358"/>
    </row>
    <row r="235" ht="15.75" customHeight="1">
      <c r="A235" s="439"/>
      <c r="B235" s="439"/>
      <c r="C235" s="1358"/>
      <c r="D235" s="1358"/>
      <c r="E235" s="1358"/>
      <c r="F235" s="1358"/>
      <c r="G235" s="1358"/>
      <c r="H235" s="1358"/>
      <c r="I235" s="1358"/>
      <c r="J235" s="1358"/>
      <c r="K235" s="1358"/>
      <c r="L235" s="1358"/>
      <c r="M235" s="1358"/>
      <c r="N235" s="1358"/>
      <c r="O235" s="1358"/>
      <c r="P235" s="1358"/>
      <c r="Q235" s="1358"/>
      <c r="R235" s="1358"/>
      <c r="S235" s="1358"/>
      <c r="T235" s="1358"/>
      <c r="U235" s="1358"/>
      <c r="V235" s="1358"/>
      <c r="W235" s="1358"/>
      <c r="X235" s="1358"/>
      <c r="Y235" s="1359"/>
      <c r="Z235" s="1359"/>
      <c r="AA235" s="1358"/>
    </row>
    <row r="236" ht="15.75" customHeight="1">
      <c r="A236" s="439"/>
      <c r="B236" s="439"/>
      <c r="C236" s="1358"/>
      <c r="D236" s="1358"/>
      <c r="E236" s="1358"/>
      <c r="F236" s="1358"/>
      <c r="G236" s="1358"/>
      <c r="H236" s="1358"/>
      <c r="I236" s="1358"/>
      <c r="J236" s="1358"/>
      <c r="K236" s="1358"/>
      <c r="L236" s="1358"/>
      <c r="M236" s="1358"/>
      <c r="N236" s="1358"/>
      <c r="O236" s="1358"/>
      <c r="P236" s="1358"/>
      <c r="Q236" s="1358"/>
      <c r="R236" s="1358"/>
      <c r="S236" s="1358"/>
      <c r="T236" s="1358"/>
      <c r="U236" s="1358"/>
      <c r="V236" s="1358"/>
      <c r="W236" s="1358"/>
      <c r="X236" s="1358"/>
      <c r="Y236" s="1359"/>
      <c r="Z236" s="1359"/>
      <c r="AA236" s="1358"/>
    </row>
    <row r="237" ht="15.75" customHeight="1">
      <c r="A237" s="439"/>
      <c r="B237" s="439"/>
      <c r="C237" s="1358"/>
      <c r="D237" s="1358"/>
      <c r="E237" s="1358"/>
      <c r="F237" s="1358"/>
      <c r="G237" s="1358"/>
      <c r="H237" s="1358"/>
      <c r="I237" s="1358"/>
      <c r="J237" s="1358"/>
      <c r="K237" s="1358"/>
      <c r="L237" s="1358"/>
      <c r="M237" s="1358"/>
      <c r="N237" s="1358"/>
      <c r="O237" s="1358"/>
      <c r="P237" s="1358"/>
      <c r="Q237" s="1358"/>
      <c r="R237" s="1358"/>
      <c r="S237" s="1358"/>
      <c r="T237" s="1358"/>
      <c r="U237" s="1358"/>
      <c r="V237" s="1358"/>
      <c r="W237" s="1358"/>
      <c r="X237" s="1358"/>
      <c r="Y237" s="1359"/>
      <c r="Z237" s="1359"/>
      <c r="AA237" s="1358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4">
    <mergeCell ref="Q5:R5"/>
    <mergeCell ref="S5:T5"/>
    <mergeCell ref="U5:V5"/>
    <mergeCell ref="W5:X5"/>
    <mergeCell ref="Y5:Y6"/>
    <mergeCell ref="Z5:Z6"/>
    <mergeCell ref="AA5:AA6"/>
    <mergeCell ref="C5:D5"/>
    <mergeCell ref="E5:F5"/>
    <mergeCell ref="G5:H5"/>
    <mergeCell ref="I5:J5"/>
    <mergeCell ref="K5:L5"/>
    <mergeCell ref="M5:N5"/>
    <mergeCell ref="O5:P5"/>
  </mergeCells>
  <printOptions horizontalCentered="1"/>
  <pageMargins bottom="0.1968503937007874" footer="0.0" header="0.0" left="0.1968503937007874" right="0.1968503937007874" top="0.1968503937007874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12.63"/>
    <col customWidth="1" min="2" max="2" width="26.38"/>
    <col customWidth="1" min="3" max="3" width="13.0"/>
    <col customWidth="1" hidden="1" min="4" max="4" width="10.63"/>
    <col customWidth="1" min="5" max="5" width="13.13"/>
    <col customWidth="1" hidden="1" min="6" max="6" width="10.63"/>
    <col customWidth="1" min="7" max="7" width="13.13"/>
    <col customWidth="1" hidden="1" min="8" max="8" width="10.63"/>
    <col customWidth="1" min="9" max="9" width="13.13"/>
    <col customWidth="1" hidden="1" min="10" max="10" width="11.88"/>
    <col customWidth="1" min="11" max="11" width="13.13"/>
    <col customWidth="1" hidden="1" min="12" max="12" width="13.13"/>
    <col customWidth="1" min="13" max="13" width="13.13"/>
    <col customWidth="1" hidden="1" min="14" max="14" width="10.63"/>
    <col customWidth="1" min="15" max="15" width="12.88"/>
    <col customWidth="1" hidden="1" min="16" max="16" width="10.63"/>
    <col customWidth="1" min="17" max="17" width="12.0"/>
    <col customWidth="1" hidden="1" min="18" max="18" width="11.88"/>
    <col customWidth="1" min="19" max="19" width="13.13"/>
    <col customWidth="1" hidden="1" min="20" max="20" width="11.88"/>
    <col customWidth="1" min="21" max="21" width="13.13"/>
    <col customWidth="1" hidden="1" min="22" max="22" width="11.88"/>
    <col customWidth="1" min="23" max="23" width="13.13"/>
    <col customWidth="1" hidden="1" min="24" max="24" width="11.88"/>
    <col customWidth="1" min="25" max="25" width="14.25"/>
    <col customWidth="1" hidden="1" min="26" max="26" width="13.13"/>
    <col customWidth="1" hidden="1" min="27" max="27" width="12.75"/>
  </cols>
  <sheetData>
    <row r="1" ht="15.75" customHeight="1">
      <c r="A1" s="439"/>
      <c r="B1" s="439"/>
      <c r="C1" s="1358"/>
      <c r="D1" s="1358"/>
      <c r="E1" s="1358"/>
      <c r="F1" s="1358"/>
      <c r="G1" s="1358"/>
      <c r="H1" s="1358"/>
      <c r="I1" s="1358"/>
      <c r="J1" s="1358"/>
      <c r="K1" s="1358"/>
      <c r="L1" s="1358"/>
      <c r="M1" s="1358"/>
      <c r="N1" s="1358"/>
      <c r="O1" s="1358"/>
      <c r="P1" s="1358"/>
      <c r="Q1" s="1358"/>
      <c r="R1" s="1358"/>
      <c r="S1" s="1358"/>
      <c r="T1" s="1358"/>
      <c r="U1" s="1358"/>
      <c r="V1" s="1358"/>
      <c r="W1" s="1358"/>
      <c r="X1" s="1358"/>
      <c r="Y1" s="1359"/>
      <c r="Z1" s="1359"/>
      <c r="AA1" s="1358"/>
    </row>
    <row r="2" ht="15.75" customHeight="1">
      <c r="A2" s="439"/>
      <c r="B2" s="442" t="s">
        <v>12</v>
      </c>
      <c r="C2" s="1358"/>
      <c r="D2" s="1358"/>
      <c r="E2" s="1358"/>
      <c r="F2" s="1358"/>
      <c r="G2" s="1358"/>
      <c r="H2" s="1358"/>
      <c r="I2" s="1358"/>
      <c r="J2" s="1358"/>
      <c r="K2" s="1358"/>
      <c r="L2" s="1358"/>
      <c r="M2" s="1358"/>
      <c r="N2" s="1358"/>
      <c r="O2" s="1358"/>
      <c r="P2" s="1358"/>
      <c r="Q2" s="1358"/>
      <c r="R2" s="1358"/>
      <c r="S2" s="1358"/>
      <c r="T2" s="1358"/>
      <c r="U2" s="1358"/>
      <c r="V2" s="1358"/>
      <c r="W2" s="1358"/>
      <c r="X2" s="1358"/>
      <c r="Y2" s="1359"/>
      <c r="Z2" s="1359"/>
      <c r="AA2" s="1358"/>
    </row>
    <row r="3" ht="15.75" customHeight="1">
      <c r="A3" s="439"/>
      <c r="B3" s="440" t="s">
        <v>460</v>
      </c>
      <c r="C3" s="1358"/>
      <c r="D3" s="1358"/>
      <c r="E3" s="1358"/>
      <c r="F3" s="1358"/>
      <c r="G3" s="1358"/>
      <c r="H3" s="1358"/>
      <c r="I3" s="1358"/>
      <c r="J3" s="1358"/>
      <c r="K3" s="1358"/>
      <c r="L3" s="1358"/>
      <c r="M3" s="1358"/>
      <c r="N3" s="1358"/>
      <c r="O3" s="1358"/>
      <c r="P3" s="1358"/>
      <c r="Q3" s="1358"/>
      <c r="R3" s="1358"/>
      <c r="S3" s="1358"/>
      <c r="T3" s="1358"/>
      <c r="U3" s="1358"/>
      <c r="V3" s="1358"/>
      <c r="W3" s="1358"/>
      <c r="X3" s="1358"/>
      <c r="Y3" s="1359"/>
      <c r="Z3" s="1359"/>
      <c r="AA3" s="1358"/>
    </row>
    <row r="4" ht="15.75" customHeight="1">
      <c r="A4" s="439"/>
      <c r="B4" s="440" t="s">
        <v>461</v>
      </c>
      <c r="C4" s="1358"/>
      <c r="D4" s="1358"/>
      <c r="E4" s="1358"/>
      <c r="F4" s="1358"/>
      <c r="G4" s="1358"/>
      <c r="H4" s="1358"/>
      <c r="I4" s="1358"/>
      <c r="J4" s="1358"/>
      <c r="K4" s="1358"/>
      <c r="L4" s="1358"/>
      <c r="M4" s="1358"/>
      <c r="N4" s="1358"/>
      <c r="O4" s="1358"/>
      <c r="P4" s="1358"/>
      <c r="Q4" s="1358"/>
      <c r="R4" s="1358"/>
      <c r="S4" s="1358"/>
      <c r="T4" s="1358"/>
      <c r="U4" s="1358"/>
      <c r="V4" s="1358"/>
      <c r="W4" s="1358"/>
      <c r="X4" s="1358"/>
      <c r="Y4" s="1359"/>
      <c r="Z4" s="1359"/>
      <c r="AA4" s="1358"/>
    </row>
    <row r="5" ht="15.75" customHeight="1">
      <c r="A5" s="439"/>
      <c r="B5" s="1419" t="s">
        <v>462</v>
      </c>
      <c r="C5" s="1358"/>
      <c r="D5" s="1358"/>
      <c r="E5" s="1358"/>
      <c r="F5" s="1358"/>
      <c r="G5" s="1358"/>
      <c r="H5" s="1358"/>
      <c r="I5" s="1358"/>
      <c r="J5" s="1358"/>
      <c r="K5" s="1358"/>
      <c r="L5" s="1358"/>
      <c r="M5" s="1358"/>
      <c r="N5" s="1358"/>
      <c r="O5" s="1358"/>
      <c r="P5" s="1358"/>
      <c r="Q5" s="1358"/>
      <c r="R5" s="1358"/>
      <c r="S5" s="1358"/>
      <c r="T5" s="1358"/>
      <c r="U5" s="1358"/>
      <c r="V5" s="1358"/>
      <c r="W5" s="1358"/>
      <c r="X5" s="1358"/>
      <c r="Y5" s="1359"/>
      <c r="Z5" s="1359"/>
      <c r="AA5" s="1358"/>
    </row>
    <row r="6" ht="15.75" customHeight="1">
      <c r="A6" s="439"/>
      <c r="B6" s="1419" t="s">
        <v>463</v>
      </c>
      <c r="C6" s="1358"/>
      <c r="D6" s="1358"/>
      <c r="E6" s="1358"/>
      <c r="F6" s="1358"/>
      <c r="G6" s="1358"/>
      <c r="H6" s="1358"/>
      <c r="I6" s="1358"/>
      <c r="J6" s="1358"/>
      <c r="K6" s="1358"/>
      <c r="L6" s="1358"/>
      <c r="M6" s="1358"/>
      <c r="N6" s="1358"/>
      <c r="O6" s="1358"/>
      <c r="P6" s="1358"/>
      <c r="Q6" s="1358"/>
      <c r="R6" s="1358"/>
      <c r="S6" s="1358"/>
      <c r="T6" s="1358"/>
      <c r="U6" s="1358"/>
      <c r="V6" s="1358"/>
      <c r="W6" s="1358"/>
      <c r="X6" s="1358"/>
      <c r="Y6" s="1359"/>
      <c r="Z6" s="1359"/>
      <c r="AA6" s="1358"/>
    </row>
    <row r="7" ht="15.75" customHeight="1">
      <c r="A7" s="439"/>
      <c r="B7" s="439"/>
      <c r="C7" s="1360"/>
      <c r="D7" s="1360"/>
      <c r="E7" s="1360"/>
      <c r="F7" s="1360"/>
      <c r="G7" s="1360"/>
      <c r="H7" s="1360"/>
      <c r="I7" s="1360"/>
      <c r="J7" s="1360"/>
      <c r="K7" s="247"/>
      <c r="L7" s="247"/>
      <c r="M7" s="1358"/>
      <c r="N7" s="1358"/>
      <c r="O7" s="1358"/>
      <c r="P7" s="1358"/>
      <c r="Q7" s="1358"/>
      <c r="R7" s="1358"/>
      <c r="S7" s="1358"/>
      <c r="T7" s="1358"/>
      <c r="U7" s="1358"/>
      <c r="V7" s="1358"/>
      <c r="W7" s="1358"/>
      <c r="X7" s="1358"/>
      <c r="Y7" s="1359"/>
      <c r="Z7" s="1359"/>
      <c r="AA7" s="1358"/>
    </row>
    <row r="8" ht="15.75" customHeight="1">
      <c r="A8" s="439"/>
      <c r="B8" s="1361" t="s">
        <v>163</v>
      </c>
      <c r="C8" s="1363" t="s">
        <v>383</v>
      </c>
      <c r="D8" s="13"/>
      <c r="E8" s="1363" t="s">
        <v>384</v>
      </c>
      <c r="F8" s="13"/>
      <c r="G8" s="1363" t="s">
        <v>385</v>
      </c>
      <c r="H8" s="13"/>
      <c r="I8" s="1363" t="s">
        <v>464</v>
      </c>
      <c r="J8" s="11"/>
      <c r="K8" s="1363" t="s">
        <v>387</v>
      </c>
      <c r="L8" s="13"/>
      <c r="M8" s="1363" t="s">
        <v>388</v>
      </c>
      <c r="N8" s="13"/>
      <c r="O8" s="1363" t="s">
        <v>389</v>
      </c>
      <c r="P8" s="13"/>
      <c r="Q8" s="1363" t="s">
        <v>390</v>
      </c>
      <c r="R8" s="13"/>
      <c r="S8" s="1363" t="s">
        <v>391</v>
      </c>
      <c r="T8" s="13"/>
      <c r="U8" s="1363" t="s">
        <v>453</v>
      </c>
      <c r="V8" s="13"/>
      <c r="W8" s="1363" t="s">
        <v>454</v>
      </c>
      <c r="X8" s="13"/>
      <c r="Y8" s="1364" t="s">
        <v>455</v>
      </c>
      <c r="Z8" s="1364" t="s">
        <v>19</v>
      </c>
      <c r="AA8" s="1364" t="s">
        <v>456</v>
      </c>
    </row>
    <row r="9" ht="15.75" customHeight="1">
      <c r="A9" s="439"/>
      <c r="B9" s="1365" t="s">
        <v>457</v>
      </c>
      <c r="C9" s="1366" t="s">
        <v>17</v>
      </c>
      <c r="D9" s="1367" t="s">
        <v>458</v>
      </c>
      <c r="E9" s="1366" t="s">
        <v>17</v>
      </c>
      <c r="F9" s="1367" t="s">
        <v>458</v>
      </c>
      <c r="G9" s="1366" t="s">
        <v>17</v>
      </c>
      <c r="H9" s="1367" t="s">
        <v>458</v>
      </c>
      <c r="I9" s="1366" t="s">
        <v>17</v>
      </c>
      <c r="J9" s="1368" t="s">
        <v>458</v>
      </c>
      <c r="K9" s="1366" t="s">
        <v>17</v>
      </c>
      <c r="L9" s="1367" t="s">
        <v>458</v>
      </c>
      <c r="M9" s="1366" t="s">
        <v>17</v>
      </c>
      <c r="N9" s="1367" t="s">
        <v>458</v>
      </c>
      <c r="O9" s="1366" t="s">
        <v>17</v>
      </c>
      <c r="P9" s="1367" t="s">
        <v>458</v>
      </c>
      <c r="Q9" s="1366" t="s">
        <v>17</v>
      </c>
      <c r="R9" s="1367" t="s">
        <v>458</v>
      </c>
      <c r="S9" s="1366" t="s">
        <v>17</v>
      </c>
      <c r="T9" s="1367" t="s">
        <v>458</v>
      </c>
      <c r="U9" s="1366" t="s">
        <v>17</v>
      </c>
      <c r="V9" s="1367" t="s">
        <v>458</v>
      </c>
      <c r="W9" s="1366" t="s">
        <v>17</v>
      </c>
      <c r="X9" s="1367" t="s">
        <v>458</v>
      </c>
      <c r="Y9" s="448"/>
      <c r="Z9" s="448"/>
      <c r="AA9" s="448"/>
    </row>
    <row r="10" ht="15.75" customHeight="1">
      <c r="A10" s="439"/>
      <c r="B10" s="497" t="s">
        <v>21</v>
      </c>
      <c r="C10" s="467">
        <f>'Summary Sheet - April 2026'!AQ5</f>
        <v>527662.5</v>
      </c>
      <c r="D10" s="1369"/>
      <c r="E10" s="718">
        <f>'Summary Sheet - May 2026'!AQ5</f>
        <v>647125</v>
      </c>
      <c r="F10" s="1369"/>
      <c r="G10" s="718">
        <f>'Summary Sheet - June 2026'!AQ5</f>
        <v>327875</v>
      </c>
      <c r="H10" s="1369"/>
      <c r="I10" s="718">
        <f>'Summary Sheet - July 2026'!AQ5</f>
        <v>327875</v>
      </c>
      <c r="J10" s="1370"/>
      <c r="K10" s="718" t="str">
        <f t="shared" ref="K10:K14" si="2">'Summary Sheet - Aug 2026'!AQ5</f>
        <v>#REF!</v>
      </c>
      <c r="L10" s="1369"/>
      <c r="M10" s="718" t="str">
        <f t="shared" ref="M10:M14" si="3">'Summary Sheet - Sep 2026'!AQ5</f>
        <v>#REF!</v>
      </c>
      <c r="N10" s="1369"/>
      <c r="O10" s="718" t="str">
        <f t="shared" ref="O10:P10" si="1">'Summary Sheet - Oct 2026'!AQ5</f>
        <v>#REF!</v>
      </c>
      <c r="P10" s="718" t="str">
        <f t="shared" si="1"/>
        <v>#REF!</v>
      </c>
      <c r="Q10" s="718" t="str">
        <f t="shared" ref="Q10:Q14" si="4">'Summary Sheet - Nov 2026'!AQ5</f>
        <v>#REF!</v>
      </c>
      <c r="R10" s="718" t="str">
        <f>'Summary Sheet - Oct 2026'!AT5</f>
        <v>#REF!</v>
      </c>
      <c r="S10" s="718" t="str">
        <f t="shared" ref="S10:S14" si="5">'Summary Sheet - Dec 2026'!AQ5</f>
        <v>#REF!</v>
      </c>
      <c r="T10" s="718" t="str">
        <f>'Summary Sheet - Oct 2026'!AV5</f>
        <v>#REF!</v>
      </c>
      <c r="U10" s="718" t="str">
        <f t="shared" ref="U10:U14" si="6">'Summary Sheet - Jan 2027'!AQ5</f>
        <v>#REF!</v>
      </c>
      <c r="V10" s="718" t="str">
        <f>'Summary Sheet - Oct 2026'!AX5</f>
        <v>#REF!</v>
      </c>
      <c r="W10" s="718" t="str">
        <f t="shared" ref="W10:W14" si="7">'Summary Sheet - Feb 2027'!AQ5</f>
        <v>#REF!</v>
      </c>
      <c r="X10" s="1370" t="str">
        <f t="shared" ref="X10:X14" si="8">W10/$W$15</f>
        <v>#REF!</v>
      </c>
      <c r="Y10" s="1371" t="str">
        <f t="shared" ref="Y10:Y14" si="9">C10+E10+G10+I10+K10+M10+O10+Q10+S10+U10+W10</f>
        <v>#REF!</v>
      </c>
      <c r="Z10" s="1371"/>
      <c r="AA10" s="1372" t="str">
        <f t="shared" ref="AA10:AA13" si="10">Y10/Z10</f>
        <v>#REF!</v>
      </c>
    </row>
    <row r="11" ht="15.75" customHeight="1">
      <c r="A11" s="439"/>
      <c r="B11" s="465" t="s">
        <v>22</v>
      </c>
      <c r="C11" s="467">
        <f>'Summary Sheet - April 2026'!AQ6</f>
        <v>4372792.5</v>
      </c>
      <c r="D11" s="1373"/>
      <c r="E11" s="718">
        <f>'Summary Sheet - May 2026'!AQ6</f>
        <v>4130225</v>
      </c>
      <c r="F11" s="1373"/>
      <c r="G11" s="718">
        <f>'Summary Sheet - June 2026'!AQ6</f>
        <v>2860370</v>
      </c>
      <c r="H11" s="1369"/>
      <c r="I11" s="718">
        <f>'Summary Sheet - July 2026'!AQ6</f>
        <v>2860370</v>
      </c>
      <c r="J11" s="1370"/>
      <c r="K11" s="718" t="str">
        <f t="shared" si="2"/>
        <v>#REF!</v>
      </c>
      <c r="L11" s="1369"/>
      <c r="M11" s="718" t="str">
        <f t="shared" si="3"/>
        <v>#REF!</v>
      </c>
      <c r="N11" s="1369"/>
      <c r="O11" s="718" t="str">
        <f t="shared" ref="O11:O14" si="11">'Summary Sheet - Oct 2026'!AQ6</f>
        <v>#REF!</v>
      </c>
      <c r="P11" s="1369"/>
      <c r="Q11" s="718" t="str">
        <f t="shared" si="4"/>
        <v>#REF!</v>
      </c>
      <c r="R11" s="1369"/>
      <c r="S11" s="718" t="str">
        <f t="shared" si="5"/>
        <v>#REF!</v>
      </c>
      <c r="T11" s="1369"/>
      <c r="U11" s="718" t="str">
        <f t="shared" si="6"/>
        <v>#REF!</v>
      </c>
      <c r="V11" s="1369"/>
      <c r="W11" s="718" t="str">
        <f t="shared" si="7"/>
        <v>#REF!</v>
      </c>
      <c r="X11" s="1370" t="str">
        <f t="shared" si="8"/>
        <v>#REF!</v>
      </c>
      <c r="Y11" s="1371" t="str">
        <f t="shared" si="9"/>
        <v>#REF!</v>
      </c>
      <c r="Z11" s="1371"/>
      <c r="AA11" s="1374" t="str">
        <f t="shared" si="10"/>
        <v>#REF!</v>
      </c>
    </row>
    <row r="12" ht="15.75" customHeight="1">
      <c r="A12" s="439"/>
      <c r="B12" s="465" t="s">
        <v>23</v>
      </c>
      <c r="C12" s="467">
        <f>'Summary Sheet - April 2026'!AQ7</f>
        <v>6037327.5</v>
      </c>
      <c r="D12" s="1373"/>
      <c r="E12" s="718">
        <f>'Summary Sheet - May 2026'!AQ7</f>
        <v>7349352</v>
      </c>
      <c r="F12" s="1373"/>
      <c r="G12" s="718">
        <f>'Summary Sheet - June 2026'!AQ7</f>
        <v>3744730</v>
      </c>
      <c r="H12" s="1369"/>
      <c r="I12" s="718">
        <f>'Summary Sheet - July 2026'!AQ7</f>
        <v>3744730</v>
      </c>
      <c r="J12" s="1370"/>
      <c r="K12" s="718" t="str">
        <f t="shared" si="2"/>
        <v>#REF!</v>
      </c>
      <c r="L12" s="1369"/>
      <c r="M12" s="718" t="str">
        <f t="shared" si="3"/>
        <v>#REF!</v>
      </c>
      <c r="N12" s="1369"/>
      <c r="O12" s="718" t="str">
        <f t="shared" si="11"/>
        <v>#REF!</v>
      </c>
      <c r="P12" s="1369"/>
      <c r="Q12" s="718" t="str">
        <f t="shared" si="4"/>
        <v>#REF!</v>
      </c>
      <c r="R12" s="1369"/>
      <c r="S12" s="718" t="str">
        <f t="shared" si="5"/>
        <v>#REF!</v>
      </c>
      <c r="T12" s="1369"/>
      <c r="U12" s="718" t="str">
        <f t="shared" si="6"/>
        <v>#REF!</v>
      </c>
      <c r="V12" s="1369"/>
      <c r="W12" s="718" t="str">
        <f t="shared" si="7"/>
        <v>#REF!</v>
      </c>
      <c r="X12" s="1370" t="str">
        <f t="shared" si="8"/>
        <v>#REF!</v>
      </c>
      <c r="Y12" s="1371" t="str">
        <f t="shared" si="9"/>
        <v>#REF!</v>
      </c>
      <c r="Z12" s="1371"/>
      <c r="AA12" s="1374" t="str">
        <f t="shared" si="10"/>
        <v>#REF!</v>
      </c>
    </row>
    <row r="13" ht="15.75" customHeight="1">
      <c r="A13" s="439"/>
      <c r="B13" s="465" t="s">
        <v>24</v>
      </c>
      <c r="C13" s="467">
        <f>'Summary Sheet - April 2026'!AQ8</f>
        <v>1068160</v>
      </c>
      <c r="D13" s="1373"/>
      <c r="E13" s="718">
        <f>'Summary Sheet - May 2026'!AQ8</f>
        <v>1095652</v>
      </c>
      <c r="F13" s="1373"/>
      <c r="G13" s="718">
        <f>'Summary Sheet - June 2026'!AQ8</f>
        <v>672654</v>
      </c>
      <c r="H13" s="1369"/>
      <c r="I13" s="718">
        <f>'Summary Sheet - July 2026'!AQ8</f>
        <v>672654</v>
      </c>
      <c r="J13" s="1370"/>
      <c r="K13" s="718" t="str">
        <f t="shared" si="2"/>
        <v>#REF!</v>
      </c>
      <c r="L13" s="1369"/>
      <c r="M13" s="718" t="str">
        <f t="shared" si="3"/>
        <v>#REF!</v>
      </c>
      <c r="N13" s="1369"/>
      <c r="O13" s="718" t="str">
        <f t="shared" si="11"/>
        <v>#REF!</v>
      </c>
      <c r="P13" s="1369"/>
      <c r="Q13" s="718" t="str">
        <f t="shared" si="4"/>
        <v>#REF!</v>
      </c>
      <c r="R13" s="1369"/>
      <c r="S13" s="718" t="str">
        <f t="shared" si="5"/>
        <v>#REF!</v>
      </c>
      <c r="T13" s="1369"/>
      <c r="U13" s="718" t="str">
        <f t="shared" si="6"/>
        <v>#REF!</v>
      </c>
      <c r="V13" s="1369"/>
      <c r="W13" s="718" t="str">
        <f t="shared" si="7"/>
        <v>#REF!</v>
      </c>
      <c r="X13" s="1370" t="str">
        <f t="shared" si="8"/>
        <v>#REF!</v>
      </c>
      <c r="Y13" s="1371" t="str">
        <f t="shared" si="9"/>
        <v>#REF!</v>
      </c>
      <c r="Z13" s="729"/>
      <c r="AA13" s="1374" t="str">
        <f t="shared" si="10"/>
        <v>#REF!</v>
      </c>
    </row>
    <row r="14" ht="15.75" customHeight="1">
      <c r="A14" s="439"/>
      <c r="B14" s="483" t="s">
        <v>159</v>
      </c>
      <c r="C14" s="467">
        <f>'Summary Sheet - April 2026'!AQ9</f>
        <v>0</v>
      </c>
      <c r="D14" s="1375"/>
      <c r="E14" s="718">
        <f>'Summary Sheet - May 2026'!AQ9</f>
        <v>13500</v>
      </c>
      <c r="F14" s="1373"/>
      <c r="G14" s="718">
        <f>'Summary Sheet - June 2026'!AQ9</f>
        <v>14850</v>
      </c>
      <c r="H14" s="1369"/>
      <c r="I14" s="718">
        <f>'Summary Sheet - July 2026'!AQ9</f>
        <v>14850</v>
      </c>
      <c r="J14" s="1370"/>
      <c r="K14" s="718" t="str">
        <f t="shared" si="2"/>
        <v>#REF!</v>
      </c>
      <c r="L14" s="1369"/>
      <c r="M14" s="718" t="str">
        <f t="shared" si="3"/>
        <v>#REF!</v>
      </c>
      <c r="N14" s="1369"/>
      <c r="O14" s="718" t="str">
        <f t="shared" si="11"/>
        <v>#REF!</v>
      </c>
      <c r="P14" s="1369"/>
      <c r="Q14" s="718" t="str">
        <f t="shared" si="4"/>
        <v>#REF!</v>
      </c>
      <c r="R14" s="1369"/>
      <c r="S14" s="718" t="str">
        <f t="shared" si="5"/>
        <v>#REF!</v>
      </c>
      <c r="T14" s="1369"/>
      <c r="U14" s="718" t="str">
        <f t="shared" si="6"/>
        <v>#REF!</v>
      </c>
      <c r="V14" s="1369"/>
      <c r="W14" s="718" t="str">
        <f t="shared" si="7"/>
        <v>#REF!</v>
      </c>
      <c r="X14" s="1370" t="str">
        <f t="shared" si="8"/>
        <v>#REF!</v>
      </c>
      <c r="Y14" s="1371" t="str">
        <f t="shared" si="9"/>
        <v>#REF!</v>
      </c>
      <c r="Z14" s="1377"/>
      <c r="AA14" s="1374">
        <v>0.0</v>
      </c>
    </row>
    <row r="15" ht="15.75" customHeight="1">
      <c r="A15" s="439"/>
      <c r="B15" s="1361" t="s">
        <v>459</v>
      </c>
      <c r="C15" s="1378">
        <f>SUM(C10:C14)</f>
        <v>12005942.5</v>
      </c>
      <c r="D15" s="1379">
        <f>C15/$C$15</f>
        <v>1</v>
      </c>
      <c r="E15" s="1378">
        <f>SUM(E10:E14)</f>
        <v>13235854</v>
      </c>
      <c r="F15" s="1379">
        <f>E15/E15</f>
        <v>1</v>
      </c>
      <c r="G15" s="1378">
        <f>SUM(G10:G14)</f>
        <v>7620479</v>
      </c>
      <c r="H15" s="1379">
        <f>G15/G15</f>
        <v>1</v>
      </c>
      <c r="I15" s="1378">
        <f>SUM(I10:I14)</f>
        <v>7620479</v>
      </c>
      <c r="J15" s="1380">
        <f>I15/I15</f>
        <v>1</v>
      </c>
      <c r="K15" s="1381" t="str">
        <f>SUM(K10:K14)</f>
        <v>#REF!</v>
      </c>
      <c r="L15" s="1379" t="str">
        <f>K15/K15</f>
        <v>#REF!</v>
      </c>
      <c r="M15" s="1378" t="str">
        <f>SUM(M10:M14)</f>
        <v>#REF!</v>
      </c>
      <c r="N15" s="1379" t="str">
        <f>M15/M15</f>
        <v>#REF!</v>
      </c>
      <c r="O15" s="1378" t="str">
        <f>SUM(O10:O14)</f>
        <v>#REF!</v>
      </c>
      <c r="P15" s="1379" t="str">
        <f>O15/O15</f>
        <v>#REF!</v>
      </c>
      <c r="Q15" s="1378" t="str">
        <f>SUM(Q10:Q14)</f>
        <v>#REF!</v>
      </c>
      <c r="R15" s="1379" t="str">
        <f>Q15/Q15</f>
        <v>#REF!</v>
      </c>
      <c r="S15" s="1378" t="str">
        <f>SUM(S10:S14)</f>
        <v>#REF!</v>
      </c>
      <c r="T15" s="1379" t="str">
        <f>S15/S15</f>
        <v>#REF!</v>
      </c>
      <c r="U15" s="1378" t="str">
        <f>SUM(U10:U14)</f>
        <v>#REF!</v>
      </c>
      <c r="V15" s="1379" t="str">
        <f>U15/U15</f>
        <v>#REF!</v>
      </c>
      <c r="W15" s="1378" t="str">
        <f>SUM(W10:W14)</f>
        <v>#REF!</v>
      </c>
      <c r="X15" s="1380" t="str">
        <f>W15/W15</f>
        <v>#REF!</v>
      </c>
      <c r="Y15" s="1382" t="str">
        <f t="shared" ref="Y15:Z15" si="12">SUM(Y10:Y14)</f>
        <v>#REF!</v>
      </c>
      <c r="Z15" s="1382">
        <f t="shared" si="12"/>
        <v>0</v>
      </c>
      <c r="AA15" s="1383" t="str">
        <f>Y15/Z15</f>
        <v>#REF!</v>
      </c>
    </row>
    <row r="16" ht="15.75" customHeight="1">
      <c r="A16" s="439"/>
      <c r="B16" s="497"/>
      <c r="C16" s="463"/>
      <c r="D16" s="1384"/>
      <c r="E16" s="1385"/>
      <c r="F16" s="1384"/>
      <c r="G16" s="1385"/>
      <c r="H16" s="1384"/>
      <c r="I16" s="1385"/>
      <c r="J16" s="1386"/>
      <c r="K16" s="1385"/>
      <c r="L16" s="1384"/>
      <c r="M16" s="1385"/>
      <c r="N16" s="1384"/>
      <c r="O16" s="1385"/>
      <c r="P16" s="1384"/>
      <c r="Q16" s="1385"/>
      <c r="R16" s="1384"/>
      <c r="S16" s="1385"/>
      <c r="T16" s="1384"/>
      <c r="U16" s="1385"/>
      <c r="V16" s="1384"/>
      <c r="W16" s="1385"/>
      <c r="X16" s="1386"/>
      <c r="Y16" s="1387"/>
      <c r="Z16" s="1387"/>
      <c r="AA16" s="1388"/>
    </row>
    <row r="17" ht="15.75" customHeight="1">
      <c r="A17" s="439"/>
      <c r="B17" s="587" t="s">
        <v>183</v>
      </c>
      <c r="C17" s="467"/>
      <c r="D17" s="1142"/>
      <c r="E17" s="1389"/>
      <c r="F17" s="1142"/>
      <c r="G17" s="1389"/>
      <c r="H17" s="1142"/>
      <c r="I17" s="1389"/>
      <c r="J17" s="1138"/>
      <c r="K17" s="1389"/>
      <c r="L17" s="1142"/>
      <c r="M17" s="1389"/>
      <c r="N17" s="1142"/>
      <c r="O17" s="1389"/>
      <c r="P17" s="1142"/>
      <c r="Q17" s="1389"/>
      <c r="R17" s="1142"/>
      <c r="S17" s="1389"/>
      <c r="T17" s="1142"/>
      <c r="U17" s="1389"/>
      <c r="V17" s="1142"/>
      <c r="W17" s="1389"/>
      <c r="X17" s="1138"/>
      <c r="Y17" s="1390"/>
      <c r="Z17" s="1390"/>
      <c r="AA17" s="480"/>
    </row>
    <row r="18" ht="15.75" customHeight="1">
      <c r="A18" s="439"/>
      <c r="B18" s="465" t="s">
        <v>28</v>
      </c>
      <c r="C18" s="467">
        <f>'Summary Sheet - April 2026'!AQ12</f>
        <v>4732114.729</v>
      </c>
      <c r="D18" s="1373"/>
      <c r="E18" s="726">
        <f>'Summary Sheet - May 2026'!AQ12</f>
        <v>4755603.821</v>
      </c>
      <c r="F18" s="1373"/>
      <c r="G18" s="726">
        <f>'Summary Sheet - June 2026'!AQ12</f>
        <v>3268305.09</v>
      </c>
      <c r="H18" s="1369"/>
      <c r="I18" s="726">
        <f>'Summary Sheet - July 2026'!AQ12</f>
        <v>3268305.09</v>
      </c>
      <c r="J18" s="1391"/>
      <c r="K18" s="726" t="str">
        <f t="shared" ref="K18:K20" si="13">'Summary Sheet - Aug 2026'!AQ12</f>
        <v>#REF!</v>
      </c>
      <c r="L18" s="1369"/>
      <c r="M18" s="726" t="str">
        <f t="shared" ref="M18:M20" si="14">'Summary Sheet - Sep 2026'!AQ12</f>
        <v>#REF!</v>
      </c>
      <c r="N18" s="1369"/>
      <c r="O18" s="726" t="str">
        <f t="shared" ref="O18:O20" si="15">'Summary Sheet - Oct 2026'!AQ12</f>
        <v>#REF!</v>
      </c>
      <c r="P18" s="1369"/>
      <c r="Q18" s="726" t="str">
        <f t="shared" ref="Q18:Q20" si="16">'Summary Sheet - Nov 2026'!AQ12</f>
        <v>#REF!</v>
      </c>
      <c r="R18" s="1373"/>
      <c r="S18" s="726" t="str">
        <f t="shared" ref="S18:S20" si="17">'Summary Sheet - Dec 2026'!AQ12</f>
        <v>#REF!</v>
      </c>
      <c r="T18" s="1373"/>
      <c r="U18" s="726" t="str">
        <f t="shared" ref="U18:U20" si="18">'Summary Sheet - Jan 2027'!AQ12</f>
        <v>#REF!</v>
      </c>
      <c r="V18" s="1369"/>
      <c r="W18" s="726" t="str">
        <f t="shared" ref="W18:W20" si="19">'Summary Sheet - Feb 2027'!AQ12</f>
        <v>#REF!</v>
      </c>
      <c r="X18" s="1370" t="str">
        <f t="shared" ref="X18:X19" si="20">W18/$W$15</f>
        <v>#REF!</v>
      </c>
      <c r="Y18" s="1371" t="str">
        <f t="shared" ref="Y18:Y20" si="21">C18+E18+G18+I18+K18+M18+O18+Q18+S18+U18+W18</f>
        <v>#REF!</v>
      </c>
      <c r="Z18" s="729"/>
      <c r="AA18" s="1374" t="str">
        <f t="shared" ref="AA18:AA19" si="22">Y18/Z18</f>
        <v>#REF!</v>
      </c>
    </row>
    <row r="19" ht="15.75" customHeight="1">
      <c r="A19" s="439"/>
      <c r="B19" s="465" t="s">
        <v>29</v>
      </c>
      <c r="C19" s="467">
        <f>'Summary Sheet - April 2026'!AQ13</f>
        <v>57613.8</v>
      </c>
      <c r="D19" s="1373"/>
      <c r="E19" s="726">
        <f>'Summary Sheet - May 2026'!AQ13</f>
        <v>28439</v>
      </c>
      <c r="F19" s="1373"/>
      <c r="G19" s="726">
        <f>'Summary Sheet - June 2026'!AQ13</f>
        <v>50554</v>
      </c>
      <c r="H19" s="1369"/>
      <c r="I19" s="726">
        <f>'Summary Sheet - July 2026'!AQ13</f>
        <v>50554</v>
      </c>
      <c r="J19" s="1391"/>
      <c r="K19" s="726" t="str">
        <f t="shared" si="13"/>
        <v>#REF!</v>
      </c>
      <c r="L19" s="1369"/>
      <c r="M19" s="726" t="str">
        <f t="shared" si="14"/>
        <v>#REF!</v>
      </c>
      <c r="N19" s="1369"/>
      <c r="O19" s="726" t="str">
        <f t="shared" si="15"/>
        <v>#REF!</v>
      </c>
      <c r="P19" s="1369"/>
      <c r="Q19" s="726" t="str">
        <f t="shared" si="16"/>
        <v>#REF!</v>
      </c>
      <c r="R19" s="1373"/>
      <c r="S19" s="726" t="str">
        <f t="shared" si="17"/>
        <v>#REF!</v>
      </c>
      <c r="T19" s="1373"/>
      <c r="U19" s="726" t="str">
        <f t="shared" si="18"/>
        <v>#REF!</v>
      </c>
      <c r="V19" s="1369"/>
      <c r="W19" s="726" t="str">
        <f t="shared" si="19"/>
        <v>#REF!</v>
      </c>
      <c r="X19" s="1370" t="str">
        <f t="shared" si="20"/>
        <v>#REF!</v>
      </c>
      <c r="Y19" s="1371" t="str">
        <f t="shared" si="21"/>
        <v>#REF!</v>
      </c>
      <c r="Z19" s="729"/>
      <c r="AA19" s="1374" t="str">
        <f t="shared" si="22"/>
        <v>#REF!</v>
      </c>
    </row>
    <row r="20" ht="15.75" customHeight="1">
      <c r="A20" s="439"/>
      <c r="B20" s="483" t="s">
        <v>395</v>
      </c>
      <c r="C20" s="467" t="str">
        <f>'Summary Sheet - April 2026'!AQ14</f>
        <v/>
      </c>
      <c r="D20" s="1375">
        <f t="shared" ref="D20:D21" si="23">C20/$C$15</f>
        <v>0</v>
      </c>
      <c r="E20" s="726" t="str">
        <f>'Summary Sheet - May 2026'!AQ14</f>
        <v/>
      </c>
      <c r="F20" s="1373">
        <f>E20/$E$15</f>
        <v>0</v>
      </c>
      <c r="G20" s="726" t="str">
        <f>'Summary Sheet - June 2026'!AQ14</f>
        <v/>
      </c>
      <c r="H20" s="1369">
        <f>G20/$G$15</f>
        <v>0</v>
      </c>
      <c r="I20" s="726" t="str">
        <f>'Summary Sheet - July 2026'!AQ14</f>
        <v/>
      </c>
      <c r="J20" s="1391">
        <f t="shared" ref="J20:J21" si="24">I20/$I$15</f>
        <v>0</v>
      </c>
      <c r="K20" s="726" t="str">
        <f t="shared" si="13"/>
        <v>#REF!</v>
      </c>
      <c r="L20" s="1392"/>
      <c r="M20" s="726" t="str">
        <f t="shared" si="14"/>
        <v>#REF!</v>
      </c>
      <c r="N20" s="1392"/>
      <c r="O20" s="726" t="str">
        <f t="shared" si="15"/>
        <v>#REF!</v>
      </c>
      <c r="P20" s="1392"/>
      <c r="Q20" s="726" t="str">
        <f t="shared" si="16"/>
        <v>#REF!</v>
      </c>
      <c r="R20" s="1392"/>
      <c r="S20" s="726" t="str">
        <f t="shared" si="17"/>
        <v>#REF!</v>
      </c>
      <c r="T20" s="1392"/>
      <c r="U20" s="726" t="str">
        <f t="shared" si="18"/>
        <v>#REF!</v>
      </c>
      <c r="V20" s="1392"/>
      <c r="W20" s="726" t="str">
        <f t="shared" si="19"/>
        <v>#REF!</v>
      </c>
      <c r="X20" s="1393"/>
      <c r="Y20" s="1371" t="str">
        <f t="shared" si="21"/>
        <v>#REF!</v>
      </c>
      <c r="Z20" s="1394"/>
      <c r="AA20" s="1395"/>
    </row>
    <row r="21" ht="15.75" customHeight="1">
      <c r="A21" s="439"/>
      <c r="B21" s="1361" t="s">
        <v>30</v>
      </c>
      <c r="C21" s="1378">
        <f>SUM(C18:C20)</f>
        <v>4789728.529</v>
      </c>
      <c r="D21" s="1379">
        <f t="shared" si="23"/>
        <v>0.3989464824</v>
      </c>
      <c r="E21" s="1396">
        <f>SUM(E18:E20)</f>
        <v>4784042.821</v>
      </c>
      <c r="F21" s="1379">
        <f>E21/E15</f>
        <v>0.3614457232</v>
      </c>
      <c r="G21" s="1396">
        <f>SUM(G18:G20)</f>
        <v>3318859.09</v>
      </c>
      <c r="H21" s="1379">
        <f>G21/G15</f>
        <v>0.4355184353</v>
      </c>
      <c r="I21" s="1396">
        <f>SUM(I18:I20)</f>
        <v>3318859.09</v>
      </c>
      <c r="J21" s="1380">
        <f t="shared" si="24"/>
        <v>0.4355184353</v>
      </c>
      <c r="K21" s="1396" t="str">
        <f>SUM(K18:K20)</f>
        <v>#REF!</v>
      </c>
      <c r="L21" s="1379" t="str">
        <f>K21/K15</f>
        <v>#REF!</v>
      </c>
      <c r="M21" s="1396" t="str">
        <f>SUM(M18:M20)</f>
        <v>#REF!</v>
      </c>
      <c r="N21" s="1379" t="str">
        <f>M21/M15</f>
        <v>#REF!</v>
      </c>
      <c r="O21" s="1396" t="str">
        <f>SUM(O18:O20)</f>
        <v>#REF!</v>
      </c>
      <c r="P21" s="1379" t="str">
        <f>+O21/O15</f>
        <v>#REF!</v>
      </c>
      <c r="Q21" s="1396" t="str">
        <f>SUM(Q18:Q20)</f>
        <v>#REF!</v>
      </c>
      <c r="R21" s="1379" t="str">
        <f>Q21/Q15</f>
        <v>#REF!</v>
      </c>
      <c r="S21" s="1396" t="str">
        <f>SUM(S18:S20)</f>
        <v>#REF!</v>
      </c>
      <c r="T21" s="1379" t="str">
        <f>S21/S15</f>
        <v>#REF!</v>
      </c>
      <c r="U21" s="1396" t="str">
        <f>SUM(U18:U20)</f>
        <v>#REF!</v>
      </c>
      <c r="V21" s="1379" t="str">
        <f>U21/U15</f>
        <v>#REF!</v>
      </c>
      <c r="W21" s="1396" t="str">
        <f>SUM(W18:W20)</f>
        <v>#REF!</v>
      </c>
      <c r="X21" s="1380" t="str">
        <f>W21/W15</f>
        <v>#REF!</v>
      </c>
      <c r="Y21" s="1382" t="str">
        <f t="shared" ref="Y21:Z21" si="25">SUM(Y18:Y20)</f>
        <v>#REF!</v>
      </c>
      <c r="Z21" s="1382">
        <f t="shared" si="25"/>
        <v>0</v>
      </c>
      <c r="AA21" s="1383" t="str">
        <f>Y21/Z21</f>
        <v>#REF!</v>
      </c>
    </row>
    <row r="22" ht="15.75" customHeight="1">
      <c r="A22" s="439"/>
      <c r="B22" s="526"/>
      <c r="C22" s="515"/>
      <c r="D22" s="1397"/>
      <c r="E22" s="1398"/>
      <c r="F22" s="1397"/>
      <c r="G22" s="1399"/>
      <c r="H22" s="1397"/>
      <c r="I22" s="1398"/>
      <c r="J22" s="1400"/>
      <c r="K22" s="1398"/>
      <c r="L22" s="1397"/>
      <c r="M22" s="1398"/>
      <c r="N22" s="1397"/>
      <c r="O22" s="1398"/>
      <c r="P22" s="1397"/>
      <c r="Q22" s="1398"/>
      <c r="R22" s="1397"/>
      <c r="S22" s="1398"/>
      <c r="T22" s="1397"/>
      <c r="U22" s="1398"/>
      <c r="V22" s="1397"/>
      <c r="W22" s="1398"/>
      <c r="X22" s="1400"/>
      <c r="Y22" s="1401"/>
      <c r="Z22" s="1401"/>
      <c r="AA22" s="1402"/>
    </row>
    <row r="23" ht="15.75" customHeight="1">
      <c r="A23" s="439"/>
      <c r="B23" s="1361" t="s">
        <v>32</v>
      </c>
      <c r="C23" s="1378">
        <f>C15-C21</f>
        <v>7216213.971</v>
      </c>
      <c r="D23" s="1379">
        <f>C23/$C$15</f>
        <v>0.6010535176</v>
      </c>
      <c r="E23" s="1396">
        <f>E15-E21</f>
        <v>8451811.179</v>
      </c>
      <c r="F23" s="1379">
        <f>E23/E15</f>
        <v>0.6385542768</v>
      </c>
      <c r="G23" s="1396">
        <f>G15-G21</f>
        <v>4301619.91</v>
      </c>
      <c r="H23" s="1403"/>
      <c r="I23" s="1396">
        <f>I15-I21</f>
        <v>4301619.91</v>
      </c>
      <c r="J23" s="1380">
        <f>I23/$I$15</f>
        <v>0.5644815647</v>
      </c>
      <c r="K23" s="1396" t="str">
        <f>K15-K21</f>
        <v>#REF!</v>
      </c>
      <c r="L23" s="1379" t="str">
        <f>K23/K15</f>
        <v>#REF!</v>
      </c>
      <c r="M23" s="1396" t="str">
        <f>M15-M21</f>
        <v>#REF!</v>
      </c>
      <c r="N23" s="1379" t="str">
        <f>M23/$M$15</f>
        <v>#REF!</v>
      </c>
      <c r="O23" s="1396" t="str">
        <f>O15-O21</f>
        <v>#REF!</v>
      </c>
      <c r="P23" s="1379" t="str">
        <f>O23/O15</f>
        <v>#REF!</v>
      </c>
      <c r="Q23" s="1396" t="str">
        <f>Q15-Q21</f>
        <v>#REF!</v>
      </c>
      <c r="R23" s="1379" t="str">
        <f>Q23/Q15</f>
        <v>#REF!</v>
      </c>
      <c r="S23" s="1396" t="str">
        <f>S15-S21</f>
        <v>#REF!</v>
      </c>
      <c r="T23" s="1379" t="str">
        <f>S23/S15</f>
        <v>#REF!</v>
      </c>
      <c r="U23" s="1396" t="str">
        <f>U15-U21</f>
        <v>#REF!</v>
      </c>
      <c r="V23" s="1379" t="str">
        <f>U23/U15</f>
        <v>#REF!</v>
      </c>
      <c r="W23" s="1396" t="str">
        <f>W15-W21</f>
        <v>#REF!</v>
      </c>
      <c r="X23" s="1380" t="str">
        <f>W23/W15</f>
        <v>#REF!</v>
      </c>
      <c r="Y23" s="1382" t="str">
        <f t="shared" ref="Y23:Z23" si="26">Y15-Y21</f>
        <v>#REF!</v>
      </c>
      <c r="Z23" s="1382">
        <f t="shared" si="26"/>
        <v>0</v>
      </c>
      <c r="AA23" s="1383" t="str">
        <f>Y23/Z23</f>
        <v>#REF!</v>
      </c>
    </row>
    <row r="24" ht="15.75" customHeight="1">
      <c r="A24" s="439"/>
      <c r="B24" s="497"/>
      <c r="C24" s="463"/>
      <c r="D24" s="1384"/>
      <c r="E24" s="1385"/>
      <c r="F24" s="1384"/>
      <c r="G24" s="1385"/>
      <c r="H24" s="1384"/>
      <c r="I24" s="1385"/>
      <c r="J24" s="1386"/>
      <c r="K24" s="1385"/>
      <c r="L24" s="1384"/>
      <c r="M24" s="1385"/>
      <c r="N24" s="1384"/>
      <c r="O24" s="1385"/>
      <c r="P24" s="1384"/>
      <c r="Q24" s="1385"/>
      <c r="R24" s="1384"/>
      <c r="S24" s="1385"/>
      <c r="T24" s="1384"/>
      <c r="U24" s="1385"/>
      <c r="V24" s="1384"/>
      <c r="W24" s="1385"/>
      <c r="X24" s="1386"/>
      <c r="Y24" s="1387"/>
      <c r="Z24" s="1387"/>
      <c r="AA24" s="1388"/>
    </row>
    <row r="25" ht="15.75" customHeight="1">
      <c r="A25" s="439"/>
      <c r="B25" s="465" t="s">
        <v>33</v>
      </c>
      <c r="C25" s="467">
        <f>'Summary Sheet - April 2026'!AQ19</f>
        <v>277726.1333</v>
      </c>
      <c r="D25" s="1373"/>
      <c r="E25" s="467">
        <f>'Summary Sheet - May 2026'!AQ19</f>
        <v>188834</v>
      </c>
      <c r="F25" s="1373"/>
      <c r="G25" s="467">
        <f>'Summary Sheet - June 2026'!AQ19</f>
        <v>257745</v>
      </c>
      <c r="H25" s="1373"/>
      <c r="I25" s="467">
        <f>'Summary Sheet - July 2026'!AQ19</f>
        <v>257745</v>
      </c>
      <c r="J25" s="1391"/>
      <c r="K25" s="724" t="str">
        <f t="shared" ref="K25:K34" si="27">'Summary Sheet - Aug 2026'!AQ19</f>
        <v>#REF!</v>
      </c>
      <c r="L25" s="1369"/>
      <c r="M25" s="724" t="str">
        <f t="shared" ref="M25:M34" si="28">'Summary Sheet - Sep 2026'!AQ19</f>
        <v>#REF!</v>
      </c>
      <c r="N25" s="1369"/>
      <c r="O25" s="724" t="str">
        <f t="shared" ref="O25:O34" si="29">'Summary Sheet - Oct 2026'!AQ19</f>
        <v>#REF!</v>
      </c>
      <c r="P25" s="1369"/>
      <c r="Q25" s="724" t="str">
        <f t="shared" ref="Q25:Q34" si="30">'Summary Sheet - Nov 2026'!AQ19</f>
        <v>#REF!</v>
      </c>
      <c r="R25" s="1373"/>
      <c r="S25" s="724" t="str">
        <f t="shared" ref="S25:S34" si="31">'Summary Sheet - Dec 2026'!AQ19</f>
        <v>#REF!</v>
      </c>
      <c r="T25" s="1420"/>
      <c r="U25" s="724" t="str">
        <f t="shared" ref="U25:U34" si="32">'Summary Sheet - Jan 2027'!AQ19</f>
        <v>#REF!</v>
      </c>
      <c r="V25" s="1376"/>
      <c r="W25" s="724" t="str">
        <f t="shared" ref="W25:W34" si="33">'Summary Sheet - Feb 2027'!AQ19</f>
        <v>#REF!</v>
      </c>
      <c r="X25" s="1370" t="str">
        <f t="shared" ref="X25:X34" si="34">W25/$W$15</f>
        <v>#REF!</v>
      </c>
      <c r="Y25" s="1371" t="str">
        <f t="shared" ref="Y25:Y34" si="35">C25+E25+G25+I25+K25+M25+O25+Q25+S25+U25+W25</f>
        <v>#REF!</v>
      </c>
      <c r="Z25" s="729"/>
      <c r="AA25" s="1374" t="str">
        <f t="shared" ref="AA25:AA35" si="36">Y25/Z25</f>
        <v>#REF!</v>
      </c>
    </row>
    <row r="26" ht="15.75" customHeight="1">
      <c r="A26" s="439"/>
      <c r="B26" s="465" t="s">
        <v>34</v>
      </c>
      <c r="C26" s="467">
        <f>'Summary Sheet - April 2026'!AQ20</f>
        <v>17063.98</v>
      </c>
      <c r="D26" s="1373"/>
      <c r="E26" s="467">
        <f>'Summary Sheet - May 2026'!AQ20</f>
        <v>35000</v>
      </c>
      <c r="F26" s="1373"/>
      <c r="G26" s="467">
        <f>'Summary Sheet - June 2026'!AQ20</f>
        <v>0</v>
      </c>
      <c r="H26" s="1373"/>
      <c r="I26" s="467">
        <f>'Summary Sheet - July 2026'!AQ20</f>
        <v>0</v>
      </c>
      <c r="J26" s="1391"/>
      <c r="K26" s="724" t="str">
        <f t="shared" si="27"/>
        <v>#REF!</v>
      </c>
      <c r="L26" s="1369"/>
      <c r="M26" s="724" t="str">
        <f t="shared" si="28"/>
        <v>#REF!</v>
      </c>
      <c r="N26" s="1369"/>
      <c r="O26" s="724" t="str">
        <f t="shared" si="29"/>
        <v>#REF!</v>
      </c>
      <c r="P26" s="1369"/>
      <c r="Q26" s="724" t="str">
        <f t="shared" si="30"/>
        <v>#REF!</v>
      </c>
      <c r="R26" s="1373"/>
      <c r="S26" s="724" t="str">
        <f t="shared" si="31"/>
        <v>#REF!</v>
      </c>
      <c r="T26" s="1420"/>
      <c r="U26" s="724" t="str">
        <f t="shared" si="32"/>
        <v>#REF!</v>
      </c>
      <c r="V26" s="1376"/>
      <c r="W26" s="724" t="str">
        <f t="shared" si="33"/>
        <v>#REF!</v>
      </c>
      <c r="X26" s="1370" t="str">
        <f t="shared" si="34"/>
        <v>#REF!</v>
      </c>
      <c r="Y26" s="1371" t="str">
        <f t="shared" si="35"/>
        <v>#REF!</v>
      </c>
      <c r="Z26" s="729"/>
      <c r="AA26" s="1374" t="str">
        <f t="shared" si="36"/>
        <v>#REF!</v>
      </c>
    </row>
    <row r="27" ht="15.75" customHeight="1">
      <c r="A27" s="439"/>
      <c r="B27" s="465" t="s">
        <v>35</v>
      </c>
      <c r="C27" s="467">
        <f>'Summary Sheet - April 2026'!AQ21</f>
        <v>0</v>
      </c>
      <c r="D27" s="1373"/>
      <c r="E27" s="467">
        <f>'Summary Sheet - May 2026'!AQ21</f>
        <v>0</v>
      </c>
      <c r="F27" s="1373"/>
      <c r="G27" s="467">
        <f>'Summary Sheet - June 2026'!AQ21</f>
        <v>0</v>
      </c>
      <c r="H27" s="1373"/>
      <c r="I27" s="467">
        <f>'Summary Sheet - July 2026'!AQ21</f>
        <v>0</v>
      </c>
      <c r="J27" s="1391"/>
      <c r="K27" s="724" t="str">
        <f t="shared" si="27"/>
        <v>#REF!</v>
      </c>
      <c r="L27" s="1369"/>
      <c r="M27" s="724" t="str">
        <f t="shared" si="28"/>
        <v>#REF!</v>
      </c>
      <c r="N27" s="1369"/>
      <c r="O27" s="724" t="str">
        <f t="shared" si="29"/>
        <v>#REF!</v>
      </c>
      <c r="P27" s="1369"/>
      <c r="Q27" s="724" t="str">
        <f t="shared" si="30"/>
        <v>#REF!</v>
      </c>
      <c r="R27" s="1373"/>
      <c r="S27" s="724" t="str">
        <f t="shared" si="31"/>
        <v>#REF!</v>
      </c>
      <c r="T27" s="1420"/>
      <c r="U27" s="724" t="str">
        <f t="shared" si="32"/>
        <v>#REF!</v>
      </c>
      <c r="V27" s="1376"/>
      <c r="W27" s="724" t="str">
        <f t="shared" si="33"/>
        <v>#REF!</v>
      </c>
      <c r="X27" s="1370" t="str">
        <f t="shared" si="34"/>
        <v>#REF!</v>
      </c>
      <c r="Y27" s="1371" t="str">
        <f t="shared" si="35"/>
        <v>#REF!</v>
      </c>
      <c r="Z27" s="729"/>
      <c r="AA27" s="1374" t="str">
        <f t="shared" si="36"/>
        <v>#REF!</v>
      </c>
    </row>
    <row r="28" ht="15.75" customHeight="1">
      <c r="A28" s="439"/>
      <c r="B28" s="465" t="s">
        <v>36</v>
      </c>
      <c r="C28" s="467">
        <f>'Summary Sheet - April 2026'!AQ22</f>
        <v>983479</v>
      </c>
      <c r="D28" s="1373"/>
      <c r="E28" s="467">
        <f>'Summary Sheet - May 2026'!AQ22</f>
        <v>930639</v>
      </c>
      <c r="F28" s="1373"/>
      <c r="G28" s="467">
        <f>'Summary Sheet - June 2026'!AQ22</f>
        <v>910159</v>
      </c>
      <c r="H28" s="1373"/>
      <c r="I28" s="467">
        <f>'Summary Sheet - July 2026'!AQ22</f>
        <v>910159</v>
      </c>
      <c r="J28" s="1391"/>
      <c r="K28" s="724" t="str">
        <f t="shared" si="27"/>
        <v>#REF!</v>
      </c>
      <c r="L28" s="1369"/>
      <c r="M28" s="724" t="str">
        <f t="shared" si="28"/>
        <v>#REF!</v>
      </c>
      <c r="N28" s="1369"/>
      <c r="O28" s="724" t="str">
        <f t="shared" si="29"/>
        <v>#REF!</v>
      </c>
      <c r="P28" s="1369"/>
      <c r="Q28" s="724" t="str">
        <f t="shared" si="30"/>
        <v>#REF!</v>
      </c>
      <c r="R28" s="1373"/>
      <c r="S28" s="724" t="str">
        <f t="shared" si="31"/>
        <v>#REF!</v>
      </c>
      <c r="T28" s="1420"/>
      <c r="U28" s="724" t="str">
        <f t="shared" si="32"/>
        <v>#REF!</v>
      </c>
      <c r="V28" s="1376"/>
      <c r="W28" s="724" t="str">
        <f t="shared" si="33"/>
        <v>#REF!</v>
      </c>
      <c r="X28" s="1370" t="str">
        <f t="shared" si="34"/>
        <v>#REF!</v>
      </c>
      <c r="Y28" s="1371" t="str">
        <f t="shared" si="35"/>
        <v>#REF!</v>
      </c>
      <c r="Z28" s="729"/>
      <c r="AA28" s="1374" t="str">
        <f t="shared" si="36"/>
        <v>#REF!</v>
      </c>
    </row>
    <row r="29" ht="15.75" customHeight="1">
      <c r="A29" s="439"/>
      <c r="B29" s="465" t="s">
        <v>37</v>
      </c>
      <c r="C29" s="467">
        <f>'Summary Sheet - April 2026'!AQ23</f>
        <v>3781770.8</v>
      </c>
      <c r="D29" s="1373"/>
      <c r="E29" s="467">
        <f>'Summary Sheet - May 2026'!AQ23</f>
        <v>4069781.05</v>
      </c>
      <c r="F29" s="1373"/>
      <c r="G29" s="467">
        <f>'Summary Sheet - June 2026'!AQ23</f>
        <v>3431039</v>
      </c>
      <c r="H29" s="1373"/>
      <c r="I29" s="467">
        <f>'Summary Sheet - July 2026'!AQ23</f>
        <v>3431039</v>
      </c>
      <c r="J29" s="1391"/>
      <c r="K29" s="724" t="str">
        <f t="shared" si="27"/>
        <v>#REF!</v>
      </c>
      <c r="L29" s="1369"/>
      <c r="M29" s="724" t="str">
        <f t="shared" si="28"/>
        <v>#REF!</v>
      </c>
      <c r="N29" s="1369"/>
      <c r="O29" s="724" t="str">
        <f t="shared" si="29"/>
        <v>#REF!</v>
      </c>
      <c r="P29" s="1369"/>
      <c r="Q29" s="724" t="str">
        <f t="shared" si="30"/>
        <v>#REF!</v>
      </c>
      <c r="R29" s="1373"/>
      <c r="S29" s="724" t="str">
        <f t="shared" si="31"/>
        <v>#REF!</v>
      </c>
      <c r="T29" s="1420"/>
      <c r="U29" s="724" t="str">
        <f t="shared" si="32"/>
        <v>#REF!</v>
      </c>
      <c r="V29" s="1376"/>
      <c r="W29" s="724" t="str">
        <f t="shared" si="33"/>
        <v>#REF!</v>
      </c>
      <c r="X29" s="1370" t="str">
        <f t="shared" si="34"/>
        <v>#REF!</v>
      </c>
      <c r="Y29" s="1371" t="str">
        <f t="shared" si="35"/>
        <v>#REF!</v>
      </c>
      <c r="Z29" s="729"/>
      <c r="AA29" s="1374" t="str">
        <f t="shared" si="36"/>
        <v>#REF!</v>
      </c>
    </row>
    <row r="30" ht="15.75" customHeight="1">
      <c r="A30" s="439"/>
      <c r="B30" s="465" t="s">
        <v>38</v>
      </c>
      <c r="C30" s="467">
        <f>'Summary Sheet - April 2026'!AQ24</f>
        <v>34858.62</v>
      </c>
      <c r="D30" s="1373"/>
      <c r="E30" s="467">
        <f>'Summary Sheet - May 2026'!AQ24</f>
        <v>28465</v>
      </c>
      <c r="F30" s="1373"/>
      <c r="G30" s="467">
        <f>'Summary Sheet - June 2026'!AQ24</f>
        <v>32718</v>
      </c>
      <c r="H30" s="1373"/>
      <c r="I30" s="467">
        <f>'Summary Sheet - July 2026'!AQ24</f>
        <v>32718</v>
      </c>
      <c r="J30" s="1391"/>
      <c r="K30" s="724" t="str">
        <f t="shared" si="27"/>
        <v>#REF!</v>
      </c>
      <c r="L30" s="1369"/>
      <c r="M30" s="724" t="str">
        <f t="shared" si="28"/>
        <v>#REF!</v>
      </c>
      <c r="N30" s="1369"/>
      <c r="O30" s="724" t="str">
        <f t="shared" si="29"/>
        <v>#REF!</v>
      </c>
      <c r="P30" s="1369"/>
      <c r="Q30" s="724" t="str">
        <f t="shared" si="30"/>
        <v>#REF!</v>
      </c>
      <c r="R30" s="1420"/>
      <c r="S30" s="724" t="str">
        <f t="shared" si="31"/>
        <v>#REF!</v>
      </c>
      <c r="T30" s="1420"/>
      <c r="U30" s="724" t="str">
        <f t="shared" si="32"/>
        <v>#REF!</v>
      </c>
      <c r="V30" s="1376"/>
      <c r="W30" s="724" t="str">
        <f t="shared" si="33"/>
        <v>#REF!</v>
      </c>
      <c r="X30" s="1421" t="str">
        <f t="shared" si="34"/>
        <v>#REF!</v>
      </c>
      <c r="Y30" s="1422" t="str">
        <f t="shared" si="35"/>
        <v>#REF!</v>
      </c>
      <c r="Z30" s="729"/>
      <c r="AA30" s="1374" t="str">
        <f t="shared" si="36"/>
        <v>#REF!</v>
      </c>
    </row>
    <row r="31" ht="15.75" customHeight="1">
      <c r="A31" s="439"/>
      <c r="B31" s="465" t="s">
        <v>39</v>
      </c>
      <c r="C31" s="467">
        <f>'Summary Sheet - April 2026'!AQ25</f>
        <v>3146.666667</v>
      </c>
      <c r="D31" s="1373"/>
      <c r="E31" s="467">
        <f>'Summary Sheet - May 2026'!AQ25</f>
        <v>3146.666667</v>
      </c>
      <c r="F31" s="1373"/>
      <c r="G31" s="467">
        <f>'Summary Sheet - June 2026'!AQ25</f>
        <v>3146.666667</v>
      </c>
      <c r="H31" s="1373"/>
      <c r="I31" s="467">
        <f>'Summary Sheet - July 2026'!AQ25</f>
        <v>3146.666667</v>
      </c>
      <c r="J31" s="1391"/>
      <c r="K31" s="724" t="str">
        <f t="shared" si="27"/>
        <v>#REF!</v>
      </c>
      <c r="L31" s="1369"/>
      <c r="M31" s="724" t="str">
        <f t="shared" si="28"/>
        <v>#REF!</v>
      </c>
      <c r="N31" s="1369"/>
      <c r="O31" s="724" t="str">
        <f t="shared" si="29"/>
        <v>#REF!</v>
      </c>
      <c r="P31" s="1369"/>
      <c r="Q31" s="724" t="str">
        <f t="shared" si="30"/>
        <v>#REF!</v>
      </c>
      <c r="R31" s="1420"/>
      <c r="S31" s="724" t="str">
        <f t="shared" si="31"/>
        <v>#REF!</v>
      </c>
      <c r="T31" s="1420"/>
      <c r="U31" s="724" t="str">
        <f t="shared" si="32"/>
        <v>#REF!</v>
      </c>
      <c r="V31" s="1376"/>
      <c r="W31" s="724" t="str">
        <f t="shared" si="33"/>
        <v>#REF!</v>
      </c>
      <c r="X31" s="1421" t="str">
        <f t="shared" si="34"/>
        <v>#REF!</v>
      </c>
      <c r="Y31" s="1422" t="str">
        <f t="shared" si="35"/>
        <v>#REF!</v>
      </c>
      <c r="Z31" s="729"/>
      <c r="AA31" s="1374" t="str">
        <f t="shared" si="36"/>
        <v>#REF!</v>
      </c>
    </row>
    <row r="32" ht="15.75" customHeight="1">
      <c r="A32" s="439"/>
      <c r="B32" s="465" t="s">
        <v>40</v>
      </c>
      <c r="C32" s="467">
        <f>'Summary Sheet - April 2026'!AQ26</f>
        <v>621273.3633</v>
      </c>
      <c r="D32" s="1373"/>
      <c r="E32" s="467">
        <f>'Summary Sheet - May 2026'!AQ26</f>
        <v>350575.0833</v>
      </c>
      <c r="F32" s="1373"/>
      <c r="G32" s="467">
        <f>'Summary Sheet - June 2026'!AQ26</f>
        <v>452579</v>
      </c>
      <c r="H32" s="1373"/>
      <c r="I32" s="467">
        <f>'Summary Sheet - July 2026'!AQ26</f>
        <v>452579</v>
      </c>
      <c r="J32" s="1391"/>
      <c r="K32" s="724" t="str">
        <f t="shared" si="27"/>
        <v>#REF!</v>
      </c>
      <c r="L32" s="1369"/>
      <c r="M32" s="724" t="str">
        <f t="shared" si="28"/>
        <v>#REF!</v>
      </c>
      <c r="N32" s="1369"/>
      <c r="O32" s="724" t="str">
        <f t="shared" si="29"/>
        <v>#REF!</v>
      </c>
      <c r="P32" s="1369"/>
      <c r="Q32" s="724" t="str">
        <f t="shared" si="30"/>
        <v>#REF!</v>
      </c>
      <c r="R32" s="1420"/>
      <c r="S32" s="724" t="str">
        <f t="shared" si="31"/>
        <v>#REF!</v>
      </c>
      <c r="T32" s="1420"/>
      <c r="U32" s="724" t="str">
        <f t="shared" si="32"/>
        <v>#REF!</v>
      </c>
      <c r="V32" s="1376"/>
      <c r="W32" s="724" t="str">
        <f t="shared" si="33"/>
        <v>#REF!</v>
      </c>
      <c r="X32" s="1421" t="str">
        <f t="shared" si="34"/>
        <v>#REF!</v>
      </c>
      <c r="Y32" s="1422" t="str">
        <f t="shared" si="35"/>
        <v>#REF!</v>
      </c>
      <c r="Z32" s="729"/>
      <c r="AA32" s="1374" t="str">
        <f t="shared" si="36"/>
        <v>#REF!</v>
      </c>
    </row>
    <row r="33" ht="15.75" customHeight="1">
      <c r="A33" s="439"/>
      <c r="B33" s="762" t="s">
        <v>251</v>
      </c>
      <c r="C33" s="467">
        <f>'Summary Sheet - April 2026'!AQ27</f>
        <v>8260</v>
      </c>
      <c r="D33" s="1373"/>
      <c r="E33" s="467">
        <f>'Summary Sheet - May 2026'!AQ27</f>
        <v>8260</v>
      </c>
      <c r="F33" s="1373"/>
      <c r="G33" s="467">
        <f>'Summary Sheet - June 2026'!AQ27</f>
        <v>8260</v>
      </c>
      <c r="H33" s="1373"/>
      <c r="I33" s="467">
        <f>'Summary Sheet - July 2026'!AQ27</f>
        <v>8260</v>
      </c>
      <c r="J33" s="1391"/>
      <c r="K33" s="724" t="str">
        <f t="shared" si="27"/>
        <v>#REF!</v>
      </c>
      <c r="L33" s="1369"/>
      <c r="M33" s="724" t="str">
        <f t="shared" si="28"/>
        <v>#REF!</v>
      </c>
      <c r="N33" s="1369"/>
      <c r="O33" s="724" t="str">
        <f t="shared" si="29"/>
        <v>#REF!</v>
      </c>
      <c r="P33" s="1369"/>
      <c r="Q33" s="724" t="str">
        <f t="shared" si="30"/>
        <v>#REF!</v>
      </c>
      <c r="R33" s="1420"/>
      <c r="S33" s="724" t="str">
        <f t="shared" si="31"/>
        <v>#REF!</v>
      </c>
      <c r="T33" s="1420"/>
      <c r="U33" s="724" t="str">
        <f t="shared" si="32"/>
        <v>#REF!</v>
      </c>
      <c r="V33" s="1376"/>
      <c r="W33" s="724" t="str">
        <f t="shared" si="33"/>
        <v>#REF!</v>
      </c>
      <c r="X33" s="1421" t="str">
        <f t="shared" si="34"/>
        <v>#REF!</v>
      </c>
      <c r="Y33" s="1422" t="str">
        <f t="shared" si="35"/>
        <v>#REF!</v>
      </c>
      <c r="Z33" s="729"/>
      <c r="AA33" s="1374" t="str">
        <f t="shared" si="36"/>
        <v>#REF!</v>
      </c>
    </row>
    <row r="34" ht="15.75" customHeight="1">
      <c r="A34" s="439"/>
      <c r="B34" s="1404" t="s">
        <v>42</v>
      </c>
      <c r="C34" s="467">
        <f>'Summary Sheet - April 2026'!AQ28</f>
        <v>0</v>
      </c>
      <c r="D34" s="1373"/>
      <c r="E34" s="467">
        <f>'Summary Sheet - May 2026'!AQ28</f>
        <v>0</v>
      </c>
      <c r="F34" s="1373"/>
      <c r="G34" s="467">
        <f>'Summary Sheet - June 2026'!AQ28</f>
        <v>0</v>
      </c>
      <c r="H34" s="1373"/>
      <c r="I34" s="467">
        <f>'Summary Sheet - July 2026'!AQ28</f>
        <v>0</v>
      </c>
      <c r="J34" s="1391"/>
      <c r="K34" s="724" t="str">
        <f t="shared" si="27"/>
        <v>#REF!</v>
      </c>
      <c r="L34" s="1369"/>
      <c r="M34" s="724" t="str">
        <f t="shared" si="28"/>
        <v>#REF!</v>
      </c>
      <c r="N34" s="1369"/>
      <c r="O34" s="724" t="str">
        <f t="shared" si="29"/>
        <v>#REF!</v>
      </c>
      <c r="P34" s="1369"/>
      <c r="Q34" s="724" t="str">
        <f t="shared" si="30"/>
        <v>#REF!</v>
      </c>
      <c r="R34" s="1420"/>
      <c r="S34" s="724" t="str">
        <f t="shared" si="31"/>
        <v>#REF!</v>
      </c>
      <c r="T34" s="1420"/>
      <c r="U34" s="724" t="str">
        <f t="shared" si="32"/>
        <v>#REF!</v>
      </c>
      <c r="V34" s="1376"/>
      <c r="W34" s="724" t="str">
        <f t="shared" si="33"/>
        <v>#REF!</v>
      </c>
      <c r="X34" s="1421" t="str">
        <f t="shared" si="34"/>
        <v>#REF!</v>
      </c>
      <c r="Y34" s="1422" t="str">
        <f t="shared" si="35"/>
        <v>#REF!</v>
      </c>
      <c r="Z34" s="729"/>
      <c r="AA34" s="1374" t="str">
        <f t="shared" si="36"/>
        <v>#REF!</v>
      </c>
    </row>
    <row r="35" ht="15.75" customHeight="1">
      <c r="A35" s="439"/>
      <c r="B35" s="1361" t="s">
        <v>43</v>
      </c>
      <c r="C35" s="1378">
        <f>SUM(C25:C34)</f>
        <v>5727578.563</v>
      </c>
      <c r="D35" s="1379">
        <f>C35/$C$15</f>
        <v>0.4770619685</v>
      </c>
      <c r="E35" s="1396">
        <f>SUM(E25:E34)</f>
        <v>5614700.8</v>
      </c>
      <c r="F35" s="1379">
        <f>E35/E15</f>
        <v>0.4242038935</v>
      </c>
      <c r="G35" s="1396">
        <f>SUM(G25:G34)</f>
        <v>5095646.667</v>
      </c>
      <c r="H35" s="1380">
        <f>G35/G15</f>
        <v>0.6686780013</v>
      </c>
      <c r="I35" s="1396">
        <f>SUM(I25:I34)</f>
        <v>5095646.667</v>
      </c>
      <c r="J35" s="1380">
        <f>I35/I15</f>
        <v>0.6686780013</v>
      </c>
      <c r="K35" s="1396" t="str">
        <f>SUM(K25:K34)</f>
        <v>#REF!</v>
      </c>
      <c r="L35" s="1403"/>
      <c r="M35" s="1396" t="str">
        <f>SUM(M25:M34)</f>
        <v>#REF!</v>
      </c>
      <c r="N35" s="1379" t="str">
        <f>M35/$M$15</f>
        <v>#REF!</v>
      </c>
      <c r="O35" s="1396" t="str">
        <f>SUM(O25:O34)</f>
        <v>#REF!</v>
      </c>
      <c r="P35" s="1379" t="str">
        <f>O35/O15</f>
        <v>#REF!</v>
      </c>
      <c r="Q35" s="1396" t="str">
        <f>SUM(Q25:Q34)</f>
        <v>#REF!</v>
      </c>
      <c r="R35" s="1379" t="str">
        <f>Q35/Q15</f>
        <v>#REF!</v>
      </c>
      <c r="S35" s="1396" t="str">
        <f>SUM(S25:S34)</f>
        <v>#REF!</v>
      </c>
      <c r="T35" s="1379" t="str">
        <f>S35/S15</f>
        <v>#REF!</v>
      </c>
      <c r="U35" s="1396" t="str">
        <f>SUM(U25:U34)</f>
        <v>#REF!</v>
      </c>
      <c r="V35" s="1379" t="str">
        <f>U35/U15</f>
        <v>#REF!</v>
      </c>
      <c r="W35" s="1396" t="str">
        <f>SUM(W25:W34)</f>
        <v>#REF!</v>
      </c>
      <c r="X35" s="1380" t="str">
        <f>W35/W15</f>
        <v>#REF!</v>
      </c>
      <c r="Y35" s="1382" t="str">
        <f t="shared" ref="Y35:Z35" si="37">SUM(Y25:Y34)</f>
        <v>#REF!</v>
      </c>
      <c r="Z35" s="1382">
        <f t="shared" si="37"/>
        <v>0</v>
      </c>
      <c r="AA35" s="1383" t="str">
        <f t="shared" si="36"/>
        <v>#REF!</v>
      </c>
    </row>
    <row r="36" ht="15.75" customHeight="1">
      <c r="A36" s="439"/>
      <c r="B36" s="526"/>
      <c r="C36" s="515"/>
      <c r="D36" s="1397"/>
      <c r="E36" s="1398"/>
      <c r="F36" s="1397"/>
      <c r="G36" s="1398"/>
      <c r="H36" s="1397"/>
      <c r="I36" s="1409"/>
      <c r="J36" s="1410"/>
      <c r="K36" s="1398"/>
      <c r="L36" s="1397"/>
      <c r="M36" s="1398"/>
      <c r="N36" s="1397"/>
      <c r="O36" s="1398"/>
      <c r="P36" s="1397"/>
      <c r="Q36" s="1398"/>
      <c r="R36" s="1397"/>
      <c r="S36" s="1398"/>
      <c r="T36" s="1397"/>
      <c r="U36" s="1398"/>
      <c r="V36" s="1397"/>
      <c r="W36" s="1409"/>
      <c r="X36" s="1410"/>
      <c r="Y36" s="1401"/>
      <c r="Z36" s="1401"/>
      <c r="AA36" s="1402"/>
    </row>
    <row r="37" ht="15.75" customHeight="1">
      <c r="A37" s="439"/>
      <c r="B37" s="1361" t="s">
        <v>44</v>
      </c>
      <c r="C37" s="1378">
        <f>C23-C35</f>
        <v>1488635.408</v>
      </c>
      <c r="D37" s="1379">
        <f>C37/$C$15</f>
        <v>0.123991549</v>
      </c>
      <c r="E37" s="1396">
        <f>E23-E35</f>
        <v>2837110.379</v>
      </c>
      <c r="F37" s="1379">
        <f>E37/E15</f>
        <v>0.2143503834</v>
      </c>
      <c r="G37" s="1396">
        <f>G23-G35</f>
        <v>-794026.7569</v>
      </c>
      <c r="H37" s="1380">
        <f>G37/G15</f>
        <v>-0.1041964366</v>
      </c>
      <c r="I37" s="1411">
        <f>I23-I35</f>
        <v>-794026.7569</v>
      </c>
      <c r="J37" s="1380">
        <f>I37/I15</f>
        <v>-0.1041964366</v>
      </c>
      <c r="K37" s="1396" t="str">
        <f>K23-K35</f>
        <v>#REF!</v>
      </c>
      <c r="L37" s="1403"/>
      <c r="M37" s="1396" t="str">
        <f>M23-M35</f>
        <v>#REF!</v>
      </c>
      <c r="N37" s="1379" t="str">
        <f>M37/$M$15</f>
        <v>#REF!</v>
      </c>
      <c r="O37" s="1396" t="str">
        <f>O23-O35</f>
        <v>#REF!</v>
      </c>
      <c r="P37" s="1379" t="str">
        <f>O37/O15</f>
        <v>#REF!</v>
      </c>
      <c r="Q37" s="1396" t="str">
        <f>Q23-Q35</f>
        <v>#REF!</v>
      </c>
      <c r="R37" s="1379" t="str">
        <f>Q37/Q15</f>
        <v>#REF!</v>
      </c>
      <c r="S37" s="1396" t="str">
        <f>S23-S35</f>
        <v>#REF!</v>
      </c>
      <c r="T37" s="1379" t="str">
        <f>S37/S15</f>
        <v>#REF!</v>
      </c>
      <c r="U37" s="1396" t="str">
        <f>U23-U35</f>
        <v>#REF!</v>
      </c>
      <c r="V37" s="1379" t="str">
        <f>U37/U15</f>
        <v>#REF!</v>
      </c>
      <c r="W37" s="1396" t="str">
        <f>W23-W35</f>
        <v>#REF!</v>
      </c>
      <c r="X37" s="1379" t="str">
        <f>W37/W15</f>
        <v>#REF!</v>
      </c>
      <c r="Y37" s="1382" t="str">
        <f t="shared" ref="Y37:Z37" si="38">Y23-Y35</f>
        <v>#REF!</v>
      </c>
      <c r="Z37" s="1382">
        <f t="shared" si="38"/>
        <v>0</v>
      </c>
      <c r="AA37" s="1383" t="str">
        <f>Y37/Z37</f>
        <v>#REF!</v>
      </c>
    </row>
    <row r="38" ht="15.75" customHeight="1">
      <c r="A38" s="439"/>
      <c r="B38" s="439"/>
      <c r="C38" s="1358"/>
      <c r="D38" s="1358"/>
      <c r="E38" s="1358"/>
      <c r="F38" s="1358"/>
      <c r="G38" s="1358"/>
      <c r="H38" s="1358"/>
      <c r="I38" s="1358"/>
      <c r="J38" s="1358"/>
      <c r="K38" s="1358"/>
      <c r="L38" s="1358"/>
      <c r="M38" s="1358"/>
      <c r="N38" s="1358"/>
      <c r="O38" s="1358"/>
      <c r="P38" s="1358"/>
      <c r="Q38" s="1358"/>
      <c r="R38" s="1358"/>
      <c r="S38" s="1358"/>
      <c r="T38" s="1358"/>
      <c r="U38" s="1358"/>
      <c r="V38" s="1358"/>
      <c r="W38" s="1358"/>
      <c r="X38" s="1358"/>
      <c r="Y38" s="1359"/>
      <c r="Z38" s="1359"/>
      <c r="AA38" s="1358"/>
    </row>
    <row r="39" ht="15.75" customHeight="1">
      <c r="A39" s="439"/>
      <c r="B39" s="439"/>
      <c r="C39" s="1412">
        <f>'Summary Sheet - April 2026'!AQ31</f>
        <v>1488635.408</v>
      </c>
      <c r="D39" s="439" t="str">
        <f>'Summary Sheet - April 2026'!AR31</f>
        <v/>
      </c>
      <c r="E39" s="1412">
        <f>'Summary Sheet - May 2026'!AQ31</f>
        <v>2837110.379</v>
      </c>
      <c r="F39" s="439" t="str">
        <f>'Summary Sheet - May 2026'!AR31</f>
        <v/>
      </c>
      <c r="G39" s="1416">
        <f>'Summary Sheet - June 2026'!AQ31</f>
        <v>-794026.7569</v>
      </c>
      <c r="H39" s="1358" t="str">
        <f>'Summary Sheet - June 2026'!AR31</f>
        <v/>
      </c>
      <c r="I39" s="1416">
        <f>'Summary Sheet - July 2026'!AQ31</f>
        <v>-794026.7569</v>
      </c>
      <c r="J39" s="1358" t="str">
        <f>'Summary Sheet - July 2026'!AR31</f>
        <v/>
      </c>
      <c r="K39" s="1358" t="str">
        <f t="shared" ref="K39:L39" si="39">'Summary Sheet - Aug 2026'!AQ31</f>
        <v>#REF!</v>
      </c>
      <c r="L39" s="1358" t="str">
        <f t="shared" si="39"/>
        <v>#REF!</v>
      </c>
      <c r="M39" s="1358" t="str">
        <f>'Summary Sheet - Sep 2026'!AQ31</f>
        <v>#REF!</v>
      </c>
      <c r="N39" s="1358" t="str">
        <f>'Summary Sheet - Aug 2026'!AT31</f>
        <v>#REF!</v>
      </c>
      <c r="O39" s="1358" t="str">
        <f t="shared" ref="O39:P39" si="40">'Summary Sheet - Oct 2026'!AQ31</f>
        <v>#REF!</v>
      </c>
      <c r="P39" s="1358" t="str">
        <f t="shared" si="40"/>
        <v>#REF!</v>
      </c>
      <c r="Q39" s="1358" t="str">
        <f t="shared" ref="Q39:R39" si="41">'Summary Sheet - Nov 2026'!AQ31</f>
        <v>#REF!</v>
      </c>
      <c r="R39" s="1358" t="str">
        <f t="shared" si="41"/>
        <v>#REF!</v>
      </c>
      <c r="S39" s="1358" t="str">
        <f t="shared" ref="S39:T39" si="42">'Summary Sheet - Dec 2026'!AQ31</f>
        <v>#REF!</v>
      </c>
      <c r="T39" s="1358" t="str">
        <f t="shared" si="42"/>
        <v>#REF!</v>
      </c>
      <c r="U39" s="1358" t="str">
        <f t="shared" ref="U39:V39" si="43">'Summary Sheet - Jan 2027'!AQ31</f>
        <v>#REF!</v>
      </c>
      <c r="V39" s="1358" t="str">
        <f t="shared" si="43"/>
        <v>#REF!</v>
      </c>
      <c r="W39" s="1358" t="str">
        <f>'Summary Sheet - Feb 2027'!AQ31</f>
        <v>#REF!</v>
      </c>
      <c r="X39" s="1413"/>
      <c r="Y39" s="1415"/>
      <c r="Z39" s="1415"/>
      <c r="AA39" s="1413"/>
    </row>
    <row r="40" ht="15.75" customHeight="1">
      <c r="A40" s="439"/>
      <c r="B40" s="439"/>
      <c r="C40" s="1416">
        <f>+C37-C39</f>
        <v>0</v>
      </c>
      <c r="D40" s="1358"/>
      <c r="E40" s="1416">
        <f>+E37-E39</f>
        <v>0</v>
      </c>
      <c r="F40" s="1358"/>
      <c r="G40" s="1416">
        <f>+G37-G39</f>
        <v>0</v>
      </c>
      <c r="H40" s="1358"/>
      <c r="I40" s="1416">
        <f>+I37-I39</f>
        <v>0</v>
      </c>
      <c r="J40" s="1358"/>
      <c r="K40" s="1416" t="str">
        <f>+K37-K39</f>
        <v>#REF!</v>
      </c>
      <c r="L40" s="1358"/>
      <c r="M40" s="1413" t="str">
        <f>+M37-M39</f>
        <v>#REF!</v>
      </c>
      <c r="N40" s="1358"/>
      <c r="O40" s="1413" t="str">
        <f>+O37-O39</f>
        <v>#REF!</v>
      </c>
      <c r="P40" s="1358"/>
      <c r="Q40" s="1413" t="str">
        <f>+Q37-Q39</f>
        <v>#REF!</v>
      </c>
      <c r="R40" s="1358"/>
      <c r="S40" s="1413" t="str">
        <f>+S37-S39</f>
        <v>#REF!</v>
      </c>
      <c r="T40" s="1358"/>
      <c r="U40" s="1413" t="str">
        <f>+U37-U39</f>
        <v>#REF!</v>
      </c>
      <c r="V40" s="1358"/>
      <c r="W40" s="1413" t="str">
        <f>+W37-W39</f>
        <v>#REF!</v>
      </c>
      <c r="X40" s="1358"/>
      <c r="Y40" s="1418"/>
      <c r="Z40" s="1359"/>
      <c r="AA40" s="1358"/>
    </row>
    <row r="41" ht="15.75" customHeight="1">
      <c r="A41" s="439"/>
      <c r="B41" s="439"/>
      <c r="C41" s="1358"/>
      <c r="D41" s="1358"/>
      <c r="E41" s="1358"/>
      <c r="F41" s="1358"/>
      <c r="G41" s="1358"/>
      <c r="H41" s="1358"/>
      <c r="I41" s="1358"/>
      <c r="J41" s="1358"/>
      <c r="K41" s="1358"/>
      <c r="L41" s="1358"/>
      <c r="M41" s="1358"/>
      <c r="N41" s="1358"/>
      <c r="O41" s="1358"/>
      <c r="P41" s="1358"/>
      <c r="Q41" s="1358"/>
      <c r="R41" s="1358"/>
      <c r="S41" s="1358"/>
      <c r="T41" s="1358"/>
      <c r="U41" s="1358"/>
      <c r="V41" s="1358"/>
      <c r="W41" s="1358"/>
      <c r="X41" s="1358"/>
      <c r="Y41" s="1359"/>
      <c r="Z41" s="1359"/>
      <c r="AA41" s="1358"/>
    </row>
    <row r="42" ht="15.75" customHeight="1">
      <c r="A42" s="439"/>
      <c r="B42" s="439"/>
      <c r="C42" s="1358"/>
      <c r="D42" s="1358"/>
      <c r="E42" s="1358"/>
      <c r="F42" s="1358"/>
      <c r="G42" s="1358"/>
      <c r="H42" s="1358"/>
      <c r="I42" s="1358"/>
      <c r="J42" s="1358"/>
      <c r="K42" s="1358"/>
      <c r="L42" s="1358"/>
      <c r="M42" s="1358"/>
      <c r="N42" s="1358"/>
      <c r="O42" s="1358"/>
      <c r="P42" s="1358"/>
      <c r="Q42" s="1358"/>
      <c r="R42" s="1358"/>
      <c r="S42" s="1358"/>
      <c r="T42" s="1358"/>
      <c r="U42" s="1358"/>
      <c r="V42" s="1358"/>
      <c r="W42" s="1358"/>
      <c r="X42" s="1358"/>
      <c r="Y42" s="1359"/>
      <c r="Z42" s="1359"/>
      <c r="AA42" s="1358"/>
    </row>
    <row r="43" ht="15.75" customHeight="1">
      <c r="A43" s="439"/>
      <c r="B43" s="439"/>
      <c r="C43" s="1358"/>
      <c r="D43" s="1358"/>
      <c r="E43" s="1358"/>
      <c r="F43" s="1358"/>
      <c r="G43" s="1358"/>
      <c r="H43" s="1358"/>
      <c r="I43" s="1358"/>
      <c r="J43" s="1358"/>
      <c r="K43" s="1358"/>
      <c r="L43" s="1358"/>
      <c r="M43" s="1358"/>
      <c r="N43" s="1358"/>
      <c r="O43" s="1358"/>
      <c r="P43" s="1358"/>
      <c r="Q43" s="1358"/>
      <c r="R43" s="1358"/>
      <c r="S43" s="1358"/>
      <c r="T43" s="1358"/>
      <c r="U43" s="1358"/>
      <c r="V43" s="1358"/>
      <c r="W43" s="1358"/>
      <c r="X43" s="1358"/>
      <c r="Y43" s="1359"/>
      <c r="Z43" s="1359"/>
      <c r="AA43" s="1358"/>
    </row>
    <row r="44" ht="15.75" customHeight="1">
      <c r="A44" s="439"/>
      <c r="B44" s="439"/>
      <c r="C44" s="1358"/>
      <c r="D44" s="1358"/>
      <c r="E44" s="1358"/>
      <c r="F44" s="1358"/>
      <c r="G44" s="1358"/>
      <c r="H44" s="1358"/>
      <c r="I44" s="1358"/>
      <c r="J44" s="1358"/>
      <c r="K44" s="1358"/>
      <c r="L44" s="1358"/>
      <c r="M44" s="1358"/>
      <c r="N44" s="1358"/>
      <c r="O44" s="1358"/>
      <c r="P44" s="1358"/>
      <c r="Q44" s="1358"/>
      <c r="R44" s="1358"/>
      <c r="S44" s="1358"/>
      <c r="T44" s="1358"/>
      <c r="U44" s="1358"/>
      <c r="V44" s="1358"/>
      <c r="W44" s="1358"/>
      <c r="X44" s="1358"/>
      <c r="Y44" s="1359"/>
      <c r="Z44" s="1359"/>
      <c r="AA44" s="1358"/>
    </row>
    <row r="45" ht="15.75" customHeight="1">
      <c r="A45" s="439"/>
      <c r="B45" s="439"/>
      <c r="C45" s="1358"/>
      <c r="D45" s="1358"/>
      <c r="E45" s="1358"/>
      <c r="F45" s="1358"/>
      <c r="G45" s="1358"/>
      <c r="H45" s="1358"/>
      <c r="I45" s="1358"/>
      <c r="J45" s="1358"/>
      <c r="K45" s="1358"/>
      <c r="L45" s="1358"/>
      <c r="M45" s="1358"/>
      <c r="N45" s="1358"/>
      <c r="O45" s="1358"/>
      <c r="P45" s="1358"/>
      <c r="Q45" s="1358"/>
      <c r="R45" s="1358"/>
      <c r="S45" s="1358"/>
      <c r="T45" s="1358"/>
      <c r="U45" s="1358"/>
      <c r="V45" s="1358"/>
      <c r="W45" s="1358"/>
      <c r="X45" s="1358"/>
      <c r="Y45" s="1359"/>
      <c r="Z45" s="1359"/>
      <c r="AA45" s="1358"/>
    </row>
    <row r="46" ht="15.75" customHeight="1">
      <c r="A46" s="439"/>
      <c r="B46" s="439"/>
      <c r="C46" s="1358"/>
      <c r="D46" s="1358"/>
      <c r="E46" s="1358"/>
      <c r="F46" s="1358"/>
      <c r="G46" s="1358"/>
      <c r="H46" s="1358"/>
      <c r="I46" s="1358"/>
      <c r="J46" s="1358"/>
      <c r="K46" s="1358"/>
      <c r="L46" s="1358"/>
      <c r="M46" s="1358"/>
      <c r="N46" s="1358"/>
      <c r="O46" s="1358"/>
      <c r="P46" s="1358"/>
      <c r="Q46" s="1358"/>
      <c r="R46" s="1358"/>
      <c r="S46" s="1358"/>
      <c r="T46" s="1358"/>
      <c r="U46" s="1358"/>
      <c r="V46" s="1358"/>
      <c r="W46" s="1358"/>
      <c r="X46" s="1358"/>
      <c r="Y46" s="1359"/>
      <c r="Z46" s="1359"/>
      <c r="AA46" s="1358"/>
    </row>
    <row r="47" ht="15.75" customHeight="1">
      <c r="A47" s="439"/>
      <c r="B47" s="439"/>
      <c r="C47" s="1358"/>
      <c r="D47" s="1358"/>
      <c r="E47" s="1358"/>
      <c r="F47" s="1358"/>
      <c r="G47" s="1358"/>
      <c r="H47" s="1358"/>
      <c r="I47" s="1358"/>
      <c r="J47" s="1358"/>
      <c r="K47" s="1358"/>
      <c r="L47" s="1358"/>
      <c r="M47" s="1358"/>
      <c r="N47" s="1358"/>
      <c r="O47" s="1358"/>
      <c r="P47" s="1358"/>
      <c r="Q47" s="1358"/>
      <c r="R47" s="1358"/>
      <c r="S47" s="1358"/>
      <c r="T47" s="1358"/>
      <c r="U47" s="1358"/>
      <c r="V47" s="1358"/>
      <c r="W47" s="1358"/>
      <c r="X47" s="1358"/>
      <c r="Y47" s="1359"/>
      <c r="Z47" s="1359"/>
      <c r="AA47" s="1358"/>
    </row>
    <row r="48" ht="15.75" customHeight="1">
      <c r="A48" s="439"/>
      <c r="B48" s="439"/>
      <c r="C48" s="1358"/>
      <c r="D48" s="1358"/>
      <c r="E48" s="1358"/>
      <c r="F48" s="1358"/>
      <c r="G48" s="1358"/>
      <c r="H48" s="1358"/>
      <c r="I48" s="1358"/>
      <c r="J48" s="1358"/>
      <c r="K48" s="1358"/>
      <c r="L48" s="1358"/>
      <c r="M48" s="1358"/>
      <c r="N48" s="1358"/>
      <c r="O48" s="1358"/>
      <c r="P48" s="1358"/>
      <c r="Q48" s="1358"/>
      <c r="R48" s="1358"/>
      <c r="S48" s="1358"/>
      <c r="T48" s="1358"/>
      <c r="U48" s="1358"/>
      <c r="V48" s="1358"/>
      <c r="W48" s="1358"/>
      <c r="X48" s="1358"/>
      <c r="Y48" s="1359"/>
      <c r="Z48" s="1359"/>
      <c r="AA48" s="1358"/>
    </row>
    <row r="49" ht="15.75" customHeight="1">
      <c r="A49" s="439"/>
      <c r="B49" s="439"/>
      <c r="C49" s="1358"/>
      <c r="D49" s="1358"/>
      <c r="E49" s="1358"/>
      <c r="F49" s="1358"/>
      <c r="G49" s="1358"/>
      <c r="H49" s="1358"/>
      <c r="I49" s="1358"/>
      <c r="J49" s="1358"/>
      <c r="K49" s="1358"/>
      <c r="L49" s="1358"/>
      <c r="M49" s="1358"/>
      <c r="N49" s="1358"/>
      <c r="O49" s="1358"/>
      <c r="P49" s="1358"/>
      <c r="Q49" s="1358"/>
      <c r="R49" s="1358"/>
      <c r="S49" s="1358"/>
      <c r="T49" s="1358"/>
      <c r="U49" s="1358"/>
      <c r="V49" s="1358"/>
      <c r="W49" s="1358"/>
      <c r="X49" s="1358"/>
      <c r="Y49" s="1359"/>
      <c r="Z49" s="1359"/>
      <c r="AA49" s="1358"/>
    </row>
    <row r="50" ht="15.75" customHeight="1">
      <c r="A50" s="439"/>
      <c r="B50" s="439"/>
      <c r="C50" s="1358"/>
      <c r="D50" s="1358"/>
      <c r="E50" s="1358"/>
      <c r="F50" s="1358"/>
      <c r="G50" s="1358"/>
      <c r="H50" s="1358"/>
      <c r="I50" s="1358"/>
      <c r="J50" s="1358"/>
      <c r="K50" s="1358"/>
      <c r="L50" s="1358"/>
      <c r="M50" s="1358"/>
      <c r="N50" s="1358"/>
      <c r="O50" s="1358"/>
      <c r="P50" s="1358"/>
      <c r="Q50" s="1358"/>
      <c r="R50" s="1358"/>
      <c r="S50" s="1358"/>
      <c r="T50" s="1358"/>
      <c r="U50" s="1358"/>
      <c r="V50" s="1358"/>
      <c r="W50" s="1358"/>
      <c r="X50" s="1358"/>
      <c r="Y50" s="1359"/>
      <c r="Z50" s="1359"/>
      <c r="AA50" s="1358"/>
    </row>
    <row r="51" ht="15.75" customHeight="1">
      <c r="A51" s="439"/>
      <c r="B51" s="439"/>
      <c r="C51" s="1358"/>
      <c r="D51" s="1358"/>
      <c r="E51" s="1358"/>
      <c r="F51" s="1358"/>
      <c r="G51" s="1358"/>
      <c r="H51" s="1358"/>
      <c r="I51" s="1358"/>
      <c r="J51" s="1358"/>
      <c r="K51" s="1358"/>
      <c r="L51" s="1358"/>
      <c r="M51" s="1358"/>
      <c r="N51" s="1358"/>
      <c r="O51" s="1358"/>
      <c r="P51" s="1358"/>
      <c r="Q51" s="1358"/>
      <c r="R51" s="1358"/>
      <c r="S51" s="1358"/>
      <c r="T51" s="1358"/>
      <c r="U51" s="1358"/>
      <c r="V51" s="1358"/>
      <c r="W51" s="1358"/>
      <c r="X51" s="1358"/>
      <c r="Y51" s="1359"/>
      <c r="Z51" s="1359"/>
      <c r="AA51" s="1358"/>
    </row>
    <row r="52" ht="15.75" customHeight="1">
      <c r="A52" s="439"/>
      <c r="B52" s="439"/>
      <c r="C52" s="1358"/>
      <c r="D52" s="1358"/>
      <c r="E52" s="1358"/>
      <c r="F52" s="1358"/>
      <c r="G52" s="1358"/>
      <c r="H52" s="1358"/>
      <c r="I52" s="1358"/>
      <c r="J52" s="1358"/>
      <c r="K52" s="1358"/>
      <c r="L52" s="1358"/>
      <c r="M52" s="1358"/>
      <c r="N52" s="1358"/>
      <c r="O52" s="1358"/>
      <c r="P52" s="1358"/>
      <c r="Q52" s="1358"/>
      <c r="R52" s="1358"/>
      <c r="S52" s="1358"/>
      <c r="T52" s="1358"/>
      <c r="U52" s="1358"/>
      <c r="V52" s="1358"/>
      <c r="W52" s="1358"/>
      <c r="X52" s="1358"/>
      <c r="Y52" s="1359"/>
      <c r="Z52" s="1359"/>
      <c r="AA52" s="1358"/>
    </row>
    <row r="53" ht="15.75" customHeight="1">
      <c r="A53" s="439"/>
      <c r="B53" s="439"/>
      <c r="C53" s="1358"/>
      <c r="D53" s="1358"/>
      <c r="E53" s="1358"/>
      <c r="F53" s="1358"/>
      <c r="G53" s="1358"/>
      <c r="H53" s="1358"/>
      <c r="I53" s="1358"/>
      <c r="J53" s="1358"/>
      <c r="K53" s="1358"/>
      <c r="L53" s="1358"/>
      <c r="M53" s="1358"/>
      <c r="N53" s="1358"/>
      <c r="O53" s="1358"/>
      <c r="P53" s="1358"/>
      <c r="Q53" s="1358"/>
      <c r="R53" s="1358"/>
      <c r="S53" s="1358"/>
      <c r="T53" s="1358"/>
      <c r="U53" s="1358"/>
      <c r="V53" s="1358"/>
      <c r="W53" s="1358"/>
      <c r="X53" s="1358"/>
      <c r="Y53" s="1359"/>
      <c r="Z53" s="1359"/>
      <c r="AA53" s="1358"/>
    </row>
    <row r="54" ht="15.75" customHeight="1">
      <c r="A54" s="439"/>
      <c r="B54" s="439"/>
      <c r="C54" s="1358"/>
      <c r="D54" s="1358"/>
      <c r="E54" s="1358"/>
      <c r="F54" s="1358"/>
      <c r="G54" s="1358"/>
      <c r="H54" s="1358"/>
      <c r="I54" s="1358"/>
      <c r="J54" s="1358"/>
      <c r="K54" s="1358"/>
      <c r="L54" s="1358"/>
      <c r="M54" s="1358"/>
      <c r="N54" s="1358"/>
      <c r="O54" s="1358"/>
      <c r="P54" s="1358"/>
      <c r="Q54" s="1358"/>
      <c r="R54" s="1358"/>
      <c r="S54" s="1358"/>
      <c r="T54" s="1358"/>
      <c r="U54" s="1358"/>
      <c r="V54" s="1358"/>
      <c r="W54" s="1358"/>
      <c r="X54" s="1358"/>
      <c r="Y54" s="1359"/>
      <c r="Z54" s="1359"/>
      <c r="AA54" s="1358"/>
    </row>
    <row r="55" ht="15.75" customHeight="1">
      <c r="A55" s="439"/>
      <c r="B55" s="439"/>
      <c r="C55" s="1358"/>
      <c r="D55" s="1358"/>
      <c r="E55" s="1358"/>
      <c r="F55" s="1358"/>
      <c r="G55" s="1358"/>
      <c r="H55" s="1358"/>
      <c r="I55" s="1358"/>
      <c r="J55" s="1358"/>
      <c r="K55" s="1358"/>
      <c r="L55" s="1358"/>
      <c r="M55" s="1358"/>
      <c r="N55" s="1358"/>
      <c r="O55" s="1358"/>
      <c r="P55" s="1358"/>
      <c r="Q55" s="1358"/>
      <c r="R55" s="1358"/>
      <c r="S55" s="1358"/>
      <c r="T55" s="1358"/>
      <c r="U55" s="1358"/>
      <c r="V55" s="1358"/>
      <c r="W55" s="1358"/>
      <c r="X55" s="1358"/>
      <c r="Y55" s="1359"/>
      <c r="Z55" s="1359"/>
      <c r="AA55" s="1358"/>
    </row>
    <row r="56" ht="15.75" customHeight="1">
      <c r="A56" s="439"/>
      <c r="B56" s="439"/>
      <c r="C56" s="1358"/>
      <c r="D56" s="1358"/>
      <c r="E56" s="1358"/>
      <c r="F56" s="1358"/>
      <c r="G56" s="1358"/>
      <c r="H56" s="1358"/>
      <c r="I56" s="1358"/>
      <c r="J56" s="1358"/>
      <c r="K56" s="1358"/>
      <c r="L56" s="1358"/>
      <c r="M56" s="1358"/>
      <c r="N56" s="1358"/>
      <c r="O56" s="1358"/>
      <c r="P56" s="1358"/>
      <c r="Q56" s="1358"/>
      <c r="R56" s="1358"/>
      <c r="S56" s="1358"/>
      <c r="T56" s="1358"/>
      <c r="U56" s="1358"/>
      <c r="V56" s="1358"/>
      <c r="W56" s="1358"/>
      <c r="X56" s="1358"/>
      <c r="Y56" s="1359"/>
      <c r="Z56" s="1359"/>
      <c r="AA56" s="1358"/>
    </row>
    <row r="57" ht="15.75" customHeight="1">
      <c r="A57" s="439"/>
      <c r="B57" s="439"/>
      <c r="C57" s="1358"/>
      <c r="D57" s="1358"/>
      <c r="E57" s="1358"/>
      <c r="F57" s="1358"/>
      <c r="G57" s="1358"/>
      <c r="H57" s="1358"/>
      <c r="I57" s="1358"/>
      <c r="J57" s="1358"/>
      <c r="K57" s="1358"/>
      <c r="L57" s="1358"/>
      <c r="M57" s="1358"/>
      <c r="N57" s="1358"/>
      <c r="O57" s="1358"/>
      <c r="P57" s="1358"/>
      <c r="Q57" s="1358"/>
      <c r="R57" s="1358"/>
      <c r="S57" s="1358"/>
      <c r="T57" s="1358"/>
      <c r="U57" s="1358"/>
      <c r="V57" s="1358"/>
      <c r="W57" s="1358"/>
      <c r="X57" s="1358"/>
      <c r="Y57" s="1359"/>
      <c r="Z57" s="1359"/>
      <c r="AA57" s="1358"/>
    </row>
    <row r="58" ht="15.75" customHeight="1">
      <c r="A58" s="439"/>
      <c r="B58" s="439"/>
      <c r="C58" s="1358"/>
      <c r="D58" s="1358"/>
      <c r="E58" s="1358"/>
      <c r="F58" s="1358"/>
      <c r="G58" s="1358"/>
      <c r="H58" s="1358"/>
      <c r="I58" s="1358"/>
      <c r="J58" s="1358"/>
      <c r="K58" s="1358"/>
      <c r="L58" s="1358"/>
      <c r="M58" s="1358"/>
      <c r="N58" s="1358"/>
      <c r="O58" s="1358"/>
      <c r="P58" s="1358"/>
      <c r="Q58" s="1358"/>
      <c r="R58" s="1358"/>
      <c r="S58" s="1358"/>
      <c r="T58" s="1358"/>
      <c r="U58" s="1358"/>
      <c r="V58" s="1358"/>
      <c r="W58" s="1358"/>
      <c r="X58" s="1358"/>
      <c r="Y58" s="1359"/>
      <c r="Z58" s="1359"/>
      <c r="AA58" s="1358"/>
    </row>
    <row r="59" ht="15.75" customHeight="1">
      <c r="A59" s="439"/>
      <c r="B59" s="439"/>
      <c r="C59" s="1358"/>
      <c r="D59" s="1358"/>
      <c r="E59" s="1358"/>
      <c r="F59" s="1358"/>
      <c r="G59" s="1358"/>
      <c r="H59" s="1358"/>
      <c r="I59" s="1358"/>
      <c r="J59" s="1358"/>
      <c r="K59" s="1358"/>
      <c r="L59" s="1358"/>
      <c r="M59" s="1358"/>
      <c r="N59" s="1358"/>
      <c r="O59" s="1358"/>
      <c r="P59" s="1358"/>
      <c r="Q59" s="1358"/>
      <c r="R59" s="1358"/>
      <c r="S59" s="1358"/>
      <c r="T59" s="1358"/>
      <c r="U59" s="1358"/>
      <c r="V59" s="1358"/>
      <c r="W59" s="1358"/>
      <c r="X59" s="1358"/>
      <c r="Y59" s="1359"/>
      <c r="Z59" s="1359"/>
      <c r="AA59" s="1358"/>
    </row>
    <row r="60" ht="15.75" customHeight="1">
      <c r="A60" s="439"/>
      <c r="B60" s="439"/>
      <c r="C60" s="1358"/>
      <c r="D60" s="1358"/>
      <c r="E60" s="1358"/>
      <c r="F60" s="1358"/>
      <c r="G60" s="1358"/>
      <c r="H60" s="1358"/>
      <c r="I60" s="1358"/>
      <c r="J60" s="1358"/>
      <c r="K60" s="1358"/>
      <c r="L60" s="1358"/>
      <c r="M60" s="1358"/>
      <c r="N60" s="1358"/>
      <c r="O60" s="1358"/>
      <c r="P60" s="1358"/>
      <c r="Q60" s="1358"/>
      <c r="R60" s="1358"/>
      <c r="S60" s="1358"/>
      <c r="T60" s="1358"/>
      <c r="U60" s="1358"/>
      <c r="V60" s="1358"/>
      <c r="W60" s="1358"/>
      <c r="X60" s="1358"/>
      <c r="Y60" s="1359"/>
      <c r="Z60" s="1359"/>
      <c r="AA60" s="1358"/>
    </row>
    <row r="61" ht="15.75" customHeight="1">
      <c r="A61" s="439"/>
      <c r="B61" s="439"/>
      <c r="C61" s="1358"/>
      <c r="D61" s="1358"/>
      <c r="E61" s="1358"/>
      <c r="F61" s="1358"/>
      <c r="G61" s="1358"/>
      <c r="H61" s="1358"/>
      <c r="I61" s="1358"/>
      <c r="J61" s="1358"/>
      <c r="K61" s="1358"/>
      <c r="L61" s="1358"/>
      <c r="M61" s="1358"/>
      <c r="N61" s="1358"/>
      <c r="O61" s="1358"/>
      <c r="P61" s="1358"/>
      <c r="Q61" s="1358"/>
      <c r="R61" s="1358"/>
      <c r="S61" s="1358"/>
      <c r="T61" s="1358"/>
      <c r="U61" s="1358"/>
      <c r="V61" s="1358"/>
      <c r="W61" s="1358"/>
      <c r="X61" s="1358"/>
      <c r="Y61" s="1359"/>
      <c r="Z61" s="1359"/>
      <c r="AA61" s="1358"/>
    </row>
    <row r="62" ht="15.75" customHeight="1">
      <c r="A62" s="439"/>
      <c r="B62" s="439"/>
      <c r="C62" s="1358"/>
      <c r="D62" s="1358"/>
      <c r="E62" s="1358"/>
      <c r="F62" s="1358"/>
      <c r="G62" s="1358"/>
      <c r="H62" s="1358"/>
      <c r="I62" s="1358"/>
      <c r="J62" s="1358"/>
      <c r="K62" s="1358"/>
      <c r="L62" s="1358"/>
      <c r="M62" s="1358"/>
      <c r="N62" s="1358"/>
      <c r="O62" s="1358"/>
      <c r="P62" s="1358"/>
      <c r="Q62" s="1358"/>
      <c r="R62" s="1358"/>
      <c r="S62" s="1358"/>
      <c r="T62" s="1358"/>
      <c r="U62" s="1358"/>
      <c r="V62" s="1358"/>
      <c r="W62" s="1358"/>
      <c r="X62" s="1358"/>
      <c r="Y62" s="1359"/>
      <c r="Z62" s="1359"/>
      <c r="AA62" s="1358"/>
    </row>
    <row r="63" ht="15.75" customHeight="1">
      <c r="A63" s="439"/>
      <c r="B63" s="439"/>
      <c r="C63" s="1358"/>
      <c r="D63" s="1358"/>
      <c r="E63" s="1358"/>
      <c r="F63" s="1358"/>
      <c r="G63" s="1358"/>
      <c r="H63" s="1358"/>
      <c r="I63" s="1358"/>
      <c r="J63" s="1358"/>
      <c r="K63" s="1358"/>
      <c r="L63" s="1358"/>
      <c r="M63" s="1358"/>
      <c r="N63" s="1358"/>
      <c r="O63" s="1358"/>
      <c r="P63" s="1358"/>
      <c r="Q63" s="1358"/>
      <c r="R63" s="1358"/>
      <c r="S63" s="1358"/>
      <c r="T63" s="1358"/>
      <c r="U63" s="1358"/>
      <c r="V63" s="1358"/>
      <c r="W63" s="1358"/>
      <c r="X63" s="1358"/>
      <c r="Y63" s="1359"/>
      <c r="Z63" s="1359"/>
      <c r="AA63" s="1358"/>
    </row>
    <row r="64" ht="15.75" customHeight="1">
      <c r="A64" s="439"/>
      <c r="B64" s="439"/>
      <c r="C64" s="1358"/>
      <c r="D64" s="1358"/>
      <c r="E64" s="1358"/>
      <c r="F64" s="1358"/>
      <c r="G64" s="1358"/>
      <c r="H64" s="1358"/>
      <c r="I64" s="1358"/>
      <c r="J64" s="1358"/>
      <c r="K64" s="1358"/>
      <c r="L64" s="1358"/>
      <c r="M64" s="1358"/>
      <c r="N64" s="1358"/>
      <c r="O64" s="1358"/>
      <c r="P64" s="1358"/>
      <c r="Q64" s="1358"/>
      <c r="R64" s="1358"/>
      <c r="S64" s="1358"/>
      <c r="T64" s="1358"/>
      <c r="U64" s="1358"/>
      <c r="V64" s="1358"/>
      <c r="W64" s="1358"/>
      <c r="X64" s="1358"/>
      <c r="Y64" s="1359"/>
      <c r="Z64" s="1359"/>
      <c r="AA64" s="1358"/>
    </row>
    <row r="65" ht="15.75" customHeight="1">
      <c r="A65" s="439"/>
      <c r="B65" s="439"/>
      <c r="C65" s="1358"/>
      <c r="D65" s="1358"/>
      <c r="E65" s="1358"/>
      <c r="F65" s="1358"/>
      <c r="G65" s="1358"/>
      <c r="H65" s="1358"/>
      <c r="I65" s="1358"/>
      <c r="J65" s="1358"/>
      <c r="K65" s="1358"/>
      <c r="L65" s="1358"/>
      <c r="M65" s="1358"/>
      <c r="N65" s="1358"/>
      <c r="O65" s="1358"/>
      <c r="P65" s="1358"/>
      <c r="Q65" s="1358"/>
      <c r="R65" s="1358"/>
      <c r="S65" s="1358"/>
      <c r="T65" s="1358"/>
      <c r="U65" s="1358"/>
      <c r="V65" s="1358"/>
      <c r="W65" s="1358"/>
      <c r="X65" s="1358"/>
      <c r="Y65" s="1359"/>
      <c r="Z65" s="1359"/>
      <c r="AA65" s="1358"/>
    </row>
    <row r="66" ht="15.75" customHeight="1">
      <c r="A66" s="439"/>
      <c r="B66" s="439"/>
      <c r="C66" s="1358"/>
      <c r="D66" s="1358"/>
      <c r="E66" s="1358"/>
      <c r="F66" s="1358"/>
      <c r="G66" s="1358"/>
      <c r="H66" s="1358"/>
      <c r="I66" s="1358"/>
      <c r="J66" s="1358"/>
      <c r="K66" s="1358"/>
      <c r="L66" s="1358"/>
      <c r="M66" s="1358"/>
      <c r="N66" s="1358"/>
      <c r="O66" s="1358"/>
      <c r="P66" s="1358"/>
      <c r="Q66" s="1358"/>
      <c r="R66" s="1358"/>
      <c r="S66" s="1358"/>
      <c r="T66" s="1358"/>
      <c r="U66" s="1358"/>
      <c r="V66" s="1358"/>
      <c r="W66" s="1358"/>
      <c r="X66" s="1358"/>
      <c r="Y66" s="1359"/>
      <c r="Z66" s="1359"/>
      <c r="AA66" s="1358"/>
    </row>
    <row r="67" ht="15.75" customHeight="1">
      <c r="A67" s="439"/>
      <c r="B67" s="439"/>
      <c r="C67" s="1358"/>
      <c r="D67" s="1358"/>
      <c r="E67" s="1358"/>
      <c r="F67" s="1358"/>
      <c r="G67" s="1358"/>
      <c r="H67" s="1358"/>
      <c r="I67" s="1358"/>
      <c r="J67" s="1358"/>
      <c r="K67" s="1358"/>
      <c r="L67" s="1358"/>
      <c r="M67" s="1358"/>
      <c r="N67" s="1358"/>
      <c r="O67" s="1358"/>
      <c r="P67" s="1358"/>
      <c r="Q67" s="1358"/>
      <c r="R67" s="1358"/>
      <c r="S67" s="1358"/>
      <c r="T67" s="1358"/>
      <c r="U67" s="1358"/>
      <c r="V67" s="1358"/>
      <c r="W67" s="1358"/>
      <c r="X67" s="1358"/>
      <c r="Y67" s="1359"/>
      <c r="Z67" s="1359"/>
      <c r="AA67" s="1358"/>
    </row>
    <row r="68" ht="15.75" customHeight="1">
      <c r="A68" s="439"/>
      <c r="B68" s="439"/>
      <c r="C68" s="1358"/>
      <c r="D68" s="1358"/>
      <c r="E68" s="1358"/>
      <c r="F68" s="1358"/>
      <c r="G68" s="1358"/>
      <c r="H68" s="1358"/>
      <c r="I68" s="1358"/>
      <c r="J68" s="1358"/>
      <c r="K68" s="1358"/>
      <c r="L68" s="1358"/>
      <c r="M68" s="1358"/>
      <c r="N68" s="1358"/>
      <c r="O68" s="1358"/>
      <c r="P68" s="1358"/>
      <c r="Q68" s="1358"/>
      <c r="R68" s="1358"/>
      <c r="S68" s="1358"/>
      <c r="T68" s="1358"/>
      <c r="U68" s="1358"/>
      <c r="V68" s="1358"/>
      <c r="W68" s="1358"/>
      <c r="X68" s="1358"/>
      <c r="Y68" s="1359"/>
      <c r="Z68" s="1359"/>
      <c r="AA68" s="1358"/>
    </row>
    <row r="69" ht="15.75" customHeight="1">
      <c r="A69" s="439"/>
      <c r="B69" s="439"/>
      <c r="C69" s="1358"/>
      <c r="D69" s="1358"/>
      <c r="E69" s="1358"/>
      <c r="F69" s="1358"/>
      <c r="G69" s="1358"/>
      <c r="H69" s="1358"/>
      <c r="I69" s="1358"/>
      <c r="J69" s="1358"/>
      <c r="K69" s="1358"/>
      <c r="L69" s="1358"/>
      <c r="M69" s="1358"/>
      <c r="N69" s="1358"/>
      <c r="O69" s="1358"/>
      <c r="P69" s="1358"/>
      <c r="Q69" s="1358"/>
      <c r="R69" s="1358"/>
      <c r="S69" s="1358"/>
      <c r="T69" s="1358"/>
      <c r="U69" s="1358"/>
      <c r="V69" s="1358"/>
      <c r="W69" s="1358"/>
      <c r="X69" s="1358"/>
      <c r="Y69" s="1359"/>
      <c r="Z69" s="1359"/>
      <c r="AA69" s="1358"/>
    </row>
    <row r="70" ht="15.75" customHeight="1">
      <c r="A70" s="439"/>
      <c r="B70" s="439"/>
      <c r="C70" s="1358"/>
      <c r="D70" s="1358"/>
      <c r="E70" s="1358"/>
      <c r="F70" s="1358"/>
      <c r="G70" s="1358"/>
      <c r="H70" s="1358"/>
      <c r="I70" s="1358"/>
      <c r="J70" s="1358"/>
      <c r="K70" s="1358"/>
      <c r="L70" s="1358"/>
      <c r="M70" s="1358"/>
      <c r="N70" s="1358"/>
      <c r="O70" s="1358"/>
      <c r="P70" s="1358"/>
      <c r="Q70" s="1358"/>
      <c r="R70" s="1358"/>
      <c r="S70" s="1358"/>
      <c r="T70" s="1358"/>
      <c r="U70" s="1358"/>
      <c r="V70" s="1358"/>
      <c r="W70" s="1358"/>
      <c r="X70" s="1358"/>
      <c r="Y70" s="1359"/>
      <c r="Z70" s="1359"/>
      <c r="AA70" s="1358"/>
    </row>
    <row r="71" ht="15.75" customHeight="1">
      <c r="A71" s="439"/>
      <c r="B71" s="439"/>
      <c r="C71" s="1358"/>
      <c r="D71" s="1358"/>
      <c r="E71" s="1358"/>
      <c r="F71" s="1358"/>
      <c r="G71" s="1358"/>
      <c r="H71" s="1358"/>
      <c r="I71" s="1358"/>
      <c r="J71" s="1358"/>
      <c r="K71" s="1358"/>
      <c r="L71" s="1358"/>
      <c r="M71" s="1358"/>
      <c r="N71" s="1358"/>
      <c r="O71" s="1358"/>
      <c r="P71" s="1358"/>
      <c r="Q71" s="1358"/>
      <c r="R71" s="1358"/>
      <c r="S71" s="1358"/>
      <c r="T71" s="1358"/>
      <c r="U71" s="1358"/>
      <c r="V71" s="1358"/>
      <c r="W71" s="1358"/>
      <c r="X71" s="1358"/>
      <c r="Y71" s="1359"/>
      <c r="Z71" s="1359"/>
      <c r="AA71" s="1358"/>
    </row>
    <row r="72" ht="15.75" customHeight="1">
      <c r="A72" s="439"/>
      <c r="B72" s="439"/>
      <c r="C72" s="1358"/>
      <c r="D72" s="1358"/>
      <c r="E72" s="1358"/>
      <c r="F72" s="1358"/>
      <c r="G72" s="1358"/>
      <c r="H72" s="1358"/>
      <c r="I72" s="1358"/>
      <c r="J72" s="1358"/>
      <c r="K72" s="1358"/>
      <c r="L72" s="1358"/>
      <c r="M72" s="1358"/>
      <c r="N72" s="1358"/>
      <c r="O72" s="1358"/>
      <c r="P72" s="1358"/>
      <c r="Q72" s="1358"/>
      <c r="R72" s="1358"/>
      <c r="S72" s="1358"/>
      <c r="T72" s="1358"/>
      <c r="U72" s="1358"/>
      <c r="V72" s="1358"/>
      <c r="W72" s="1358"/>
      <c r="X72" s="1358"/>
      <c r="Y72" s="1359"/>
      <c r="Z72" s="1359"/>
      <c r="AA72" s="1358"/>
    </row>
    <row r="73" ht="15.75" customHeight="1">
      <c r="A73" s="439"/>
      <c r="B73" s="439"/>
      <c r="C73" s="1358"/>
      <c r="D73" s="1358"/>
      <c r="E73" s="1358"/>
      <c r="F73" s="1358"/>
      <c r="G73" s="1358"/>
      <c r="H73" s="1358"/>
      <c r="I73" s="1358"/>
      <c r="J73" s="1358"/>
      <c r="K73" s="1358"/>
      <c r="L73" s="1358"/>
      <c r="M73" s="1358"/>
      <c r="N73" s="1358"/>
      <c r="O73" s="1358"/>
      <c r="P73" s="1358"/>
      <c r="Q73" s="1358"/>
      <c r="R73" s="1358"/>
      <c r="S73" s="1358"/>
      <c r="T73" s="1358"/>
      <c r="U73" s="1358"/>
      <c r="V73" s="1358"/>
      <c r="W73" s="1358"/>
      <c r="X73" s="1358"/>
      <c r="Y73" s="1359"/>
      <c r="Z73" s="1359"/>
      <c r="AA73" s="1358"/>
    </row>
    <row r="74" ht="15.75" customHeight="1">
      <c r="A74" s="439"/>
      <c r="B74" s="439"/>
      <c r="C74" s="1358"/>
      <c r="D74" s="1358"/>
      <c r="E74" s="1358"/>
      <c r="F74" s="1358"/>
      <c r="G74" s="1358"/>
      <c r="H74" s="1358"/>
      <c r="I74" s="1358"/>
      <c r="J74" s="1358"/>
      <c r="K74" s="1358"/>
      <c r="L74" s="1358"/>
      <c r="M74" s="1358"/>
      <c r="N74" s="1358"/>
      <c r="O74" s="1358"/>
      <c r="P74" s="1358"/>
      <c r="Q74" s="1358"/>
      <c r="R74" s="1358"/>
      <c r="S74" s="1358"/>
      <c r="T74" s="1358"/>
      <c r="U74" s="1358"/>
      <c r="V74" s="1358"/>
      <c r="W74" s="1358"/>
      <c r="X74" s="1358"/>
      <c r="Y74" s="1359"/>
      <c r="Z74" s="1359"/>
      <c r="AA74" s="1358"/>
    </row>
    <row r="75" ht="15.75" customHeight="1">
      <c r="A75" s="439"/>
      <c r="B75" s="439"/>
      <c r="C75" s="1358"/>
      <c r="D75" s="1358"/>
      <c r="E75" s="1358"/>
      <c r="F75" s="1358"/>
      <c r="G75" s="1358"/>
      <c r="H75" s="1358"/>
      <c r="I75" s="1358"/>
      <c r="J75" s="1358"/>
      <c r="K75" s="1358"/>
      <c r="L75" s="1358"/>
      <c r="M75" s="1358"/>
      <c r="N75" s="1358"/>
      <c r="O75" s="1358"/>
      <c r="P75" s="1358"/>
      <c r="Q75" s="1358"/>
      <c r="R75" s="1358"/>
      <c r="S75" s="1358"/>
      <c r="T75" s="1358"/>
      <c r="U75" s="1358"/>
      <c r="V75" s="1358"/>
      <c r="W75" s="1358"/>
      <c r="X75" s="1358"/>
      <c r="Y75" s="1359"/>
      <c r="Z75" s="1359"/>
      <c r="AA75" s="1358"/>
    </row>
    <row r="76" ht="15.75" customHeight="1">
      <c r="A76" s="439"/>
      <c r="B76" s="439"/>
      <c r="C76" s="1358"/>
      <c r="D76" s="1358"/>
      <c r="E76" s="1358"/>
      <c r="F76" s="1358"/>
      <c r="G76" s="1358"/>
      <c r="H76" s="1358"/>
      <c r="I76" s="1358"/>
      <c r="J76" s="1358"/>
      <c r="K76" s="1358"/>
      <c r="L76" s="1358"/>
      <c r="M76" s="1358"/>
      <c r="N76" s="1358"/>
      <c r="O76" s="1358"/>
      <c r="P76" s="1358"/>
      <c r="Q76" s="1358"/>
      <c r="R76" s="1358"/>
      <c r="S76" s="1358"/>
      <c r="T76" s="1358"/>
      <c r="U76" s="1358"/>
      <c r="V76" s="1358"/>
      <c r="W76" s="1358"/>
      <c r="X76" s="1358"/>
      <c r="Y76" s="1359"/>
      <c r="Z76" s="1359"/>
      <c r="AA76" s="1358"/>
    </row>
    <row r="77" ht="15.75" customHeight="1">
      <c r="A77" s="439"/>
      <c r="B77" s="439"/>
      <c r="C77" s="1358"/>
      <c r="D77" s="1358"/>
      <c r="E77" s="1358"/>
      <c r="F77" s="1358"/>
      <c r="G77" s="1358"/>
      <c r="H77" s="1358"/>
      <c r="I77" s="1358"/>
      <c r="J77" s="1358"/>
      <c r="K77" s="1358"/>
      <c r="L77" s="1358"/>
      <c r="M77" s="1358"/>
      <c r="N77" s="1358"/>
      <c r="O77" s="1358"/>
      <c r="P77" s="1358"/>
      <c r="Q77" s="1358"/>
      <c r="R77" s="1358"/>
      <c r="S77" s="1358"/>
      <c r="T77" s="1358"/>
      <c r="U77" s="1358"/>
      <c r="V77" s="1358"/>
      <c r="W77" s="1358"/>
      <c r="X77" s="1358"/>
      <c r="Y77" s="1359"/>
      <c r="Z77" s="1359"/>
      <c r="AA77" s="1358"/>
    </row>
    <row r="78" ht="15.75" customHeight="1">
      <c r="A78" s="439"/>
      <c r="B78" s="439"/>
      <c r="C78" s="1358"/>
      <c r="D78" s="1358"/>
      <c r="E78" s="1358"/>
      <c r="F78" s="1358"/>
      <c r="G78" s="1358"/>
      <c r="H78" s="1358"/>
      <c r="I78" s="1358"/>
      <c r="J78" s="1358"/>
      <c r="K78" s="1358"/>
      <c r="L78" s="1358"/>
      <c r="M78" s="1358"/>
      <c r="N78" s="1358"/>
      <c r="O78" s="1358"/>
      <c r="P78" s="1358"/>
      <c r="Q78" s="1358"/>
      <c r="R78" s="1358"/>
      <c r="S78" s="1358"/>
      <c r="T78" s="1358"/>
      <c r="U78" s="1358"/>
      <c r="V78" s="1358"/>
      <c r="W78" s="1358"/>
      <c r="X78" s="1358"/>
      <c r="Y78" s="1359"/>
      <c r="Z78" s="1359"/>
      <c r="AA78" s="1358"/>
    </row>
    <row r="79" ht="15.75" customHeight="1">
      <c r="A79" s="439"/>
      <c r="B79" s="439"/>
      <c r="C79" s="1358"/>
      <c r="D79" s="1358"/>
      <c r="E79" s="1358"/>
      <c r="F79" s="1358"/>
      <c r="G79" s="1358"/>
      <c r="H79" s="1358"/>
      <c r="I79" s="1358"/>
      <c r="J79" s="1358"/>
      <c r="K79" s="1358"/>
      <c r="L79" s="1358"/>
      <c r="M79" s="1358"/>
      <c r="N79" s="1358"/>
      <c r="O79" s="1358"/>
      <c r="P79" s="1358"/>
      <c r="Q79" s="1358"/>
      <c r="R79" s="1358"/>
      <c r="S79" s="1358"/>
      <c r="T79" s="1358"/>
      <c r="U79" s="1358"/>
      <c r="V79" s="1358"/>
      <c r="W79" s="1358"/>
      <c r="X79" s="1358"/>
      <c r="Y79" s="1359"/>
      <c r="Z79" s="1359"/>
      <c r="AA79" s="1358"/>
    </row>
    <row r="80" ht="15.75" customHeight="1">
      <c r="A80" s="439"/>
      <c r="B80" s="439"/>
      <c r="C80" s="1358"/>
      <c r="D80" s="1358"/>
      <c r="E80" s="1358"/>
      <c r="F80" s="1358"/>
      <c r="G80" s="1358"/>
      <c r="H80" s="1358"/>
      <c r="I80" s="1358"/>
      <c r="J80" s="1358"/>
      <c r="K80" s="1358"/>
      <c r="L80" s="1358"/>
      <c r="M80" s="1358"/>
      <c r="N80" s="1358"/>
      <c r="O80" s="1358"/>
      <c r="P80" s="1358"/>
      <c r="Q80" s="1358"/>
      <c r="R80" s="1358"/>
      <c r="S80" s="1358"/>
      <c r="T80" s="1358"/>
      <c r="U80" s="1358"/>
      <c r="V80" s="1358"/>
      <c r="W80" s="1358"/>
      <c r="X80" s="1358"/>
      <c r="Y80" s="1359"/>
      <c r="Z80" s="1359"/>
      <c r="AA80" s="1358"/>
    </row>
    <row r="81" ht="15.75" customHeight="1">
      <c r="A81" s="439"/>
      <c r="B81" s="439"/>
      <c r="C81" s="1358"/>
      <c r="D81" s="1358"/>
      <c r="E81" s="1358"/>
      <c r="F81" s="1358"/>
      <c r="G81" s="1358"/>
      <c r="H81" s="1358"/>
      <c r="I81" s="1358"/>
      <c r="J81" s="1358"/>
      <c r="K81" s="1358"/>
      <c r="L81" s="1358"/>
      <c r="M81" s="1358"/>
      <c r="N81" s="1358"/>
      <c r="O81" s="1358"/>
      <c r="P81" s="1358"/>
      <c r="Q81" s="1358"/>
      <c r="R81" s="1358"/>
      <c r="S81" s="1358"/>
      <c r="T81" s="1358"/>
      <c r="U81" s="1358"/>
      <c r="V81" s="1358"/>
      <c r="W81" s="1358"/>
      <c r="X81" s="1358"/>
      <c r="Y81" s="1359"/>
      <c r="Z81" s="1359"/>
      <c r="AA81" s="1358"/>
    </row>
    <row r="82" ht="15.75" customHeight="1">
      <c r="A82" s="439"/>
      <c r="B82" s="439"/>
      <c r="C82" s="1358"/>
      <c r="D82" s="1358"/>
      <c r="E82" s="1358"/>
      <c r="F82" s="1358"/>
      <c r="G82" s="1358"/>
      <c r="H82" s="1358"/>
      <c r="I82" s="1358"/>
      <c r="J82" s="1358"/>
      <c r="K82" s="1358"/>
      <c r="L82" s="1358"/>
      <c r="M82" s="1358"/>
      <c r="N82" s="1358"/>
      <c r="O82" s="1358"/>
      <c r="P82" s="1358"/>
      <c r="Q82" s="1358"/>
      <c r="R82" s="1358"/>
      <c r="S82" s="1358"/>
      <c r="T82" s="1358"/>
      <c r="U82" s="1358"/>
      <c r="V82" s="1358"/>
      <c r="W82" s="1358"/>
      <c r="X82" s="1358"/>
      <c r="Y82" s="1359"/>
      <c r="Z82" s="1359"/>
      <c r="AA82" s="1358"/>
    </row>
    <row r="83" ht="15.75" customHeight="1">
      <c r="A83" s="439"/>
      <c r="B83" s="439"/>
      <c r="C83" s="1358"/>
      <c r="D83" s="1358"/>
      <c r="E83" s="1358"/>
      <c r="F83" s="1358"/>
      <c r="G83" s="1358"/>
      <c r="H83" s="1358"/>
      <c r="I83" s="1358"/>
      <c r="J83" s="1358"/>
      <c r="K83" s="1358"/>
      <c r="L83" s="1358"/>
      <c r="M83" s="1358"/>
      <c r="N83" s="1358"/>
      <c r="O83" s="1358"/>
      <c r="P83" s="1358"/>
      <c r="Q83" s="1358"/>
      <c r="R83" s="1358"/>
      <c r="S83" s="1358"/>
      <c r="T83" s="1358"/>
      <c r="U83" s="1358"/>
      <c r="V83" s="1358"/>
      <c r="W83" s="1358"/>
      <c r="X83" s="1358"/>
      <c r="Y83" s="1359"/>
      <c r="Z83" s="1359"/>
      <c r="AA83" s="1358"/>
    </row>
    <row r="84" ht="15.75" customHeight="1">
      <c r="A84" s="439"/>
      <c r="B84" s="439"/>
      <c r="C84" s="1358"/>
      <c r="D84" s="1358"/>
      <c r="E84" s="1358"/>
      <c r="F84" s="1358"/>
      <c r="G84" s="1358"/>
      <c r="H84" s="1358"/>
      <c r="I84" s="1358"/>
      <c r="J84" s="1358"/>
      <c r="K84" s="1358"/>
      <c r="L84" s="1358"/>
      <c r="M84" s="1358"/>
      <c r="N84" s="1358"/>
      <c r="O84" s="1358"/>
      <c r="P84" s="1358"/>
      <c r="Q84" s="1358"/>
      <c r="R84" s="1358"/>
      <c r="S84" s="1358"/>
      <c r="T84" s="1358"/>
      <c r="U84" s="1358"/>
      <c r="V84" s="1358"/>
      <c r="W84" s="1358"/>
      <c r="X84" s="1358"/>
      <c r="Y84" s="1359"/>
      <c r="Z84" s="1359"/>
      <c r="AA84" s="1358"/>
    </row>
    <row r="85" ht="15.75" customHeight="1">
      <c r="A85" s="439"/>
      <c r="B85" s="439"/>
      <c r="C85" s="1358"/>
      <c r="D85" s="1358"/>
      <c r="E85" s="1358"/>
      <c r="F85" s="1358"/>
      <c r="G85" s="1358"/>
      <c r="H85" s="1358"/>
      <c r="I85" s="1358"/>
      <c r="J85" s="1358"/>
      <c r="K85" s="1358"/>
      <c r="L85" s="1358"/>
      <c r="M85" s="1358"/>
      <c r="N85" s="1358"/>
      <c r="O85" s="1358"/>
      <c r="P85" s="1358"/>
      <c r="Q85" s="1358"/>
      <c r="R85" s="1358"/>
      <c r="S85" s="1358"/>
      <c r="T85" s="1358"/>
      <c r="U85" s="1358"/>
      <c r="V85" s="1358"/>
      <c r="W85" s="1358"/>
      <c r="X85" s="1358"/>
      <c r="Y85" s="1359"/>
      <c r="Z85" s="1359"/>
      <c r="AA85" s="1358"/>
    </row>
    <row r="86" ht="15.75" customHeight="1">
      <c r="A86" s="439"/>
      <c r="B86" s="439"/>
      <c r="C86" s="1358"/>
      <c r="D86" s="1358"/>
      <c r="E86" s="1358"/>
      <c r="F86" s="1358"/>
      <c r="G86" s="1358"/>
      <c r="H86" s="1358"/>
      <c r="I86" s="1358"/>
      <c r="J86" s="1358"/>
      <c r="K86" s="1358"/>
      <c r="L86" s="1358"/>
      <c r="M86" s="1358"/>
      <c r="N86" s="1358"/>
      <c r="O86" s="1358"/>
      <c r="P86" s="1358"/>
      <c r="Q86" s="1358"/>
      <c r="R86" s="1358"/>
      <c r="S86" s="1358"/>
      <c r="T86" s="1358"/>
      <c r="U86" s="1358"/>
      <c r="V86" s="1358"/>
      <c r="W86" s="1358"/>
      <c r="X86" s="1358"/>
      <c r="Y86" s="1359"/>
      <c r="Z86" s="1359"/>
      <c r="AA86" s="1358"/>
    </row>
    <row r="87" ht="15.75" customHeight="1">
      <c r="A87" s="439"/>
      <c r="B87" s="439"/>
      <c r="C87" s="1358"/>
      <c r="D87" s="1358"/>
      <c r="E87" s="1358"/>
      <c r="F87" s="1358"/>
      <c r="G87" s="1358"/>
      <c r="H87" s="1358"/>
      <c r="I87" s="1358"/>
      <c r="J87" s="1358"/>
      <c r="K87" s="1358"/>
      <c r="L87" s="1358"/>
      <c r="M87" s="1358"/>
      <c r="N87" s="1358"/>
      <c r="O87" s="1358"/>
      <c r="P87" s="1358"/>
      <c r="Q87" s="1358"/>
      <c r="R87" s="1358"/>
      <c r="S87" s="1358"/>
      <c r="T87" s="1358"/>
      <c r="U87" s="1358"/>
      <c r="V87" s="1358"/>
      <c r="W87" s="1358"/>
      <c r="X87" s="1358"/>
      <c r="Y87" s="1359"/>
      <c r="Z87" s="1359"/>
      <c r="AA87" s="1358"/>
    </row>
    <row r="88" ht="15.75" customHeight="1">
      <c r="A88" s="439"/>
      <c r="B88" s="439"/>
      <c r="C88" s="1358"/>
      <c r="D88" s="1358"/>
      <c r="E88" s="1358"/>
      <c r="F88" s="1358"/>
      <c r="G88" s="1358"/>
      <c r="H88" s="1358"/>
      <c r="I88" s="1358"/>
      <c r="J88" s="1358"/>
      <c r="K88" s="1358"/>
      <c r="L88" s="1358"/>
      <c r="M88" s="1358"/>
      <c r="N88" s="1358"/>
      <c r="O88" s="1358"/>
      <c r="P88" s="1358"/>
      <c r="Q88" s="1358"/>
      <c r="R88" s="1358"/>
      <c r="S88" s="1358"/>
      <c r="T88" s="1358"/>
      <c r="U88" s="1358"/>
      <c r="V88" s="1358"/>
      <c r="W88" s="1358"/>
      <c r="X88" s="1358"/>
      <c r="Y88" s="1359"/>
      <c r="Z88" s="1359"/>
      <c r="AA88" s="1358"/>
    </row>
    <row r="89" ht="15.75" customHeight="1">
      <c r="A89" s="439"/>
      <c r="B89" s="439"/>
      <c r="C89" s="1358"/>
      <c r="D89" s="1358"/>
      <c r="E89" s="1358"/>
      <c r="F89" s="1358"/>
      <c r="G89" s="1358"/>
      <c r="H89" s="1358"/>
      <c r="I89" s="1358"/>
      <c r="J89" s="1358"/>
      <c r="K89" s="1358"/>
      <c r="L89" s="1358"/>
      <c r="M89" s="1358"/>
      <c r="N89" s="1358"/>
      <c r="O89" s="1358"/>
      <c r="P89" s="1358"/>
      <c r="Q89" s="1358"/>
      <c r="R89" s="1358"/>
      <c r="S89" s="1358"/>
      <c r="T89" s="1358"/>
      <c r="U89" s="1358"/>
      <c r="V89" s="1358"/>
      <c r="W89" s="1358"/>
      <c r="X89" s="1358"/>
      <c r="Y89" s="1359"/>
      <c r="Z89" s="1359"/>
      <c r="AA89" s="1358"/>
    </row>
    <row r="90" ht="15.75" customHeight="1">
      <c r="A90" s="439"/>
      <c r="B90" s="439"/>
      <c r="C90" s="1358"/>
      <c r="D90" s="1358"/>
      <c r="E90" s="1358"/>
      <c r="F90" s="1358"/>
      <c r="G90" s="1358"/>
      <c r="H90" s="1358"/>
      <c r="I90" s="1358"/>
      <c r="J90" s="1358"/>
      <c r="K90" s="1358"/>
      <c r="L90" s="1358"/>
      <c r="M90" s="1358"/>
      <c r="N90" s="1358"/>
      <c r="O90" s="1358"/>
      <c r="P90" s="1358"/>
      <c r="Q90" s="1358"/>
      <c r="R90" s="1358"/>
      <c r="S90" s="1358"/>
      <c r="T90" s="1358"/>
      <c r="U90" s="1358"/>
      <c r="V90" s="1358"/>
      <c r="W90" s="1358"/>
      <c r="X90" s="1358"/>
      <c r="Y90" s="1359"/>
      <c r="Z90" s="1359"/>
      <c r="AA90" s="1358"/>
    </row>
    <row r="91" ht="15.75" customHeight="1">
      <c r="A91" s="439"/>
      <c r="B91" s="439"/>
      <c r="C91" s="1358"/>
      <c r="D91" s="1358"/>
      <c r="E91" s="1358"/>
      <c r="F91" s="1358"/>
      <c r="G91" s="1358"/>
      <c r="H91" s="1358"/>
      <c r="I91" s="1358"/>
      <c r="J91" s="1358"/>
      <c r="K91" s="1358"/>
      <c r="L91" s="1358"/>
      <c r="M91" s="1358"/>
      <c r="N91" s="1358"/>
      <c r="O91" s="1358"/>
      <c r="P91" s="1358"/>
      <c r="Q91" s="1358"/>
      <c r="R91" s="1358"/>
      <c r="S91" s="1358"/>
      <c r="T91" s="1358"/>
      <c r="U91" s="1358"/>
      <c r="V91" s="1358"/>
      <c r="W91" s="1358"/>
      <c r="X91" s="1358"/>
      <c r="Y91" s="1359"/>
      <c r="Z91" s="1359"/>
      <c r="AA91" s="1358"/>
    </row>
    <row r="92" ht="15.75" customHeight="1">
      <c r="A92" s="439"/>
      <c r="B92" s="439"/>
      <c r="C92" s="1358"/>
      <c r="D92" s="1358"/>
      <c r="E92" s="1358"/>
      <c r="F92" s="1358"/>
      <c r="G92" s="1358"/>
      <c r="H92" s="1358"/>
      <c r="I92" s="1358"/>
      <c r="J92" s="1358"/>
      <c r="K92" s="1358"/>
      <c r="L92" s="1358"/>
      <c r="M92" s="1358"/>
      <c r="N92" s="1358"/>
      <c r="O92" s="1358"/>
      <c r="P92" s="1358"/>
      <c r="Q92" s="1358"/>
      <c r="R92" s="1358"/>
      <c r="S92" s="1358"/>
      <c r="T92" s="1358"/>
      <c r="U92" s="1358"/>
      <c r="V92" s="1358"/>
      <c r="W92" s="1358"/>
      <c r="X92" s="1358"/>
      <c r="Y92" s="1359"/>
      <c r="Z92" s="1359"/>
      <c r="AA92" s="1358"/>
    </row>
    <row r="93" ht="15.75" customHeight="1">
      <c r="A93" s="439"/>
      <c r="B93" s="439"/>
      <c r="C93" s="1358"/>
      <c r="D93" s="1358"/>
      <c r="E93" s="1358"/>
      <c r="F93" s="1358"/>
      <c r="G93" s="1358"/>
      <c r="H93" s="1358"/>
      <c r="I93" s="1358"/>
      <c r="J93" s="1358"/>
      <c r="K93" s="1358"/>
      <c r="L93" s="1358"/>
      <c r="M93" s="1358"/>
      <c r="N93" s="1358"/>
      <c r="O93" s="1358"/>
      <c r="P93" s="1358"/>
      <c r="Q93" s="1358"/>
      <c r="R93" s="1358"/>
      <c r="S93" s="1358"/>
      <c r="T93" s="1358"/>
      <c r="U93" s="1358"/>
      <c r="V93" s="1358"/>
      <c r="W93" s="1358"/>
      <c r="X93" s="1358"/>
      <c r="Y93" s="1359"/>
      <c r="Z93" s="1359"/>
      <c r="AA93" s="1358"/>
    </row>
    <row r="94" ht="15.75" customHeight="1">
      <c r="A94" s="439"/>
      <c r="B94" s="439"/>
      <c r="C94" s="1358"/>
      <c r="D94" s="1358"/>
      <c r="E94" s="1358"/>
      <c r="F94" s="1358"/>
      <c r="G94" s="1358"/>
      <c r="H94" s="1358"/>
      <c r="I94" s="1358"/>
      <c r="J94" s="1358"/>
      <c r="K94" s="1358"/>
      <c r="L94" s="1358"/>
      <c r="M94" s="1358"/>
      <c r="N94" s="1358"/>
      <c r="O94" s="1358"/>
      <c r="P94" s="1358"/>
      <c r="Q94" s="1358"/>
      <c r="R94" s="1358"/>
      <c r="S94" s="1358"/>
      <c r="T94" s="1358"/>
      <c r="U94" s="1358"/>
      <c r="V94" s="1358"/>
      <c r="W94" s="1358"/>
      <c r="X94" s="1358"/>
      <c r="Y94" s="1359"/>
      <c r="Z94" s="1359"/>
      <c r="AA94" s="1358"/>
    </row>
    <row r="95" ht="15.75" customHeight="1">
      <c r="A95" s="439"/>
      <c r="B95" s="439"/>
      <c r="C95" s="1358"/>
      <c r="D95" s="1358"/>
      <c r="E95" s="1358"/>
      <c r="F95" s="1358"/>
      <c r="G95" s="1358"/>
      <c r="H95" s="1358"/>
      <c r="I95" s="1358"/>
      <c r="J95" s="1358"/>
      <c r="K95" s="1358"/>
      <c r="L95" s="1358"/>
      <c r="M95" s="1358"/>
      <c r="N95" s="1358"/>
      <c r="O95" s="1358"/>
      <c r="P95" s="1358"/>
      <c r="Q95" s="1358"/>
      <c r="R95" s="1358"/>
      <c r="S95" s="1358"/>
      <c r="T95" s="1358"/>
      <c r="U95" s="1358"/>
      <c r="V95" s="1358"/>
      <c r="W95" s="1358"/>
      <c r="X95" s="1358"/>
      <c r="Y95" s="1359"/>
      <c r="Z95" s="1359"/>
      <c r="AA95" s="1358"/>
    </row>
    <row r="96" ht="15.75" customHeight="1">
      <c r="A96" s="439"/>
      <c r="B96" s="439"/>
      <c r="C96" s="1358"/>
      <c r="D96" s="1358"/>
      <c r="E96" s="1358"/>
      <c r="F96" s="1358"/>
      <c r="G96" s="1358"/>
      <c r="H96" s="1358"/>
      <c r="I96" s="1358"/>
      <c r="J96" s="1358"/>
      <c r="K96" s="1358"/>
      <c r="L96" s="1358"/>
      <c r="M96" s="1358"/>
      <c r="N96" s="1358"/>
      <c r="O96" s="1358"/>
      <c r="P96" s="1358"/>
      <c r="Q96" s="1358"/>
      <c r="R96" s="1358"/>
      <c r="S96" s="1358"/>
      <c r="T96" s="1358"/>
      <c r="U96" s="1358"/>
      <c r="V96" s="1358"/>
      <c r="W96" s="1358"/>
      <c r="X96" s="1358"/>
      <c r="Y96" s="1359"/>
      <c r="Z96" s="1359"/>
      <c r="AA96" s="1358"/>
    </row>
    <row r="97" ht="15.75" customHeight="1">
      <c r="A97" s="439"/>
      <c r="B97" s="439"/>
      <c r="C97" s="1358"/>
      <c r="D97" s="1358"/>
      <c r="E97" s="1358"/>
      <c r="F97" s="1358"/>
      <c r="G97" s="1358"/>
      <c r="H97" s="1358"/>
      <c r="I97" s="1358"/>
      <c r="J97" s="1358"/>
      <c r="K97" s="1358"/>
      <c r="L97" s="1358"/>
      <c r="M97" s="1358"/>
      <c r="N97" s="1358"/>
      <c r="O97" s="1358"/>
      <c r="P97" s="1358"/>
      <c r="Q97" s="1358"/>
      <c r="R97" s="1358"/>
      <c r="S97" s="1358"/>
      <c r="T97" s="1358"/>
      <c r="U97" s="1358"/>
      <c r="V97" s="1358"/>
      <c r="W97" s="1358"/>
      <c r="X97" s="1358"/>
      <c r="Y97" s="1359"/>
      <c r="Z97" s="1359"/>
      <c r="AA97" s="1358"/>
    </row>
    <row r="98" ht="15.75" customHeight="1">
      <c r="A98" s="439"/>
      <c r="B98" s="439"/>
      <c r="C98" s="1358"/>
      <c r="D98" s="1358"/>
      <c r="E98" s="1358"/>
      <c r="F98" s="1358"/>
      <c r="G98" s="1358"/>
      <c r="H98" s="1358"/>
      <c r="I98" s="1358"/>
      <c r="J98" s="1358"/>
      <c r="K98" s="1358"/>
      <c r="L98" s="1358"/>
      <c r="M98" s="1358"/>
      <c r="N98" s="1358"/>
      <c r="O98" s="1358"/>
      <c r="P98" s="1358"/>
      <c r="Q98" s="1358"/>
      <c r="R98" s="1358"/>
      <c r="S98" s="1358"/>
      <c r="T98" s="1358"/>
      <c r="U98" s="1358"/>
      <c r="V98" s="1358"/>
      <c r="W98" s="1358"/>
      <c r="X98" s="1358"/>
      <c r="Y98" s="1359"/>
      <c r="Z98" s="1359"/>
      <c r="AA98" s="1358"/>
    </row>
    <row r="99" ht="15.75" customHeight="1">
      <c r="A99" s="439"/>
      <c r="B99" s="439"/>
      <c r="C99" s="1358"/>
      <c r="D99" s="1358"/>
      <c r="E99" s="1358"/>
      <c r="F99" s="1358"/>
      <c r="G99" s="1358"/>
      <c r="H99" s="1358"/>
      <c r="I99" s="1358"/>
      <c r="J99" s="1358"/>
      <c r="K99" s="1358"/>
      <c r="L99" s="1358"/>
      <c r="M99" s="1358"/>
      <c r="N99" s="1358"/>
      <c r="O99" s="1358"/>
      <c r="P99" s="1358"/>
      <c r="Q99" s="1358"/>
      <c r="R99" s="1358"/>
      <c r="S99" s="1358"/>
      <c r="T99" s="1358"/>
      <c r="U99" s="1358"/>
      <c r="V99" s="1358"/>
      <c r="W99" s="1358"/>
      <c r="X99" s="1358"/>
      <c r="Y99" s="1359"/>
      <c r="Z99" s="1359"/>
      <c r="AA99" s="1358"/>
    </row>
    <row r="100" ht="15.75" customHeight="1">
      <c r="A100" s="439"/>
      <c r="B100" s="439"/>
      <c r="C100" s="1358"/>
      <c r="D100" s="1358"/>
      <c r="E100" s="1358"/>
      <c r="F100" s="1358"/>
      <c r="G100" s="1358"/>
      <c r="H100" s="1358"/>
      <c r="I100" s="1358"/>
      <c r="J100" s="1358"/>
      <c r="K100" s="1358"/>
      <c r="L100" s="1358"/>
      <c r="M100" s="1358"/>
      <c r="N100" s="1358"/>
      <c r="O100" s="1358"/>
      <c r="P100" s="1358"/>
      <c r="Q100" s="1358"/>
      <c r="R100" s="1358"/>
      <c r="S100" s="1358"/>
      <c r="T100" s="1358"/>
      <c r="U100" s="1358"/>
      <c r="V100" s="1358"/>
      <c r="W100" s="1358"/>
      <c r="X100" s="1358"/>
      <c r="Y100" s="1359"/>
      <c r="Z100" s="1359"/>
      <c r="AA100" s="1358"/>
    </row>
    <row r="101" ht="15.75" customHeight="1">
      <c r="A101" s="439"/>
      <c r="B101" s="439"/>
      <c r="C101" s="1358"/>
      <c r="D101" s="1358"/>
      <c r="E101" s="1358"/>
      <c r="F101" s="1358"/>
      <c r="G101" s="1358"/>
      <c r="H101" s="1358"/>
      <c r="I101" s="1358"/>
      <c r="J101" s="1358"/>
      <c r="K101" s="1358"/>
      <c r="L101" s="1358"/>
      <c r="M101" s="1358"/>
      <c r="N101" s="1358"/>
      <c r="O101" s="1358"/>
      <c r="P101" s="1358"/>
      <c r="Q101" s="1358"/>
      <c r="R101" s="1358"/>
      <c r="S101" s="1358"/>
      <c r="T101" s="1358"/>
      <c r="U101" s="1358"/>
      <c r="V101" s="1358"/>
      <c r="W101" s="1358"/>
      <c r="X101" s="1358"/>
      <c r="Y101" s="1359"/>
      <c r="Z101" s="1359"/>
      <c r="AA101" s="1358"/>
    </row>
    <row r="102" ht="15.75" customHeight="1">
      <c r="A102" s="439"/>
      <c r="B102" s="439"/>
      <c r="C102" s="1358"/>
      <c r="D102" s="1358"/>
      <c r="E102" s="1358"/>
      <c r="F102" s="1358"/>
      <c r="G102" s="1358"/>
      <c r="H102" s="1358"/>
      <c r="I102" s="1358"/>
      <c r="J102" s="1358"/>
      <c r="K102" s="1358"/>
      <c r="L102" s="1358"/>
      <c r="M102" s="1358"/>
      <c r="N102" s="1358"/>
      <c r="O102" s="1358"/>
      <c r="P102" s="1358"/>
      <c r="Q102" s="1358"/>
      <c r="R102" s="1358"/>
      <c r="S102" s="1358"/>
      <c r="T102" s="1358"/>
      <c r="U102" s="1358"/>
      <c r="V102" s="1358"/>
      <c r="W102" s="1358"/>
      <c r="X102" s="1358"/>
      <c r="Y102" s="1359"/>
      <c r="Z102" s="1359"/>
      <c r="AA102" s="1358"/>
    </row>
    <row r="103" ht="15.75" customHeight="1">
      <c r="A103" s="439"/>
      <c r="B103" s="439"/>
      <c r="C103" s="1358"/>
      <c r="D103" s="1358"/>
      <c r="E103" s="1358"/>
      <c r="F103" s="1358"/>
      <c r="G103" s="1358"/>
      <c r="H103" s="1358"/>
      <c r="I103" s="1358"/>
      <c r="J103" s="1358"/>
      <c r="K103" s="1358"/>
      <c r="L103" s="1358"/>
      <c r="M103" s="1358"/>
      <c r="N103" s="1358"/>
      <c r="O103" s="1358"/>
      <c r="P103" s="1358"/>
      <c r="Q103" s="1358"/>
      <c r="R103" s="1358"/>
      <c r="S103" s="1358"/>
      <c r="T103" s="1358"/>
      <c r="U103" s="1358"/>
      <c r="V103" s="1358"/>
      <c r="W103" s="1358"/>
      <c r="X103" s="1358"/>
      <c r="Y103" s="1359"/>
      <c r="Z103" s="1359"/>
      <c r="AA103" s="1358"/>
    </row>
    <row r="104" ht="15.75" customHeight="1">
      <c r="A104" s="439"/>
      <c r="B104" s="439"/>
      <c r="C104" s="1358"/>
      <c r="D104" s="1358"/>
      <c r="E104" s="1358"/>
      <c r="F104" s="1358"/>
      <c r="G104" s="1358"/>
      <c r="H104" s="1358"/>
      <c r="I104" s="1358"/>
      <c r="J104" s="1358"/>
      <c r="K104" s="1358"/>
      <c r="L104" s="1358"/>
      <c r="M104" s="1358"/>
      <c r="N104" s="1358"/>
      <c r="O104" s="1358"/>
      <c r="P104" s="1358"/>
      <c r="Q104" s="1358"/>
      <c r="R104" s="1358"/>
      <c r="S104" s="1358"/>
      <c r="T104" s="1358"/>
      <c r="U104" s="1358"/>
      <c r="V104" s="1358"/>
      <c r="W104" s="1358"/>
      <c r="X104" s="1358"/>
      <c r="Y104" s="1359"/>
      <c r="Z104" s="1359"/>
      <c r="AA104" s="1358"/>
    </row>
    <row r="105" ht="15.75" customHeight="1">
      <c r="A105" s="439"/>
      <c r="B105" s="439"/>
      <c r="C105" s="1358"/>
      <c r="D105" s="1358"/>
      <c r="E105" s="1358"/>
      <c r="F105" s="1358"/>
      <c r="G105" s="1358"/>
      <c r="H105" s="1358"/>
      <c r="I105" s="1358"/>
      <c r="J105" s="1358"/>
      <c r="K105" s="1358"/>
      <c r="L105" s="1358"/>
      <c r="M105" s="1358"/>
      <c r="N105" s="1358"/>
      <c r="O105" s="1358"/>
      <c r="P105" s="1358"/>
      <c r="Q105" s="1358"/>
      <c r="R105" s="1358"/>
      <c r="S105" s="1358"/>
      <c r="T105" s="1358"/>
      <c r="U105" s="1358"/>
      <c r="V105" s="1358"/>
      <c r="W105" s="1358"/>
      <c r="X105" s="1358"/>
      <c r="Y105" s="1359"/>
      <c r="Z105" s="1359"/>
      <c r="AA105" s="1358"/>
    </row>
    <row r="106" ht="15.75" customHeight="1">
      <c r="A106" s="439"/>
      <c r="B106" s="439"/>
      <c r="C106" s="1358"/>
      <c r="D106" s="1358"/>
      <c r="E106" s="1358"/>
      <c r="F106" s="1358"/>
      <c r="G106" s="1358"/>
      <c r="H106" s="1358"/>
      <c r="I106" s="1358"/>
      <c r="J106" s="1358"/>
      <c r="K106" s="1358"/>
      <c r="L106" s="1358"/>
      <c r="M106" s="1358"/>
      <c r="N106" s="1358"/>
      <c r="O106" s="1358"/>
      <c r="P106" s="1358"/>
      <c r="Q106" s="1358"/>
      <c r="R106" s="1358"/>
      <c r="S106" s="1358"/>
      <c r="T106" s="1358"/>
      <c r="U106" s="1358"/>
      <c r="V106" s="1358"/>
      <c r="W106" s="1358"/>
      <c r="X106" s="1358"/>
      <c r="Y106" s="1359"/>
      <c r="Z106" s="1359"/>
      <c r="AA106" s="1358"/>
    </row>
    <row r="107" ht="15.75" customHeight="1">
      <c r="A107" s="439"/>
      <c r="B107" s="439"/>
      <c r="C107" s="1358"/>
      <c r="D107" s="1358"/>
      <c r="E107" s="1358"/>
      <c r="F107" s="1358"/>
      <c r="G107" s="1358"/>
      <c r="H107" s="1358"/>
      <c r="I107" s="1358"/>
      <c r="J107" s="1358"/>
      <c r="K107" s="1358"/>
      <c r="L107" s="1358"/>
      <c r="M107" s="1358"/>
      <c r="N107" s="1358"/>
      <c r="O107" s="1358"/>
      <c r="P107" s="1358"/>
      <c r="Q107" s="1358"/>
      <c r="R107" s="1358"/>
      <c r="S107" s="1358"/>
      <c r="T107" s="1358"/>
      <c r="U107" s="1358"/>
      <c r="V107" s="1358"/>
      <c r="W107" s="1358"/>
      <c r="X107" s="1358"/>
      <c r="Y107" s="1359"/>
      <c r="Z107" s="1359"/>
      <c r="AA107" s="1358"/>
    </row>
    <row r="108" ht="15.75" customHeight="1">
      <c r="A108" s="439"/>
      <c r="B108" s="439"/>
      <c r="C108" s="1358"/>
      <c r="D108" s="1358"/>
      <c r="E108" s="1358"/>
      <c r="F108" s="1358"/>
      <c r="G108" s="1358"/>
      <c r="H108" s="1358"/>
      <c r="I108" s="1358"/>
      <c r="J108" s="1358"/>
      <c r="K108" s="1358"/>
      <c r="L108" s="1358"/>
      <c r="M108" s="1358"/>
      <c r="N108" s="1358"/>
      <c r="O108" s="1358"/>
      <c r="P108" s="1358"/>
      <c r="Q108" s="1358"/>
      <c r="R108" s="1358"/>
      <c r="S108" s="1358"/>
      <c r="T108" s="1358"/>
      <c r="U108" s="1358"/>
      <c r="V108" s="1358"/>
      <c r="W108" s="1358"/>
      <c r="X108" s="1358"/>
      <c r="Y108" s="1359"/>
      <c r="Z108" s="1359"/>
      <c r="AA108" s="1358"/>
    </row>
    <row r="109" ht="15.75" customHeight="1">
      <c r="A109" s="439"/>
      <c r="B109" s="439"/>
      <c r="C109" s="1358"/>
      <c r="D109" s="1358"/>
      <c r="E109" s="1358"/>
      <c r="F109" s="1358"/>
      <c r="G109" s="1358"/>
      <c r="H109" s="1358"/>
      <c r="I109" s="1358"/>
      <c r="J109" s="1358"/>
      <c r="K109" s="1358"/>
      <c r="L109" s="1358"/>
      <c r="M109" s="1358"/>
      <c r="N109" s="1358"/>
      <c r="O109" s="1358"/>
      <c r="P109" s="1358"/>
      <c r="Q109" s="1358"/>
      <c r="R109" s="1358"/>
      <c r="S109" s="1358"/>
      <c r="T109" s="1358"/>
      <c r="U109" s="1358"/>
      <c r="V109" s="1358"/>
      <c r="W109" s="1358"/>
      <c r="X109" s="1358"/>
      <c r="Y109" s="1359"/>
      <c r="Z109" s="1359"/>
      <c r="AA109" s="1358"/>
    </row>
    <row r="110" ht="15.75" customHeight="1">
      <c r="A110" s="439"/>
      <c r="B110" s="439"/>
      <c r="C110" s="1358"/>
      <c r="D110" s="1358"/>
      <c r="E110" s="1358"/>
      <c r="F110" s="1358"/>
      <c r="G110" s="1358"/>
      <c r="H110" s="1358"/>
      <c r="I110" s="1358"/>
      <c r="J110" s="1358"/>
      <c r="K110" s="1358"/>
      <c r="L110" s="1358"/>
      <c r="M110" s="1358"/>
      <c r="N110" s="1358"/>
      <c r="O110" s="1358"/>
      <c r="P110" s="1358"/>
      <c r="Q110" s="1358"/>
      <c r="R110" s="1358"/>
      <c r="S110" s="1358"/>
      <c r="T110" s="1358"/>
      <c r="U110" s="1358"/>
      <c r="V110" s="1358"/>
      <c r="W110" s="1358"/>
      <c r="X110" s="1358"/>
      <c r="Y110" s="1359"/>
      <c r="Z110" s="1359"/>
      <c r="AA110" s="1358"/>
    </row>
    <row r="111" ht="15.75" customHeight="1">
      <c r="A111" s="439"/>
      <c r="B111" s="439"/>
      <c r="C111" s="1358"/>
      <c r="D111" s="1358"/>
      <c r="E111" s="1358"/>
      <c r="F111" s="1358"/>
      <c r="G111" s="1358"/>
      <c r="H111" s="1358"/>
      <c r="I111" s="1358"/>
      <c r="J111" s="1358"/>
      <c r="K111" s="1358"/>
      <c r="L111" s="1358"/>
      <c r="M111" s="1358"/>
      <c r="N111" s="1358"/>
      <c r="O111" s="1358"/>
      <c r="P111" s="1358"/>
      <c r="Q111" s="1358"/>
      <c r="R111" s="1358"/>
      <c r="S111" s="1358"/>
      <c r="T111" s="1358"/>
      <c r="U111" s="1358"/>
      <c r="V111" s="1358"/>
      <c r="W111" s="1358"/>
      <c r="X111" s="1358"/>
      <c r="Y111" s="1359"/>
      <c r="Z111" s="1359"/>
      <c r="AA111" s="1358"/>
    </row>
    <row r="112" ht="15.75" customHeight="1">
      <c r="A112" s="439"/>
      <c r="B112" s="439"/>
      <c r="C112" s="1358"/>
      <c r="D112" s="1358"/>
      <c r="E112" s="1358"/>
      <c r="F112" s="1358"/>
      <c r="G112" s="1358"/>
      <c r="H112" s="1358"/>
      <c r="I112" s="1358"/>
      <c r="J112" s="1358"/>
      <c r="K112" s="1358"/>
      <c r="L112" s="1358"/>
      <c r="M112" s="1358"/>
      <c r="N112" s="1358"/>
      <c r="O112" s="1358"/>
      <c r="P112" s="1358"/>
      <c r="Q112" s="1358"/>
      <c r="R112" s="1358"/>
      <c r="S112" s="1358"/>
      <c r="T112" s="1358"/>
      <c r="U112" s="1358"/>
      <c r="V112" s="1358"/>
      <c r="W112" s="1358"/>
      <c r="X112" s="1358"/>
      <c r="Y112" s="1359"/>
      <c r="Z112" s="1359"/>
      <c r="AA112" s="1358"/>
    </row>
    <row r="113" ht="15.75" customHeight="1">
      <c r="A113" s="439"/>
      <c r="B113" s="439"/>
      <c r="C113" s="1358"/>
      <c r="D113" s="1358"/>
      <c r="E113" s="1358"/>
      <c r="F113" s="1358"/>
      <c r="G113" s="1358"/>
      <c r="H113" s="1358"/>
      <c r="I113" s="1358"/>
      <c r="J113" s="1358"/>
      <c r="K113" s="1358"/>
      <c r="L113" s="1358"/>
      <c r="M113" s="1358"/>
      <c r="N113" s="1358"/>
      <c r="O113" s="1358"/>
      <c r="P113" s="1358"/>
      <c r="Q113" s="1358"/>
      <c r="R113" s="1358"/>
      <c r="S113" s="1358"/>
      <c r="T113" s="1358"/>
      <c r="U113" s="1358"/>
      <c r="V113" s="1358"/>
      <c r="W113" s="1358"/>
      <c r="X113" s="1358"/>
      <c r="Y113" s="1359"/>
      <c r="Z113" s="1359"/>
      <c r="AA113" s="1358"/>
    </row>
    <row r="114" ht="15.75" customHeight="1">
      <c r="A114" s="439"/>
      <c r="B114" s="439"/>
      <c r="C114" s="1358"/>
      <c r="D114" s="1358"/>
      <c r="E114" s="1358"/>
      <c r="F114" s="1358"/>
      <c r="G114" s="1358"/>
      <c r="H114" s="1358"/>
      <c r="I114" s="1358"/>
      <c r="J114" s="1358"/>
      <c r="K114" s="1358"/>
      <c r="L114" s="1358"/>
      <c r="M114" s="1358"/>
      <c r="N114" s="1358"/>
      <c r="O114" s="1358"/>
      <c r="P114" s="1358"/>
      <c r="Q114" s="1358"/>
      <c r="R114" s="1358"/>
      <c r="S114" s="1358"/>
      <c r="T114" s="1358"/>
      <c r="U114" s="1358"/>
      <c r="V114" s="1358"/>
      <c r="W114" s="1358"/>
      <c r="X114" s="1358"/>
      <c r="Y114" s="1359"/>
      <c r="Z114" s="1359"/>
      <c r="AA114" s="1358"/>
    </row>
    <row r="115" ht="15.75" customHeight="1">
      <c r="A115" s="439"/>
      <c r="B115" s="439"/>
      <c r="C115" s="1358"/>
      <c r="D115" s="1358"/>
      <c r="E115" s="1358"/>
      <c r="F115" s="1358"/>
      <c r="G115" s="1358"/>
      <c r="H115" s="1358"/>
      <c r="I115" s="1358"/>
      <c r="J115" s="1358"/>
      <c r="K115" s="1358"/>
      <c r="L115" s="1358"/>
      <c r="M115" s="1358"/>
      <c r="N115" s="1358"/>
      <c r="O115" s="1358"/>
      <c r="P115" s="1358"/>
      <c r="Q115" s="1358"/>
      <c r="R115" s="1358"/>
      <c r="S115" s="1358"/>
      <c r="T115" s="1358"/>
      <c r="U115" s="1358"/>
      <c r="V115" s="1358"/>
      <c r="W115" s="1358"/>
      <c r="X115" s="1358"/>
      <c r="Y115" s="1359"/>
      <c r="Z115" s="1359"/>
      <c r="AA115" s="1358"/>
    </row>
    <row r="116" ht="15.75" customHeight="1">
      <c r="A116" s="439"/>
      <c r="B116" s="439"/>
      <c r="C116" s="1358"/>
      <c r="D116" s="1358"/>
      <c r="E116" s="1358"/>
      <c r="F116" s="1358"/>
      <c r="G116" s="1358"/>
      <c r="H116" s="1358"/>
      <c r="I116" s="1358"/>
      <c r="J116" s="1358"/>
      <c r="K116" s="1358"/>
      <c r="L116" s="1358"/>
      <c r="M116" s="1358"/>
      <c r="N116" s="1358"/>
      <c r="O116" s="1358"/>
      <c r="P116" s="1358"/>
      <c r="Q116" s="1358"/>
      <c r="R116" s="1358"/>
      <c r="S116" s="1358"/>
      <c r="T116" s="1358"/>
      <c r="U116" s="1358"/>
      <c r="V116" s="1358"/>
      <c r="W116" s="1358"/>
      <c r="X116" s="1358"/>
      <c r="Y116" s="1359"/>
      <c r="Z116" s="1359"/>
      <c r="AA116" s="1358"/>
    </row>
    <row r="117" ht="15.75" customHeight="1">
      <c r="A117" s="439"/>
      <c r="B117" s="439"/>
      <c r="C117" s="1358"/>
      <c r="D117" s="1358"/>
      <c r="E117" s="1358"/>
      <c r="F117" s="1358"/>
      <c r="G117" s="1358"/>
      <c r="H117" s="1358"/>
      <c r="I117" s="1358"/>
      <c r="J117" s="1358"/>
      <c r="K117" s="1358"/>
      <c r="L117" s="1358"/>
      <c r="M117" s="1358"/>
      <c r="N117" s="1358"/>
      <c r="O117" s="1358"/>
      <c r="P117" s="1358"/>
      <c r="Q117" s="1358"/>
      <c r="R117" s="1358"/>
      <c r="S117" s="1358"/>
      <c r="T117" s="1358"/>
      <c r="U117" s="1358"/>
      <c r="V117" s="1358"/>
      <c r="W117" s="1358"/>
      <c r="X117" s="1358"/>
      <c r="Y117" s="1359"/>
      <c r="Z117" s="1359"/>
      <c r="AA117" s="1358"/>
    </row>
    <row r="118" ht="15.75" customHeight="1">
      <c r="A118" s="439"/>
      <c r="B118" s="439"/>
      <c r="C118" s="1358"/>
      <c r="D118" s="1358"/>
      <c r="E118" s="1358"/>
      <c r="F118" s="1358"/>
      <c r="G118" s="1358"/>
      <c r="H118" s="1358"/>
      <c r="I118" s="1358"/>
      <c r="J118" s="1358"/>
      <c r="K118" s="1358"/>
      <c r="L118" s="1358"/>
      <c r="M118" s="1358"/>
      <c r="N118" s="1358"/>
      <c r="O118" s="1358"/>
      <c r="P118" s="1358"/>
      <c r="Q118" s="1358"/>
      <c r="R118" s="1358"/>
      <c r="S118" s="1358"/>
      <c r="T118" s="1358"/>
      <c r="U118" s="1358"/>
      <c r="V118" s="1358"/>
      <c r="W118" s="1358"/>
      <c r="X118" s="1358"/>
      <c r="Y118" s="1359"/>
      <c r="Z118" s="1359"/>
      <c r="AA118" s="1358"/>
    </row>
    <row r="119" ht="15.75" customHeight="1">
      <c r="A119" s="439"/>
      <c r="B119" s="439"/>
      <c r="C119" s="1358"/>
      <c r="D119" s="1358"/>
      <c r="E119" s="1358"/>
      <c r="F119" s="1358"/>
      <c r="G119" s="1358"/>
      <c r="H119" s="1358"/>
      <c r="I119" s="1358"/>
      <c r="J119" s="1358"/>
      <c r="K119" s="1358"/>
      <c r="L119" s="1358"/>
      <c r="M119" s="1358"/>
      <c r="N119" s="1358"/>
      <c r="O119" s="1358"/>
      <c r="P119" s="1358"/>
      <c r="Q119" s="1358"/>
      <c r="R119" s="1358"/>
      <c r="S119" s="1358"/>
      <c r="T119" s="1358"/>
      <c r="U119" s="1358"/>
      <c r="V119" s="1358"/>
      <c r="W119" s="1358"/>
      <c r="X119" s="1358"/>
      <c r="Y119" s="1359"/>
      <c r="Z119" s="1359"/>
      <c r="AA119" s="1358"/>
    </row>
    <row r="120" ht="15.75" customHeight="1">
      <c r="A120" s="439"/>
      <c r="B120" s="439"/>
      <c r="C120" s="1358"/>
      <c r="D120" s="1358"/>
      <c r="E120" s="1358"/>
      <c r="F120" s="1358"/>
      <c r="G120" s="1358"/>
      <c r="H120" s="1358"/>
      <c r="I120" s="1358"/>
      <c r="J120" s="1358"/>
      <c r="K120" s="1358"/>
      <c r="L120" s="1358"/>
      <c r="M120" s="1358"/>
      <c r="N120" s="1358"/>
      <c r="O120" s="1358"/>
      <c r="P120" s="1358"/>
      <c r="Q120" s="1358"/>
      <c r="R120" s="1358"/>
      <c r="S120" s="1358"/>
      <c r="T120" s="1358"/>
      <c r="U120" s="1358"/>
      <c r="V120" s="1358"/>
      <c r="W120" s="1358"/>
      <c r="X120" s="1358"/>
      <c r="Y120" s="1359"/>
      <c r="Z120" s="1359"/>
      <c r="AA120" s="1358"/>
    </row>
    <row r="121" ht="15.75" customHeight="1">
      <c r="A121" s="439"/>
      <c r="B121" s="439"/>
      <c r="C121" s="1358"/>
      <c r="D121" s="1358"/>
      <c r="E121" s="1358"/>
      <c r="F121" s="1358"/>
      <c r="G121" s="1358"/>
      <c r="H121" s="1358"/>
      <c r="I121" s="1358"/>
      <c r="J121" s="1358"/>
      <c r="K121" s="1358"/>
      <c r="L121" s="1358"/>
      <c r="M121" s="1358"/>
      <c r="N121" s="1358"/>
      <c r="O121" s="1358"/>
      <c r="P121" s="1358"/>
      <c r="Q121" s="1358"/>
      <c r="R121" s="1358"/>
      <c r="S121" s="1358"/>
      <c r="T121" s="1358"/>
      <c r="U121" s="1358"/>
      <c r="V121" s="1358"/>
      <c r="W121" s="1358"/>
      <c r="X121" s="1358"/>
      <c r="Y121" s="1359"/>
      <c r="Z121" s="1359"/>
      <c r="AA121" s="1358"/>
    </row>
    <row r="122" ht="15.75" customHeight="1">
      <c r="A122" s="439"/>
      <c r="B122" s="439"/>
      <c r="C122" s="1358"/>
      <c r="D122" s="1358"/>
      <c r="E122" s="1358"/>
      <c r="F122" s="1358"/>
      <c r="G122" s="1358"/>
      <c r="H122" s="1358"/>
      <c r="I122" s="1358"/>
      <c r="J122" s="1358"/>
      <c r="K122" s="1358"/>
      <c r="L122" s="1358"/>
      <c r="M122" s="1358"/>
      <c r="N122" s="1358"/>
      <c r="O122" s="1358"/>
      <c r="P122" s="1358"/>
      <c r="Q122" s="1358"/>
      <c r="R122" s="1358"/>
      <c r="S122" s="1358"/>
      <c r="T122" s="1358"/>
      <c r="U122" s="1358"/>
      <c r="V122" s="1358"/>
      <c r="W122" s="1358"/>
      <c r="X122" s="1358"/>
      <c r="Y122" s="1359"/>
      <c r="Z122" s="1359"/>
      <c r="AA122" s="1358"/>
    </row>
    <row r="123" ht="15.75" customHeight="1">
      <c r="A123" s="439"/>
      <c r="B123" s="439"/>
      <c r="C123" s="1358"/>
      <c r="D123" s="1358"/>
      <c r="E123" s="1358"/>
      <c r="F123" s="1358"/>
      <c r="G123" s="1358"/>
      <c r="H123" s="1358"/>
      <c r="I123" s="1358"/>
      <c r="J123" s="1358"/>
      <c r="K123" s="1358"/>
      <c r="L123" s="1358"/>
      <c r="M123" s="1358"/>
      <c r="N123" s="1358"/>
      <c r="O123" s="1358"/>
      <c r="P123" s="1358"/>
      <c r="Q123" s="1358"/>
      <c r="R123" s="1358"/>
      <c r="S123" s="1358"/>
      <c r="T123" s="1358"/>
      <c r="U123" s="1358"/>
      <c r="V123" s="1358"/>
      <c r="W123" s="1358"/>
      <c r="X123" s="1358"/>
      <c r="Y123" s="1359"/>
      <c r="Z123" s="1359"/>
      <c r="AA123" s="1358"/>
    </row>
    <row r="124" ht="15.75" customHeight="1">
      <c r="A124" s="439"/>
      <c r="B124" s="439"/>
      <c r="C124" s="1358"/>
      <c r="D124" s="1358"/>
      <c r="E124" s="1358"/>
      <c r="F124" s="1358"/>
      <c r="G124" s="1358"/>
      <c r="H124" s="1358"/>
      <c r="I124" s="1358"/>
      <c r="J124" s="1358"/>
      <c r="K124" s="1358"/>
      <c r="L124" s="1358"/>
      <c r="M124" s="1358"/>
      <c r="N124" s="1358"/>
      <c r="O124" s="1358"/>
      <c r="P124" s="1358"/>
      <c r="Q124" s="1358"/>
      <c r="R124" s="1358"/>
      <c r="S124" s="1358"/>
      <c r="T124" s="1358"/>
      <c r="U124" s="1358"/>
      <c r="V124" s="1358"/>
      <c r="W124" s="1358"/>
      <c r="X124" s="1358"/>
      <c r="Y124" s="1359"/>
      <c r="Z124" s="1359"/>
      <c r="AA124" s="1358"/>
    </row>
    <row r="125" ht="15.75" customHeight="1">
      <c r="A125" s="439"/>
      <c r="B125" s="439"/>
      <c r="C125" s="1358"/>
      <c r="D125" s="1358"/>
      <c r="E125" s="1358"/>
      <c r="F125" s="1358"/>
      <c r="G125" s="1358"/>
      <c r="H125" s="1358"/>
      <c r="I125" s="1358"/>
      <c r="J125" s="1358"/>
      <c r="K125" s="1358"/>
      <c r="L125" s="1358"/>
      <c r="M125" s="1358"/>
      <c r="N125" s="1358"/>
      <c r="O125" s="1358"/>
      <c r="P125" s="1358"/>
      <c r="Q125" s="1358"/>
      <c r="R125" s="1358"/>
      <c r="S125" s="1358"/>
      <c r="T125" s="1358"/>
      <c r="U125" s="1358"/>
      <c r="V125" s="1358"/>
      <c r="W125" s="1358"/>
      <c r="X125" s="1358"/>
      <c r="Y125" s="1359"/>
      <c r="Z125" s="1359"/>
      <c r="AA125" s="1358"/>
    </row>
    <row r="126" ht="15.75" customHeight="1">
      <c r="A126" s="439"/>
      <c r="B126" s="439"/>
      <c r="C126" s="1358"/>
      <c r="D126" s="1358"/>
      <c r="E126" s="1358"/>
      <c r="F126" s="1358"/>
      <c r="G126" s="1358"/>
      <c r="H126" s="1358"/>
      <c r="I126" s="1358"/>
      <c r="J126" s="1358"/>
      <c r="K126" s="1358"/>
      <c r="L126" s="1358"/>
      <c r="M126" s="1358"/>
      <c r="N126" s="1358"/>
      <c r="O126" s="1358"/>
      <c r="P126" s="1358"/>
      <c r="Q126" s="1358"/>
      <c r="R126" s="1358"/>
      <c r="S126" s="1358"/>
      <c r="T126" s="1358"/>
      <c r="U126" s="1358"/>
      <c r="V126" s="1358"/>
      <c r="W126" s="1358"/>
      <c r="X126" s="1358"/>
      <c r="Y126" s="1359"/>
      <c r="Z126" s="1359"/>
      <c r="AA126" s="1358"/>
    </row>
    <row r="127" ht="15.75" customHeight="1">
      <c r="A127" s="439"/>
      <c r="B127" s="439"/>
      <c r="C127" s="1358"/>
      <c r="D127" s="1358"/>
      <c r="E127" s="1358"/>
      <c r="F127" s="1358"/>
      <c r="G127" s="1358"/>
      <c r="H127" s="1358"/>
      <c r="I127" s="1358"/>
      <c r="J127" s="1358"/>
      <c r="K127" s="1358"/>
      <c r="L127" s="1358"/>
      <c r="M127" s="1358"/>
      <c r="N127" s="1358"/>
      <c r="O127" s="1358"/>
      <c r="P127" s="1358"/>
      <c r="Q127" s="1358"/>
      <c r="R127" s="1358"/>
      <c r="S127" s="1358"/>
      <c r="T127" s="1358"/>
      <c r="U127" s="1358"/>
      <c r="V127" s="1358"/>
      <c r="W127" s="1358"/>
      <c r="X127" s="1358"/>
      <c r="Y127" s="1359"/>
      <c r="Z127" s="1359"/>
      <c r="AA127" s="1358"/>
    </row>
    <row r="128" ht="15.75" customHeight="1">
      <c r="A128" s="439"/>
      <c r="B128" s="439"/>
      <c r="C128" s="1358"/>
      <c r="D128" s="1358"/>
      <c r="E128" s="1358"/>
      <c r="F128" s="1358"/>
      <c r="G128" s="1358"/>
      <c r="H128" s="1358"/>
      <c r="I128" s="1358"/>
      <c r="J128" s="1358"/>
      <c r="K128" s="1358"/>
      <c r="L128" s="1358"/>
      <c r="M128" s="1358"/>
      <c r="N128" s="1358"/>
      <c r="O128" s="1358"/>
      <c r="P128" s="1358"/>
      <c r="Q128" s="1358"/>
      <c r="R128" s="1358"/>
      <c r="S128" s="1358"/>
      <c r="T128" s="1358"/>
      <c r="U128" s="1358"/>
      <c r="V128" s="1358"/>
      <c r="W128" s="1358"/>
      <c r="X128" s="1358"/>
      <c r="Y128" s="1359"/>
      <c r="Z128" s="1359"/>
      <c r="AA128" s="1358"/>
    </row>
    <row r="129" ht="15.75" customHeight="1">
      <c r="A129" s="439"/>
      <c r="B129" s="439"/>
      <c r="C129" s="1358"/>
      <c r="D129" s="1358"/>
      <c r="E129" s="1358"/>
      <c r="F129" s="1358"/>
      <c r="G129" s="1358"/>
      <c r="H129" s="1358"/>
      <c r="I129" s="1358"/>
      <c r="J129" s="1358"/>
      <c r="K129" s="1358"/>
      <c r="L129" s="1358"/>
      <c r="M129" s="1358"/>
      <c r="N129" s="1358"/>
      <c r="O129" s="1358"/>
      <c r="P129" s="1358"/>
      <c r="Q129" s="1358"/>
      <c r="R129" s="1358"/>
      <c r="S129" s="1358"/>
      <c r="T129" s="1358"/>
      <c r="U129" s="1358"/>
      <c r="V129" s="1358"/>
      <c r="W129" s="1358"/>
      <c r="X129" s="1358"/>
      <c r="Y129" s="1359"/>
      <c r="Z129" s="1359"/>
      <c r="AA129" s="1358"/>
    </row>
    <row r="130" ht="15.75" customHeight="1">
      <c r="A130" s="439"/>
      <c r="B130" s="439"/>
      <c r="C130" s="1358"/>
      <c r="D130" s="1358"/>
      <c r="E130" s="1358"/>
      <c r="F130" s="1358"/>
      <c r="G130" s="1358"/>
      <c r="H130" s="1358"/>
      <c r="I130" s="1358"/>
      <c r="J130" s="1358"/>
      <c r="K130" s="1358"/>
      <c r="L130" s="1358"/>
      <c r="M130" s="1358"/>
      <c r="N130" s="1358"/>
      <c r="O130" s="1358"/>
      <c r="P130" s="1358"/>
      <c r="Q130" s="1358"/>
      <c r="R130" s="1358"/>
      <c r="S130" s="1358"/>
      <c r="T130" s="1358"/>
      <c r="U130" s="1358"/>
      <c r="V130" s="1358"/>
      <c r="W130" s="1358"/>
      <c r="X130" s="1358"/>
      <c r="Y130" s="1359"/>
      <c r="Z130" s="1359"/>
      <c r="AA130" s="1358"/>
    </row>
    <row r="131" ht="15.75" customHeight="1">
      <c r="A131" s="439"/>
      <c r="B131" s="439"/>
      <c r="C131" s="1358"/>
      <c r="D131" s="1358"/>
      <c r="E131" s="1358"/>
      <c r="F131" s="1358"/>
      <c r="G131" s="1358"/>
      <c r="H131" s="1358"/>
      <c r="I131" s="1358"/>
      <c r="J131" s="1358"/>
      <c r="K131" s="1358"/>
      <c r="L131" s="1358"/>
      <c r="M131" s="1358"/>
      <c r="N131" s="1358"/>
      <c r="O131" s="1358"/>
      <c r="P131" s="1358"/>
      <c r="Q131" s="1358"/>
      <c r="R131" s="1358"/>
      <c r="S131" s="1358"/>
      <c r="T131" s="1358"/>
      <c r="U131" s="1358"/>
      <c r="V131" s="1358"/>
      <c r="W131" s="1358"/>
      <c r="X131" s="1358"/>
      <c r="Y131" s="1359"/>
      <c r="Z131" s="1359"/>
      <c r="AA131" s="1358"/>
    </row>
    <row r="132" ht="15.75" customHeight="1">
      <c r="A132" s="439"/>
      <c r="B132" s="439"/>
      <c r="C132" s="1358"/>
      <c r="D132" s="1358"/>
      <c r="E132" s="1358"/>
      <c r="F132" s="1358"/>
      <c r="G132" s="1358"/>
      <c r="H132" s="1358"/>
      <c r="I132" s="1358"/>
      <c r="J132" s="1358"/>
      <c r="K132" s="1358"/>
      <c r="L132" s="1358"/>
      <c r="M132" s="1358"/>
      <c r="N132" s="1358"/>
      <c r="O132" s="1358"/>
      <c r="P132" s="1358"/>
      <c r="Q132" s="1358"/>
      <c r="R132" s="1358"/>
      <c r="S132" s="1358"/>
      <c r="T132" s="1358"/>
      <c r="U132" s="1358"/>
      <c r="V132" s="1358"/>
      <c r="W132" s="1358"/>
      <c r="X132" s="1358"/>
      <c r="Y132" s="1359"/>
      <c r="Z132" s="1359"/>
      <c r="AA132" s="1358"/>
    </row>
    <row r="133" ht="15.75" customHeight="1">
      <c r="A133" s="439"/>
      <c r="B133" s="439"/>
      <c r="C133" s="1358"/>
      <c r="D133" s="1358"/>
      <c r="E133" s="1358"/>
      <c r="F133" s="1358"/>
      <c r="G133" s="1358"/>
      <c r="H133" s="1358"/>
      <c r="I133" s="1358"/>
      <c r="J133" s="1358"/>
      <c r="K133" s="1358"/>
      <c r="L133" s="1358"/>
      <c r="M133" s="1358"/>
      <c r="N133" s="1358"/>
      <c r="O133" s="1358"/>
      <c r="P133" s="1358"/>
      <c r="Q133" s="1358"/>
      <c r="R133" s="1358"/>
      <c r="S133" s="1358"/>
      <c r="T133" s="1358"/>
      <c r="U133" s="1358"/>
      <c r="V133" s="1358"/>
      <c r="W133" s="1358"/>
      <c r="X133" s="1358"/>
      <c r="Y133" s="1359"/>
      <c r="Z133" s="1359"/>
      <c r="AA133" s="1358"/>
    </row>
    <row r="134" ht="15.75" customHeight="1">
      <c r="A134" s="439"/>
      <c r="B134" s="439"/>
      <c r="C134" s="1358"/>
      <c r="D134" s="1358"/>
      <c r="E134" s="1358"/>
      <c r="F134" s="1358"/>
      <c r="G134" s="1358"/>
      <c r="H134" s="1358"/>
      <c r="I134" s="1358"/>
      <c r="J134" s="1358"/>
      <c r="K134" s="1358"/>
      <c r="L134" s="1358"/>
      <c r="M134" s="1358"/>
      <c r="N134" s="1358"/>
      <c r="O134" s="1358"/>
      <c r="P134" s="1358"/>
      <c r="Q134" s="1358"/>
      <c r="R134" s="1358"/>
      <c r="S134" s="1358"/>
      <c r="T134" s="1358"/>
      <c r="U134" s="1358"/>
      <c r="V134" s="1358"/>
      <c r="W134" s="1358"/>
      <c r="X134" s="1358"/>
      <c r="Y134" s="1359"/>
      <c r="Z134" s="1359"/>
      <c r="AA134" s="1358"/>
    </row>
    <row r="135" ht="15.75" customHeight="1">
      <c r="A135" s="439"/>
      <c r="B135" s="439"/>
      <c r="C135" s="1358"/>
      <c r="D135" s="1358"/>
      <c r="E135" s="1358"/>
      <c r="F135" s="1358"/>
      <c r="G135" s="1358"/>
      <c r="H135" s="1358"/>
      <c r="I135" s="1358"/>
      <c r="J135" s="1358"/>
      <c r="K135" s="1358"/>
      <c r="L135" s="1358"/>
      <c r="M135" s="1358"/>
      <c r="N135" s="1358"/>
      <c r="O135" s="1358"/>
      <c r="P135" s="1358"/>
      <c r="Q135" s="1358"/>
      <c r="R135" s="1358"/>
      <c r="S135" s="1358"/>
      <c r="T135" s="1358"/>
      <c r="U135" s="1358"/>
      <c r="V135" s="1358"/>
      <c r="W135" s="1358"/>
      <c r="X135" s="1358"/>
      <c r="Y135" s="1359"/>
      <c r="Z135" s="1359"/>
      <c r="AA135" s="1358"/>
    </row>
    <row r="136" ht="15.75" customHeight="1">
      <c r="A136" s="439"/>
      <c r="B136" s="439"/>
      <c r="C136" s="1358"/>
      <c r="D136" s="1358"/>
      <c r="E136" s="1358"/>
      <c r="F136" s="1358"/>
      <c r="G136" s="1358"/>
      <c r="H136" s="1358"/>
      <c r="I136" s="1358"/>
      <c r="J136" s="1358"/>
      <c r="K136" s="1358"/>
      <c r="L136" s="1358"/>
      <c r="M136" s="1358"/>
      <c r="N136" s="1358"/>
      <c r="O136" s="1358"/>
      <c r="P136" s="1358"/>
      <c r="Q136" s="1358"/>
      <c r="R136" s="1358"/>
      <c r="S136" s="1358"/>
      <c r="T136" s="1358"/>
      <c r="U136" s="1358"/>
      <c r="V136" s="1358"/>
      <c r="W136" s="1358"/>
      <c r="X136" s="1358"/>
      <c r="Y136" s="1359"/>
      <c r="Z136" s="1359"/>
      <c r="AA136" s="1358"/>
    </row>
    <row r="137" ht="15.75" customHeight="1">
      <c r="A137" s="439"/>
      <c r="B137" s="439"/>
      <c r="C137" s="1358"/>
      <c r="D137" s="1358"/>
      <c r="E137" s="1358"/>
      <c r="F137" s="1358"/>
      <c r="G137" s="1358"/>
      <c r="H137" s="1358"/>
      <c r="I137" s="1358"/>
      <c r="J137" s="1358"/>
      <c r="K137" s="1358"/>
      <c r="L137" s="1358"/>
      <c r="M137" s="1358"/>
      <c r="N137" s="1358"/>
      <c r="O137" s="1358"/>
      <c r="P137" s="1358"/>
      <c r="Q137" s="1358"/>
      <c r="R137" s="1358"/>
      <c r="S137" s="1358"/>
      <c r="T137" s="1358"/>
      <c r="U137" s="1358"/>
      <c r="V137" s="1358"/>
      <c r="W137" s="1358"/>
      <c r="X137" s="1358"/>
      <c r="Y137" s="1359"/>
      <c r="Z137" s="1359"/>
      <c r="AA137" s="1358"/>
    </row>
    <row r="138" ht="15.75" customHeight="1">
      <c r="A138" s="439"/>
      <c r="B138" s="439"/>
      <c r="C138" s="1358"/>
      <c r="D138" s="1358"/>
      <c r="E138" s="1358"/>
      <c r="F138" s="1358"/>
      <c r="G138" s="1358"/>
      <c r="H138" s="1358"/>
      <c r="I138" s="1358"/>
      <c r="J138" s="1358"/>
      <c r="K138" s="1358"/>
      <c r="L138" s="1358"/>
      <c r="M138" s="1358"/>
      <c r="N138" s="1358"/>
      <c r="O138" s="1358"/>
      <c r="P138" s="1358"/>
      <c r="Q138" s="1358"/>
      <c r="R138" s="1358"/>
      <c r="S138" s="1358"/>
      <c r="T138" s="1358"/>
      <c r="U138" s="1358"/>
      <c r="V138" s="1358"/>
      <c r="W138" s="1358"/>
      <c r="X138" s="1358"/>
      <c r="Y138" s="1359"/>
      <c r="Z138" s="1359"/>
      <c r="AA138" s="1358"/>
    </row>
    <row r="139" ht="15.75" customHeight="1">
      <c r="A139" s="439"/>
      <c r="B139" s="439"/>
      <c r="C139" s="1358"/>
      <c r="D139" s="1358"/>
      <c r="E139" s="1358"/>
      <c r="F139" s="1358"/>
      <c r="G139" s="1358"/>
      <c r="H139" s="1358"/>
      <c r="I139" s="1358"/>
      <c r="J139" s="1358"/>
      <c r="K139" s="1358"/>
      <c r="L139" s="1358"/>
      <c r="M139" s="1358"/>
      <c r="N139" s="1358"/>
      <c r="O139" s="1358"/>
      <c r="P139" s="1358"/>
      <c r="Q139" s="1358"/>
      <c r="R139" s="1358"/>
      <c r="S139" s="1358"/>
      <c r="T139" s="1358"/>
      <c r="U139" s="1358"/>
      <c r="V139" s="1358"/>
      <c r="W139" s="1358"/>
      <c r="X139" s="1358"/>
      <c r="Y139" s="1359"/>
      <c r="Z139" s="1359"/>
      <c r="AA139" s="1358"/>
    </row>
    <row r="140" ht="15.75" customHeight="1">
      <c r="A140" s="439"/>
      <c r="B140" s="439"/>
      <c r="C140" s="1358"/>
      <c r="D140" s="1358"/>
      <c r="E140" s="1358"/>
      <c r="F140" s="1358"/>
      <c r="G140" s="1358"/>
      <c r="H140" s="1358"/>
      <c r="I140" s="1358"/>
      <c r="J140" s="1358"/>
      <c r="K140" s="1358"/>
      <c r="L140" s="1358"/>
      <c r="M140" s="1358"/>
      <c r="N140" s="1358"/>
      <c r="O140" s="1358"/>
      <c r="P140" s="1358"/>
      <c r="Q140" s="1358"/>
      <c r="R140" s="1358"/>
      <c r="S140" s="1358"/>
      <c r="T140" s="1358"/>
      <c r="U140" s="1358"/>
      <c r="V140" s="1358"/>
      <c r="W140" s="1358"/>
      <c r="X140" s="1358"/>
      <c r="Y140" s="1359"/>
      <c r="Z140" s="1359"/>
      <c r="AA140" s="1358"/>
    </row>
    <row r="141" ht="15.75" customHeight="1">
      <c r="A141" s="439"/>
      <c r="B141" s="439"/>
      <c r="C141" s="1358"/>
      <c r="D141" s="1358"/>
      <c r="E141" s="1358"/>
      <c r="F141" s="1358"/>
      <c r="G141" s="1358"/>
      <c r="H141" s="1358"/>
      <c r="I141" s="1358"/>
      <c r="J141" s="1358"/>
      <c r="K141" s="1358"/>
      <c r="L141" s="1358"/>
      <c r="M141" s="1358"/>
      <c r="N141" s="1358"/>
      <c r="O141" s="1358"/>
      <c r="P141" s="1358"/>
      <c r="Q141" s="1358"/>
      <c r="R141" s="1358"/>
      <c r="S141" s="1358"/>
      <c r="T141" s="1358"/>
      <c r="U141" s="1358"/>
      <c r="V141" s="1358"/>
      <c r="W141" s="1358"/>
      <c r="X141" s="1358"/>
      <c r="Y141" s="1359"/>
      <c r="Z141" s="1359"/>
      <c r="AA141" s="1358"/>
    </row>
    <row r="142" ht="15.75" customHeight="1">
      <c r="A142" s="439"/>
      <c r="B142" s="439"/>
      <c r="C142" s="1358"/>
      <c r="D142" s="1358"/>
      <c r="E142" s="1358"/>
      <c r="F142" s="1358"/>
      <c r="G142" s="1358"/>
      <c r="H142" s="1358"/>
      <c r="I142" s="1358"/>
      <c r="J142" s="1358"/>
      <c r="K142" s="1358"/>
      <c r="L142" s="1358"/>
      <c r="M142" s="1358"/>
      <c r="N142" s="1358"/>
      <c r="O142" s="1358"/>
      <c r="P142" s="1358"/>
      <c r="Q142" s="1358"/>
      <c r="R142" s="1358"/>
      <c r="S142" s="1358"/>
      <c r="T142" s="1358"/>
      <c r="U142" s="1358"/>
      <c r="V142" s="1358"/>
      <c r="W142" s="1358"/>
      <c r="X142" s="1358"/>
      <c r="Y142" s="1359"/>
      <c r="Z142" s="1359"/>
      <c r="AA142" s="1358"/>
    </row>
    <row r="143" ht="15.75" customHeight="1">
      <c r="A143" s="439"/>
      <c r="B143" s="439"/>
      <c r="C143" s="1358"/>
      <c r="D143" s="1358"/>
      <c r="E143" s="1358"/>
      <c r="F143" s="1358"/>
      <c r="G143" s="1358"/>
      <c r="H143" s="1358"/>
      <c r="I143" s="1358"/>
      <c r="J143" s="1358"/>
      <c r="K143" s="1358"/>
      <c r="L143" s="1358"/>
      <c r="M143" s="1358"/>
      <c r="N143" s="1358"/>
      <c r="O143" s="1358"/>
      <c r="P143" s="1358"/>
      <c r="Q143" s="1358"/>
      <c r="R143" s="1358"/>
      <c r="S143" s="1358"/>
      <c r="T143" s="1358"/>
      <c r="U143" s="1358"/>
      <c r="V143" s="1358"/>
      <c r="W143" s="1358"/>
      <c r="X143" s="1358"/>
      <c r="Y143" s="1359"/>
      <c r="Z143" s="1359"/>
      <c r="AA143" s="1358"/>
    </row>
    <row r="144" ht="15.75" customHeight="1">
      <c r="A144" s="439"/>
      <c r="B144" s="439"/>
      <c r="C144" s="1358"/>
      <c r="D144" s="1358"/>
      <c r="E144" s="1358"/>
      <c r="F144" s="1358"/>
      <c r="G144" s="1358"/>
      <c r="H144" s="1358"/>
      <c r="I144" s="1358"/>
      <c r="J144" s="1358"/>
      <c r="K144" s="1358"/>
      <c r="L144" s="1358"/>
      <c r="M144" s="1358"/>
      <c r="N144" s="1358"/>
      <c r="O144" s="1358"/>
      <c r="P144" s="1358"/>
      <c r="Q144" s="1358"/>
      <c r="R144" s="1358"/>
      <c r="S144" s="1358"/>
      <c r="T144" s="1358"/>
      <c r="U144" s="1358"/>
      <c r="V144" s="1358"/>
      <c r="W144" s="1358"/>
      <c r="X144" s="1358"/>
      <c r="Y144" s="1359"/>
      <c r="Z144" s="1359"/>
      <c r="AA144" s="1358"/>
    </row>
    <row r="145" ht="15.75" customHeight="1">
      <c r="A145" s="439"/>
      <c r="B145" s="439"/>
      <c r="C145" s="1358"/>
      <c r="D145" s="1358"/>
      <c r="E145" s="1358"/>
      <c r="F145" s="1358"/>
      <c r="G145" s="1358"/>
      <c r="H145" s="1358"/>
      <c r="I145" s="1358"/>
      <c r="J145" s="1358"/>
      <c r="K145" s="1358"/>
      <c r="L145" s="1358"/>
      <c r="M145" s="1358"/>
      <c r="N145" s="1358"/>
      <c r="O145" s="1358"/>
      <c r="P145" s="1358"/>
      <c r="Q145" s="1358"/>
      <c r="R145" s="1358"/>
      <c r="S145" s="1358"/>
      <c r="T145" s="1358"/>
      <c r="U145" s="1358"/>
      <c r="V145" s="1358"/>
      <c r="W145" s="1358"/>
      <c r="X145" s="1358"/>
      <c r="Y145" s="1359"/>
      <c r="Z145" s="1359"/>
      <c r="AA145" s="1358"/>
    </row>
    <row r="146" ht="15.75" customHeight="1">
      <c r="A146" s="439"/>
      <c r="B146" s="439"/>
      <c r="C146" s="1358"/>
      <c r="D146" s="1358"/>
      <c r="E146" s="1358"/>
      <c r="F146" s="1358"/>
      <c r="G146" s="1358"/>
      <c r="H146" s="1358"/>
      <c r="I146" s="1358"/>
      <c r="J146" s="1358"/>
      <c r="K146" s="1358"/>
      <c r="L146" s="1358"/>
      <c r="M146" s="1358"/>
      <c r="N146" s="1358"/>
      <c r="O146" s="1358"/>
      <c r="P146" s="1358"/>
      <c r="Q146" s="1358"/>
      <c r="R146" s="1358"/>
      <c r="S146" s="1358"/>
      <c r="T146" s="1358"/>
      <c r="U146" s="1358"/>
      <c r="V146" s="1358"/>
      <c r="W146" s="1358"/>
      <c r="X146" s="1358"/>
      <c r="Y146" s="1359"/>
      <c r="Z146" s="1359"/>
      <c r="AA146" s="1358"/>
    </row>
    <row r="147" ht="15.75" customHeight="1">
      <c r="A147" s="439"/>
      <c r="B147" s="439"/>
      <c r="C147" s="1358"/>
      <c r="D147" s="1358"/>
      <c r="E147" s="1358"/>
      <c r="F147" s="1358"/>
      <c r="G147" s="1358"/>
      <c r="H147" s="1358"/>
      <c r="I147" s="1358"/>
      <c r="J147" s="1358"/>
      <c r="K147" s="1358"/>
      <c r="L147" s="1358"/>
      <c r="M147" s="1358"/>
      <c r="N147" s="1358"/>
      <c r="O147" s="1358"/>
      <c r="P147" s="1358"/>
      <c r="Q147" s="1358"/>
      <c r="R147" s="1358"/>
      <c r="S147" s="1358"/>
      <c r="T147" s="1358"/>
      <c r="U147" s="1358"/>
      <c r="V147" s="1358"/>
      <c r="W147" s="1358"/>
      <c r="X147" s="1358"/>
      <c r="Y147" s="1359"/>
      <c r="Z147" s="1359"/>
      <c r="AA147" s="1358"/>
    </row>
    <row r="148" ht="15.75" customHeight="1">
      <c r="A148" s="439"/>
      <c r="B148" s="439"/>
      <c r="C148" s="1358"/>
      <c r="D148" s="1358"/>
      <c r="E148" s="1358"/>
      <c r="F148" s="1358"/>
      <c r="G148" s="1358"/>
      <c r="H148" s="1358"/>
      <c r="I148" s="1358"/>
      <c r="J148" s="1358"/>
      <c r="K148" s="1358"/>
      <c r="L148" s="1358"/>
      <c r="M148" s="1358"/>
      <c r="N148" s="1358"/>
      <c r="O148" s="1358"/>
      <c r="P148" s="1358"/>
      <c r="Q148" s="1358"/>
      <c r="R148" s="1358"/>
      <c r="S148" s="1358"/>
      <c r="T148" s="1358"/>
      <c r="U148" s="1358"/>
      <c r="V148" s="1358"/>
      <c r="W148" s="1358"/>
      <c r="X148" s="1358"/>
      <c r="Y148" s="1359"/>
      <c r="Z148" s="1359"/>
      <c r="AA148" s="1358"/>
    </row>
    <row r="149" ht="15.75" customHeight="1">
      <c r="A149" s="439"/>
      <c r="B149" s="439"/>
      <c r="C149" s="1358"/>
      <c r="D149" s="1358"/>
      <c r="E149" s="1358"/>
      <c r="F149" s="1358"/>
      <c r="G149" s="1358"/>
      <c r="H149" s="1358"/>
      <c r="I149" s="1358"/>
      <c r="J149" s="1358"/>
      <c r="K149" s="1358"/>
      <c r="L149" s="1358"/>
      <c r="M149" s="1358"/>
      <c r="N149" s="1358"/>
      <c r="O149" s="1358"/>
      <c r="P149" s="1358"/>
      <c r="Q149" s="1358"/>
      <c r="R149" s="1358"/>
      <c r="S149" s="1358"/>
      <c r="T149" s="1358"/>
      <c r="U149" s="1358"/>
      <c r="V149" s="1358"/>
      <c r="W149" s="1358"/>
      <c r="X149" s="1358"/>
      <c r="Y149" s="1359"/>
      <c r="Z149" s="1359"/>
      <c r="AA149" s="1358"/>
    </row>
    <row r="150" ht="15.75" customHeight="1">
      <c r="A150" s="439"/>
      <c r="B150" s="439"/>
      <c r="C150" s="1358"/>
      <c r="D150" s="1358"/>
      <c r="E150" s="1358"/>
      <c r="F150" s="1358"/>
      <c r="G150" s="1358"/>
      <c r="H150" s="1358"/>
      <c r="I150" s="1358"/>
      <c r="J150" s="1358"/>
      <c r="K150" s="1358"/>
      <c r="L150" s="1358"/>
      <c r="M150" s="1358"/>
      <c r="N150" s="1358"/>
      <c r="O150" s="1358"/>
      <c r="P150" s="1358"/>
      <c r="Q150" s="1358"/>
      <c r="R150" s="1358"/>
      <c r="S150" s="1358"/>
      <c r="T150" s="1358"/>
      <c r="U150" s="1358"/>
      <c r="V150" s="1358"/>
      <c r="W150" s="1358"/>
      <c r="X150" s="1358"/>
      <c r="Y150" s="1359"/>
      <c r="Z150" s="1359"/>
      <c r="AA150" s="1358"/>
    </row>
    <row r="151" ht="15.75" customHeight="1">
      <c r="A151" s="439"/>
      <c r="B151" s="439"/>
      <c r="C151" s="1358"/>
      <c r="D151" s="1358"/>
      <c r="E151" s="1358"/>
      <c r="F151" s="1358"/>
      <c r="G151" s="1358"/>
      <c r="H151" s="1358"/>
      <c r="I151" s="1358"/>
      <c r="J151" s="1358"/>
      <c r="K151" s="1358"/>
      <c r="L151" s="1358"/>
      <c r="M151" s="1358"/>
      <c r="N151" s="1358"/>
      <c r="O151" s="1358"/>
      <c r="P151" s="1358"/>
      <c r="Q151" s="1358"/>
      <c r="R151" s="1358"/>
      <c r="S151" s="1358"/>
      <c r="T151" s="1358"/>
      <c r="U151" s="1358"/>
      <c r="V151" s="1358"/>
      <c r="W151" s="1358"/>
      <c r="X151" s="1358"/>
      <c r="Y151" s="1359"/>
      <c r="Z151" s="1359"/>
      <c r="AA151" s="1358"/>
    </row>
    <row r="152" ht="15.75" customHeight="1">
      <c r="A152" s="439"/>
      <c r="B152" s="439"/>
      <c r="C152" s="1358"/>
      <c r="D152" s="1358"/>
      <c r="E152" s="1358"/>
      <c r="F152" s="1358"/>
      <c r="G152" s="1358"/>
      <c r="H152" s="1358"/>
      <c r="I152" s="1358"/>
      <c r="J152" s="1358"/>
      <c r="K152" s="1358"/>
      <c r="L152" s="1358"/>
      <c r="M152" s="1358"/>
      <c r="N152" s="1358"/>
      <c r="O152" s="1358"/>
      <c r="P152" s="1358"/>
      <c r="Q152" s="1358"/>
      <c r="R152" s="1358"/>
      <c r="S152" s="1358"/>
      <c r="T152" s="1358"/>
      <c r="U152" s="1358"/>
      <c r="V152" s="1358"/>
      <c r="W152" s="1358"/>
      <c r="X152" s="1358"/>
      <c r="Y152" s="1359"/>
      <c r="Z152" s="1359"/>
      <c r="AA152" s="1358"/>
    </row>
    <row r="153" ht="15.75" customHeight="1">
      <c r="A153" s="439"/>
      <c r="B153" s="439"/>
      <c r="C153" s="1358"/>
      <c r="D153" s="1358"/>
      <c r="E153" s="1358"/>
      <c r="F153" s="1358"/>
      <c r="G153" s="1358"/>
      <c r="H153" s="1358"/>
      <c r="I153" s="1358"/>
      <c r="J153" s="1358"/>
      <c r="K153" s="1358"/>
      <c r="L153" s="1358"/>
      <c r="M153" s="1358"/>
      <c r="N153" s="1358"/>
      <c r="O153" s="1358"/>
      <c r="P153" s="1358"/>
      <c r="Q153" s="1358"/>
      <c r="R153" s="1358"/>
      <c r="S153" s="1358"/>
      <c r="T153" s="1358"/>
      <c r="U153" s="1358"/>
      <c r="V153" s="1358"/>
      <c r="W153" s="1358"/>
      <c r="X153" s="1358"/>
      <c r="Y153" s="1359"/>
      <c r="Z153" s="1359"/>
      <c r="AA153" s="1358"/>
    </row>
    <row r="154" ht="15.75" customHeight="1">
      <c r="A154" s="439"/>
      <c r="B154" s="439"/>
      <c r="C154" s="1358"/>
      <c r="D154" s="1358"/>
      <c r="E154" s="1358"/>
      <c r="F154" s="1358"/>
      <c r="G154" s="1358"/>
      <c r="H154" s="1358"/>
      <c r="I154" s="1358"/>
      <c r="J154" s="1358"/>
      <c r="K154" s="1358"/>
      <c r="L154" s="1358"/>
      <c r="M154" s="1358"/>
      <c r="N154" s="1358"/>
      <c r="O154" s="1358"/>
      <c r="P154" s="1358"/>
      <c r="Q154" s="1358"/>
      <c r="R154" s="1358"/>
      <c r="S154" s="1358"/>
      <c r="T154" s="1358"/>
      <c r="U154" s="1358"/>
      <c r="V154" s="1358"/>
      <c r="W154" s="1358"/>
      <c r="X154" s="1358"/>
      <c r="Y154" s="1359"/>
      <c r="Z154" s="1359"/>
      <c r="AA154" s="1358"/>
    </row>
    <row r="155" ht="15.75" customHeight="1">
      <c r="A155" s="439"/>
      <c r="B155" s="439"/>
      <c r="C155" s="1358"/>
      <c r="D155" s="1358"/>
      <c r="E155" s="1358"/>
      <c r="F155" s="1358"/>
      <c r="G155" s="1358"/>
      <c r="H155" s="1358"/>
      <c r="I155" s="1358"/>
      <c r="J155" s="1358"/>
      <c r="K155" s="1358"/>
      <c r="L155" s="1358"/>
      <c r="M155" s="1358"/>
      <c r="N155" s="1358"/>
      <c r="O155" s="1358"/>
      <c r="P155" s="1358"/>
      <c r="Q155" s="1358"/>
      <c r="R155" s="1358"/>
      <c r="S155" s="1358"/>
      <c r="T155" s="1358"/>
      <c r="U155" s="1358"/>
      <c r="V155" s="1358"/>
      <c r="W155" s="1358"/>
      <c r="X155" s="1358"/>
      <c r="Y155" s="1359"/>
      <c r="Z155" s="1359"/>
      <c r="AA155" s="1358"/>
    </row>
    <row r="156" ht="15.75" customHeight="1">
      <c r="A156" s="439"/>
      <c r="B156" s="439"/>
      <c r="C156" s="1358"/>
      <c r="D156" s="1358"/>
      <c r="E156" s="1358"/>
      <c r="F156" s="1358"/>
      <c r="G156" s="1358"/>
      <c r="H156" s="1358"/>
      <c r="I156" s="1358"/>
      <c r="J156" s="1358"/>
      <c r="K156" s="1358"/>
      <c r="L156" s="1358"/>
      <c r="M156" s="1358"/>
      <c r="N156" s="1358"/>
      <c r="O156" s="1358"/>
      <c r="P156" s="1358"/>
      <c r="Q156" s="1358"/>
      <c r="R156" s="1358"/>
      <c r="S156" s="1358"/>
      <c r="T156" s="1358"/>
      <c r="U156" s="1358"/>
      <c r="V156" s="1358"/>
      <c r="W156" s="1358"/>
      <c r="X156" s="1358"/>
      <c r="Y156" s="1359"/>
      <c r="Z156" s="1359"/>
      <c r="AA156" s="1358"/>
    </row>
    <row r="157" ht="15.75" customHeight="1">
      <c r="A157" s="439"/>
      <c r="B157" s="439"/>
      <c r="C157" s="1358"/>
      <c r="D157" s="1358"/>
      <c r="E157" s="1358"/>
      <c r="F157" s="1358"/>
      <c r="G157" s="1358"/>
      <c r="H157" s="1358"/>
      <c r="I157" s="1358"/>
      <c r="J157" s="1358"/>
      <c r="K157" s="1358"/>
      <c r="L157" s="1358"/>
      <c r="M157" s="1358"/>
      <c r="N157" s="1358"/>
      <c r="O157" s="1358"/>
      <c r="P157" s="1358"/>
      <c r="Q157" s="1358"/>
      <c r="R157" s="1358"/>
      <c r="S157" s="1358"/>
      <c r="T157" s="1358"/>
      <c r="U157" s="1358"/>
      <c r="V157" s="1358"/>
      <c r="W157" s="1358"/>
      <c r="X157" s="1358"/>
      <c r="Y157" s="1359"/>
      <c r="Z157" s="1359"/>
      <c r="AA157" s="1358"/>
    </row>
    <row r="158" ht="15.75" customHeight="1">
      <c r="A158" s="439"/>
      <c r="B158" s="439"/>
      <c r="C158" s="1358"/>
      <c r="D158" s="1358"/>
      <c r="E158" s="1358"/>
      <c r="F158" s="1358"/>
      <c r="G158" s="1358"/>
      <c r="H158" s="1358"/>
      <c r="I158" s="1358"/>
      <c r="J158" s="1358"/>
      <c r="K158" s="1358"/>
      <c r="L158" s="1358"/>
      <c r="M158" s="1358"/>
      <c r="N158" s="1358"/>
      <c r="O158" s="1358"/>
      <c r="P158" s="1358"/>
      <c r="Q158" s="1358"/>
      <c r="R158" s="1358"/>
      <c r="S158" s="1358"/>
      <c r="T158" s="1358"/>
      <c r="U158" s="1358"/>
      <c r="V158" s="1358"/>
      <c r="W158" s="1358"/>
      <c r="X158" s="1358"/>
      <c r="Y158" s="1359"/>
      <c r="Z158" s="1359"/>
      <c r="AA158" s="1358"/>
    </row>
    <row r="159" ht="15.75" customHeight="1">
      <c r="A159" s="439"/>
      <c r="B159" s="439"/>
      <c r="C159" s="1358"/>
      <c r="D159" s="1358"/>
      <c r="E159" s="1358"/>
      <c r="F159" s="1358"/>
      <c r="G159" s="1358"/>
      <c r="H159" s="1358"/>
      <c r="I159" s="1358"/>
      <c r="J159" s="1358"/>
      <c r="K159" s="1358"/>
      <c r="L159" s="1358"/>
      <c r="M159" s="1358"/>
      <c r="N159" s="1358"/>
      <c r="O159" s="1358"/>
      <c r="P159" s="1358"/>
      <c r="Q159" s="1358"/>
      <c r="R159" s="1358"/>
      <c r="S159" s="1358"/>
      <c r="T159" s="1358"/>
      <c r="U159" s="1358"/>
      <c r="V159" s="1358"/>
      <c r="W159" s="1358"/>
      <c r="X159" s="1358"/>
      <c r="Y159" s="1359"/>
      <c r="Z159" s="1359"/>
      <c r="AA159" s="1358"/>
    </row>
    <row r="160" ht="15.75" customHeight="1">
      <c r="A160" s="439"/>
      <c r="B160" s="439"/>
      <c r="C160" s="1358"/>
      <c r="D160" s="1358"/>
      <c r="E160" s="1358"/>
      <c r="F160" s="1358"/>
      <c r="G160" s="1358"/>
      <c r="H160" s="1358"/>
      <c r="I160" s="1358"/>
      <c r="J160" s="1358"/>
      <c r="K160" s="1358"/>
      <c r="L160" s="1358"/>
      <c r="M160" s="1358"/>
      <c r="N160" s="1358"/>
      <c r="O160" s="1358"/>
      <c r="P160" s="1358"/>
      <c r="Q160" s="1358"/>
      <c r="R160" s="1358"/>
      <c r="S160" s="1358"/>
      <c r="T160" s="1358"/>
      <c r="U160" s="1358"/>
      <c r="V160" s="1358"/>
      <c r="W160" s="1358"/>
      <c r="X160" s="1358"/>
      <c r="Y160" s="1359"/>
      <c r="Z160" s="1359"/>
      <c r="AA160" s="1358"/>
    </row>
    <row r="161" ht="15.75" customHeight="1">
      <c r="A161" s="439"/>
      <c r="B161" s="439"/>
      <c r="C161" s="1358"/>
      <c r="D161" s="1358"/>
      <c r="E161" s="1358"/>
      <c r="F161" s="1358"/>
      <c r="G161" s="1358"/>
      <c r="H161" s="1358"/>
      <c r="I161" s="1358"/>
      <c r="J161" s="1358"/>
      <c r="K161" s="1358"/>
      <c r="L161" s="1358"/>
      <c r="M161" s="1358"/>
      <c r="N161" s="1358"/>
      <c r="O161" s="1358"/>
      <c r="P161" s="1358"/>
      <c r="Q161" s="1358"/>
      <c r="R161" s="1358"/>
      <c r="S161" s="1358"/>
      <c r="T161" s="1358"/>
      <c r="U161" s="1358"/>
      <c r="V161" s="1358"/>
      <c r="W161" s="1358"/>
      <c r="X161" s="1358"/>
      <c r="Y161" s="1359"/>
      <c r="Z161" s="1359"/>
      <c r="AA161" s="1358"/>
    </row>
    <row r="162" ht="15.75" customHeight="1">
      <c r="A162" s="439"/>
      <c r="B162" s="439"/>
      <c r="C162" s="1358"/>
      <c r="D162" s="1358"/>
      <c r="E162" s="1358"/>
      <c r="F162" s="1358"/>
      <c r="G162" s="1358"/>
      <c r="H162" s="1358"/>
      <c r="I162" s="1358"/>
      <c r="J162" s="1358"/>
      <c r="K162" s="1358"/>
      <c r="L162" s="1358"/>
      <c r="M162" s="1358"/>
      <c r="N162" s="1358"/>
      <c r="O162" s="1358"/>
      <c r="P162" s="1358"/>
      <c r="Q162" s="1358"/>
      <c r="R162" s="1358"/>
      <c r="S162" s="1358"/>
      <c r="T162" s="1358"/>
      <c r="U162" s="1358"/>
      <c r="V162" s="1358"/>
      <c r="W162" s="1358"/>
      <c r="X162" s="1358"/>
      <c r="Y162" s="1359"/>
      <c r="Z162" s="1359"/>
      <c r="AA162" s="1358"/>
    </row>
    <row r="163" ht="15.75" customHeight="1">
      <c r="A163" s="439"/>
      <c r="B163" s="439"/>
      <c r="C163" s="1358"/>
      <c r="D163" s="1358"/>
      <c r="E163" s="1358"/>
      <c r="F163" s="1358"/>
      <c r="G163" s="1358"/>
      <c r="H163" s="1358"/>
      <c r="I163" s="1358"/>
      <c r="J163" s="1358"/>
      <c r="K163" s="1358"/>
      <c r="L163" s="1358"/>
      <c r="M163" s="1358"/>
      <c r="N163" s="1358"/>
      <c r="O163" s="1358"/>
      <c r="P163" s="1358"/>
      <c r="Q163" s="1358"/>
      <c r="R163" s="1358"/>
      <c r="S163" s="1358"/>
      <c r="T163" s="1358"/>
      <c r="U163" s="1358"/>
      <c r="V163" s="1358"/>
      <c r="W163" s="1358"/>
      <c r="X163" s="1358"/>
      <c r="Y163" s="1359"/>
      <c r="Z163" s="1359"/>
      <c r="AA163" s="1358"/>
    </row>
    <row r="164" ht="15.75" customHeight="1">
      <c r="A164" s="439"/>
      <c r="B164" s="439"/>
      <c r="C164" s="1358"/>
      <c r="D164" s="1358"/>
      <c r="E164" s="1358"/>
      <c r="F164" s="1358"/>
      <c r="G164" s="1358"/>
      <c r="H164" s="1358"/>
      <c r="I164" s="1358"/>
      <c r="J164" s="1358"/>
      <c r="K164" s="1358"/>
      <c r="L164" s="1358"/>
      <c r="M164" s="1358"/>
      <c r="N164" s="1358"/>
      <c r="O164" s="1358"/>
      <c r="P164" s="1358"/>
      <c r="Q164" s="1358"/>
      <c r="R164" s="1358"/>
      <c r="S164" s="1358"/>
      <c r="T164" s="1358"/>
      <c r="U164" s="1358"/>
      <c r="V164" s="1358"/>
      <c r="W164" s="1358"/>
      <c r="X164" s="1358"/>
      <c r="Y164" s="1359"/>
      <c r="Z164" s="1359"/>
      <c r="AA164" s="1358"/>
    </row>
    <row r="165" ht="15.75" customHeight="1">
      <c r="A165" s="439"/>
      <c r="B165" s="439"/>
      <c r="C165" s="1358"/>
      <c r="D165" s="1358"/>
      <c r="E165" s="1358"/>
      <c r="F165" s="1358"/>
      <c r="G165" s="1358"/>
      <c r="H165" s="1358"/>
      <c r="I165" s="1358"/>
      <c r="J165" s="1358"/>
      <c r="K165" s="1358"/>
      <c r="L165" s="1358"/>
      <c r="M165" s="1358"/>
      <c r="N165" s="1358"/>
      <c r="O165" s="1358"/>
      <c r="P165" s="1358"/>
      <c r="Q165" s="1358"/>
      <c r="R165" s="1358"/>
      <c r="S165" s="1358"/>
      <c r="T165" s="1358"/>
      <c r="U165" s="1358"/>
      <c r="V165" s="1358"/>
      <c r="W165" s="1358"/>
      <c r="X165" s="1358"/>
      <c r="Y165" s="1359"/>
      <c r="Z165" s="1359"/>
      <c r="AA165" s="1358"/>
    </row>
    <row r="166" ht="15.75" customHeight="1">
      <c r="A166" s="439"/>
      <c r="B166" s="439"/>
      <c r="C166" s="1358"/>
      <c r="D166" s="1358"/>
      <c r="E166" s="1358"/>
      <c r="F166" s="1358"/>
      <c r="G166" s="1358"/>
      <c r="H166" s="1358"/>
      <c r="I166" s="1358"/>
      <c r="J166" s="1358"/>
      <c r="K166" s="1358"/>
      <c r="L166" s="1358"/>
      <c r="M166" s="1358"/>
      <c r="N166" s="1358"/>
      <c r="O166" s="1358"/>
      <c r="P166" s="1358"/>
      <c r="Q166" s="1358"/>
      <c r="R166" s="1358"/>
      <c r="S166" s="1358"/>
      <c r="T166" s="1358"/>
      <c r="U166" s="1358"/>
      <c r="V166" s="1358"/>
      <c r="W166" s="1358"/>
      <c r="X166" s="1358"/>
      <c r="Y166" s="1359"/>
      <c r="Z166" s="1359"/>
      <c r="AA166" s="1358"/>
    </row>
    <row r="167" ht="15.75" customHeight="1">
      <c r="A167" s="439"/>
      <c r="B167" s="439"/>
      <c r="C167" s="1358"/>
      <c r="D167" s="1358"/>
      <c r="E167" s="1358"/>
      <c r="F167" s="1358"/>
      <c r="G167" s="1358"/>
      <c r="H167" s="1358"/>
      <c r="I167" s="1358"/>
      <c r="J167" s="1358"/>
      <c r="K167" s="1358"/>
      <c r="L167" s="1358"/>
      <c r="M167" s="1358"/>
      <c r="N167" s="1358"/>
      <c r="O167" s="1358"/>
      <c r="P167" s="1358"/>
      <c r="Q167" s="1358"/>
      <c r="R167" s="1358"/>
      <c r="S167" s="1358"/>
      <c r="T167" s="1358"/>
      <c r="U167" s="1358"/>
      <c r="V167" s="1358"/>
      <c r="W167" s="1358"/>
      <c r="X167" s="1358"/>
      <c r="Y167" s="1359"/>
      <c r="Z167" s="1359"/>
      <c r="AA167" s="1358"/>
    </row>
    <row r="168" ht="15.75" customHeight="1">
      <c r="A168" s="439"/>
      <c r="B168" s="439"/>
      <c r="C168" s="1358"/>
      <c r="D168" s="1358"/>
      <c r="E168" s="1358"/>
      <c r="F168" s="1358"/>
      <c r="G168" s="1358"/>
      <c r="H168" s="1358"/>
      <c r="I168" s="1358"/>
      <c r="J168" s="1358"/>
      <c r="K168" s="1358"/>
      <c r="L168" s="1358"/>
      <c r="M168" s="1358"/>
      <c r="N168" s="1358"/>
      <c r="O168" s="1358"/>
      <c r="P168" s="1358"/>
      <c r="Q168" s="1358"/>
      <c r="R168" s="1358"/>
      <c r="S168" s="1358"/>
      <c r="T168" s="1358"/>
      <c r="U168" s="1358"/>
      <c r="V168" s="1358"/>
      <c r="W168" s="1358"/>
      <c r="X168" s="1358"/>
      <c r="Y168" s="1359"/>
      <c r="Z168" s="1359"/>
      <c r="AA168" s="1358"/>
    </row>
    <row r="169" ht="15.75" customHeight="1">
      <c r="A169" s="439"/>
      <c r="B169" s="439"/>
      <c r="C169" s="1358"/>
      <c r="D169" s="1358"/>
      <c r="E169" s="1358"/>
      <c r="F169" s="1358"/>
      <c r="G169" s="1358"/>
      <c r="H169" s="1358"/>
      <c r="I169" s="1358"/>
      <c r="J169" s="1358"/>
      <c r="K169" s="1358"/>
      <c r="L169" s="1358"/>
      <c r="M169" s="1358"/>
      <c r="N169" s="1358"/>
      <c r="O169" s="1358"/>
      <c r="P169" s="1358"/>
      <c r="Q169" s="1358"/>
      <c r="R169" s="1358"/>
      <c r="S169" s="1358"/>
      <c r="T169" s="1358"/>
      <c r="U169" s="1358"/>
      <c r="V169" s="1358"/>
      <c r="W169" s="1358"/>
      <c r="X169" s="1358"/>
      <c r="Y169" s="1359"/>
      <c r="Z169" s="1359"/>
      <c r="AA169" s="1358"/>
    </row>
    <row r="170" ht="15.75" customHeight="1">
      <c r="A170" s="439"/>
      <c r="B170" s="439"/>
      <c r="C170" s="1358"/>
      <c r="D170" s="1358"/>
      <c r="E170" s="1358"/>
      <c r="F170" s="1358"/>
      <c r="G170" s="1358"/>
      <c r="H170" s="1358"/>
      <c r="I170" s="1358"/>
      <c r="J170" s="1358"/>
      <c r="K170" s="1358"/>
      <c r="L170" s="1358"/>
      <c r="M170" s="1358"/>
      <c r="N170" s="1358"/>
      <c r="O170" s="1358"/>
      <c r="P170" s="1358"/>
      <c r="Q170" s="1358"/>
      <c r="R170" s="1358"/>
      <c r="S170" s="1358"/>
      <c r="T170" s="1358"/>
      <c r="U170" s="1358"/>
      <c r="V170" s="1358"/>
      <c r="W170" s="1358"/>
      <c r="X170" s="1358"/>
      <c r="Y170" s="1359"/>
      <c r="Z170" s="1359"/>
      <c r="AA170" s="1358"/>
    </row>
    <row r="171" ht="15.75" customHeight="1">
      <c r="A171" s="439"/>
      <c r="B171" s="439"/>
      <c r="C171" s="1358"/>
      <c r="D171" s="1358"/>
      <c r="E171" s="1358"/>
      <c r="F171" s="1358"/>
      <c r="G171" s="1358"/>
      <c r="H171" s="1358"/>
      <c r="I171" s="1358"/>
      <c r="J171" s="1358"/>
      <c r="K171" s="1358"/>
      <c r="L171" s="1358"/>
      <c r="M171" s="1358"/>
      <c r="N171" s="1358"/>
      <c r="O171" s="1358"/>
      <c r="P171" s="1358"/>
      <c r="Q171" s="1358"/>
      <c r="R171" s="1358"/>
      <c r="S171" s="1358"/>
      <c r="T171" s="1358"/>
      <c r="U171" s="1358"/>
      <c r="V171" s="1358"/>
      <c r="W171" s="1358"/>
      <c r="X171" s="1358"/>
      <c r="Y171" s="1359"/>
      <c r="Z171" s="1359"/>
      <c r="AA171" s="1358"/>
    </row>
    <row r="172" ht="15.75" customHeight="1">
      <c r="A172" s="439"/>
      <c r="B172" s="439"/>
      <c r="C172" s="1358"/>
      <c r="D172" s="1358"/>
      <c r="E172" s="1358"/>
      <c r="F172" s="1358"/>
      <c r="G172" s="1358"/>
      <c r="H172" s="1358"/>
      <c r="I172" s="1358"/>
      <c r="J172" s="1358"/>
      <c r="K172" s="1358"/>
      <c r="L172" s="1358"/>
      <c r="M172" s="1358"/>
      <c r="N172" s="1358"/>
      <c r="O172" s="1358"/>
      <c r="P172" s="1358"/>
      <c r="Q172" s="1358"/>
      <c r="R172" s="1358"/>
      <c r="S172" s="1358"/>
      <c r="T172" s="1358"/>
      <c r="U172" s="1358"/>
      <c r="V172" s="1358"/>
      <c r="W172" s="1358"/>
      <c r="X172" s="1358"/>
      <c r="Y172" s="1359"/>
      <c r="Z172" s="1359"/>
      <c r="AA172" s="1358"/>
    </row>
    <row r="173" ht="15.75" customHeight="1">
      <c r="A173" s="439"/>
      <c r="B173" s="439"/>
      <c r="C173" s="1358"/>
      <c r="D173" s="1358"/>
      <c r="E173" s="1358"/>
      <c r="F173" s="1358"/>
      <c r="G173" s="1358"/>
      <c r="H173" s="1358"/>
      <c r="I173" s="1358"/>
      <c r="J173" s="1358"/>
      <c r="K173" s="1358"/>
      <c r="L173" s="1358"/>
      <c r="M173" s="1358"/>
      <c r="N173" s="1358"/>
      <c r="O173" s="1358"/>
      <c r="P173" s="1358"/>
      <c r="Q173" s="1358"/>
      <c r="R173" s="1358"/>
      <c r="S173" s="1358"/>
      <c r="T173" s="1358"/>
      <c r="U173" s="1358"/>
      <c r="V173" s="1358"/>
      <c r="W173" s="1358"/>
      <c r="X173" s="1358"/>
      <c r="Y173" s="1359"/>
      <c r="Z173" s="1359"/>
      <c r="AA173" s="1358"/>
    </row>
    <row r="174" ht="15.75" customHeight="1">
      <c r="A174" s="439"/>
      <c r="B174" s="439"/>
      <c r="C174" s="1358"/>
      <c r="D174" s="1358"/>
      <c r="E174" s="1358"/>
      <c r="F174" s="1358"/>
      <c r="G174" s="1358"/>
      <c r="H174" s="1358"/>
      <c r="I174" s="1358"/>
      <c r="J174" s="1358"/>
      <c r="K174" s="1358"/>
      <c r="L174" s="1358"/>
      <c r="M174" s="1358"/>
      <c r="N174" s="1358"/>
      <c r="O174" s="1358"/>
      <c r="P174" s="1358"/>
      <c r="Q174" s="1358"/>
      <c r="R174" s="1358"/>
      <c r="S174" s="1358"/>
      <c r="T174" s="1358"/>
      <c r="U174" s="1358"/>
      <c r="V174" s="1358"/>
      <c r="W174" s="1358"/>
      <c r="X174" s="1358"/>
      <c r="Y174" s="1359"/>
      <c r="Z174" s="1359"/>
      <c r="AA174" s="1358"/>
    </row>
    <row r="175" ht="15.75" customHeight="1">
      <c r="A175" s="439"/>
      <c r="B175" s="439"/>
      <c r="C175" s="1358"/>
      <c r="D175" s="1358"/>
      <c r="E175" s="1358"/>
      <c r="F175" s="1358"/>
      <c r="G175" s="1358"/>
      <c r="H175" s="1358"/>
      <c r="I175" s="1358"/>
      <c r="J175" s="1358"/>
      <c r="K175" s="1358"/>
      <c r="L175" s="1358"/>
      <c r="M175" s="1358"/>
      <c r="N175" s="1358"/>
      <c r="O175" s="1358"/>
      <c r="P175" s="1358"/>
      <c r="Q175" s="1358"/>
      <c r="R175" s="1358"/>
      <c r="S175" s="1358"/>
      <c r="T175" s="1358"/>
      <c r="U175" s="1358"/>
      <c r="V175" s="1358"/>
      <c r="W175" s="1358"/>
      <c r="X175" s="1358"/>
      <c r="Y175" s="1359"/>
      <c r="Z175" s="1359"/>
      <c r="AA175" s="1358"/>
    </row>
    <row r="176" ht="15.75" customHeight="1">
      <c r="A176" s="439"/>
      <c r="B176" s="439"/>
      <c r="C176" s="1358"/>
      <c r="D176" s="1358"/>
      <c r="E176" s="1358"/>
      <c r="F176" s="1358"/>
      <c r="G176" s="1358"/>
      <c r="H176" s="1358"/>
      <c r="I176" s="1358"/>
      <c r="J176" s="1358"/>
      <c r="K176" s="1358"/>
      <c r="L176" s="1358"/>
      <c r="M176" s="1358"/>
      <c r="N176" s="1358"/>
      <c r="O176" s="1358"/>
      <c r="P176" s="1358"/>
      <c r="Q176" s="1358"/>
      <c r="R176" s="1358"/>
      <c r="S176" s="1358"/>
      <c r="T176" s="1358"/>
      <c r="U176" s="1358"/>
      <c r="V176" s="1358"/>
      <c r="W176" s="1358"/>
      <c r="X176" s="1358"/>
      <c r="Y176" s="1359"/>
      <c r="Z176" s="1359"/>
      <c r="AA176" s="1358"/>
    </row>
    <row r="177" ht="15.75" customHeight="1">
      <c r="A177" s="439"/>
      <c r="B177" s="439"/>
      <c r="C177" s="1358"/>
      <c r="D177" s="1358"/>
      <c r="E177" s="1358"/>
      <c r="F177" s="1358"/>
      <c r="G177" s="1358"/>
      <c r="H177" s="1358"/>
      <c r="I177" s="1358"/>
      <c r="J177" s="1358"/>
      <c r="K177" s="1358"/>
      <c r="L177" s="1358"/>
      <c r="M177" s="1358"/>
      <c r="N177" s="1358"/>
      <c r="O177" s="1358"/>
      <c r="P177" s="1358"/>
      <c r="Q177" s="1358"/>
      <c r="R177" s="1358"/>
      <c r="S177" s="1358"/>
      <c r="T177" s="1358"/>
      <c r="U177" s="1358"/>
      <c r="V177" s="1358"/>
      <c r="W177" s="1358"/>
      <c r="X177" s="1358"/>
      <c r="Y177" s="1359"/>
      <c r="Z177" s="1359"/>
      <c r="AA177" s="1358"/>
    </row>
    <row r="178" ht="15.75" customHeight="1">
      <c r="A178" s="439"/>
      <c r="B178" s="439"/>
      <c r="C178" s="1358"/>
      <c r="D178" s="1358"/>
      <c r="E178" s="1358"/>
      <c r="F178" s="1358"/>
      <c r="G178" s="1358"/>
      <c r="H178" s="1358"/>
      <c r="I178" s="1358"/>
      <c r="J178" s="1358"/>
      <c r="K178" s="1358"/>
      <c r="L178" s="1358"/>
      <c r="M178" s="1358"/>
      <c r="N178" s="1358"/>
      <c r="O178" s="1358"/>
      <c r="P178" s="1358"/>
      <c r="Q178" s="1358"/>
      <c r="R178" s="1358"/>
      <c r="S178" s="1358"/>
      <c r="T178" s="1358"/>
      <c r="U178" s="1358"/>
      <c r="V178" s="1358"/>
      <c r="W178" s="1358"/>
      <c r="X178" s="1358"/>
      <c r="Y178" s="1359"/>
      <c r="Z178" s="1359"/>
      <c r="AA178" s="1358"/>
    </row>
    <row r="179" ht="15.75" customHeight="1">
      <c r="A179" s="439"/>
      <c r="B179" s="439"/>
      <c r="C179" s="1358"/>
      <c r="D179" s="1358"/>
      <c r="E179" s="1358"/>
      <c r="F179" s="1358"/>
      <c r="G179" s="1358"/>
      <c r="H179" s="1358"/>
      <c r="I179" s="1358"/>
      <c r="J179" s="1358"/>
      <c r="K179" s="1358"/>
      <c r="L179" s="1358"/>
      <c r="M179" s="1358"/>
      <c r="N179" s="1358"/>
      <c r="O179" s="1358"/>
      <c r="P179" s="1358"/>
      <c r="Q179" s="1358"/>
      <c r="R179" s="1358"/>
      <c r="S179" s="1358"/>
      <c r="T179" s="1358"/>
      <c r="U179" s="1358"/>
      <c r="V179" s="1358"/>
      <c r="W179" s="1358"/>
      <c r="X179" s="1358"/>
      <c r="Y179" s="1359"/>
      <c r="Z179" s="1359"/>
      <c r="AA179" s="1358"/>
    </row>
    <row r="180" ht="15.75" customHeight="1">
      <c r="A180" s="439"/>
      <c r="B180" s="439"/>
      <c r="C180" s="1358"/>
      <c r="D180" s="1358"/>
      <c r="E180" s="1358"/>
      <c r="F180" s="1358"/>
      <c r="G180" s="1358"/>
      <c r="H180" s="1358"/>
      <c r="I180" s="1358"/>
      <c r="J180" s="1358"/>
      <c r="K180" s="1358"/>
      <c r="L180" s="1358"/>
      <c r="M180" s="1358"/>
      <c r="N180" s="1358"/>
      <c r="O180" s="1358"/>
      <c r="P180" s="1358"/>
      <c r="Q180" s="1358"/>
      <c r="R180" s="1358"/>
      <c r="S180" s="1358"/>
      <c r="T180" s="1358"/>
      <c r="U180" s="1358"/>
      <c r="V180" s="1358"/>
      <c r="W180" s="1358"/>
      <c r="X180" s="1358"/>
      <c r="Y180" s="1359"/>
      <c r="Z180" s="1359"/>
      <c r="AA180" s="1358"/>
    </row>
    <row r="181" ht="15.75" customHeight="1">
      <c r="A181" s="439"/>
      <c r="B181" s="439"/>
      <c r="C181" s="1358"/>
      <c r="D181" s="1358"/>
      <c r="E181" s="1358"/>
      <c r="F181" s="1358"/>
      <c r="G181" s="1358"/>
      <c r="H181" s="1358"/>
      <c r="I181" s="1358"/>
      <c r="J181" s="1358"/>
      <c r="K181" s="1358"/>
      <c r="L181" s="1358"/>
      <c r="M181" s="1358"/>
      <c r="N181" s="1358"/>
      <c r="O181" s="1358"/>
      <c r="P181" s="1358"/>
      <c r="Q181" s="1358"/>
      <c r="R181" s="1358"/>
      <c r="S181" s="1358"/>
      <c r="T181" s="1358"/>
      <c r="U181" s="1358"/>
      <c r="V181" s="1358"/>
      <c r="W181" s="1358"/>
      <c r="X181" s="1358"/>
      <c r="Y181" s="1359"/>
      <c r="Z181" s="1359"/>
      <c r="AA181" s="1358"/>
    </row>
    <row r="182" ht="15.75" customHeight="1">
      <c r="A182" s="439"/>
      <c r="B182" s="439"/>
      <c r="C182" s="1358"/>
      <c r="D182" s="1358"/>
      <c r="E182" s="1358"/>
      <c r="F182" s="1358"/>
      <c r="G182" s="1358"/>
      <c r="H182" s="1358"/>
      <c r="I182" s="1358"/>
      <c r="J182" s="1358"/>
      <c r="K182" s="1358"/>
      <c r="L182" s="1358"/>
      <c r="M182" s="1358"/>
      <c r="N182" s="1358"/>
      <c r="O182" s="1358"/>
      <c r="P182" s="1358"/>
      <c r="Q182" s="1358"/>
      <c r="R182" s="1358"/>
      <c r="S182" s="1358"/>
      <c r="T182" s="1358"/>
      <c r="U182" s="1358"/>
      <c r="V182" s="1358"/>
      <c r="W182" s="1358"/>
      <c r="X182" s="1358"/>
      <c r="Y182" s="1359"/>
      <c r="Z182" s="1359"/>
      <c r="AA182" s="1358"/>
    </row>
    <row r="183" ht="15.75" customHeight="1">
      <c r="A183" s="439"/>
      <c r="B183" s="439"/>
      <c r="C183" s="1358"/>
      <c r="D183" s="1358"/>
      <c r="E183" s="1358"/>
      <c r="F183" s="1358"/>
      <c r="G183" s="1358"/>
      <c r="H183" s="1358"/>
      <c r="I183" s="1358"/>
      <c r="J183" s="1358"/>
      <c r="K183" s="1358"/>
      <c r="L183" s="1358"/>
      <c r="M183" s="1358"/>
      <c r="N183" s="1358"/>
      <c r="O183" s="1358"/>
      <c r="P183" s="1358"/>
      <c r="Q183" s="1358"/>
      <c r="R183" s="1358"/>
      <c r="S183" s="1358"/>
      <c r="T183" s="1358"/>
      <c r="U183" s="1358"/>
      <c r="V183" s="1358"/>
      <c r="W183" s="1358"/>
      <c r="X183" s="1358"/>
      <c r="Y183" s="1359"/>
      <c r="Z183" s="1359"/>
      <c r="AA183" s="1358"/>
    </row>
    <row r="184" ht="15.75" customHeight="1">
      <c r="A184" s="439"/>
      <c r="B184" s="439"/>
      <c r="C184" s="1358"/>
      <c r="D184" s="1358"/>
      <c r="E184" s="1358"/>
      <c r="F184" s="1358"/>
      <c r="G184" s="1358"/>
      <c r="H184" s="1358"/>
      <c r="I184" s="1358"/>
      <c r="J184" s="1358"/>
      <c r="K184" s="1358"/>
      <c r="L184" s="1358"/>
      <c r="M184" s="1358"/>
      <c r="N184" s="1358"/>
      <c r="O184" s="1358"/>
      <c r="P184" s="1358"/>
      <c r="Q184" s="1358"/>
      <c r="R184" s="1358"/>
      <c r="S184" s="1358"/>
      <c r="T184" s="1358"/>
      <c r="U184" s="1358"/>
      <c r="V184" s="1358"/>
      <c r="W184" s="1358"/>
      <c r="X184" s="1358"/>
      <c r="Y184" s="1359"/>
      <c r="Z184" s="1359"/>
      <c r="AA184" s="1358"/>
    </row>
    <row r="185" ht="15.75" customHeight="1">
      <c r="A185" s="439"/>
      <c r="B185" s="439"/>
      <c r="C185" s="1358"/>
      <c r="D185" s="1358"/>
      <c r="E185" s="1358"/>
      <c r="F185" s="1358"/>
      <c r="G185" s="1358"/>
      <c r="H185" s="1358"/>
      <c r="I185" s="1358"/>
      <c r="J185" s="1358"/>
      <c r="K185" s="1358"/>
      <c r="L185" s="1358"/>
      <c r="M185" s="1358"/>
      <c r="N185" s="1358"/>
      <c r="O185" s="1358"/>
      <c r="P185" s="1358"/>
      <c r="Q185" s="1358"/>
      <c r="R185" s="1358"/>
      <c r="S185" s="1358"/>
      <c r="T185" s="1358"/>
      <c r="U185" s="1358"/>
      <c r="V185" s="1358"/>
      <c r="W185" s="1358"/>
      <c r="X185" s="1358"/>
      <c r="Y185" s="1359"/>
      <c r="Z185" s="1359"/>
      <c r="AA185" s="1358"/>
    </row>
    <row r="186" ht="15.75" customHeight="1">
      <c r="A186" s="439"/>
      <c r="B186" s="439"/>
      <c r="C186" s="1358"/>
      <c r="D186" s="1358"/>
      <c r="E186" s="1358"/>
      <c r="F186" s="1358"/>
      <c r="G186" s="1358"/>
      <c r="H186" s="1358"/>
      <c r="I186" s="1358"/>
      <c r="J186" s="1358"/>
      <c r="K186" s="1358"/>
      <c r="L186" s="1358"/>
      <c r="M186" s="1358"/>
      <c r="N186" s="1358"/>
      <c r="O186" s="1358"/>
      <c r="P186" s="1358"/>
      <c r="Q186" s="1358"/>
      <c r="R186" s="1358"/>
      <c r="S186" s="1358"/>
      <c r="T186" s="1358"/>
      <c r="U186" s="1358"/>
      <c r="V186" s="1358"/>
      <c r="W186" s="1358"/>
      <c r="X186" s="1358"/>
      <c r="Y186" s="1359"/>
      <c r="Z186" s="1359"/>
      <c r="AA186" s="1358"/>
    </row>
    <row r="187" ht="15.75" customHeight="1">
      <c r="A187" s="439"/>
      <c r="B187" s="439"/>
      <c r="C187" s="1358"/>
      <c r="D187" s="1358"/>
      <c r="E187" s="1358"/>
      <c r="F187" s="1358"/>
      <c r="G187" s="1358"/>
      <c r="H187" s="1358"/>
      <c r="I187" s="1358"/>
      <c r="J187" s="1358"/>
      <c r="K187" s="1358"/>
      <c r="L187" s="1358"/>
      <c r="M187" s="1358"/>
      <c r="N187" s="1358"/>
      <c r="O187" s="1358"/>
      <c r="P187" s="1358"/>
      <c r="Q187" s="1358"/>
      <c r="R187" s="1358"/>
      <c r="S187" s="1358"/>
      <c r="T187" s="1358"/>
      <c r="U187" s="1358"/>
      <c r="V187" s="1358"/>
      <c r="W187" s="1358"/>
      <c r="X187" s="1358"/>
      <c r="Y187" s="1359"/>
      <c r="Z187" s="1359"/>
      <c r="AA187" s="1358"/>
    </row>
    <row r="188" ht="15.75" customHeight="1">
      <c r="A188" s="439"/>
      <c r="B188" s="439"/>
      <c r="C188" s="1358"/>
      <c r="D188" s="1358"/>
      <c r="E188" s="1358"/>
      <c r="F188" s="1358"/>
      <c r="G188" s="1358"/>
      <c r="H188" s="1358"/>
      <c r="I188" s="1358"/>
      <c r="J188" s="1358"/>
      <c r="K188" s="1358"/>
      <c r="L188" s="1358"/>
      <c r="M188" s="1358"/>
      <c r="N188" s="1358"/>
      <c r="O188" s="1358"/>
      <c r="P188" s="1358"/>
      <c r="Q188" s="1358"/>
      <c r="R188" s="1358"/>
      <c r="S188" s="1358"/>
      <c r="T188" s="1358"/>
      <c r="U188" s="1358"/>
      <c r="V188" s="1358"/>
      <c r="W188" s="1358"/>
      <c r="X188" s="1358"/>
      <c r="Y188" s="1359"/>
      <c r="Z188" s="1359"/>
      <c r="AA188" s="1358"/>
    </row>
    <row r="189" ht="15.75" customHeight="1">
      <c r="A189" s="439"/>
      <c r="B189" s="439"/>
      <c r="C189" s="1358"/>
      <c r="D189" s="1358"/>
      <c r="E189" s="1358"/>
      <c r="F189" s="1358"/>
      <c r="G189" s="1358"/>
      <c r="H189" s="1358"/>
      <c r="I189" s="1358"/>
      <c r="J189" s="1358"/>
      <c r="K189" s="1358"/>
      <c r="L189" s="1358"/>
      <c r="M189" s="1358"/>
      <c r="N189" s="1358"/>
      <c r="O189" s="1358"/>
      <c r="P189" s="1358"/>
      <c r="Q189" s="1358"/>
      <c r="R189" s="1358"/>
      <c r="S189" s="1358"/>
      <c r="T189" s="1358"/>
      <c r="U189" s="1358"/>
      <c r="V189" s="1358"/>
      <c r="W189" s="1358"/>
      <c r="X189" s="1358"/>
      <c r="Y189" s="1359"/>
      <c r="Z189" s="1359"/>
      <c r="AA189" s="1358"/>
    </row>
    <row r="190" ht="15.75" customHeight="1">
      <c r="A190" s="439"/>
      <c r="B190" s="439"/>
      <c r="C190" s="1358"/>
      <c r="D190" s="1358"/>
      <c r="E190" s="1358"/>
      <c r="F190" s="1358"/>
      <c r="G190" s="1358"/>
      <c r="H190" s="1358"/>
      <c r="I190" s="1358"/>
      <c r="J190" s="1358"/>
      <c r="K190" s="1358"/>
      <c r="L190" s="1358"/>
      <c r="M190" s="1358"/>
      <c r="N190" s="1358"/>
      <c r="O190" s="1358"/>
      <c r="P190" s="1358"/>
      <c r="Q190" s="1358"/>
      <c r="R190" s="1358"/>
      <c r="S190" s="1358"/>
      <c r="T190" s="1358"/>
      <c r="U190" s="1358"/>
      <c r="V190" s="1358"/>
      <c r="W190" s="1358"/>
      <c r="X190" s="1358"/>
      <c r="Y190" s="1359"/>
      <c r="Z190" s="1359"/>
      <c r="AA190" s="1358"/>
    </row>
    <row r="191" ht="15.75" customHeight="1">
      <c r="A191" s="439"/>
      <c r="B191" s="439"/>
      <c r="C191" s="1358"/>
      <c r="D191" s="1358"/>
      <c r="E191" s="1358"/>
      <c r="F191" s="1358"/>
      <c r="G191" s="1358"/>
      <c r="H191" s="1358"/>
      <c r="I191" s="1358"/>
      <c r="J191" s="1358"/>
      <c r="K191" s="1358"/>
      <c r="L191" s="1358"/>
      <c r="M191" s="1358"/>
      <c r="N191" s="1358"/>
      <c r="O191" s="1358"/>
      <c r="P191" s="1358"/>
      <c r="Q191" s="1358"/>
      <c r="R191" s="1358"/>
      <c r="S191" s="1358"/>
      <c r="T191" s="1358"/>
      <c r="U191" s="1358"/>
      <c r="V191" s="1358"/>
      <c r="W191" s="1358"/>
      <c r="X191" s="1358"/>
      <c r="Y191" s="1359"/>
      <c r="Z191" s="1359"/>
      <c r="AA191" s="1358"/>
    </row>
    <row r="192" ht="15.75" customHeight="1">
      <c r="A192" s="439"/>
      <c r="B192" s="439"/>
      <c r="C192" s="1358"/>
      <c r="D192" s="1358"/>
      <c r="E192" s="1358"/>
      <c r="F192" s="1358"/>
      <c r="G192" s="1358"/>
      <c r="H192" s="1358"/>
      <c r="I192" s="1358"/>
      <c r="J192" s="1358"/>
      <c r="K192" s="1358"/>
      <c r="L192" s="1358"/>
      <c r="M192" s="1358"/>
      <c r="N192" s="1358"/>
      <c r="O192" s="1358"/>
      <c r="P192" s="1358"/>
      <c r="Q192" s="1358"/>
      <c r="R192" s="1358"/>
      <c r="S192" s="1358"/>
      <c r="T192" s="1358"/>
      <c r="U192" s="1358"/>
      <c r="V192" s="1358"/>
      <c r="W192" s="1358"/>
      <c r="X192" s="1358"/>
      <c r="Y192" s="1359"/>
      <c r="Z192" s="1359"/>
      <c r="AA192" s="1358"/>
    </row>
    <row r="193" ht="15.75" customHeight="1">
      <c r="A193" s="439"/>
      <c r="B193" s="439"/>
      <c r="C193" s="1358"/>
      <c r="D193" s="1358"/>
      <c r="E193" s="1358"/>
      <c r="F193" s="1358"/>
      <c r="G193" s="1358"/>
      <c r="H193" s="1358"/>
      <c r="I193" s="1358"/>
      <c r="J193" s="1358"/>
      <c r="K193" s="1358"/>
      <c r="L193" s="1358"/>
      <c r="M193" s="1358"/>
      <c r="N193" s="1358"/>
      <c r="O193" s="1358"/>
      <c r="P193" s="1358"/>
      <c r="Q193" s="1358"/>
      <c r="R193" s="1358"/>
      <c r="S193" s="1358"/>
      <c r="T193" s="1358"/>
      <c r="U193" s="1358"/>
      <c r="V193" s="1358"/>
      <c r="W193" s="1358"/>
      <c r="X193" s="1358"/>
      <c r="Y193" s="1359"/>
      <c r="Z193" s="1359"/>
      <c r="AA193" s="1358"/>
    </row>
    <row r="194" ht="15.75" customHeight="1">
      <c r="A194" s="439"/>
      <c r="B194" s="439"/>
      <c r="C194" s="1358"/>
      <c r="D194" s="1358"/>
      <c r="E194" s="1358"/>
      <c r="F194" s="1358"/>
      <c r="G194" s="1358"/>
      <c r="H194" s="1358"/>
      <c r="I194" s="1358"/>
      <c r="J194" s="1358"/>
      <c r="K194" s="1358"/>
      <c r="L194" s="1358"/>
      <c r="M194" s="1358"/>
      <c r="N194" s="1358"/>
      <c r="O194" s="1358"/>
      <c r="P194" s="1358"/>
      <c r="Q194" s="1358"/>
      <c r="R194" s="1358"/>
      <c r="S194" s="1358"/>
      <c r="T194" s="1358"/>
      <c r="U194" s="1358"/>
      <c r="V194" s="1358"/>
      <c r="W194" s="1358"/>
      <c r="X194" s="1358"/>
      <c r="Y194" s="1359"/>
      <c r="Z194" s="1359"/>
      <c r="AA194" s="1358"/>
    </row>
    <row r="195" ht="15.75" customHeight="1">
      <c r="A195" s="439"/>
      <c r="B195" s="439"/>
      <c r="C195" s="1358"/>
      <c r="D195" s="1358"/>
      <c r="E195" s="1358"/>
      <c r="F195" s="1358"/>
      <c r="G195" s="1358"/>
      <c r="H195" s="1358"/>
      <c r="I195" s="1358"/>
      <c r="J195" s="1358"/>
      <c r="K195" s="1358"/>
      <c r="L195" s="1358"/>
      <c r="M195" s="1358"/>
      <c r="N195" s="1358"/>
      <c r="O195" s="1358"/>
      <c r="P195" s="1358"/>
      <c r="Q195" s="1358"/>
      <c r="R195" s="1358"/>
      <c r="S195" s="1358"/>
      <c r="T195" s="1358"/>
      <c r="U195" s="1358"/>
      <c r="V195" s="1358"/>
      <c r="W195" s="1358"/>
      <c r="X195" s="1358"/>
      <c r="Y195" s="1359"/>
      <c r="Z195" s="1359"/>
      <c r="AA195" s="1358"/>
    </row>
    <row r="196" ht="15.75" customHeight="1">
      <c r="A196" s="439"/>
      <c r="B196" s="439"/>
      <c r="C196" s="1358"/>
      <c r="D196" s="1358"/>
      <c r="E196" s="1358"/>
      <c r="F196" s="1358"/>
      <c r="G196" s="1358"/>
      <c r="H196" s="1358"/>
      <c r="I196" s="1358"/>
      <c r="J196" s="1358"/>
      <c r="K196" s="1358"/>
      <c r="L196" s="1358"/>
      <c r="M196" s="1358"/>
      <c r="N196" s="1358"/>
      <c r="O196" s="1358"/>
      <c r="P196" s="1358"/>
      <c r="Q196" s="1358"/>
      <c r="R196" s="1358"/>
      <c r="S196" s="1358"/>
      <c r="T196" s="1358"/>
      <c r="U196" s="1358"/>
      <c r="V196" s="1358"/>
      <c r="W196" s="1358"/>
      <c r="X196" s="1358"/>
      <c r="Y196" s="1359"/>
      <c r="Z196" s="1359"/>
      <c r="AA196" s="1358"/>
    </row>
    <row r="197" ht="15.75" customHeight="1">
      <c r="A197" s="439"/>
      <c r="B197" s="439"/>
      <c r="C197" s="1358"/>
      <c r="D197" s="1358"/>
      <c r="E197" s="1358"/>
      <c r="F197" s="1358"/>
      <c r="G197" s="1358"/>
      <c r="H197" s="1358"/>
      <c r="I197" s="1358"/>
      <c r="J197" s="1358"/>
      <c r="K197" s="1358"/>
      <c r="L197" s="1358"/>
      <c r="M197" s="1358"/>
      <c r="N197" s="1358"/>
      <c r="O197" s="1358"/>
      <c r="P197" s="1358"/>
      <c r="Q197" s="1358"/>
      <c r="R197" s="1358"/>
      <c r="S197" s="1358"/>
      <c r="T197" s="1358"/>
      <c r="U197" s="1358"/>
      <c r="V197" s="1358"/>
      <c r="W197" s="1358"/>
      <c r="X197" s="1358"/>
      <c r="Y197" s="1359"/>
      <c r="Z197" s="1359"/>
      <c r="AA197" s="1358"/>
    </row>
    <row r="198" ht="15.75" customHeight="1">
      <c r="A198" s="439"/>
      <c r="B198" s="439"/>
      <c r="C198" s="1358"/>
      <c r="D198" s="1358"/>
      <c r="E198" s="1358"/>
      <c r="F198" s="1358"/>
      <c r="G198" s="1358"/>
      <c r="H198" s="1358"/>
      <c r="I198" s="1358"/>
      <c r="J198" s="1358"/>
      <c r="K198" s="1358"/>
      <c r="L198" s="1358"/>
      <c r="M198" s="1358"/>
      <c r="N198" s="1358"/>
      <c r="O198" s="1358"/>
      <c r="P198" s="1358"/>
      <c r="Q198" s="1358"/>
      <c r="R198" s="1358"/>
      <c r="S198" s="1358"/>
      <c r="T198" s="1358"/>
      <c r="U198" s="1358"/>
      <c r="V198" s="1358"/>
      <c r="W198" s="1358"/>
      <c r="X198" s="1358"/>
      <c r="Y198" s="1359"/>
      <c r="Z198" s="1359"/>
      <c r="AA198" s="1358"/>
    </row>
    <row r="199" ht="15.75" customHeight="1">
      <c r="A199" s="439"/>
      <c r="B199" s="439"/>
      <c r="C199" s="1358"/>
      <c r="D199" s="1358"/>
      <c r="E199" s="1358"/>
      <c r="F199" s="1358"/>
      <c r="G199" s="1358"/>
      <c r="H199" s="1358"/>
      <c r="I199" s="1358"/>
      <c r="J199" s="1358"/>
      <c r="K199" s="1358"/>
      <c r="L199" s="1358"/>
      <c r="M199" s="1358"/>
      <c r="N199" s="1358"/>
      <c r="O199" s="1358"/>
      <c r="P199" s="1358"/>
      <c r="Q199" s="1358"/>
      <c r="R199" s="1358"/>
      <c r="S199" s="1358"/>
      <c r="T199" s="1358"/>
      <c r="U199" s="1358"/>
      <c r="V199" s="1358"/>
      <c r="W199" s="1358"/>
      <c r="X199" s="1358"/>
      <c r="Y199" s="1359"/>
      <c r="Z199" s="1359"/>
      <c r="AA199" s="1358"/>
    </row>
    <row r="200" ht="15.75" customHeight="1">
      <c r="A200" s="439"/>
      <c r="B200" s="439"/>
      <c r="C200" s="1358"/>
      <c r="D200" s="1358"/>
      <c r="E200" s="1358"/>
      <c r="F200" s="1358"/>
      <c r="G200" s="1358"/>
      <c r="H200" s="1358"/>
      <c r="I200" s="1358"/>
      <c r="J200" s="1358"/>
      <c r="K200" s="1358"/>
      <c r="L200" s="1358"/>
      <c r="M200" s="1358"/>
      <c r="N200" s="1358"/>
      <c r="O200" s="1358"/>
      <c r="P200" s="1358"/>
      <c r="Q200" s="1358"/>
      <c r="R200" s="1358"/>
      <c r="S200" s="1358"/>
      <c r="T200" s="1358"/>
      <c r="U200" s="1358"/>
      <c r="V200" s="1358"/>
      <c r="W200" s="1358"/>
      <c r="X200" s="1358"/>
      <c r="Y200" s="1359"/>
      <c r="Z200" s="1359"/>
      <c r="AA200" s="1358"/>
    </row>
    <row r="201" ht="15.75" customHeight="1">
      <c r="A201" s="439"/>
      <c r="B201" s="439"/>
      <c r="C201" s="1358"/>
      <c r="D201" s="1358"/>
      <c r="E201" s="1358"/>
      <c r="F201" s="1358"/>
      <c r="G201" s="1358"/>
      <c r="H201" s="1358"/>
      <c r="I201" s="1358"/>
      <c r="J201" s="1358"/>
      <c r="K201" s="1358"/>
      <c r="L201" s="1358"/>
      <c r="M201" s="1358"/>
      <c r="N201" s="1358"/>
      <c r="O201" s="1358"/>
      <c r="P201" s="1358"/>
      <c r="Q201" s="1358"/>
      <c r="R201" s="1358"/>
      <c r="S201" s="1358"/>
      <c r="T201" s="1358"/>
      <c r="U201" s="1358"/>
      <c r="V201" s="1358"/>
      <c r="W201" s="1358"/>
      <c r="X201" s="1358"/>
      <c r="Y201" s="1359"/>
      <c r="Z201" s="1359"/>
      <c r="AA201" s="1358"/>
    </row>
    <row r="202" ht="15.75" customHeight="1">
      <c r="A202" s="439"/>
      <c r="B202" s="439"/>
      <c r="C202" s="1358"/>
      <c r="D202" s="1358"/>
      <c r="E202" s="1358"/>
      <c r="F202" s="1358"/>
      <c r="G202" s="1358"/>
      <c r="H202" s="1358"/>
      <c r="I202" s="1358"/>
      <c r="J202" s="1358"/>
      <c r="K202" s="1358"/>
      <c r="L202" s="1358"/>
      <c r="M202" s="1358"/>
      <c r="N202" s="1358"/>
      <c r="O202" s="1358"/>
      <c r="P202" s="1358"/>
      <c r="Q202" s="1358"/>
      <c r="R202" s="1358"/>
      <c r="S202" s="1358"/>
      <c r="T202" s="1358"/>
      <c r="U202" s="1358"/>
      <c r="V202" s="1358"/>
      <c r="W202" s="1358"/>
      <c r="X202" s="1358"/>
      <c r="Y202" s="1359"/>
      <c r="Z202" s="1359"/>
      <c r="AA202" s="1358"/>
    </row>
    <row r="203" ht="15.75" customHeight="1">
      <c r="A203" s="439"/>
      <c r="B203" s="439"/>
      <c r="C203" s="1358"/>
      <c r="D203" s="1358"/>
      <c r="E203" s="1358"/>
      <c r="F203" s="1358"/>
      <c r="G203" s="1358"/>
      <c r="H203" s="1358"/>
      <c r="I203" s="1358"/>
      <c r="J203" s="1358"/>
      <c r="K203" s="1358"/>
      <c r="L203" s="1358"/>
      <c r="M203" s="1358"/>
      <c r="N203" s="1358"/>
      <c r="O203" s="1358"/>
      <c r="P203" s="1358"/>
      <c r="Q203" s="1358"/>
      <c r="R203" s="1358"/>
      <c r="S203" s="1358"/>
      <c r="T203" s="1358"/>
      <c r="U203" s="1358"/>
      <c r="V203" s="1358"/>
      <c r="W203" s="1358"/>
      <c r="X203" s="1358"/>
      <c r="Y203" s="1359"/>
      <c r="Z203" s="1359"/>
      <c r="AA203" s="1358"/>
    </row>
    <row r="204" ht="15.75" customHeight="1">
      <c r="A204" s="439"/>
      <c r="B204" s="439"/>
      <c r="C204" s="1358"/>
      <c r="D204" s="1358"/>
      <c r="E204" s="1358"/>
      <c r="F204" s="1358"/>
      <c r="G204" s="1358"/>
      <c r="H204" s="1358"/>
      <c r="I204" s="1358"/>
      <c r="J204" s="1358"/>
      <c r="K204" s="1358"/>
      <c r="L204" s="1358"/>
      <c r="M204" s="1358"/>
      <c r="N204" s="1358"/>
      <c r="O204" s="1358"/>
      <c r="P204" s="1358"/>
      <c r="Q204" s="1358"/>
      <c r="R204" s="1358"/>
      <c r="S204" s="1358"/>
      <c r="T204" s="1358"/>
      <c r="U204" s="1358"/>
      <c r="V204" s="1358"/>
      <c r="W204" s="1358"/>
      <c r="X204" s="1358"/>
      <c r="Y204" s="1359"/>
      <c r="Z204" s="1359"/>
      <c r="AA204" s="1358"/>
    </row>
    <row r="205" ht="15.75" customHeight="1">
      <c r="A205" s="439"/>
      <c r="B205" s="439"/>
      <c r="C205" s="1358"/>
      <c r="D205" s="1358"/>
      <c r="E205" s="1358"/>
      <c r="F205" s="1358"/>
      <c r="G205" s="1358"/>
      <c r="H205" s="1358"/>
      <c r="I205" s="1358"/>
      <c r="J205" s="1358"/>
      <c r="K205" s="1358"/>
      <c r="L205" s="1358"/>
      <c r="M205" s="1358"/>
      <c r="N205" s="1358"/>
      <c r="O205" s="1358"/>
      <c r="P205" s="1358"/>
      <c r="Q205" s="1358"/>
      <c r="R205" s="1358"/>
      <c r="S205" s="1358"/>
      <c r="T205" s="1358"/>
      <c r="U205" s="1358"/>
      <c r="V205" s="1358"/>
      <c r="W205" s="1358"/>
      <c r="X205" s="1358"/>
      <c r="Y205" s="1359"/>
      <c r="Z205" s="1359"/>
      <c r="AA205" s="1358"/>
    </row>
    <row r="206" ht="15.75" customHeight="1">
      <c r="A206" s="439"/>
      <c r="B206" s="439"/>
      <c r="C206" s="1358"/>
      <c r="D206" s="1358"/>
      <c r="E206" s="1358"/>
      <c r="F206" s="1358"/>
      <c r="G206" s="1358"/>
      <c r="H206" s="1358"/>
      <c r="I206" s="1358"/>
      <c r="J206" s="1358"/>
      <c r="K206" s="1358"/>
      <c r="L206" s="1358"/>
      <c r="M206" s="1358"/>
      <c r="N206" s="1358"/>
      <c r="O206" s="1358"/>
      <c r="P206" s="1358"/>
      <c r="Q206" s="1358"/>
      <c r="R206" s="1358"/>
      <c r="S206" s="1358"/>
      <c r="T206" s="1358"/>
      <c r="U206" s="1358"/>
      <c r="V206" s="1358"/>
      <c r="W206" s="1358"/>
      <c r="X206" s="1358"/>
      <c r="Y206" s="1359"/>
      <c r="Z206" s="1359"/>
      <c r="AA206" s="1358"/>
    </row>
    <row r="207" ht="15.75" customHeight="1">
      <c r="A207" s="439"/>
      <c r="B207" s="439"/>
      <c r="C207" s="1358"/>
      <c r="D207" s="1358"/>
      <c r="E207" s="1358"/>
      <c r="F207" s="1358"/>
      <c r="G207" s="1358"/>
      <c r="H207" s="1358"/>
      <c r="I207" s="1358"/>
      <c r="J207" s="1358"/>
      <c r="K207" s="1358"/>
      <c r="L207" s="1358"/>
      <c r="M207" s="1358"/>
      <c r="N207" s="1358"/>
      <c r="O207" s="1358"/>
      <c r="P207" s="1358"/>
      <c r="Q207" s="1358"/>
      <c r="R207" s="1358"/>
      <c r="S207" s="1358"/>
      <c r="T207" s="1358"/>
      <c r="U207" s="1358"/>
      <c r="V207" s="1358"/>
      <c r="W207" s="1358"/>
      <c r="X207" s="1358"/>
      <c r="Y207" s="1359"/>
      <c r="Z207" s="1359"/>
      <c r="AA207" s="1358"/>
    </row>
    <row r="208" ht="15.75" customHeight="1">
      <c r="A208" s="439"/>
      <c r="B208" s="439"/>
      <c r="C208" s="1358"/>
      <c r="D208" s="1358"/>
      <c r="E208" s="1358"/>
      <c r="F208" s="1358"/>
      <c r="G208" s="1358"/>
      <c r="H208" s="1358"/>
      <c r="I208" s="1358"/>
      <c r="J208" s="1358"/>
      <c r="K208" s="1358"/>
      <c r="L208" s="1358"/>
      <c r="M208" s="1358"/>
      <c r="N208" s="1358"/>
      <c r="O208" s="1358"/>
      <c r="P208" s="1358"/>
      <c r="Q208" s="1358"/>
      <c r="R208" s="1358"/>
      <c r="S208" s="1358"/>
      <c r="T208" s="1358"/>
      <c r="U208" s="1358"/>
      <c r="V208" s="1358"/>
      <c r="W208" s="1358"/>
      <c r="X208" s="1358"/>
      <c r="Y208" s="1359"/>
      <c r="Z208" s="1359"/>
      <c r="AA208" s="1358"/>
    </row>
    <row r="209" ht="15.75" customHeight="1">
      <c r="A209" s="439"/>
      <c r="B209" s="439"/>
      <c r="C209" s="1358"/>
      <c r="D209" s="1358"/>
      <c r="E209" s="1358"/>
      <c r="F209" s="1358"/>
      <c r="G209" s="1358"/>
      <c r="H209" s="1358"/>
      <c r="I209" s="1358"/>
      <c r="J209" s="1358"/>
      <c r="K209" s="1358"/>
      <c r="L209" s="1358"/>
      <c r="M209" s="1358"/>
      <c r="N209" s="1358"/>
      <c r="O209" s="1358"/>
      <c r="P209" s="1358"/>
      <c r="Q209" s="1358"/>
      <c r="R209" s="1358"/>
      <c r="S209" s="1358"/>
      <c r="T209" s="1358"/>
      <c r="U209" s="1358"/>
      <c r="V209" s="1358"/>
      <c r="W209" s="1358"/>
      <c r="X209" s="1358"/>
      <c r="Y209" s="1359"/>
      <c r="Z209" s="1359"/>
      <c r="AA209" s="1358"/>
    </row>
    <row r="210" ht="15.75" customHeight="1">
      <c r="A210" s="439"/>
      <c r="B210" s="439"/>
      <c r="C210" s="1358"/>
      <c r="D210" s="1358"/>
      <c r="E210" s="1358"/>
      <c r="F210" s="1358"/>
      <c r="G210" s="1358"/>
      <c r="H210" s="1358"/>
      <c r="I210" s="1358"/>
      <c r="J210" s="1358"/>
      <c r="K210" s="1358"/>
      <c r="L210" s="1358"/>
      <c r="M210" s="1358"/>
      <c r="N210" s="1358"/>
      <c r="O210" s="1358"/>
      <c r="P210" s="1358"/>
      <c r="Q210" s="1358"/>
      <c r="R210" s="1358"/>
      <c r="S210" s="1358"/>
      <c r="T210" s="1358"/>
      <c r="U210" s="1358"/>
      <c r="V210" s="1358"/>
      <c r="W210" s="1358"/>
      <c r="X210" s="1358"/>
      <c r="Y210" s="1359"/>
      <c r="Z210" s="1359"/>
      <c r="AA210" s="1358"/>
    </row>
    <row r="211" ht="15.75" customHeight="1">
      <c r="A211" s="439"/>
      <c r="B211" s="439"/>
      <c r="C211" s="1358"/>
      <c r="D211" s="1358"/>
      <c r="E211" s="1358"/>
      <c r="F211" s="1358"/>
      <c r="G211" s="1358"/>
      <c r="H211" s="1358"/>
      <c r="I211" s="1358"/>
      <c r="J211" s="1358"/>
      <c r="K211" s="1358"/>
      <c r="L211" s="1358"/>
      <c r="M211" s="1358"/>
      <c r="N211" s="1358"/>
      <c r="O211" s="1358"/>
      <c r="P211" s="1358"/>
      <c r="Q211" s="1358"/>
      <c r="R211" s="1358"/>
      <c r="S211" s="1358"/>
      <c r="T211" s="1358"/>
      <c r="U211" s="1358"/>
      <c r="V211" s="1358"/>
      <c r="W211" s="1358"/>
      <c r="X211" s="1358"/>
      <c r="Y211" s="1359"/>
      <c r="Z211" s="1359"/>
      <c r="AA211" s="1358"/>
    </row>
    <row r="212" ht="15.75" customHeight="1">
      <c r="A212" s="439"/>
      <c r="B212" s="439"/>
      <c r="C212" s="1358"/>
      <c r="D212" s="1358"/>
      <c r="E212" s="1358"/>
      <c r="F212" s="1358"/>
      <c r="G212" s="1358"/>
      <c r="H212" s="1358"/>
      <c r="I212" s="1358"/>
      <c r="J212" s="1358"/>
      <c r="K212" s="1358"/>
      <c r="L212" s="1358"/>
      <c r="M212" s="1358"/>
      <c r="N212" s="1358"/>
      <c r="O212" s="1358"/>
      <c r="P212" s="1358"/>
      <c r="Q212" s="1358"/>
      <c r="R212" s="1358"/>
      <c r="S212" s="1358"/>
      <c r="T212" s="1358"/>
      <c r="U212" s="1358"/>
      <c r="V212" s="1358"/>
      <c r="W212" s="1358"/>
      <c r="X212" s="1358"/>
      <c r="Y212" s="1359"/>
      <c r="Z212" s="1359"/>
      <c r="AA212" s="1358"/>
    </row>
    <row r="213" ht="15.75" customHeight="1">
      <c r="A213" s="439"/>
      <c r="B213" s="439"/>
      <c r="C213" s="1358"/>
      <c r="D213" s="1358"/>
      <c r="E213" s="1358"/>
      <c r="F213" s="1358"/>
      <c r="G213" s="1358"/>
      <c r="H213" s="1358"/>
      <c r="I213" s="1358"/>
      <c r="J213" s="1358"/>
      <c r="K213" s="1358"/>
      <c r="L213" s="1358"/>
      <c r="M213" s="1358"/>
      <c r="N213" s="1358"/>
      <c r="O213" s="1358"/>
      <c r="P213" s="1358"/>
      <c r="Q213" s="1358"/>
      <c r="R213" s="1358"/>
      <c r="S213" s="1358"/>
      <c r="T213" s="1358"/>
      <c r="U213" s="1358"/>
      <c r="V213" s="1358"/>
      <c r="W213" s="1358"/>
      <c r="X213" s="1358"/>
      <c r="Y213" s="1359"/>
      <c r="Z213" s="1359"/>
      <c r="AA213" s="1358"/>
    </row>
    <row r="214" ht="15.75" customHeight="1">
      <c r="A214" s="439"/>
      <c r="B214" s="439"/>
      <c r="C214" s="1358"/>
      <c r="D214" s="1358"/>
      <c r="E214" s="1358"/>
      <c r="F214" s="1358"/>
      <c r="G214" s="1358"/>
      <c r="H214" s="1358"/>
      <c r="I214" s="1358"/>
      <c r="J214" s="1358"/>
      <c r="K214" s="1358"/>
      <c r="L214" s="1358"/>
      <c r="M214" s="1358"/>
      <c r="N214" s="1358"/>
      <c r="O214" s="1358"/>
      <c r="P214" s="1358"/>
      <c r="Q214" s="1358"/>
      <c r="R214" s="1358"/>
      <c r="S214" s="1358"/>
      <c r="T214" s="1358"/>
      <c r="U214" s="1358"/>
      <c r="V214" s="1358"/>
      <c r="W214" s="1358"/>
      <c r="X214" s="1358"/>
      <c r="Y214" s="1359"/>
      <c r="Z214" s="1359"/>
      <c r="AA214" s="1358"/>
    </row>
    <row r="215" ht="15.75" customHeight="1">
      <c r="A215" s="439"/>
      <c r="B215" s="439"/>
      <c r="C215" s="1358"/>
      <c r="D215" s="1358"/>
      <c r="E215" s="1358"/>
      <c r="F215" s="1358"/>
      <c r="G215" s="1358"/>
      <c r="H215" s="1358"/>
      <c r="I215" s="1358"/>
      <c r="J215" s="1358"/>
      <c r="K215" s="1358"/>
      <c r="L215" s="1358"/>
      <c r="M215" s="1358"/>
      <c r="N215" s="1358"/>
      <c r="O215" s="1358"/>
      <c r="P215" s="1358"/>
      <c r="Q215" s="1358"/>
      <c r="R215" s="1358"/>
      <c r="S215" s="1358"/>
      <c r="T215" s="1358"/>
      <c r="U215" s="1358"/>
      <c r="V215" s="1358"/>
      <c r="W215" s="1358"/>
      <c r="X215" s="1358"/>
      <c r="Y215" s="1359"/>
      <c r="Z215" s="1359"/>
      <c r="AA215" s="1358"/>
    </row>
    <row r="216" ht="15.75" customHeight="1">
      <c r="A216" s="439"/>
      <c r="B216" s="439"/>
      <c r="C216" s="1358"/>
      <c r="D216" s="1358"/>
      <c r="E216" s="1358"/>
      <c r="F216" s="1358"/>
      <c r="G216" s="1358"/>
      <c r="H216" s="1358"/>
      <c r="I216" s="1358"/>
      <c r="J216" s="1358"/>
      <c r="K216" s="1358"/>
      <c r="L216" s="1358"/>
      <c r="M216" s="1358"/>
      <c r="N216" s="1358"/>
      <c r="O216" s="1358"/>
      <c r="P216" s="1358"/>
      <c r="Q216" s="1358"/>
      <c r="R216" s="1358"/>
      <c r="S216" s="1358"/>
      <c r="T216" s="1358"/>
      <c r="U216" s="1358"/>
      <c r="V216" s="1358"/>
      <c r="W216" s="1358"/>
      <c r="X216" s="1358"/>
      <c r="Y216" s="1359"/>
      <c r="Z216" s="1359"/>
      <c r="AA216" s="1358"/>
    </row>
    <row r="217" ht="15.75" customHeight="1">
      <c r="A217" s="439"/>
      <c r="B217" s="439"/>
      <c r="C217" s="1358"/>
      <c r="D217" s="1358"/>
      <c r="E217" s="1358"/>
      <c r="F217" s="1358"/>
      <c r="G217" s="1358"/>
      <c r="H217" s="1358"/>
      <c r="I217" s="1358"/>
      <c r="J217" s="1358"/>
      <c r="K217" s="1358"/>
      <c r="L217" s="1358"/>
      <c r="M217" s="1358"/>
      <c r="N217" s="1358"/>
      <c r="O217" s="1358"/>
      <c r="P217" s="1358"/>
      <c r="Q217" s="1358"/>
      <c r="R217" s="1358"/>
      <c r="S217" s="1358"/>
      <c r="T217" s="1358"/>
      <c r="U217" s="1358"/>
      <c r="V217" s="1358"/>
      <c r="W217" s="1358"/>
      <c r="X217" s="1358"/>
      <c r="Y217" s="1359"/>
      <c r="Z217" s="1359"/>
      <c r="AA217" s="1358"/>
    </row>
    <row r="218" ht="15.75" customHeight="1">
      <c r="A218" s="439"/>
      <c r="B218" s="439"/>
      <c r="C218" s="1358"/>
      <c r="D218" s="1358"/>
      <c r="E218" s="1358"/>
      <c r="F218" s="1358"/>
      <c r="G218" s="1358"/>
      <c r="H218" s="1358"/>
      <c r="I218" s="1358"/>
      <c r="J218" s="1358"/>
      <c r="K218" s="1358"/>
      <c r="L218" s="1358"/>
      <c r="M218" s="1358"/>
      <c r="N218" s="1358"/>
      <c r="O218" s="1358"/>
      <c r="P218" s="1358"/>
      <c r="Q218" s="1358"/>
      <c r="R218" s="1358"/>
      <c r="S218" s="1358"/>
      <c r="T218" s="1358"/>
      <c r="U218" s="1358"/>
      <c r="V218" s="1358"/>
      <c r="W218" s="1358"/>
      <c r="X218" s="1358"/>
      <c r="Y218" s="1359"/>
      <c r="Z218" s="1359"/>
      <c r="AA218" s="1358"/>
    </row>
    <row r="219" ht="15.75" customHeight="1">
      <c r="A219" s="439"/>
      <c r="B219" s="439"/>
      <c r="C219" s="1358"/>
      <c r="D219" s="1358"/>
      <c r="E219" s="1358"/>
      <c r="F219" s="1358"/>
      <c r="G219" s="1358"/>
      <c r="H219" s="1358"/>
      <c r="I219" s="1358"/>
      <c r="J219" s="1358"/>
      <c r="K219" s="1358"/>
      <c r="L219" s="1358"/>
      <c r="M219" s="1358"/>
      <c r="N219" s="1358"/>
      <c r="O219" s="1358"/>
      <c r="P219" s="1358"/>
      <c r="Q219" s="1358"/>
      <c r="R219" s="1358"/>
      <c r="S219" s="1358"/>
      <c r="T219" s="1358"/>
      <c r="U219" s="1358"/>
      <c r="V219" s="1358"/>
      <c r="W219" s="1358"/>
      <c r="X219" s="1358"/>
      <c r="Y219" s="1359"/>
      <c r="Z219" s="1359"/>
      <c r="AA219" s="1358"/>
    </row>
    <row r="220" ht="15.75" customHeight="1">
      <c r="A220" s="439"/>
      <c r="B220" s="439"/>
      <c r="C220" s="1358"/>
      <c r="D220" s="1358"/>
      <c r="E220" s="1358"/>
      <c r="F220" s="1358"/>
      <c r="G220" s="1358"/>
      <c r="H220" s="1358"/>
      <c r="I220" s="1358"/>
      <c r="J220" s="1358"/>
      <c r="K220" s="1358"/>
      <c r="L220" s="1358"/>
      <c r="M220" s="1358"/>
      <c r="N220" s="1358"/>
      <c r="O220" s="1358"/>
      <c r="P220" s="1358"/>
      <c r="Q220" s="1358"/>
      <c r="R220" s="1358"/>
      <c r="S220" s="1358"/>
      <c r="T220" s="1358"/>
      <c r="U220" s="1358"/>
      <c r="V220" s="1358"/>
      <c r="W220" s="1358"/>
      <c r="X220" s="1358"/>
      <c r="Y220" s="1359"/>
      <c r="Z220" s="1359"/>
      <c r="AA220" s="1358"/>
    </row>
    <row r="221" ht="15.75" customHeight="1">
      <c r="A221" s="439"/>
      <c r="B221" s="439"/>
      <c r="C221" s="1358"/>
      <c r="D221" s="1358"/>
      <c r="E221" s="1358"/>
      <c r="F221" s="1358"/>
      <c r="G221" s="1358"/>
      <c r="H221" s="1358"/>
      <c r="I221" s="1358"/>
      <c r="J221" s="1358"/>
      <c r="K221" s="1358"/>
      <c r="L221" s="1358"/>
      <c r="M221" s="1358"/>
      <c r="N221" s="1358"/>
      <c r="O221" s="1358"/>
      <c r="P221" s="1358"/>
      <c r="Q221" s="1358"/>
      <c r="R221" s="1358"/>
      <c r="S221" s="1358"/>
      <c r="T221" s="1358"/>
      <c r="U221" s="1358"/>
      <c r="V221" s="1358"/>
      <c r="W221" s="1358"/>
      <c r="X221" s="1358"/>
      <c r="Y221" s="1359"/>
      <c r="Z221" s="1359"/>
      <c r="AA221" s="1358"/>
    </row>
    <row r="222" ht="15.75" customHeight="1">
      <c r="A222" s="439"/>
      <c r="B222" s="439"/>
      <c r="C222" s="1358"/>
      <c r="D222" s="1358"/>
      <c r="E222" s="1358"/>
      <c r="F222" s="1358"/>
      <c r="G222" s="1358"/>
      <c r="H222" s="1358"/>
      <c r="I222" s="1358"/>
      <c r="J222" s="1358"/>
      <c r="K222" s="1358"/>
      <c r="L222" s="1358"/>
      <c r="M222" s="1358"/>
      <c r="N222" s="1358"/>
      <c r="O222" s="1358"/>
      <c r="P222" s="1358"/>
      <c r="Q222" s="1358"/>
      <c r="R222" s="1358"/>
      <c r="S222" s="1358"/>
      <c r="T222" s="1358"/>
      <c r="U222" s="1358"/>
      <c r="V222" s="1358"/>
      <c r="W222" s="1358"/>
      <c r="X222" s="1358"/>
      <c r="Y222" s="1359"/>
      <c r="Z222" s="1359"/>
      <c r="AA222" s="1358"/>
    </row>
    <row r="223" ht="15.75" customHeight="1">
      <c r="A223" s="439"/>
      <c r="B223" s="439"/>
      <c r="C223" s="1358"/>
      <c r="D223" s="1358"/>
      <c r="E223" s="1358"/>
      <c r="F223" s="1358"/>
      <c r="G223" s="1358"/>
      <c r="H223" s="1358"/>
      <c r="I223" s="1358"/>
      <c r="J223" s="1358"/>
      <c r="K223" s="1358"/>
      <c r="L223" s="1358"/>
      <c r="M223" s="1358"/>
      <c r="N223" s="1358"/>
      <c r="O223" s="1358"/>
      <c r="P223" s="1358"/>
      <c r="Q223" s="1358"/>
      <c r="R223" s="1358"/>
      <c r="S223" s="1358"/>
      <c r="T223" s="1358"/>
      <c r="U223" s="1358"/>
      <c r="V223" s="1358"/>
      <c r="W223" s="1358"/>
      <c r="X223" s="1358"/>
      <c r="Y223" s="1359"/>
      <c r="Z223" s="1359"/>
      <c r="AA223" s="1358"/>
    </row>
    <row r="224" ht="15.75" customHeight="1">
      <c r="A224" s="439"/>
      <c r="B224" s="439"/>
      <c r="C224" s="1358"/>
      <c r="D224" s="1358"/>
      <c r="E224" s="1358"/>
      <c r="F224" s="1358"/>
      <c r="G224" s="1358"/>
      <c r="H224" s="1358"/>
      <c r="I224" s="1358"/>
      <c r="J224" s="1358"/>
      <c r="K224" s="1358"/>
      <c r="L224" s="1358"/>
      <c r="M224" s="1358"/>
      <c r="N224" s="1358"/>
      <c r="O224" s="1358"/>
      <c r="P224" s="1358"/>
      <c r="Q224" s="1358"/>
      <c r="R224" s="1358"/>
      <c r="S224" s="1358"/>
      <c r="T224" s="1358"/>
      <c r="U224" s="1358"/>
      <c r="V224" s="1358"/>
      <c r="W224" s="1358"/>
      <c r="X224" s="1358"/>
      <c r="Y224" s="1359"/>
      <c r="Z224" s="1359"/>
      <c r="AA224" s="1358"/>
    </row>
    <row r="225" ht="15.75" customHeight="1">
      <c r="A225" s="439"/>
      <c r="B225" s="439"/>
      <c r="C225" s="1358"/>
      <c r="D225" s="1358"/>
      <c r="E225" s="1358"/>
      <c r="F225" s="1358"/>
      <c r="G225" s="1358"/>
      <c r="H225" s="1358"/>
      <c r="I225" s="1358"/>
      <c r="J225" s="1358"/>
      <c r="K225" s="1358"/>
      <c r="L225" s="1358"/>
      <c r="M225" s="1358"/>
      <c r="N225" s="1358"/>
      <c r="O225" s="1358"/>
      <c r="P225" s="1358"/>
      <c r="Q225" s="1358"/>
      <c r="R225" s="1358"/>
      <c r="S225" s="1358"/>
      <c r="T225" s="1358"/>
      <c r="U225" s="1358"/>
      <c r="V225" s="1358"/>
      <c r="W225" s="1358"/>
      <c r="X225" s="1358"/>
      <c r="Y225" s="1359"/>
      <c r="Z225" s="1359"/>
      <c r="AA225" s="1358"/>
    </row>
    <row r="226" ht="15.75" customHeight="1">
      <c r="A226" s="439"/>
      <c r="B226" s="439"/>
      <c r="C226" s="1358"/>
      <c r="D226" s="1358"/>
      <c r="E226" s="1358"/>
      <c r="F226" s="1358"/>
      <c r="G226" s="1358"/>
      <c r="H226" s="1358"/>
      <c r="I226" s="1358"/>
      <c r="J226" s="1358"/>
      <c r="K226" s="1358"/>
      <c r="L226" s="1358"/>
      <c r="M226" s="1358"/>
      <c r="N226" s="1358"/>
      <c r="O226" s="1358"/>
      <c r="P226" s="1358"/>
      <c r="Q226" s="1358"/>
      <c r="R226" s="1358"/>
      <c r="S226" s="1358"/>
      <c r="T226" s="1358"/>
      <c r="U226" s="1358"/>
      <c r="V226" s="1358"/>
      <c r="W226" s="1358"/>
      <c r="X226" s="1358"/>
      <c r="Y226" s="1359"/>
      <c r="Z226" s="1359"/>
      <c r="AA226" s="1358"/>
    </row>
    <row r="227" ht="15.75" customHeight="1">
      <c r="A227" s="439"/>
      <c r="B227" s="439"/>
      <c r="C227" s="1358"/>
      <c r="D227" s="1358"/>
      <c r="E227" s="1358"/>
      <c r="F227" s="1358"/>
      <c r="G227" s="1358"/>
      <c r="H227" s="1358"/>
      <c r="I227" s="1358"/>
      <c r="J227" s="1358"/>
      <c r="K227" s="1358"/>
      <c r="L227" s="1358"/>
      <c r="M227" s="1358"/>
      <c r="N227" s="1358"/>
      <c r="O227" s="1358"/>
      <c r="P227" s="1358"/>
      <c r="Q227" s="1358"/>
      <c r="R227" s="1358"/>
      <c r="S227" s="1358"/>
      <c r="T227" s="1358"/>
      <c r="U227" s="1358"/>
      <c r="V227" s="1358"/>
      <c r="W227" s="1358"/>
      <c r="X227" s="1358"/>
      <c r="Y227" s="1359"/>
      <c r="Z227" s="1359"/>
      <c r="AA227" s="1358"/>
    </row>
    <row r="228" ht="15.75" customHeight="1">
      <c r="A228" s="439"/>
      <c r="B228" s="439"/>
      <c r="C228" s="1358"/>
      <c r="D228" s="1358"/>
      <c r="E228" s="1358"/>
      <c r="F228" s="1358"/>
      <c r="G228" s="1358"/>
      <c r="H228" s="1358"/>
      <c r="I228" s="1358"/>
      <c r="J228" s="1358"/>
      <c r="K228" s="1358"/>
      <c r="L228" s="1358"/>
      <c r="M228" s="1358"/>
      <c r="N228" s="1358"/>
      <c r="O228" s="1358"/>
      <c r="P228" s="1358"/>
      <c r="Q228" s="1358"/>
      <c r="R228" s="1358"/>
      <c r="S228" s="1358"/>
      <c r="T228" s="1358"/>
      <c r="U228" s="1358"/>
      <c r="V228" s="1358"/>
      <c r="W228" s="1358"/>
      <c r="X228" s="1358"/>
      <c r="Y228" s="1359"/>
      <c r="Z228" s="1359"/>
      <c r="AA228" s="1358"/>
    </row>
    <row r="229" ht="15.75" customHeight="1">
      <c r="A229" s="439"/>
      <c r="B229" s="439"/>
      <c r="C229" s="1358"/>
      <c r="D229" s="1358"/>
      <c r="E229" s="1358"/>
      <c r="F229" s="1358"/>
      <c r="G229" s="1358"/>
      <c r="H229" s="1358"/>
      <c r="I229" s="1358"/>
      <c r="J229" s="1358"/>
      <c r="K229" s="1358"/>
      <c r="L229" s="1358"/>
      <c r="M229" s="1358"/>
      <c r="N229" s="1358"/>
      <c r="O229" s="1358"/>
      <c r="P229" s="1358"/>
      <c r="Q229" s="1358"/>
      <c r="R229" s="1358"/>
      <c r="S229" s="1358"/>
      <c r="T229" s="1358"/>
      <c r="U229" s="1358"/>
      <c r="V229" s="1358"/>
      <c r="W229" s="1358"/>
      <c r="X229" s="1358"/>
      <c r="Y229" s="1359"/>
      <c r="Z229" s="1359"/>
      <c r="AA229" s="1358"/>
    </row>
    <row r="230" ht="15.75" customHeight="1">
      <c r="A230" s="439"/>
      <c r="B230" s="439"/>
      <c r="C230" s="1358"/>
      <c r="D230" s="1358"/>
      <c r="E230" s="1358"/>
      <c r="F230" s="1358"/>
      <c r="G230" s="1358"/>
      <c r="H230" s="1358"/>
      <c r="I230" s="1358"/>
      <c r="J230" s="1358"/>
      <c r="K230" s="1358"/>
      <c r="L230" s="1358"/>
      <c r="M230" s="1358"/>
      <c r="N230" s="1358"/>
      <c r="O230" s="1358"/>
      <c r="P230" s="1358"/>
      <c r="Q230" s="1358"/>
      <c r="R230" s="1358"/>
      <c r="S230" s="1358"/>
      <c r="T230" s="1358"/>
      <c r="U230" s="1358"/>
      <c r="V230" s="1358"/>
      <c r="W230" s="1358"/>
      <c r="X230" s="1358"/>
      <c r="Y230" s="1359"/>
      <c r="Z230" s="1359"/>
      <c r="AA230" s="1358"/>
    </row>
    <row r="231" ht="15.75" customHeight="1">
      <c r="A231" s="439"/>
      <c r="B231" s="439"/>
      <c r="C231" s="1358"/>
      <c r="D231" s="1358"/>
      <c r="E231" s="1358"/>
      <c r="F231" s="1358"/>
      <c r="G231" s="1358"/>
      <c r="H231" s="1358"/>
      <c r="I231" s="1358"/>
      <c r="J231" s="1358"/>
      <c r="K231" s="1358"/>
      <c r="L231" s="1358"/>
      <c r="M231" s="1358"/>
      <c r="N231" s="1358"/>
      <c r="O231" s="1358"/>
      <c r="P231" s="1358"/>
      <c r="Q231" s="1358"/>
      <c r="R231" s="1358"/>
      <c r="S231" s="1358"/>
      <c r="T231" s="1358"/>
      <c r="U231" s="1358"/>
      <c r="V231" s="1358"/>
      <c r="W231" s="1358"/>
      <c r="X231" s="1358"/>
      <c r="Y231" s="1359"/>
      <c r="Z231" s="1359"/>
      <c r="AA231" s="1358"/>
    </row>
    <row r="232" ht="15.75" customHeight="1">
      <c r="A232" s="439"/>
      <c r="B232" s="439"/>
      <c r="C232" s="1358"/>
      <c r="D232" s="1358"/>
      <c r="E232" s="1358"/>
      <c r="F232" s="1358"/>
      <c r="G232" s="1358"/>
      <c r="H232" s="1358"/>
      <c r="I232" s="1358"/>
      <c r="J232" s="1358"/>
      <c r="K232" s="1358"/>
      <c r="L232" s="1358"/>
      <c r="M232" s="1358"/>
      <c r="N232" s="1358"/>
      <c r="O232" s="1358"/>
      <c r="P232" s="1358"/>
      <c r="Q232" s="1358"/>
      <c r="R232" s="1358"/>
      <c r="S232" s="1358"/>
      <c r="T232" s="1358"/>
      <c r="U232" s="1358"/>
      <c r="V232" s="1358"/>
      <c r="W232" s="1358"/>
      <c r="X232" s="1358"/>
      <c r="Y232" s="1359"/>
      <c r="Z232" s="1359"/>
      <c r="AA232" s="1358"/>
    </row>
    <row r="233" ht="15.75" customHeight="1">
      <c r="A233" s="439"/>
      <c r="B233" s="439"/>
      <c r="C233" s="1358"/>
      <c r="D233" s="1358"/>
      <c r="E233" s="1358"/>
      <c r="F233" s="1358"/>
      <c r="G233" s="1358"/>
      <c r="H233" s="1358"/>
      <c r="I233" s="1358"/>
      <c r="J233" s="1358"/>
      <c r="K233" s="1358"/>
      <c r="L233" s="1358"/>
      <c r="M233" s="1358"/>
      <c r="N233" s="1358"/>
      <c r="O233" s="1358"/>
      <c r="P233" s="1358"/>
      <c r="Q233" s="1358"/>
      <c r="R233" s="1358"/>
      <c r="S233" s="1358"/>
      <c r="T233" s="1358"/>
      <c r="U233" s="1358"/>
      <c r="V233" s="1358"/>
      <c r="W233" s="1358"/>
      <c r="X233" s="1358"/>
      <c r="Y233" s="1359"/>
      <c r="Z233" s="1359"/>
      <c r="AA233" s="1358"/>
    </row>
    <row r="234" ht="15.75" customHeight="1">
      <c r="A234" s="439"/>
      <c r="B234" s="439"/>
      <c r="C234" s="1358"/>
      <c r="D234" s="1358"/>
      <c r="E234" s="1358"/>
      <c r="F234" s="1358"/>
      <c r="G234" s="1358"/>
      <c r="H234" s="1358"/>
      <c r="I234" s="1358"/>
      <c r="J234" s="1358"/>
      <c r="K234" s="1358"/>
      <c r="L234" s="1358"/>
      <c r="M234" s="1358"/>
      <c r="N234" s="1358"/>
      <c r="O234" s="1358"/>
      <c r="P234" s="1358"/>
      <c r="Q234" s="1358"/>
      <c r="R234" s="1358"/>
      <c r="S234" s="1358"/>
      <c r="T234" s="1358"/>
      <c r="U234" s="1358"/>
      <c r="V234" s="1358"/>
      <c r="W234" s="1358"/>
      <c r="X234" s="1358"/>
      <c r="Y234" s="1359"/>
      <c r="Z234" s="1359"/>
      <c r="AA234" s="1358"/>
    </row>
    <row r="235" ht="15.75" customHeight="1">
      <c r="A235" s="439"/>
      <c r="B235" s="439"/>
      <c r="C235" s="1358"/>
      <c r="D235" s="1358"/>
      <c r="E235" s="1358"/>
      <c r="F235" s="1358"/>
      <c r="G235" s="1358"/>
      <c r="H235" s="1358"/>
      <c r="I235" s="1358"/>
      <c r="J235" s="1358"/>
      <c r="K235" s="1358"/>
      <c r="L235" s="1358"/>
      <c r="M235" s="1358"/>
      <c r="N235" s="1358"/>
      <c r="O235" s="1358"/>
      <c r="P235" s="1358"/>
      <c r="Q235" s="1358"/>
      <c r="R235" s="1358"/>
      <c r="S235" s="1358"/>
      <c r="T235" s="1358"/>
      <c r="U235" s="1358"/>
      <c r="V235" s="1358"/>
      <c r="W235" s="1358"/>
      <c r="X235" s="1358"/>
      <c r="Y235" s="1359"/>
      <c r="Z235" s="1359"/>
      <c r="AA235" s="1358"/>
    </row>
    <row r="236" ht="15.75" customHeight="1">
      <c r="A236" s="439"/>
      <c r="B236" s="439"/>
      <c r="C236" s="1358"/>
      <c r="D236" s="1358"/>
      <c r="E236" s="1358"/>
      <c r="F236" s="1358"/>
      <c r="G236" s="1358"/>
      <c r="H236" s="1358"/>
      <c r="I236" s="1358"/>
      <c r="J236" s="1358"/>
      <c r="K236" s="1358"/>
      <c r="L236" s="1358"/>
      <c r="M236" s="1358"/>
      <c r="N236" s="1358"/>
      <c r="O236" s="1358"/>
      <c r="P236" s="1358"/>
      <c r="Q236" s="1358"/>
      <c r="R236" s="1358"/>
      <c r="S236" s="1358"/>
      <c r="T236" s="1358"/>
      <c r="U236" s="1358"/>
      <c r="V236" s="1358"/>
      <c r="W236" s="1358"/>
      <c r="X236" s="1358"/>
      <c r="Y236" s="1359"/>
      <c r="Z236" s="1359"/>
      <c r="AA236" s="1358"/>
    </row>
    <row r="237" ht="15.75" customHeight="1">
      <c r="A237" s="439"/>
      <c r="B237" s="439"/>
      <c r="C237" s="1358"/>
      <c r="D237" s="1358"/>
      <c r="E237" s="1358"/>
      <c r="F237" s="1358"/>
      <c r="G237" s="1358"/>
      <c r="H237" s="1358"/>
      <c r="I237" s="1358"/>
      <c r="J237" s="1358"/>
      <c r="K237" s="1358"/>
      <c r="L237" s="1358"/>
      <c r="M237" s="1358"/>
      <c r="N237" s="1358"/>
      <c r="O237" s="1358"/>
      <c r="P237" s="1358"/>
      <c r="Q237" s="1358"/>
      <c r="R237" s="1358"/>
      <c r="S237" s="1358"/>
      <c r="T237" s="1358"/>
      <c r="U237" s="1358"/>
      <c r="V237" s="1358"/>
      <c r="W237" s="1358"/>
      <c r="X237" s="1358"/>
      <c r="Y237" s="1359"/>
      <c r="Z237" s="1359"/>
      <c r="AA237" s="1358"/>
    </row>
    <row r="238" ht="15.75" customHeight="1">
      <c r="A238" s="439"/>
      <c r="B238" s="439"/>
      <c r="C238" s="1358"/>
      <c r="D238" s="1358"/>
      <c r="E238" s="1358"/>
      <c r="F238" s="1358"/>
      <c r="G238" s="1358"/>
      <c r="H238" s="1358"/>
      <c r="I238" s="1358"/>
      <c r="J238" s="1358"/>
      <c r="K238" s="1358"/>
      <c r="L238" s="1358"/>
      <c r="M238" s="1358"/>
      <c r="N238" s="1358"/>
      <c r="O238" s="1358"/>
      <c r="P238" s="1358"/>
      <c r="Q238" s="1358"/>
      <c r="R238" s="1358"/>
      <c r="S238" s="1358"/>
      <c r="T238" s="1358"/>
      <c r="U238" s="1358"/>
      <c r="V238" s="1358"/>
      <c r="W238" s="1358"/>
      <c r="X238" s="1358"/>
      <c r="Y238" s="1359"/>
      <c r="Z238" s="1359"/>
      <c r="AA238" s="1358"/>
    </row>
    <row r="239" ht="15.75" customHeight="1">
      <c r="A239" s="439"/>
      <c r="B239" s="439"/>
      <c r="C239" s="1358"/>
      <c r="D239" s="1358"/>
      <c r="E239" s="1358"/>
      <c r="F239" s="1358"/>
      <c r="G239" s="1358"/>
      <c r="H239" s="1358"/>
      <c r="I239" s="1358"/>
      <c r="J239" s="1358"/>
      <c r="K239" s="1358"/>
      <c r="L239" s="1358"/>
      <c r="M239" s="1358"/>
      <c r="N239" s="1358"/>
      <c r="O239" s="1358"/>
      <c r="P239" s="1358"/>
      <c r="Q239" s="1358"/>
      <c r="R239" s="1358"/>
      <c r="S239" s="1358"/>
      <c r="T239" s="1358"/>
      <c r="U239" s="1358"/>
      <c r="V239" s="1358"/>
      <c r="W239" s="1358"/>
      <c r="X239" s="1358"/>
      <c r="Y239" s="1359"/>
      <c r="Z239" s="1359"/>
      <c r="AA239" s="1358"/>
    </row>
    <row r="240" ht="15.75" customHeight="1">
      <c r="A240" s="439"/>
      <c r="B240" s="439"/>
      <c r="C240" s="1358"/>
      <c r="D240" s="1358"/>
      <c r="E240" s="1358"/>
      <c r="F240" s="1358"/>
      <c r="G240" s="1358"/>
      <c r="H240" s="1358"/>
      <c r="I240" s="1358"/>
      <c r="J240" s="1358"/>
      <c r="K240" s="1358"/>
      <c r="L240" s="1358"/>
      <c r="M240" s="1358"/>
      <c r="N240" s="1358"/>
      <c r="O240" s="1358"/>
      <c r="P240" s="1358"/>
      <c r="Q240" s="1358"/>
      <c r="R240" s="1358"/>
      <c r="S240" s="1358"/>
      <c r="T240" s="1358"/>
      <c r="U240" s="1358"/>
      <c r="V240" s="1358"/>
      <c r="W240" s="1358"/>
      <c r="X240" s="1358"/>
      <c r="Y240" s="1359"/>
      <c r="Z240" s="1359"/>
      <c r="AA240" s="1358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4">
    <mergeCell ref="Q8:R8"/>
    <mergeCell ref="S8:T8"/>
    <mergeCell ref="U8:V8"/>
    <mergeCell ref="W8:X8"/>
    <mergeCell ref="Y8:Y9"/>
    <mergeCell ref="Z8:Z9"/>
    <mergeCell ref="AA8:AA9"/>
    <mergeCell ref="C8:D8"/>
    <mergeCell ref="E8:F8"/>
    <mergeCell ref="G8:H8"/>
    <mergeCell ref="I8:J8"/>
    <mergeCell ref="K8:L8"/>
    <mergeCell ref="M8:N8"/>
    <mergeCell ref="O8:P8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1"/>
</worksheet>
</file>